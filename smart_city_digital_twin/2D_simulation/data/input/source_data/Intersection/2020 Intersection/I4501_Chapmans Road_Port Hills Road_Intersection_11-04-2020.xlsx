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DATA TO CCC\NOV 2020\INTERSECTION COUNTS\"/>
    </mc:Choice>
  </mc:AlternateContent>
  <xr:revisionPtr revIDLastSave="0" documentId="13_ncr:1_{E15D60EF-59E1-4A4F-8212-59249B8C214A}" xr6:coauthVersionLast="45" xr6:coauthVersionMax="45"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L99" i="6"/>
  <c r="Q99" i="6" s="1"/>
  <c r="L218" i="6"/>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18" i="6"/>
  <c r="Q202" i="6"/>
  <c r="Q162" i="6"/>
  <c r="Q106" i="6"/>
  <c r="Q90" i="6"/>
  <c r="Q50" i="6"/>
  <c r="Q280" i="6"/>
  <c r="Q268" i="6"/>
  <c r="Q216" i="6"/>
  <c r="Q177" i="6"/>
  <c r="Q140" i="6"/>
  <c r="Q88" i="6"/>
  <c r="Q76" i="6"/>
  <c r="Q41" i="6"/>
  <c r="Q276" i="6"/>
  <c r="Q110" i="6"/>
  <c r="Q71" i="6"/>
  <c r="Q300" i="6"/>
  <c r="Q215" i="6"/>
  <c r="Q190"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71" i="6"/>
  <c r="Q233" i="6"/>
  <c r="Q183" i="6"/>
  <c r="Q132" i="6"/>
  <c r="Q105" i="6"/>
  <c r="Q286" i="6"/>
  <c r="Q256" i="6"/>
  <c r="Q196" i="6"/>
  <c r="Q94" i="6"/>
  <c r="Q168" i="6"/>
  <c r="Q118" i="6"/>
  <c r="Q246" i="6"/>
  <c r="Q192" i="6"/>
  <c r="Q116" i="6"/>
  <c r="Q64" i="6"/>
  <c r="Q95" i="6"/>
  <c r="Q223" i="6"/>
  <c r="Q296" i="6"/>
  <c r="Q78" i="6"/>
  <c r="Q206" i="6"/>
  <c r="Q198" i="6"/>
  <c r="Q54" i="6"/>
  <c r="Q180" i="6"/>
  <c r="Q104" i="6"/>
  <c r="H8" i="6"/>
  <c r="B4" i="7" s="1"/>
  <c r="O6" i="6"/>
  <c r="I6" i="4" l="1"/>
  <c r="I86" i="4"/>
  <c r="I166" i="4"/>
  <c r="I246" i="4"/>
  <c r="I326" i="4"/>
  <c r="I26" i="4"/>
  <c r="I106" i="4"/>
  <c r="I186" i="4"/>
  <c r="I266" i="4"/>
  <c r="I46" i="4"/>
  <c r="I126" i="4"/>
  <c r="I206" i="4"/>
  <c r="I286" i="4"/>
  <c r="I66" i="4"/>
  <c r="I146" i="4"/>
  <c r="I346" i="4"/>
  <c r="I226" i="4"/>
  <c r="I306" i="4"/>
  <c r="I18" i="4"/>
  <c r="I38" i="4"/>
  <c r="I118" i="4"/>
  <c r="I198" i="4"/>
  <c r="I278" i="4"/>
  <c r="I58" i="4"/>
  <c r="I138" i="4"/>
  <c r="I218" i="4"/>
  <c r="I298" i="4"/>
  <c r="I78" i="4"/>
  <c r="I158" i="4"/>
  <c r="I238" i="4"/>
  <c r="I318" i="4"/>
  <c r="I258" i="4"/>
  <c r="I338" i="4"/>
  <c r="I98" i="4"/>
  <c r="I178" i="4"/>
  <c r="I358" i="4"/>
  <c r="I3" i="4"/>
  <c r="I83" i="4"/>
  <c r="I163" i="4"/>
  <c r="I243" i="4"/>
  <c r="I323" i="4"/>
  <c r="I23" i="4"/>
  <c r="I103" i="4"/>
  <c r="I183" i="4"/>
  <c r="I263" i="4"/>
  <c r="I43" i="4"/>
  <c r="I123" i="4"/>
  <c r="I203" i="4"/>
  <c r="I283" i="4"/>
  <c r="I303" i="4"/>
  <c r="I63" i="4"/>
  <c r="I143" i="4"/>
  <c r="I343" i="4"/>
  <c r="I223" i="4"/>
  <c r="I45" i="4"/>
  <c r="I125" i="4"/>
  <c r="I205" i="4"/>
  <c r="I285" i="4"/>
  <c r="I65" i="4"/>
  <c r="I145" i="4"/>
  <c r="I225" i="4"/>
  <c r="I305" i="4"/>
  <c r="I85" i="4"/>
  <c r="I245" i="4"/>
  <c r="I25" i="4"/>
  <c r="I185" i="4"/>
  <c r="I345" i="4"/>
  <c r="I5" i="4"/>
  <c r="I165" i="4"/>
  <c r="I325" i="4"/>
  <c r="I105" i="4"/>
  <c r="I265" i="4"/>
  <c r="I13" i="4"/>
  <c r="I93" i="4"/>
  <c r="I173" i="4"/>
  <c r="I253" i="4"/>
  <c r="I333" i="4"/>
  <c r="I33" i="4"/>
  <c r="I113" i="4"/>
  <c r="I193" i="4"/>
  <c r="I273" i="4"/>
  <c r="I53" i="4"/>
  <c r="I213" i="4"/>
  <c r="I153" i="4"/>
  <c r="I313" i="4"/>
  <c r="I133" i="4"/>
  <c r="I293" i="4"/>
  <c r="I73" i="4"/>
  <c r="I233" i="4"/>
  <c r="I353" i="4"/>
  <c r="I50" i="4"/>
  <c r="I70" i="4"/>
  <c r="I150" i="4"/>
  <c r="I230" i="4"/>
  <c r="I310" i="4"/>
  <c r="I10" i="4"/>
  <c r="I90" i="4"/>
  <c r="I170" i="4"/>
  <c r="I250" i="4"/>
  <c r="I330" i="4"/>
  <c r="I30" i="4"/>
  <c r="I110" i="4"/>
  <c r="I190" i="4"/>
  <c r="I270" i="4"/>
  <c r="I130" i="4"/>
  <c r="I210" i="4"/>
  <c r="I290" i="4"/>
  <c r="I350" i="4"/>
  <c r="I67" i="4"/>
  <c r="I147" i="4"/>
  <c r="I227" i="4"/>
  <c r="I307" i="4"/>
  <c r="I7" i="4"/>
  <c r="I87" i="4"/>
  <c r="I167" i="4"/>
  <c r="I247" i="4"/>
  <c r="I327" i="4"/>
  <c r="I347" i="4"/>
  <c r="I27" i="4"/>
  <c r="I107" i="4"/>
  <c r="I187" i="4"/>
  <c r="I267" i="4"/>
  <c r="I47" i="4"/>
  <c r="I127" i="4"/>
  <c r="I207" i="4"/>
  <c r="I287" i="4"/>
  <c r="I80" i="4"/>
  <c r="I160" i="4"/>
  <c r="I240" i="4"/>
  <c r="I320" i="4"/>
  <c r="I20" i="4"/>
  <c r="I100" i="4"/>
  <c r="I180" i="4"/>
  <c r="I260" i="4"/>
  <c r="I340" i="4"/>
  <c r="I40" i="4"/>
  <c r="I200" i="4"/>
  <c r="I360" i="4"/>
  <c r="I140" i="4"/>
  <c r="I300" i="4"/>
  <c r="I120" i="4"/>
  <c r="I280" i="4"/>
  <c r="I60" i="4"/>
  <c r="I220" i="4"/>
  <c r="I2" i="4"/>
  <c r="I22" i="4"/>
  <c r="I102" i="4"/>
  <c r="I182" i="4"/>
  <c r="I262" i="4"/>
  <c r="I42" i="4"/>
  <c r="I122" i="4"/>
  <c r="I202" i="4"/>
  <c r="I282" i="4"/>
  <c r="I62" i="4"/>
  <c r="I142" i="4"/>
  <c r="I222" i="4"/>
  <c r="I302" i="4"/>
  <c r="I322" i="4"/>
  <c r="I82" i="4"/>
  <c r="I342" i="4"/>
  <c r="I162" i="4"/>
  <c r="I242" i="4"/>
  <c r="I34" i="4"/>
  <c r="I54" i="4"/>
  <c r="I134" i="4"/>
  <c r="I214" i="4"/>
  <c r="I294" i="4"/>
  <c r="I74" i="4"/>
  <c r="I154" i="4"/>
  <c r="I234" i="4"/>
  <c r="I314" i="4"/>
  <c r="I354" i="4"/>
  <c r="I14" i="4"/>
  <c r="I94" i="4"/>
  <c r="I174" i="4"/>
  <c r="I254" i="4"/>
  <c r="I334" i="4"/>
  <c r="I194" i="4"/>
  <c r="I274" i="4"/>
  <c r="I114" i="4"/>
  <c r="I51" i="4"/>
  <c r="I131" i="4"/>
  <c r="I211" i="4"/>
  <c r="I291" i="4"/>
  <c r="I71" i="4"/>
  <c r="I151" i="4"/>
  <c r="I231" i="4"/>
  <c r="I311" i="4"/>
  <c r="I11" i="4"/>
  <c r="I91" i="4"/>
  <c r="I171" i="4"/>
  <c r="I251" i="4"/>
  <c r="I111" i="4"/>
  <c r="I191" i="4"/>
  <c r="I271" i="4"/>
  <c r="I331" i="4"/>
  <c r="I31" i="4"/>
  <c r="I351" i="4"/>
  <c r="I48" i="4"/>
  <c r="I128" i="4"/>
  <c r="I208" i="4"/>
  <c r="I288" i="4"/>
  <c r="I68" i="4"/>
  <c r="I148" i="4"/>
  <c r="I228" i="4"/>
  <c r="I308" i="4"/>
  <c r="I348" i="4"/>
  <c r="I8" i="4"/>
  <c r="I168" i="4"/>
  <c r="I328" i="4"/>
  <c r="I108" i="4"/>
  <c r="I268" i="4"/>
  <c r="I88" i="4"/>
  <c r="I248" i="4"/>
  <c r="I28" i="4"/>
  <c r="I188" i="4"/>
  <c r="I64" i="4"/>
  <c r="I144" i="4"/>
  <c r="I224" i="4"/>
  <c r="I304" i="4"/>
  <c r="I4" i="4"/>
  <c r="I84" i="4"/>
  <c r="I164" i="4"/>
  <c r="I244" i="4"/>
  <c r="I324" i="4"/>
  <c r="I344" i="4"/>
  <c r="I104" i="4"/>
  <c r="I264" i="4"/>
  <c r="I44" i="4"/>
  <c r="I204" i="4"/>
  <c r="I24" i="4"/>
  <c r="I184" i="4"/>
  <c r="I124" i="4"/>
  <c r="I284" i="4"/>
  <c r="I32" i="4"/>
  <c r="I112" i="4"/>
  <c r="I192" i="4"/>
  <c r="I272" i="4"/>
  <c r="I52" i="4"/>
  <c r="I132" i="4"/>
  <c r="I212" i="4"/>
  <c r="I292" i="4"/>
  <c r="I72" i="4"/>
  <c r="I232" i="4"/>
  <c r="I12" i="4"/>
  <c r="I172" i="4"/>
  <c r="I332" i="4"/>
  <c r="I152" i="4"/>
  <c r="I312" i="4"/>
  <c r="I352" i="4"/>
  <c r="I92" i="4"/>
  <c r="I252" i="4"/>
  <c r="I35" i="4"/>
  <c r="I115" i="4"/>
  <c r="I195" i="4"/>
  <c r="I275" i="4"/>
  <c r="I55" i="4"/>
  <c r="I135" i="4"/>
  <c r="I215" i="4"/>
  <c r="I295" i="4"/>
  <c r="I75" i="4"/>
  <c r="I155" i="4"/>
  <c r="I235" i="4"/>
  <c r="I315" i="4"/>
  <c r="I175" i="4"/>
  <c r="I355" i="4"/>
  <c r="I255" i="4"/>
  <c r="I15" i="4"/>
  <c r="I95" i="4"/>
  <c r="I335" i="4"/>
  <c r="I29" i="4"/>
  <c r="I109" i="4"/>
  <c r="I189" i="4"/>
  <c r="I269" i="4"/>
  <c r="I49" i="4"/>
  <c r="I129" i="4"/>
  <c r="I209" i="4"/>
  <c r="I289" i="4"/>
  <c r="I149" i="4"/>
  <c r="I309" i="4"/>
  <c r="I89" i="4"/>
  <c r="I249" i="4"/>
  <c r="I69" i="4"/>
  <c r="I229" i="4"/>
  <c r="I349" i="4"/>
  <c r="I9" i="4"/>
  <c r="I169" i="4"/>
  <c r="I329" i="4"/>
  <c r="I61" i="4"/>
  <c r="I141" i="4"/>
  <c r="I221" i="4"/>
  <c r="I301" i="4"/>
  <c r="I81" i="4"/>
  <c r="I161" i="4"/>
  <c r="I241" i="4"/>
  <c r="I321" i="4"/>
  <c r="I21" i="4"/>
  <c r="I181" i="4"/>
  <c r="I341" i="4"/>
  <c r="I361" i="4"/>
  <c r="I121" i="4"/>
  <c r="I281" i="4"/>
  <c r="I101" i="4"/>
  <c r="I261" i="4"/>
  <c r="I41" i="4"/>
  <c r="I201" i="4"/>
  <c r="I77" i="4"/>
  <c r="I157" i="4"/>
  <c r="I237" i="4"/>
  <c r="I317" i="4"/>
  <c r="I17" i="4"/>
  <c r="I97" i="4"/>
  <c r="I177" i="4"/>
  <c r="I257" i="4"/>
  <c r="I337" i="4"/>
  <c r="I357" i="4"/>
  <c r="I117" i="4"/>
  <c r="I277" i="4"/>
  <c r="I57" i="4"/>
  <c r="I217" i="4"/>
  <c r="I37" i="4"/>
  <c r="I197" i="4"/>
  <c r="I137" i="4"/>
  <c r="I297" i="4"/>
  <c r="I16" i="4"/>
  <c r="I96" i="4"/>
  <c r="I176" i="4"/>
  <c r="I256" i="4"/>
  <c r="I336" i="4"/>
  <c r="I36" i="4"/>
  <c r="I116" i="4"/>
  <c r="I196" i="4"/>
  <c r="I276" i="4"/>
  <c r="I136" i="4"/>
  <c r="I296" i="4"/>
  <c r="I76" i="4"/>
  <c r="I236" i="4"/>
  <c r="I56" i="4"/>
  <c r="I216" i="4"/>
  <c r="I156" i="4"/>
  <c r="I316" i="4"/>
  <c r="I356" i="4"/>
  <c r="I19" i="4"/>
  <c r="I99" i="4"/>
  <c r="I179" i="4"/>
  <c r="I259" i="4"/>
  <c r="I339" i="4"/>
  <c r="I39" i="4"/>
  <c r="I119" i="4"/>
  <c r="I199" i="4"/>
  <c r="I279" i="4"/>
  <c r="I59" i="4"/>
  <c r="I139" i="4"/>
  <c r="I219" i="4"/>
  <c r="I299" i="4"/>
  <c r="I239" i="4"/>
  <c r="I319" i="4"/>
  <c r="I359" i="4"/>
  <c r="I79" i="4"/>
  <c r="I1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<sst xmlns="http://schemas.openxmlformats.org/spreadsheetml/2006/main" count="7047" uniqueCount="166">
  <si>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</si>
  <si>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</si>
  <si>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</si>
  <si>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</si>
  <si>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</si>
  <si>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</si>
  <si>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</si>
  <si>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</si>
  <si>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</si>
  <si>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</si>
  <si>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</si>
  <si>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</si>
  <si>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</si>
  <si>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</si>
  <si>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</si>
  <si>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</si>
  <si>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</si>
  <si>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</si>
  <si>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</si>
  <si>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</si>
  <si>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</si>
  <si>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</si>
  <si>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</si>
  <si>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</si>
  <si>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</si>
  <si>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</si>
  <si>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</si>
  <si>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</si>
  <si>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</si>
  <si>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</si>
  <si>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</si>
  <si>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</si>
  <si>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</si>
  <si>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</si>
  <si>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</si>
  <si>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</si>
  <si>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</si>
  <si>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</si>
  <si>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</si>
  <si>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</si>
  <si>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</si>
  <si>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</si>
  <si>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</si>
  <si>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</si>
  <si>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</si>
  <si>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</si>
  <si>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</si>
  <si>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</si>
  <si>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</si>
  <si>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</si>
  <si>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</si>
  <si>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</si>
  <si>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</si>
  <si>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</si>
  <si>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</si>
  <si>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</si>
  <si>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</si>
  <si>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</si>
  <si>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</si>
  <si>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</si>
  <si>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</si>
  <si>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</si>
  <si>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</si>
  <si>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</si>
  <si>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</si>
  <si>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</si>
  <si>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</si>
  <si>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</si>
  <si>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</si>
  <si>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</si>
  <si>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</si>
  <si>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</si>
  <si>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</si>
  <si>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</si>
  <si>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</si>
  <si>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</si>
  <si>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</si>
  <si>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</si>
  <si>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</si>
  <si>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</si>
  <si>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</si>
  <si>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</si>
  <si>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</si>
  <si>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</si>
  <si>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</si>
  <si>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</si>
  <si>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</si>
  <si>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</si>
  <si>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</si>
  <si>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</si>
  <si>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</si>
  <si>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</si>
  <si>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Chapmans Road_Port Hills Road_Intersection</t>
  </si>
  <si>
    <t>Chapmans Road North</t>
  </si>
  <si>
    <t>Port Hills Road East</t>
  </si>
  <si>
    <t>Port Hills Road West</t>
  </si>
  <si>
    <t>Left into Port Hills Road East</t>
  </si>
  <si>
    <t>Right into Port Hills Road West</t>
  </si>
  <si>
    <t>Thru to Port Hills Road West</t>
  </si>
  <si>
    <t>Right into Chapmans Road North</t>
  </si>
  <si>
    <t>Left into Chapmans Road North</t>
  </si>
  <si>
    <t>Thru to Port Hills Road East</t>
  </si>
  <si>
    <t>Chapmans Road_Port Hills Road_Intersection      Fine      4/11/2020</t>
  </si>
  <si>
    <t>Chapmans Road North Total</t>
  </si>
  <si>
    <t>Port Hills Road East Total</t>
  </si>
  <si>
    <t>Port Hills Road West Total</t>
  </si>
  <si>
    <t>Left into Port Hills Road East Total</t>
  </si>
  <si>
    <t>Right into Port Hills Road West Total</t>
  </si>
  <si>
    <t>Thru to Port Hills Road West Total</t>
  </si>
  <si>
    <t>Right into Chapmans Road North Total</t>
  </si>
  <si>
    <t>Left into Chapmans Road North Total</t>
  </si>
  <si>
    <t>Thru to Port Hills Road East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</si>
  <si>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</si>
  <si>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</si>
  <si>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</si>
  <si>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</si>
  <si>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</si>
  <si>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</si>
  <si>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</si>
  <si>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</si>
  <si>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</si>
  <si>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</si>
  <si>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</si>
  <si>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</si>
  <si>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</si>
  <si>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</si>
  <si>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</si>
  <si>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</si>
  <si>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</si>
  <si>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</si>
  <si>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</si>
  <si>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</si>
  <si>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</si>
  <si>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</si>
  <si>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</si>
  <si>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</si>
  <si>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</si>
  <si>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</si>
  <si>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</si>
  <si>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</si>
  <si>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</si>
  <si>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</si>
  <si>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</si>
  <si>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</si>
  <si>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</si>
  <si>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</si>
  <si>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</si>
  <si>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</si>
  <si>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</si>
  <si>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</si>
  <si>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</si>
  <si>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Port Hills Rd Eastbound</t>
  </si>
  <si>
    <t>Port Hills Rd Westbound</t>
  </si>
  <si>
    <t>Chapmans Rd</t>
  </si>
  <si>
    <t>Lights</t>
  </si>
  <si>
    <t>Classification</t>
  </si>
  <si>
    <t>Road</t>
  </si>
  <si>
    <t>Type</t>
  </si>
  <si>
    <t>Project</t>
  </si>
  <si>
    <t>Site Code</t>
  </si>
  <si>
    <t>11/04/2020</t>
  </si>
  <si>
    <t>Start Date</t>
  </si>
  <si>
    <t>CCC I-4501 Chapmans - Port Hills</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</si>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</sst>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4" fillId="0" borderId="0" xfId="1"/>
    <xf numFmtId="0" fontId="4" fillId="4" borderId="30" xfId="1" applyFill="1"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5" fillId="0" borderId="0" xfId="1" applyFont="1" applyAlignment="1">
      <alignment horizontal="right"/>
    </xf>
    <xf numFmtId="0" fontId="5" fillId="0" borderId="0" xfId="1" applyFont="1" applyAlignment="1">
      <alignment horizontal="left"/>
    </xf>
    <xf numFmtId="0" fontId="4" fillId="4" borderId="36" xfId="1" applyFill="1" applyBorder="1" applyAlignment="1">
      <alignment horizontal="center"/>
    </xf>
    <xf numFmtId="0" fontId="4" fillId="4" borderId="35" xfId="1" applyFill="1" applyBorder="1" applyAlignment="1">
      <alignment horizontal="center"/>
    </xf>
    <xf numFmtId="0" fontId="4" fillId="4" borderId="34" xfId="1" applyFill="1" applyBorder="1" applyAlignment="1">
      <alignment horizontal="center"/>
    </xf>
    <xf numFmtId="0" fontId="4" fillId="4" borderId="33" xfId="1" applyFill="1" applyBorder="1" applyAlignment="1">
      <alignment horizontal="center" vertical="top"/>
    </xf>
    <xf numFmtId="0" fontId="4" fillId="4" borderId="32" xfId="1" applyFill="1" applyBorder="1" applyAlignment="1">
      <alignment horizontal="center" vertical="top"/>
    </xf>
    <xf numFmtId="0" fontId="4" fillId="4" borderId="31" xfId="1" applyFill="1" applyBorder="1" applyAlignment="1">
      <alignment horizontal="center" vertical="top"/>
    </xf>
  </cellXfs>
  <cellStyles count="2">
    <cellStyle name="Normal" xfId="0" builtinId="0"/>
    <cellStyle name="Normal 2" xfId="1" xr:uid="{30A3565D-3E57-4F90-9C80-2EF0CAC12A1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[I-4501_Chapmans Road_Port Hills Road_Intersection_11-04-2020.xlsx]Graphs!pvtGraphApproach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Chapmans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c:v>
                </c:pt>
                <c:pt idx="1">
                  <c:v>24</c:v>
                </c:pt>
                <c:pt idx="2">
                  <c:v>22</c:v>
                </c:pt>
                <c:pt idx="3">
                  <c:v>23</c:v>
                </c:pt>
                <c:pt idx="4">
                  <c:v>41</c:v>
                </c:pt>
                <c:pt idx="5">
                  <c:v>29</c:v>
                </c:pt>
                <c:pt idx="6">
                  <c:v>32</c:v>
                </c:pt>
                <c:pt idx="7">
                  <c:v>31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Port Hills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110</c:v>
                </c:pt>
                <c:pt idx="1">
                  <c:v>138</c:v>
                </c:pt>
                <c:pt idx="2">
                  <c:v>177</c:v>
                </c:pt>
                <c:pt idx="3">
                  <c:v>207</c:v>
                </c:pt>
                <c:pt idx="4">
                  <c:v>185</c:v>
                </c:pt>
                <c:pt idx="5">
                  <c:v>190</c:v>
                </c:pt>
                <c:pt idx="6">
                  <c:v>181</c:v>
                </c:pt>
                <c:pt idx="7">
                  <c:v>131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Port Hills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74</c:v>
                </c:pt>
                <c:pt idx="1">
                  <c:v>122</c:v>
                </c:pt>
                <c:pt idx="2">
                  <c:v>97</c:v>
                </c:pt>
                <c:pt idx="3">
                  <c:v>127</c:v>
                </c:pt>
                <c:pt idx="4">
                  <c:v>101</c:v>
                </c:pt>
                <c:pt idx="5">
                  <c:v>123</c:v>
                </c:pt>
                <c:pt idx="6">
                  <c:v>123</c:v>
                </c:pt>
                <c:pt idx="7">
                  <c:v>131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[I-4501_Chapmans Road_Port Hills Road_Intersection_11-04-2020.xlsx]Graphs!pvtGraphExit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Chapmans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46</c:v>
                </c:pt>
                <c:pt idx="1">
                  <c:v>86</c:v>
                </c:pt>
                <c:pt idx="2">
                  <c:v>60</c:v>
                </c:pt>
                <c:pt idx="3">
                  <c:v>99</c:v>
                </c:pt>
                <c:pt idx="4">
                  <c:v>63</c:v>
                </c:pt>
                <c:pt idx="5">
                  <c:v>87</c:v>
                </c:pt>
                <c:pt idx="6">
                  <c:v>65</c:v>
                </c:pt>
                <c:pt idx="7">
                  <c:v>55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Port Hills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56</c:v>
                </c:pt>
                <c:pt idx="1">
                  <c:v>81</c:v>
                </c:pt>
                <c:pt idx="2">
                  <c:v>77</c:v>
                </c:pt>
                <c:pt idx="3">
                  <c:v>91</c:v>
                </c:pt>
                <c:pt idx="4">
                  <c:v>78</c:v>
                </c:pt>
                <c:pt idx="5">
                  <c:v>91</c:v>
                </c:pt>
                <c:pt idx="6">
                  <c:v>107</c:v>
                </c:pt>
                <c:pt idx="7">
                  <c:v>119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Port Hills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107</c:v>
                </c:pt>
                <c:pt idx="1">
                  <c:v>117</c:v>
                </c:pt>
                <c:pt idx="2">
                  <c:v>159</c:v>
                </c:pt>
                <c:pt idx="3">
                  <c:v>167</c:v>
                </c:pt>
                <c:pt idx="4">
                  <c:v>186</c:v>
                </c:pt>
                <c:pt idx="5">
                  <c:v>164</c:v>
                </c:pt>
                <c:pt idx="6">
                  <c:v>164</c:v>
                </c:pt>
                <c:pt idx="7">
                  <c:v>119</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[I-4501_Chapmans Road_Port Hills Road_Intersection_11-04-2020.xlsx]GraphData!PivotTable2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209</c:v>
                </c:pt>
                <c:pt idx="1">
                  <c:v>284</c:v>
                </c:pt>
                <c:pt idx="2">
                  <c:v>296</c:v>
                </c:pt>
                <c:pt idx="3">
                  <c:v>357</c:v>
                </c:pt>
                <c:pt idx="4">
                  <c:v>327</c:v>
                </c:pt>
                <c:pt idx="5">
                  <c:v>342</c:v>
                </c:pt>
                <c:pt idx="6">
                  <c:v>336</c:v>
                </c:pt>
                <c:pt idx="7">
                  <c:v>293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[I-4501_Chapmans Road_Port Hills Road_Intersection_11-04-2020.xlsx]PeakCalc!pvtPeak2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209</c:v>
                </c:pt>
                <c:pt idx="1">
                  <c:v>284</c:v>
                </c:pt>
                <c:pt idx="2">
                  <c:v>296</c:v>
                </c:pt>
                <c:pt idx="3">
                  <c:v>357</c:v>
                </c:pt>
                <c:pt idx="4">
                  <c:v>327</c:v>
                </c:pt>
                <c:pt idx="5">
                  <c:v>342</c:v>
                </c:pt>
                <c:pt idx="6">
                  <c:v>336</c:v>
                </c:pt>
                <c:pt idx="7">
                  <c:v>293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357</c:v>
                </c:pt>
                <c:pt idx="4">
                  <c:v>327</c:v>
                </c:pt>
                <c:pt idx="5">
                  <c:v>342</c:v>
                </c:pt>
                <c:pt idx="6">
                  <c:v>336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1245709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75142</xdr:colOff>
      <xdr:row>5</xdr:row>
      <xdr:rowOff>3175</xdr:rowOff>
    </xdr:from>
    <xdr:to>
      <xdr:col>20</xdr:col>
      <xdr:colOff>1030867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447674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9524</xdr:colOff>
      <xdr:row>9</xdr:row>
      <xdr:rowOff>66673</xdr:rowOff>
    </xdr:from>
    <xdr:to>
      <xdr:col>20</xdr:col>
      <xdr:colOff>427274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44.486598379626"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23"/>
    </cacheField>
    <cacheField name="Peak" numFmtId="0">
      <sharedItems containsSemiMixedTypes="0" containsString="0" containsNumber="1" containsInteger="1" minValue="0" maxValue="42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44.486716319443" createdVersion="5" refreshedVersion="6" minRefreshableVersion="3" recordCount="360" xr:uid="{00000000-000A-0000-FFFF-FFFF01000000}">
  <cacheSource type="worksheet">
    <worksheetSource name="tblPivotData"/>
  </cacheSource>
  <cacheFields count="9">
    <cacheField name="Approach" numFmtId="0">
      <sharedItems count="6">
        <s v="Chapmans Road North"/>
        <s v="Port Hills Road East"/>
        <s v="Port Hills Road West"/>
        <s v="Great south Rd (North)" u="1"/>
        <s v="Great south Rd (South)" u="1"/>
        <s v="Grange Rd" u="1"/>
      </sharedItems>
    </cacheField>
    <cacheField name="Movement" numFmtId="0">
      <sharedItems count="14">
        <s v="Left into Port Hills Road East"/>
        <s v="Right into Port Hills Road West"/>
        <s v="Thru to Port Hills Road West"/>
        <s v="Right into Chapmans Road North"/>
        <s v="Left into Chapmans Road North"/>
        <s v="Thru to Port Hills Road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Port Hills Road East"/>
        <s v="Port Hills Road West"/>
        <s v="Chapman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9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09"/>
    <n v="0"/>
  </r>
  <r>
    <x v="0"/>
    <x v="1"/>
    <n v="284"/>
    <n v="0"/>
  </r>
  <r>
    <x v="0"/>
    <x v="2"/>
    <n v="296"/>
    <n v="0"/>
  </r>
  <r>
    <x v="0"/>
    <x v="3"/>
    <n v="357"/>
    <n v="357"/>
  </r>
  <r>
    <x v="0"/>
    <x v="4"/>
    <n v="327"/>
    <n v="327"/>
  </r>
  <r>
    <x v="0"/>
    <x v="5"/>
    <n v="342"/>
    <n v="342"/>
  </r>
  <r>
    <x v="0"/>
    <x v="6"/>
    <n v="336"/>
    <n v="336"/>
  </r>
  <r>
    <x v="0"/>
    <x v="7"/>
    <n v="293"/>
    <n v="0"/>
  </r>
  <r>
    <x v="1"/>
    <x v="8"/>
    <n v="305"/>
    <n v="305"/>
  </r>
  <r>
    <x v="1"/>
    <x v="9"/>
    <n v="243"/>
    <n v="243"/>
  </r>
  <r>
    <x v="1"/>
    <x v="10"/>
    <n v="272"/>
    <n v="272"/>
  </r>
  <r>
    <x v="1"/>
    <x v="11"/>
    <n v="276"/>
    <n v="276"/>
  </r>
  <r>
    <x v="2"/>
    <x v="12"/>
    <n v="351"/>
    <n v="0"/>
  </r>
  <r>
    <x v="2"/>
    <x v="13"/>
    <n v="328"/>
    <n v="0"/>
  </r>
  <r>
    <x v="2"/>
    <x v="14"/>
    <n v="423"/>
    <n v="423"/>
  </r>
  <r>
    <x v="2"/>
    <x v="15"/>
    <n v="408"/>
    <n v="408"/>
  </r>
  <r>
    <x v="2"/>
    <x v="16"/>
    <n v="409"/>
    <n v="409"/>
  </r>
  <r>
    <x v="2"/>
    <x v="17"/>
    <n v="336"/>
    <n v="336"/>
  </r>
  <r>
    <x v="2"/>
    <x v="18"/>
    <n v="310"/>
    <n v="0"/>
  </r>
  <r>
    <x v="2"/>
    <x v="19"/>
    <n v="28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
    <x v="0"/>
    <x v="0"/>
  </r>
  <r>
    <x v="0"/>
    <x v="0"/>
    <x v="0"/>
    <x v="0"/>
    <x v="0"/>
    <x v="1"/>
    <n v="3"/>
    <x v="1"/>
    <x v="0"/>
  </r>
  <r>
    <x v="0"/>
    <x v="0"/>
    <x v="0"/>
    <x v="0"/>
    <x v="0"/>
    <x v="2"/>
    <n v="6"/>
    <x v="2"/>
    <x v="0"/>
  </r>
  <r>
    <x v="0"/>
    <x v="0"/>
    <x v="0"/>
    <x v="0"/>
    <x v="0"/>
    <x v="3"/>
    <n v="10"/>
    <x v="3"/>
    <x v="1"/>
  </r>
  <r>
    <x v="0"/>
    <x v="0"/>
    <x v="0"/>
    <x v="0"/>
    <x v="0"/>
    <x v="4"/>
    <n v="12"/>
    <x v="4"/>
    <x v="1"/>
  </r>
  <r>
    <x v="0"/>
    <x v="0"/>
    <x v="0"/>
    <x v="0"/>
    <x v="0"/>
    <x v="5"/>
    <n v="9"/>
    <x v="5"/>
    <x v="1"/>
  </r>
  <r>
    <x v="0"/>
    <x v="0"/>
    <x v="0"/>
    <x v="0"/>
    <x v="0"/>
    <x v="6"/>
    <n v="11"/>
    <x v="6"/>
    <x v="1"/>
  </r>
  <r>
    <x v="0"/>
    <x v="0"/>
    <x v="0"/>
    <x v="0"/>
    <x v="0"/>
    <x v="7"/>
    <n v="10"/>
    <x v="7"/>
    <x v="0"/>
  </r>
  <r>
    <x v="0"/>
    <x v="0"/>
    <x v="0"/>
    <x v="0"/>
    <x v="1"/>
    <x v="8"/>
    <n v="28"/>
    <x v="8"/>
    <x v="1"/>
  </r>
  <r>
    <x v="0"/>
    <x v="0"/>
    <x v="0"/>
    <x v="0"/>
    <x v="1"/>
    <x v="9"/>
    <n v="16"/>
    <x v="9"/>
    <x v="1"/>
  </r>
  <r>
    <x v="0"/>
    <x v="0"/>
    <x v="0"/>
    <x v="0"/>
    <x v="1"/>
    <x v="10"/>
    <n v="14"/>
    <x v="10"/>
    <x v="1"/>
  </r>
  <r>
    <x v="0"/>
    <x v="0"/>
    <x v="0"/>
    <x v="0"/>
    <x v="1"/>
    <x v="11"/>
    <n v="17"/>
    <x v="11"/>
    <x v="1"/>
  </r>
  <r>
    <x v="0"/>
    <x v="0"/>
    <x v="0"/>
    <x v="0"/>
    <x v="2"/>
    <x v="12"/>
    <n v="41"/>
    <x v="12"/>
    <x v="0"/>
  </r>
  <r>
    <x v="0"/>
    <x v="0"/>
    <x v="0"/>
    <x v="0"/>
    <x v="2"/>
    <x v="13"/>
    <n v="28"/>
    <x v="13"/>
    <x v="0"/>
  </r>
  <r>
    <x v="0"/>
    <x v="0"/>
    <x v="0"/>
    <x v="0"/>
    <x v="2"/>
    <x v="14"/>
    <n v="59"/>
    <x v="14"/>
    <x v="1"/>
  </r>
  <r>
    <x v="0"/>
    <x v="0"/>
    <x v="0"/>
    <x v="0"/>
    <x v="2"/>
    <x v="15"/>
    <n v="46"/>
    <x v="15"/>
    <x v="1"/>
  </r>
  <r>
    <x v="0"/>
    <x v="0"/>
    <x v="0"/>
    <x v="0"/>
    <x v="2"/>
    <x v="16"/>
    <n v="78"/>
    <x v="16"/>
    <x v="1"/>
  </r>
  <r>
    <x v="0"/>
    <x v="0"/>
    <x v="0"/>
    <x v="0"/>
    <x v="2"/>
    <x v="17"/>
    <n v="28"/>
    <x v="17"/>
    <x v="1"/>
  </r>
  <r>
    <x v="0"/>
    <x v="0"/>
    <x v="0"/>
    <x v="0"/>
    <x v="2"/>
    <x v="18"/>
    <n v="20"/>
    <x v="18"/>
    <x v="0"/>
  </r>
  <r>
    <x v="0"/>
    <x v="0"/>
    <x v="0"/>
    <x v="0"/>
    <x v="2"/>
    <x v="19"/>
    <n v="25"/>
    <x v="19"/>
    <x v="0"/>
  </r>
  <r>
    <x v="0"/>
    <x v="0"/>
    <x v="0"/>
    <x v="1"/>
    <x v="0"/>
    <x v="0"/>
    <n v="11"/>
    <x v="0"/>
    <x v="0"/>
  </r>
  <r>
    <x v="0"/>
    <x v="0"/>
    <x v="0"/>
    <x v="1"/>
    <x v="0"/>
    <x v="1"/>
    <n v="12"/>
    <x v="1"/>
    <x v="0"/>
  </r>
  <r>
    <x v="0"/>
    <x v="0"/>
    <x v="0"/>
    <x v="1"/>
    <x v="0"/>
    <x v="2"/>
    <n v="11"/>
    <x v="2"/>
    <x v="0"/>
  </r>
  <r>
    <x v="0"/>
    <x v="0"/>
    <x v="0"/>
    <x v="1"/>
    <x v="0"/>
    <x v="3"/>
    <n v="8"/>
    <x v="3"/>
    <x v="1"/>
  </r>
  <r>
    <x v="0"/>
    <x v="0"/>
    <x v="0"/>
    <x v="1"/>
    <x v="0"/>
    <x v="4"/>
    <n v="8"/>
    <x v="4"/>
    <x v="1"/>
  </r>
  <r>
    <x v="0"/>
    <x v="0"/>
    <x v="0"/>
    <x v="1"/>
    <x v="0"/>
    <x v="5"/>
    <n v="9"/>
    <x v="5"/>
    <x v="1"/>
  </r>
  <r>
    <x v="0"/>
    <x v="0"/>
    <x v="0"/>
    <x v="1"/>
    <x v="0"/>
    <x v="6"/>
    <n v="7"/>
    <x v="6"/>
    <x v="1"/>
  </r>
  <r>
    <x v="0"/>
    <x v="0"/>
    <x v="0"/>
    <x v="1"/>
    <x v="0"/>
    <x v="7"/>
    <n v="9"/>
    <x v="7"/>
    <x v="0"/>
  </r>
  <r>
    <x v="0"/>
    <x v="0"/>
    <x v="0"/>
    <x v="1"/>
    <x v="1"/>
    <x v="8"/>
    <n v="13"/>
    <x v="8"/>
    <x v="1"/>
  </r>
  <r>
    <x v="0"/>
    <x v="0"/>
    <x v="0"/>
    <x v="1"/>
    <x v="1"/>
    <x v="9"/>
    <n v="9"/>
    <x v="9"/>
    <x v="1"/>
  </r>
  <r>
    <x v="0"/>
    <x v="0"/>
    <x v="0"/>
    <x v="1"/>
    <x v="1"/>
    <x v="10"/>
    <n v="11"/>
    <x v="10"/>
    <x v="1"/>
  </r>
  <r>
    <x v="0"/>
    <x v="0"/>
    <x v="0"/>
    <x v="1"/>
    <x v="1"/>
    <x v="11"/>
    <n v="10"/>
    <x v="11"/>
    <x v="1"/>
  </r>
  <r>
    <x v="0"/>
    <x v="0"/>
    <x v="0"/>
    <x v="1"/>
    <x v="2"/>
    <x v="12"/>
    <n v="5"/>
    <x v="12"/>
    <x v="0"/>
  </r>
  <r>
    <x v="0"/>
    <x v="0"/>
    <x v="0"/>
    <x v="1"/>
    <x v="2"/>
    <x v="13"/>
    <n v="8"/>
    <x v="13"/>
    <x v="0"/>
  </r>
  <r>
    <x v="0"/>
    <x v="0"/>
    <x v="0"/>
    <x v="1"/>
    <x v="2"/>
    <x v="14"/>
    <n v="3"/>
    <x v="14"/>
    <x v="1"/>
  </r>
  <r>
    <x v="0"/>
    <x v="0"/>
    <x v="0"/>
    <x v="1"/>
    <x v="2"/>
    <x v="15"/>
    <n v="5"/>
    <x v="15"/>
    <x v="1"/>
  </r>
  <r>
    <x v="0"/>
    <x v="0"/>
    <x v="0"/>
    <x v="1"/>
    <x v="2"/>
    <x v="16"/>
    <n v="4"/>
    <x v="16"/>
    <x v="1"/>
  </r>
  <r>
    <x v="0"/>
    <x v="0"/>
    <x v="0"/>
    <x v="1"/>
    <x v="2"/>
    <x v="17"/>
    <n v="2"/>
    <x v="17"/>
    <x v="1"/>
  </r>
  <r>
    <x v="0"/>
    <x v="0"/>
    <x v="0"/>
    <x v="1"/>
    <x v="2"/>
    <x v="18"/>
    <n v="5"/>
    <x v="18"/>
    <x v="0"/>
  </r>
  <r>
    <x v="0"/>
    <x v="0"/>
    <x v="0"/>
    <x v="1"/>
    <x v="2"/>
    <x v="19"/>
    <n v="4"/>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1"/>
    <x v="17"/>
    <x v="1"/>
  </r>
  <r>
    <x v="0"/>
    <x v="0"/>
    <x v="0"/>
    <x v="2"/>
    <x v="2"/>
    <x v="18"/>
    <n v="0"/>
    <x v="18"/>
    <x v="0"/>
  </r>
  <r>
    <x v="0"/>
    <x v="0"/>
    <x v="0"/>
    <x v="2"/>
    <x v="2"/>
    <x v="19"/>
    <n v="1"/>
    <x v="19"/>
    <x v="0"/>
  </r>
  <r>
    <x v="0"/>
    <x v="1"/>
    <x v="1"/>
    <x v="0"/>
    <x v="0"/>
    <x v="0"/>
    <n v="6"/>
    <x v="0"/>
    <x v="0"/>
  </r>
  <r>
    <x v="0"/>
    <x v="1"/>
    <x v="1"/>
    <x v="0"/>
    <x v="0"/>
    <x v="1"/>
    <n v="5"/>
    <x v="1"/>
    <x v="0"/>
  </r>
  <r>
    <x v="0"/>
    <x v="1"/>
    <x v="1"/>
    <x v="0"/>
    <x v="0"/>
    <x v="2"/>
    <n v="2"/>
    <x v="2"/>
    <x v="0"/>
  </r>
  <r>
    <x v="0"/>
    <x v="1"/>
    <x v="1"/>
    <x v="0"/>
    <x v="0"/>
    <x v="3"/>
    <n v="3"/>
    <x v="3"/>
    <x v="1"/>
  </r>
  <r>
    <x v="0"/>
    <x v="1"/>
    <x v="1"/>
    <x v="0"/>
    <x v="0"/>
    <x v="4"/>
    <n v="12"/>
    <x v="4"/>
    <x v="1"/>
  </r>
  <r>
    <x v="0"/>
    <x v="1"/>
    <x v="1"/>
    <x v="0"/>
    <x v="0"/>
    <x v="5"/>
    <n v="9"/>
    <x v="5"/>
    <x v="1"/>
  </r>
  <r>
    <x v="0"/>
    <x v="1"/>
    <x v="1"/>
    <x v="0"/>
    <x v="0"/>
    <x v="6"/>
    <n v="10"/>
    <x v="6"/>
    <x v="1"/>
  </r>
  <r>
    <x v="0"/>
    <x v="1"/>
    <x v="1"/>
    <x v="0"/>
    <x v="0"/>
    <x v="7"/>
    <n v="8"/>
    <x v="7"/>
    <x v="0"/>
  </r>
  <r>
    <x v="0"/>
    <x v="1"/>
    <x v="1"/>
    <x v="0"/>
    <x v="1"/>
    <x v="8"/>
    <n v="19"/>
    <x v="8"/>
    <x v="1"/>
  </r>
  <r>
    <x v="0"/>
    <x v="1"/>
    <x v="1"/>
    <x v="0"/>
    <x v="1"/>
    <x v="9"/>
    <n v="12"/>
    <x v="9"/>
    <x v="1"/>
  </r>
  <r>
    <x v="0"/>
    <x v="1"/>
    <x v="1"/>
    <x v="0"/>
    <x v="1"/>
    <x v="10"/>
    <n v="22"/>
    <x v="10"/>
    <x v="1"/>
  </r>
  <r>
    <x v="0"/>
    <x v="1"/>
    <x v="1"/>
    <x v="0"/>
    <x v="1"/>
    <x v="11"/>
    <n v="7"/>
    <x v="11"/>
    <x v="1"/>
  </r>
  <r>
    <x v="0"/>
    <x v="1"/>
    <x v="1"/>
    <x v="0"/>
    <x v="2"/>
    <x v="12"/>
    <n v="44"/>
    <x v="12"/>
    <x v="0"/>
  </r>
  <r>
    <x v="0"/>
    <x v="1"/>
    <x v="1"/>
    <x v="0"/>
    <x v="2"/>
    <x v="13"/>
    <n v="17"/>
    <x v="13"/>
    <x v="0"/>
  </r>
  <r>
    <x v="0"/>
    <x v="1"/>
    <x v="1"/>
    <x v="0"/>
    <x v="2"/>
    <x v="14"/>
    <n v="35"/>
    <x v="14"/>
    <x v="1"/>
  </r>
  <r>
    <x v="0"/>
    <x v="1"/>
    <x v="1"/>
    <x v="0"/>
    <x v="2"/>
    <x v="15"/>
    <n v="25"/>
    <x v="15"/>
    <x v="1"/>
  </r>
  <r>
    <x v="0"/>
    <x v="1"/>
    <x v="1"/>
    <x v="0"/>
    <x v="2"/>
    <x v="16"/>
    <n v="49"/>
    <x v="16"/>
    <x v="1"/>
  </r>
  <r>
    <x v="0"/>
    <x v="1"/>
    <x v="1"/>
    <x v="0"/>
    <x v="2"/>
    <x v="17"/>
    <n v="27"/>
    <x v="17"/>
    <x v="1"/>
  </r>
  <r>
    <x v="0"/>
    <x v="1"/>
    <x v="1"/>
    <x v="0"/>
    <x v="2"/>
    <x v="18"/>
    <n v="20"/>
    <x v="18"/>
    <x v="0"/>
  </r>
  <r>
    <x v="0"/>
    <x v="1"/>
    <x v="1"/>
    <x v="0"/>
    <x v="2"/>
    <x v="19"/>
    <n v="9"/>
    <x v="19"/>
    <x v="0"/>
  </r>
  <r>
    <x v="0"/>
    <x v="1"/>
    <x v="1"/>
    <x v="1"/>
    <x v="0"/>
    <x v="0"/>
    <n v="7"/>
    <x v="0"/>
    <x v="0"/>
  </r>
  <r>
    <x v="0"/>
    <x v="1"/>
    <x v="1"/>
    <x v="1"/>
    <x v="0"/>
    <x v="1"/>
    <n v="4"/>
    <x v="1"/>
    <x v="0"/>
  </r>
  <r>
    <x v="0"/>
    <x v="1"/>
    <x v="1"/>
    <x v="1"/>
    <x v="0"/>
    <x v="2"/>
    <n v="3"/>
    <x v="2"/>
    <x v="0"/>
  </r>
  <r>
    <x v="0"/>
    <x v="1"/>
    <x v="1"/>
    <x v="1"/>
    <x v="0"/>
    <x v="3"/>
    <n v="2"/>
    <x v="3"/>
    <x v="1"/>
  </r>
  <r>
    <x v="0"/>
    <x v="1"/>
    <x v="1"/>
    <x v="1"/>
    <x v="0"/>
    <x v="4"/>
    <n v="9"/>
    <x v="4"/>
    <x v="1"/>
  </r>
  <r>
    <x v="0"/>
    <x v="1"/>
    <x v="1"/>
    <x v="1"/>
    <x v="0"/>
    <x v="5"/>
    <n v="2"/>
    <x v="5"/>
    <x v="1"/>
  </r>
  <r>
    <x v="0"/>
    <x v="1"/>
    <x v="1"/>
    <x v="1"/>
    <x v="0"/>
    <x v="6"/>
    <n v="4"/>
    <x v="6"/>
    <x v="1"/>
  </r>
  <r>
    <x v="0"/>
    <x v="1"/>
    <x v="1"/>
    <x v="1"/>
    <x v="0"/>
    <x v="7"/>
    <n v="4"/>
    <x v="7"/>
    <x v="0"/>
  </r>
  <r>
    <x v="0"/>
    <x v="1"/>
    <x v="1"/>
    <x v="1"/>
    <x v="1"/>
    <x v="8"/>
    <n v="3"/>
    <x v="8"/>
    <x v="1"/>
  </r>
  <r>
    <x v="0"/>
    <x v="1"/>
    <x v="1"/>
    <x v="1"/>
    <x v="1"/>
    <x v="9"/>
    <n v="8"/>
    <x v="9"/>
    <x v="1"/>
  </r>
  <r>
    <x v="0"/>
    <x v="1"/>
    <x v="1"/>
    <x v="1"/>
    <x v="1"/>
    <x v="10"/>
    <n v="7"/>
    <x v="10"/>
    <x v="1"/>
  </r>
  <r>
    <x v="0"/>
    <x v="1"/>
    <x v="1"/>
    <x v="1"/>
    <x v="1"/>
    <x v="11"/>
    <n v="6"/>
    <x v="11"/>
    <x v="1"/>
  </r>
  <r>
    <x v="0"/>
    <x v="1"/>
    <x v="1"/>
    <x v="1"/>
    <x v="2"/>
    <x v="12"/>
    <n v="8"/>
    <x v="12"/>
    <x v="0"/>
  </r>
  <r>
    <x v="0"/>
    <x v="1"/>
    <x v="1"/>
    <x v="1"/>
    <x v="2"/>
    <x v="13"/>
    <n v="5"/>
    <x v="13"/>
    <x v="0"/>
  </r>
  <r>
    <x v="0"/>
    <x v="1"/>
    <x v="1"/>
    <x v="1"/>
    <x v="2"/>
    <x v="14"/>
    <n v="4"/>
    <x v="14"/>
    <x v="1"/>
  </r>
  <r>
    <x v="0"/>
    <x v="1"/>
    <x v="1"/>
    <x v="1"/>
    <x v="2"/>
    <x v="15"/>
    <n v="2"/>
    <x v="15"/>
    <x v="1"/>
  </r>
  <r>
    <x v="0"/>
    <x v="1"/>
    <x v="1"/>
    <x v="1"/>
    <x v="2"/>
    <x v="16"/>
    <n v="1"/>
    <x v="16"/>
    <x v="1"/>
  </r>
  <r>
    <x v="0"/>
    <x v="1"/>
    <x v="1"/>
    <x v="1"/>
    <x v="2"/>
    <x v="17"/>
    <n v="0"/>
    <x v="17"/>
    <x v="1"/>
  </r>
  <r>
    <x v="0"/>
    <x v="1"/>
    <x v="1"/>
    <x v="1"/>
    <x v="2"/>
    <x v="18"/>
    <n v="4"/>
    <x v="18"/>
    <x v="0"/>
  </r>
  <r>
    <x v="0"/>
    <x v="1"/>
    <x v="1"/>
    <x v="1"/>
    <x v="2"/>
    <x v="19"/>
    <n v="2"/>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1"/>
    <x v="13"/>
    <x v="0"/>
  </r>
  <r>
    <x v="0"/>
    <x v="1"/>
    <x v="1"/>
    <x v="2"/>
    <x v="2"/>
    <x v="14"/>
    <n v="1"/>
    <x v="14"/>
    <x v="1"/>
  </r>
  <r>
    <x v="0"/>
    <x v="1"/>
    <x v="1"/>
    <x v="2"/>
    <x v="2"/>
    <x v="15"/>
    <n v="0"/>
    <x v="15"/>
    <x v="1"/>
  </r>
  <r>
    <x v="0"/>
    <x v="1"/>
    <x v="1"/>
    <x v="2"/>
    <x v="2"/>
    <x v="16"/>
    <n v="1"/>
    <x v="16"/>
    <x v="1"/>
  </r>
  <r>
    <x v="0"/>
    <x v="1"/>
    <x v="1"/>
    <x v="2"/>
    <x v="2"/>
    <x v="17"/>
    <n v="1"/>
    <x v="17"/>
    <x v="1"/>
  </r>
  <r>
    <x v="0"/>
    <x v="1"/>
    <x v="1"/>
    <x v="2"/>
    <x v="2"/>
    <x v="18"/>
    <n v="0"/>
    <x v="18"/>
    <x v="0"/>
  </r>
  <r>
    <x v="0"/>
    <x v="1"/>
    <x v="1"/>
    <x v="2"/>
    <x v="2"/>
    <x v="19"/>
    <n v="0"/>
    <x v="19"/>
    <x v="0"/>
  </r>
  <r>
    <x v="1"/>
    <x v="2"/>
    <x v="1"/>
    <x v="0"/>
    <x v="0"/>
    <x v="0"/>
    <n v="91"/>
    <x v="0"/>
    <x v="0"/>
  </r>
  <r>
    <x v="1"/>
    <x v="2"/>
    <x v="1"/>
    <x v="0"/>
    <x v="0"/>
    <x v="1"/>
    <n v="97"/>
    <x v="1"/>
    <x v="0"/>
  </r>
  <r>
    <x v="1"/>
    <x v="2"/>
    <x v="1"/>
    <x v="0"/>
    <x v="0"/>
    <x v="2"/>
    <n v="134"/>
    <x v="2"/>
    <x v="0"/>
  </r>
  <r>
    <x v="1"/>
    <x v="2"/>
    <x v="1"/>
    <x v="0"/>
    <x v="0"/>
    <x v="3"/>
    <n v="139"/>
    <x v="3"/>
    <x v="1"/>
  </r>
  <r>
    <x v="1"/>
    <x v="2"/>
    <x v="1"/>
    <x v="0"/>
    <x v="0"/>
    <x v="4"/>
    <n v="149"/>
    <x v="4"/>
    <x v="1"/>
  </r>
  <r>
    <x v="1"/>
    <x v="2"/>
    <x v="1"/>
    <x v="0"/>
    <x v="0"/>
    <x v="5"/>
    <n v="134"/>
    <x v="5"/>
    <x v="1"/>
  </r>
  <r>
    <x v="1"/>
    <x v="2"/>
    <x v="1"/>
    <x v="0"/>
    <x v="0"/>
    <x v="6"/>
    <n v="134"/>
    <x v="6"/>
    <x v="1"/>
  </r>
  <r>
    <x v="1"/>
    <x v="2"/>
    <x v="1"/>
    <x v="0"/>
    <x v="0"/>
    <x v="7"/>
    <n v="86"/>
    <x v="7"/>
    <x v="0"/>
  </r>
  <r>
    <x v="1"/>
    <x v="2"/>
    <x v="1"/>
    <x v="0"/>
    <x v="1"/>
    <x v="8"/>
    <n v="91"/>
    <x v="8"/>
    <x v="1"/>
  </r>
  <r>
    <x v="1"/>
    <x v="2"/>
    <x v="1"/>
    <x v="0"/>
    <x v="1"/>
    <x v="9"/>
    <n v="58"/>
    <x v="9"/>
    <x v="1"/>
  </r>
  <r>
    <x v="1"/>
    <x v="2"/>
    <x v="1"/>
    <x v="0"/>
    <x v="1"/>
    <x v="10"/>
    <n v="62"/>
    <x v="10"/>
    <x v="1"/>
  </r>
  <r>
    <x v="1"/>
    <x v="2"/>
    <x v="1"/>
    <x v="0"/>
    <x v="1"/>
    <x v="11"/>
    <n v="81"/>
    <x v="11"/>
    <x v="1"/>
  </r>
  <r>
    <x v="1"/>
    <x v="2"/>
    <x v="1"/>
    <x v="0"/>
    <x v="2"/>
    <x v="12"/>
    <n v="71"/>
    <x v="12"/>
    <x v="0"/>
  </r>
  <r>
    <x v="1"/>
    <x v="2"/>
    <x v="1"/>
    <x v="0"/>
    <x v="2"/>
    <x v="13"/>
    <n v="71"/>
    <x v="13"/>
    <x v="0"/>
  </r>
  <r>
    <x v="1"/>
    <x v="2"/>
    <x v="1"/>
    <x v="0"/>
    <x v="2"/>
    <x v="14"/>
    <n v="119"/>
    <x v="14"/>
    <x v="1"/>
  </r>
  <r>
    <x v="1"/>
    <x v="2"/>
    <x v="1"/>
    <x v="0"/>
    <x v="2"/>
    <x v="15"/>
    <n v="92"/>
    <x v="15"/>
    <x v="1"/>
  </r>
  <r>
    <x v="1"/>
    <x v="2"/>
    <x v="1"/>
    <x v="0"/>
    <x v="2"/>
    <x v="16"/>
    <n v="90"/>
    <x v="16"/>
    <x v="1"/>
  </r>
  <r>
    <x v="1"/>
    <x v="2"/>
    <x v="1"/>
    <x v="0"/>
    <x v="2"/>
    <x v="17"/>
    <n v="62"/>
    <x v="17"/>
    <x v="1"/>
  </r>
  <r>
    <x v="1"/>
    <x v="2"/>
    <x v="1"/>
    <x v="0"/>
    <x v="2"/>
    <x v="18"/>
    <n v="75"/>
    <x v="18"/>
    <x v="0"/>
  </r>
  <r>
    <x v="1"/>
    <x v="2"/>
    <x v="1"/>
    <x v="0"/>
    <x v="2"/>
    <x v="19"/>
    <n v="63"/>
    <x v="19"/>
    <x v="0"/>
  </r>
  <r>
    <x v="1"/>
    <x v="2"/>
    <x v="1"/>
    <x v="1"/>
    <x v="0"/>
    <x v="0"/>
    <n v="3"/>
    <x v="0"/>
    <x v="0"/>
  </r>
  <r>
    <x v="1"/>
    <x v="2"/>
    <x v="1"/>
    <x v="1"/>
    <x v="0"/>
    <x v="1"/>
    <n v="9"/>
    <x v="1"/>
    <x v="0"/>
  </r>
  <r>
    <x v="1"/>
    <x v="2"/>
    <x v="1"/>
    <x v="1"/>
    <x v="0"/>
    <x v="2"/>
    <n v="18"/>
    <x v="2"/>
    <x v="0"/>
  </r>
  <r>
    <x v="1"/>
    <x v="2"/>
    <x v="1"/>
    <x v="1"/>
    <x v="0"/>
    <x v="3"/>
    <n v="19"/>
    <x v="3"/>
    <x v="1"/>
  </r>
  <r>
    <x v="1"/>
    <x v="2"/>
    <x v="1"/>
    <x v="1"/>
    <x v="0"/>
    <x v="4"/>
    <n v="10"/>
    <x v="4"/>
    <x v="1"/>
  </r>
  <r>
    <x v="1"/>
    <x v="2"/>
    <x v="1"/>
    <x v="1"/>
    <x v="0"/>
    <x v="5"/>
    <n v="16"/>
    <x v="5"/>
    <x v="1"/>
  </r>
  <r>
    <x v="1"/>
    <x v="2"/>
    <x v="1"/>
    <x v="1"/>
    <x v="0"/>
    <x v="6"/>
    <n v="11"/>
    <x v="6"/>
    <x v="1"/>
  </r>
  <r>
    <x v="1"/>
    <x v="2"/>
    <x v="1"/>
    <x v="1"/>
    <x v="0"/>
    <x v="7"/>
    <n v="20"/>
    <x v="7"/>
    <x v="0"/>
  </r>
  <r>
    <x v="1"/>
    <x v="2"/>
    <x v="1"/>
    <x v="1"/>
    <x v="1"/>
    <x v="8"/>
    <n v="16"/>
    <x v="8"/>
    <x v="1"/>
  </r>
  <r>
    <x v="1"/>
    <x v="2"/>
    <x v="1"/>
    <x v="1"/>
    <x v="1"/>
    <x v="9"/>
    <n v="12"/>
    <x v="9"/>
    <x v="1"/>
  </r>
  <r>
    <x v="1"/>
    <x v="2"/>
    <x v="1"/>
    <x v="1"/>
    <x v="1"/>
    <x v="10"/>
    <n v="15"/>
    <x v="10"/>
    <x v="1"/>
  </r>
  <r>
    <x v="1"/>
    <x v="2"/>
    <x v="1"/>
    <x v="1"/>
    <x v="1"/>
    <x v="11"/>
    <n v="13"/>
    <x v="11"/>
    <x v="1"/>
  </r>
  <r>
    <x v="1"/>
    <x v="2"/>
    <x v="1"/>
    <x v="1"/>
    <x v="2"/>
    <x v="12"/>
    <n v="15"/>
    <x v="12"/>
    <x v="0"/>
  </r>
  <r>
    <x v="1"/>
    <x v="2"/>
    <x v="1"/>
    <x v="1"/>
    <x v="2"/>
    <x v="13"/>
    <n v="15"/>
    <x v="13"/>
    <x v="0"/>
  </r>
  <r>
    <x v="1"/>
    <x v="2"/>
    <x v="1"/>
    <x v="1"/>
    <x v="2"/>
    <x v="14"/>
    <n v="10"/>
    <x v="14"/>
    <x v="1"/>
  </r>
  <r>
    <x v="1"/>
    <x v="2"/>
    <x v="1"/>
    <x v="1"/>
    <x v="2"/>
    <x v="15"/>
    <n v="12"/>
    <x v="15"/>
    <x v="1"/>
  </r>
  <r>
    <x v="1"/>
    <x v="2"/>
    <x v="1"/>
    <x v="1"/>
    <x v="2"/>
    <x v="16"/>
    <n v="7"/>
    <x v="16"/>
    <x v="1"/>
  </r>
  <r>
    <x v="1"/>
    <x v="2"/>
    <x v="1"/>
    <x v="1"/>
    <x v="2"/>
    <x v="17"/>
    <n v="10"/>
    <x v="17"/>
    <x v="1"/>
  </r>
  <r>
    <x v="1"/>
    <x v="2"/>
    <x v="1"/>
    <x v="1"/>
    <x v="2"/>
    <x v="18"/>
    <n v="11"/>
    <x v="18"/>
    <x v="0"/>
  </r>
  <r>
    <x v="1"/>
    <x v="2"/>
    <x v="1"/>
    <x v="1"/>
    <x v="2"/>
    <x v="19"/>
    <n v="4"/>
    <x v="19"/>
    <x v="0"/>
  </r>
  <r>
    <x v="1"/>
    <x v="2"/>
    <x v="1"/>
    <x v="2"/>
    <x v="0"/>
    <x v="0"/>
    <n v="0"/>
    <x v="0"/>
    <x v="0"/>
  </r>
  <r>
    <x v="1"/>
    <x v="2"/>
    <x v="1"/>
    <x v="2"/>
    <x v="0"/>
    <x v="1"/>
    <n v="2"/>
    <x v="1"/>
    <x v="0"/>
  </r>
  <r>
    <x v="1"/>
    <x v="2"/>
    <x v="1"/>
    <x v="2"/>
    <x v="0"/>
    <x v="2"/>
    <n v="2"/>
    <x v="2"/>
    <x v="0"/>
  </r>
  <r>
    <x v="1"/>
    <x v="2"/>
    <x v="1"/>
    <x v="2"/>
    <x v="0"/>
    <x v="3"/>
    <n v="4"/>
    <x v="3"/>
    <x v="1"/>
  </r>
  <r>
    <x v="1"/>
    <x v="2"/>
    <x v="1"/>
    <x v="2"/>
    <x v="0"/>
    <x v="4"/>
    <n v="6"/>
    <x v="4"/>
    <x v="1"/>
  </r>
  <r>
    <x v="1"/>
    <x v="2"/>
    <x v="1"/>
    <x v="2"/>
    <x v="0"/>
    <x v="5"/>
    <n v="3"/>
    <x v="5"/>
    <x v="1"/>
  </r>
  <r>
    <x v="1"/>
    <x v="2"/>
    <x v="1"/>
    <x v="2"/>
    <x v="0"/>
    <x v="6"/>
    <n v="5"/>
    <x v="6"/>
    <x v="1"/>
  </r>
  <r>
    <x v="1"/>
    <x v="2"/>
    <x v="1"/>
    <x v="2"/>
    <x v="0"/>
    <x v="7"/>
    <n v="1"/>
    <x v="7"/>
    <x v="0"/>
  </r>
  <r>
    <x v="1"/>
    <x v="2"/>
    <x v="1"/>
    <x v="2"/>
    <x v="1"/>
    <x v="8"/>
    <n v="1"/>
    <x v="8"/>
    <x v="1"/>
  </r>
  <r>
    <x v="1"/>
    <x v="2"/>
    <x v="1"/>
    <x v="2"/>
    <x v="1"/>
    <x v="9"/>
    <n v="0"/>
    <x v="9"/>
    <x v="1"/>
  </r>
  <r>
    <x v="1"/>
    <x v="2"/>
    <x v="1"/>
    <x v="2"/>
    <x v="1"/>
    <x v="10"/>
    <n v="0"/>
    <x v="10"/>
    <x v="1"/>
  </r>
  <r>
    <x v="1"/>
    <x v="2"/>
    <x v="1"/>
    <x v="2"/>
    <x v="1"/>
    <x v="11"/>
    <n v="2"/>
    <x v="11"/>
    <x v="1"/>
  </r>
  <r>
    <x v="1"/>
    <x v="2"/>
    <x v="1"/>
    <x v="2"/>
    <x v="2"/>
    <x v="12"/>
    <n v="1"/>
    <x v="12"/>
    <x v="0"/>
  </r>
  <r>
    <x v="1"/>
    <x v="2"/>
    <x v="1"/>
    <x v="2"/>
    <x v="2"/>
    <x v="13"/>
    <n v="1"/>
    <x v="13"/>
    <x v="0"/>
  </r>
  <r>
    <x v="1"/>
    <x v="2"/>
    <x v="1"/>
    <x v="2"/>
    <x v="2"/>
    <x v="14"/>
    <n v="1"/>
    <x v="14"/>
    <x v="1"/>
  </r>
  <r>
    <x v="1"/>
    <x v="2"/>
    <x v="1"/>
    <x v="2"/>
    <x v="2"/>
    <x v="15"/>
    <n v="2"/>
    <x v="15"/>
    <x v="1"/>
  </r>
  <r>
    <x v="1"/>
    <x v="2"/>
    <x v="1"/>
    <x v="2"/>
    <x v="2"/>
    <x v="16"/>
    <n v="3"/>
    <x v="16"/>
    <x v="1"/>
  </r>
  <r>
    <x v="1"/>
    <x v="2"/>
    <x v="1"/>
    <x v="2"/>
    <x v="2"/>
    <x v="17"/>
    <n v="1"/>
    <x v="17"/>
    <x v="1"/>
  </r>
  <r>
    <x v="1"/>
    <x v="2"/>
    <x v="1"/>
    <x v="2"/>
    <x v="2"/>
    <x v="18"/>
    <n v="2"/>
    <x v="18"/>
    <x v="0"/>
  </r>
  <r>
    <x v="1"/>
    <x v="2"/>
    <x v="1"/>
    <x v="2"/>
    <x v="2"/>
    <x v="19"/>
    <n v="3"/>
    <x v="19"/>
    <x v="0"/>
  </r>
  <r>
    <x v="1"/>
    <x v="3"/>
    <x v="2"/>
    <x v="0"/>
    <x v="0"/>
    <x v="0"/>
    <n v="14"/>
    <x v="0"/>
    <x v="0"/>
  </r>
  <r>
    <x v="1"/>
    <x v="3"/>
    <x v="2"/>
    <x v="0"/>
    <x v="0"/>
    <x v="1"/>
    <n v="28"/>
    <x v="1"/>
    <x v="0"/>
  </r>
  <r>
    <x v="1"/>
    <x v="3"/>
    <x v="2"/>
    <x v="0"/>
    <x v="0"/>
    <x v="2"/>
    <n v="19"/>
    <x v="2"/>
    <x v="0"/>
  </r>
  <r>
    <x v="1"/>
    <x v="3"/>
    <x v="2"/>
    <x v="0"/>
    <x v="0"/>
    <x v="3"/>
    <n v="42"/>
    <x v="3"/>
    <x v="1"/>
  </r>
  <r>
    <x v="1"/>
    <x v="3"/>
    <x v="2"/>
    <x v="0"/>
    <x v="0"/>
    <x v="4"/>
    <n v="19"/>
    <x v="4"/>
    <x v="1"/>
  </r>
  <r>
    <x v="1"/>
    <x v="3"/>
    <x v="2"/>
    <x v="0"/>
    <x v="0"/>
    <x v="5"/>
    <n v="30"/>
    <x v="5"/>
    <x v="1"/>
  </r>
  <r>
    <x v="1"/>
    <x v="3"/>
    <x v="2"/>
    <x v="0"/>
    <x v="0"/>
    <x v="6"/>
    <n v="30"/>
    <x v="6"/>
    <x v="1"/>
  </r>
  <r>
    <x v="1"/>
    <x v="3"/>
    <x v="2"/>
    <x v="0"/>
    <x v="0"/>
    <x v="7"/>
    <n v="17"/>
    <x v="7"/>
    <x v="0"/>
  </r>
  <r>
    <x v="1"/>
    <x v="3"/>
    <x v="2"/>
    <x v="0"/>
    <x v="1"/>
    <x v="8"/>
    <n v="20"/>
    <x v="8"/>
    <x v="1"/>
  </r>
  <r>
    <x v="1"/>
    <x v="3"/>
    <x v="2"/>
    <x v="0"/>
    <x v="1"/>
    <x v="9"/>
    <n v="16"/>
    <x v="9"/>
    <x v="1"/>
  </r>
  <r>
    <x v="1"/>
    <x v="3"/>
    <x v="2"/>
    <x v="0"/>
    <x v="1"/>
    <x v="10"/>
    <n v="17"/>
    <x v="10"/>
    <x v="1"/>
  </r>
  <r>
    <x v="1"/>
    <x v="3"/>
    <x v="2"/>
    <x v="0"/>
    <x v="1"/>
    <x v="11"/>
    <n v="11"/>
    <x v="11"/>
    <x v="1"/>
  </r>
  <r>
    <x v="1"/>
    <x v="3"/>
    <x v="2"/>
    <x v="0"/>
    <x v="2"/>
    <x v="12"/>
    <n v="5"/>
    <x v="12"/>
    <x v="0"/>
  </r>
  <r>
    <x v="1"/>
    <x v="3"/>
    <x v="2"/>
    <x v="0"/>
    <x v="2"/>
    <x v="13"/>
    <n v="8"/>
    <x v="13"/>
    <x v="0"/>
  </r>
  <r>
    <x v="1"/>
    <x v="3"/>
    <x v="2"/>
    <x v="0"/>
    <x v="2"/>
    <x v="14"/>
    <n v="6"/>
    <x v="14"/>
    <x v="1"/>
  </r>
  <r>
    <x v="1"/>
    <x v="3"/>
    <x v="2"/>
    <x v="0"/>
    <x v="2"/>
    <x v="15"/>
    <n v="7"/>
    <x v="15"/>
    <x v="1"/>
  </r>
  <r>
    <x v="1"/>
    <x v="3"/>
    <x v="2"/>
    <x v="0"/>
    <x v="2"/>
    <x v="16"/>
    <n v="6"/>
    <x v="16"/>
    <x v="1"/>
  </r>
  <r>
    <x v="1"/>
    <x v="3"/>
    <x v="2"/>
    <x v="0"/>
    <x v="2"/>
    <x v="17"/>
    <n v="7"/>
    <x v="17"/>
    <x v="1"/>
  </r>
  <r>
    <x v="1"/>
    <x v="3"/>
    <x v="2"/>
    <x v="0"/>
    <x v="2"/>
    <x v="18"/>
    <n v="7"/>
    <x v="18"/>
    <x v="0"/>
  </r>
  <r>
    <x v="1"/>
    <x v="3"/>
    <x v="2"/>
    <x v="0"/>
    <x v="2"/>
    <x v="19"/>
    <n v="4"/>
    <x v="19"/>
    <x v="0"/>
  </r>
  <r>
    <x v="1"/>
    <x v="3"/>
    <x v="2"/>
    <x v="1"/>
    <x v="0"/>
    <x v="0"/>
    <n v="2"/>
    <x v="0"/>
    <x v="0"/>
  </r>
  <r>
    <x v="1"/>
    <x v="3"/>
    <x v="2"/>
    <x v="1"/>
    <x v="0"/>
    <x v="1"/>
    <n v="1"/>
    <x v="1"/>
    <x v="0"/>
  </r>
  <r>
    <x v="1"/>
    <x v="3"/>
    <x v="2"/>
    <x v="1"/>
    <x v="0"/>
    <x v="2"/>
    <n v="4"/>
    <x v="2"/>
    <x v="0"/>
  </r>
  <r>
    <x v="1"/>
    <x v="3"/>
    <x v="2"/>
    <x v="1"/>
    <x v="0"/>
    <x v="3"/>
    <n v="3"/>
    <x v="3"/>
    <x v="1"/>
  </r>
  <r>
    <x v="1"/>
    <x v="3"/>
    <x v="2"/>
    <x v="1"/>
    <x v="0"/>
    <x v="4"/>
    <n v="1"/>
    <x v="4"/>
    <x v="1"/>
  </r>
  <r>
    <x v="1"/>
    <x v="3"/>
    <x v="2"/>
    <x v="1"/>
    <x v="0"/>
    <x v="5"/>
    <n v="7"/>
    <x v="5"/>
    <x v="1"/>
  </r>
  <r>
    <x v="1"/>
    <x v="3"/>
    <x v="2"/>
    <x v="1"/>
    <x v="0"/>
    <x v="6"/>
    <n v="0"/>
    <x v="6"/>
    <x v="1"/>
  </r>
  <r>
    <x v="1"/>
    <x v="3"/>
    <x v="2"/>
    <x v="1"/>
    <x v="0"/>
    <x v="7"/>
    <n v="7"/>
    <x v="7"/>
    <x v="0"/>
  </r>
  <r>
    <x v="1"/>
    <x v="3"/>
    <x v="2"/>
    <x v="1"/>
    <x v="1"/>
    <x v="8"/>
    <n v="8"/>
    <x v="8"/>
    <x v="1"/>
  </r>
  <r>
    <x v="1"/>
    <x v="3"/>
    <x v="2"/>
    <x v="1"/>
    <x v="1"/>
    <x v="9"/>
    <n v="6"/>
    <x v="9"/>
    <x v="1"/>
  </r>
  <r>
    <x v="1"/>
    <x v="3"/>
    <x v="2"/>
    <x v="1"/>
    <x v="1"/>
    <x v="10"/>
    <n v="7"/>
    <x v="10"/>
    <x v="1"/>
  </r>
  <r>
    <x v="1"/>
    <x v="3"/>
    <x v="2"/>
    <x v="1"/>
    <x v="1"/>
    <x v="11"/>
    <n v="6"/>
    <x v="11"/>
    <x v="1"/>
  </r>
  <r>
    <x v="1"/>
    <x v="3"/>
    <x v="2"/>
    <x v="1"/>
    <x v="2"/>
    <x v="12"/>
    <n v="4"/>
    <x v="12"/>
    <x v="0"/>
  </r>
  <r>
    <x v="1"/>
    <x v="3"/>
    <x v="2"/>
    <x v="1"/>
    <x v="2"/>
    <x v="13"/>
    <n v="5"/>
    <x v="13"/>
    <x v="0"/>
  </r>
  <r>
    <x v="1"/>
    <x v="3"/>
    <x v="2"/>
    <x v="1"/>
    <x v="2"/>
    <x v="14"/>
    <n v="5"/>
    <x v="14"/>
    <x v="1"/>
  </r>
  <r>
    <x v="1"/>
    <x v="3"/>
    <x v="2"/>
    <x v="1"/>
    <x v="2"/>
    <x v="15"/>
    <n v="3"/>
    <x v="15"/>
    <x v="1"/>
  </r>
  <r>
    <x v="1"/>
    <x v="3"/>
    <x v="2"/>
    <x v="1"/>
    <x v="2"/>
    <x v="16"/>
    <n v="0"/>
    <x v="16"/>
    <x v="1"/>
  </r>
  <r>
    <x v="1"/>
    <x v="3"/>
    <x v="2"/>
    <x v="1"/>
    <x v="2"/>
    <x v="17"/>
    <n v="1"/>
    <x v="17"/>
    <x v="1"/>
  </r>
  <r>
    <x v="1"/>
    <x v="3"/>
    <x v="2"/>
    <x v="1"/>
    <x v="2"/>
    <x v="18"/>
    <n v="2"/>
    <x v="18"/>
    <x v="0"/>
  </r>
  <r>
    <x v="1"/>
    <x v="3"/>
    <x v="2"/>
    <x v="1"/>
    <x v="2"/>
    <x v="19"/>
    <n v="0"/>
    <x v="19"/>
    <x v="0"/>
  </r>
  <r>
    <x v="1"/>
    <x v="3"/>
    <x v="2"/>
    <x v="2"/>
    <x v="0"/>
    <x v="0"/>
    <n v="0"/>
    <x v="0"/>
    <x v="0"/>
  </r>
  <r>
    <x v="1"/>
    <x v="3"/>
    <x v="2"/>
    <x v="2"/>
    <x v="0"/>
    <x v="1"/>
    <n v="1"/>
    <x v="1"/>
    <x v="0"/>
  </r>
  <r>
    <x v="1"/>
    <x v="3"/>
    <x v="2"/>
    <x v="2"/>
    <x v="0"/>
    <x v="2"/>
    <n v="0"/>
    <x v="2"/>
    <x v="0"/>
  </r>
  <r>
    <x v="1"/>
    <x v="3"/>
    <x v="2"/>
    <x v="2"/>
    <x v="0"/>
    <x v="3"/>
    <n v="0"/>
    <x v="3"/>
    <x v="1"/>
  </r>
  <r>
    <x v="1"/>
    <x v="3"/>
    <x v="2"/>
    <x v="2"/>
    <x v="0"/>
    <x v="4"/>
    <n v="0"/>
    <x v="4"/>
    <x v="1"/>
  </r>
  <r>
    <x v="1"/>
    <x v="3"/>
    <x v="2"/>
    <x v="2"/>
    <x v="0"/>
    <x v="5"/>
    <n v="0"/>
    <x v="5"/>
    <x v="1"/>
  </r>
  <r>
    <x v="1"/>
    <x v="3"/>
    <x v="2"/>
    <x v="2"/>
    <x v="0"/>
    <x v="6"/>
    <n v="1"/>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1"/>
    <x v="14"/>
    <x v="1"/>
  </r>
  <r>
    <x v="1"/>
    <x v="3"/>
    <x v="2"/>
    <x v="2"/>
    <x v="2"/>
    <x v="15"/>
    <n v="0"/>
    <x v="15"/>
    <x v="1"/>
  </r>
  <r>
    <x v="1"/>
    <x v="3"/>
    <x v="2"/>
    <x v="2"/>
    <x v="2"/>
    <x v="16"/>
    <n v="1"/>
    <x v="16"/>
    <x v="1"/>
  </r>
  <r>
    <x v="1"/>
    <x v="3"/>
    <x v="2"/>
    <x v="2"/>
    <x v="2"/>
    <x v="17"/>
    <n v="0"/>
    <x v="17"/>
    <x v="1"/>
  </r>
  <r>
    <x v="1"/>
    <x v="3"/>
    <x v="2"/>
    <x v="2"/>
    <x v="2"/>
    <x v="18"/>
    <n v="0"/>
    <x v="18"/>
    <x v="0"/>
  </r>
  <r>
    <x v="1"/>
    <x v="3"/>
    <x v="2"/>
    <x v="2"/>
    <x v="2"/>
    <x v="19"/>
    <n v="0"/>
    <x v="19"/>
    <x v="0"/>
  </r>
  <r>
    <x v="2"/>
    <x v="4"/>
    <x v="2"/>
    <x v="0"/>
    <x v="0"/>
    <x v="0"/>
    <n v="26"/>
    <x v="0"/>
    <x v="0"/>
  </r>
  <r>
    <x v="2"/>
    <x v="4"/>
    <x v="2"/>
    <x v="0"/>
    <x v="0"/>
    <x v="1"/>
    <n v="48"/>
    <x v="1"/>
    <x v="0"/>
  </r>
  <r>
    <x v="2"/>
    <x v="4"/>
    <x v="2"/>
    <x v="0"/>
    <x v="0"/>
    <x v="2"/>
    <n v="34"/>
    <x v="2"/>
    <x v="0"/>
  </r>
  <r>
    <x v="2"/>
    <x v="4"/>
    <x v="2"/>
    <x v="0"/>
    <x v="0"/>
    <x v="3"/>
    <n v="41"/>
    <x v="3"/>
    <x v="1"/>
  </r>
  <r>
    <x v="2"/>
    <x v="4"/>
    <x v="2"/>
    <x v="0"/>
    <x v="0"/>
    <x v="4"/>
    <n v="40"/>
    <x v="4"/>
    <x v="1"/>
  </r>
  <r>
    <x v="2"/>
    <x v="4"/>
    <x v="2"/>
    <x v="0"/>
    <x v="0"/>
    <x v="5"/>
    <n v="47"/>
    <x v="5"/>
    <x v="1"/>
  </r>
  <r>
    <x v="2"/>
    <x v="4"/>
    <x v="2"/>
    <x v="0"/>
    <x v="0"/>
    <x v="6"/>
    <n v="28"/>
    <x v="6"/>
    <x v="1"/>
  </r>
  <r>
    <x v="2"/>
    <x v="4"/>
    <x v="2"/>
    <x v="0"/>
    <x v="0"/>
    <x v="7"/>
    <n v="26"/>
    <x v="7"/>
    <x v="0"/>
  </r>
  <r>
    <x v="2"/>
    <x v="4"/>
    <x v="2"/>
    <x v="0"/>
    <x v="1"/>
    <x v="8"/>
    <n v="12"/>
    <x v="8"/>
    <x v="1"/>
  </r>
  <r>
    <x v="2"/>
    <x v="4"/>
    <x v="2"/>
    <x v="0"/>
    <x v="1"/>
    <x v="9"/>
    <n v="20"/>
    <x v="9"/>
    <x v="1"/>
  </r>
  <r>
    <x v="2"/>
    <x v="4"/>
    <x v="2"/>
    <x v="0"/>
    <x v="1"/>
    <x v="10"/>
    <n v="15"/>
    <x v="10"/>
    <x v="1"/>
  </r>
  <r>
    <x v="2"/>
    <x v="4"/>
    <x v="2"/>
    <x v="0"/>
    <x v="1"/>
    <x v="11"/>
    <n v="23"/>
    <x v="11"/>
    <x v="1"/>
  </r>
  <r>
    <x v="2"/>
    <x v="4"/>
    <x v="2"/>
    <x v="0"/>
    <x v="2"/>
    <x v="12"/>
    <n v="15"/>
    <x v="12"/>
    <x v="0"/>
  </r>
  <r>
    <x v="2"/>
    <x v="4"/>
    <x v="2"/>
    <x v="0"/>
    <x v="2"/>
    <x v="13"/>
    <n v="11"/>
    <x v="13"/>
    <x v="0"/>
  </r>
  <r>
    <x v="2"/>
    <x v="4"/>
    <x v="2"/>
    <x v="0"/>
    <x v="2"/>
    <x v="14"/>
    <n v="7"/>
    <x v="14"/>
    <x v="1"/>
  </r>
  <r>
    <x v="2"/>
    <x v="4"/>
    <x v="2"/>
    <x v="0"/>
    <x v="2"/>
    <x v="15"/>
    <n v="9"/>
    <x v="15"/>
    <x v="1"/>
  </r>
  <r>
    <x v="2"/>
    <x v="4"/>
    <x v="2"/>
    <x v="0"/>
    <x v="2"/>
    <x v="16"/>
    <n v="2"/>
    <x v="16"/>
    <x v="1"/>
  </r>
  <r>
    <x v="2"/>
    <x v="4"/>
    <x v="2"/>
    <x v="0"/>
    <x v="2"/>
    <x v="17"/>
    <n v="6"/>
    <x v="17"/>
    <x v="1"/>
  </r>
  <r>
    <x v="2"/>
    <x v="4"/>
    <x v="2"/>
    <x v="0"/>
    <x v="2"/>
    <x v="18"/>
    <n v="5"/>
    <x v="18"/>
    <x v="0"/>
  </r>
  <r>
    <x v="2"/>
    <x v="4"/>
    <x v="2"/>
    <x v="0"/>
    <x v="2"/>
    <x v="19"/>
    <n v="6"/>
    <x v="19"/>
    <x v="0"/>
  </r>
  <r>
    <x v="2"/>
    <x v="4"/>
    <x v="2"/>
    <x v="1"/>
    <x v="0"/>
    <x v="0"/>
    <n v="4"/>
    <x v="0"/>
    <x v="0"/>
  </r>
  <r>
    <x v="2"/>
    <x v="4"/>
    <x v="2"/>
    <x v="1"/>
    <x v="0"/>
    <x v="1"/>
    <n v="8"/>
    <x v="1"/>
    <x v="0"/>
  </r>
  <r>
    <x v="2"/>
    <x v="4"/>
    <x v="2"/>
    <x v="1"/>
    <x v="0"/>
    <x v="2"/>
    <n v="3"/>
    <x v="2"/>
    <x v="0"/>
  </r>
  <r>
    <x v="2"/>
    <x v="4"/>
    <x v="2"/>
    <x v="1"/>
    <x v="0"/>
    <x v="3"/>
    <n v="9"/>
    <x v="3"/>
    <x v="1"/>
  </r>
  <r>
    <x v="2"/>
    <x v="4"/>
    <x v="2"/>
    <x v="1"/>
    <x v="0"/>
    <x v="4"/>
    <n v="3"/>
    <x v="4"/>
    <x v="1"/>
  </r>
  <r>
    <x v="2"/>
    <x v="4"/>
    <x v="2"/>
    <x v="1"/>
    <x v="0"/>
    <x v="5"/>
    <n v="3"/>
    <x v="5"/>
    <x v="1"/>
  </r>
  <r>
    <x v="2"/>
    <x v="4"/>
    <x v="2"/>
    <x v="1"/>
    <x v="0"/>
    <x v="6"/>
    <n v="6"/>
    <x v="6"/>
    <x v="1"/>
  </r>
  <r>
    <x v="2"/>
    <x v="4"/>
    <x v="2"/>
    <x v="1"/>
    <x v="0"/>
    <x v="7"/>
    <n v="5"/>
    <x v="7"/>
    <x v="0"/>
  </r>
  <r>
    <x v="2"/>
    <x v="4"/>
    <x v="2"/>
    <x v="1"/>
    <x v="1"/>
    <x v="8"/>
    <n v="13"/>
    <x v="8"/>
    <x v="1"/>
  </r>
  <r>
    <x v="2"/>
    <x v="4"/>
    <x v="2"/>
    <x v="1"/>
    <x v="1"/>
    <x v="9"/>
    <n v="6"/>
    <x v="9"/>
    <x v="1"/>
  </r>
  <r>
    <x v="2"/>
    <x v="4"/>
    <x v="2"/>
    <x v="1"/>
    <x v="1"/>
    <x v="10"/>
    <n v="9"/>
    <x v="10"/>
    <x v="1"/>
  </r>
  <r>
    <x v="2"/>
    <x v="4"/>
    <x v="2"/>
    <x v="1"/>
    <x v="1"/>
    <x v="11"/>
    <n v="9"/>
    <x v="11"/>
    <x v="1"/>
  </r>
  <r>
    <x v="2"/>
    <x v="4"/>
    <x v="2"/>
    <x v="1"/>
    <x v="2"/>
    <x v="12"/>
    <n v="11"/>
    <x v="12"/>
    <x v="0"/>
  </r>
  <r>
    <x v="2"/>
    <x v="4"/>
    <x v="2"/>
    <x v="1"/>
    <x v="2"/>
    <x v="13"/>
    <n v="9"/>
    <x v="13"/>
    <x v="0"/>
  </r>
  <r>
    <x v="2"/>
    <x v="4"/>
    <x v="2"/>
    <x v="1"/>
    <x v="2"/>
    <x v="14"/>
    <n v="4"/>
    <x v="14"/>
    <x v="1"/>
  </r>
  <r>
    <x v="2"/>
    <x v="4"/>
    <x v="2"/>
    <x v="1"/>
    <x v="2"/>
    <x v="15"/>
    <n v="6"/>
    <x v="15"/>
    <x v="1"/>
  </r>
  <r>
    <x v="2"/>
    <x v="4"/>
    <x v="2"/>
    <x v="1"/>
    <x v="2"/>
    <x v="16"/>
    <n v="1"/>
    <x v="16"/>
    <x v="1"/>
  </r>
  <r>
    <x v="2"/>
    <x v="4"/>
    <x v="2"/>
    <x v="1"/>
    <x v="2"/>
    <x v="17"/>
    <n v="2"/>
    <x v="17"/>
    <x v="1"/>
  </r>
  <r>
    <x v="2"/>
    <x v="4"/>
    <x v="2"/>
    <x v="1"/>
    <x v="2"/>
    <x v="18"/>
    <n v="3"/>
    <x v="18"/>
    <x v="0"/>
  </r>
  <r>
    <x v="2"/>
    <x v="4"/>
    <x v="2"/>
    <x v="1"/>
    <x v="2"/>
    <x v="19"/>
    <n v="4"/>
    <x v="19"/>
    <x v="0"/>
  </r>
  <r>
    <x v="2"/>
    <x v="4"/>
    <x v="2"/>
    <x v="2"/>
    <x v="0"/>
    <x v="0"/>
    <n v="0"/>
    <x v="0"/>
    <x v="0"/>
  </r>
  <r>
    <x v="2"/>
    <x v="4"/>
    <x v="2"/>
    <x v="2"/>
    <x v="0"/>
    <x v="1"/>
    <n v="0"/>
    <x v="1"/>
    <x v="0"/>
  </r>
  <r>
    <x v="2"/>
    <x v="4"/>
    <x v="2"/>
    <x v="2"/>
    <x v="0"/>
    <x v="2"/>
    <n v="0"/>
    <x v="2"/>
    <x v="0"/>
  </r>
  <r>
    <x v="2"/>
    <x v="4"/>
    <x v="2"/>
    <x v="2"/>
    <x v="0"/>
    <x v="3"/>
    <n v="4"/>
    <x v="3"/>
    <x v="1"/>
  </r>
  <r>
    <x v="2"/>
    <x v="4"/>
    <x v="2"/>
    <x v="2"/>
    <x v="0"/>
    <x v="4"/>
    <n v="0"/>
    <x v="4"/>
    <x v="1"/>
  </r>
  <r>
    <x v="2"/>
    <x v="4"/>
    <x v="2"/>
    <x v="2"/>
    <x v="0"/>
    <x v="5"/>
    <n v="0"/>
    <x v="5"/>
    <x v="1"/>
  </r>
  <r>
    <x v="2"/>
    <x v="4"/>
    <x v="2"/>
    <x v="2"/>
    <x v="0"/>
    <x v="6"/>
    <n v="0"/>
    <x v="6"/>
    <x v="1"/>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0"/>
    <x v="14"/>
    <x v="1"/>
  </r>
  <r>
    <x v="2"/>
    <x v="4"/>
    <x v="2"/>
    <x v="2"/>
    <x v="2"/>
    <x v="15"/>
    <n v="0"/>
    <x v="15"/>
    <x v="1"/>
  </r>
  <r>
    <x v="2"/>
    <x v="4"/>
    <x v="2"/>
    <x v="2"/>
    <x v="2"/>
    <x v="16"/>
    <n v="0"/>
    <x v="16"/>
    <x v="1"/>
  </r>
  <r>
    <x v="2"/>
    <x v="4"/>
    <x v="2"/>
    <x v="2"/>
    <x v="2"/>
    <x v="17"/>
    <n v="0"/>
    <x v="17"/>
    <x v="1"/>
  </r>
  <r>
    <x v="2"/>
    <x v="4"/>
    <x v="2"/>
    <x v="2"/>
    <x v="2"/>
    <x v="18"/>
    <n v="0"/>
    <x v="18"/>
    <x v="0"/>
  </r>
  <r>
    <x v="2"/>
    <x v="4"/>
    <x v="2"/>
    <x v="2"/>
    <x v="2"/>
    <x v="19"/>
    <n v="0"/>
    <x v="19"/>
    <x v="0"/>
  </r>
  <r>
    <x v="2"/>
    <x v="5"/>
    <x v="0"/>
    <x v="0"/>
    <x v="0"/>
    <x v="0"/>
    <n v="39"/>
    <x v="0"/>
    <x v="0"/>
  </r>
  <r>
    <x v="2"/>
    <x v="5"/>
    <x v="0"/>
    <x v="0"/>
    <x v="0"/>
    <x v="1"/>
    <n v="54"/>
    <x v="1"/>
    <x v="0"/>
  </r>
  <r>
    <x v="2"/>
    <x v="5"/>
    <x v="0"/>
    <x v="0"/>
    <x v="0"/>
    <x v="2"/>
    <n v="51"/>
    <x v="2"/>
    <x v="0"/>
  </r>
  <r>
    <x v="2"/>
    <x v="5"/>
    <x v="0"/>
    <x v="0"/>
    <x v="0"/>
    <x v="3"/>
    <n v="64"/>
    <x v="3"/>
    <x v="1"/>
  </r>
  <r>
    <x v="2"/>
    <x v="5"/>
    <x v="0"/>
    <x v="0"/>
    <x v="0"/>
    <x v="4"/>
    <n v="46"/>
    <x v="4"/>
    <x v="1"/>
  </r>
  <r>
    <x v="2"/>
    <x v="5"/>
    <x v="0"/>
    <x v="0"/>
    <x v="0"/>
    <x v="5"/>
    <n v="61"/>
    <x v="5"/>
    <x v="1"/>
  </r>
  <r>
    <x v="2"/>
    <x v="5"/>
    <x v="0"/>
    <x v="0"/>
    <x v="0"/>
    <x v="6"/>
    <n v="76"/>
    <x v="6"/>
    <x v="1"/>
  </r>
  <r>
    <x v="2"/>
    <x v="5"/>
    <x v="0"/>
    <x v="0"/>
    <x v="0"/>
    <x v="7"/>
    <n v="93"/>
    <x v="7"/>
    <x v="0"/>
  </r>
  <r>
    <x v="2"/>
    <x v="5"/>
    <x v="0"/>
    <x v="0"/>
    <x v="1"/>
    <x v="8"/>
    <n v="72"/>
    <x v="8"/>
    <x v="1"/>
  </r>
  <r>
    <x v="2"/>
    <x v="5"/>
    <x v="0"/>
    <x v="0"/>
    <x v="1"/>
    <x v="9"/>
    <n v="63"/>
    <x v="9"/>
    <x v="1"/>
  </r>
  <r>
    <x v="2"/>
    <x v="5"/>
    <x v="0"/>
    <x v="0"/>
    <x v="1"/>
    <x v="10"/>
    <n v="78"/>
    <x v="10"/>
    <x v="1"/>
  </r>
  <r>
    <x v="2"/>
    <x v="5"/>
    <x v="0"/>
    <x v="0"/>
    <x v="1"/>
    <x v="11"/>
    <n v="83"/>
    <x v="11"/>
    <x v="1"/>
  </r>
  <r>
    <x v="2"/>
    <x v="5"/>
    <x v="0"/>
    <x v="0"/>
    <x v="2"/>
    <x v="12"/>
    <n v="126"/>
    <x v="12"/>
    <x v="0"/>
  </r>
  <r>
    <x v="2"/>
    <x v="5"/>
    <x v="0"/>
    <x v="0"/>
    <x v="2"/>
    <x v="13"/>
    <n v="137"/>
    <x v="13"/>
    <x v="0"/>
  </r>
  <r>
    <x v="2"/>
    <x v="5"/>
    <x v="0"/>
    <x v="0"/>
    <x v="2"/>
    <x v="14"/>
    <n v="156"/>
    <x v="14"/>
    <x v="1"/>
  </r>
  <r>
    <x v="2"/>
    <x v="5"/>
    <x v="0"/>
    <x v="0"/>
    <x v="2"/>
    <x v="15"/>
    <n v="191"/>
    <x v="15"/>
    <x v="1"/>
  </r>
  <r>
    <x v="2"/>
    <x v="5"/>
    <x v="0"/>
    <x v="0"/>
    <x v="2"/>
    <x v="16"/>
    <n v="151"/>
    <x v="16"/>
    <x v="1"/>
  </r>
  <r>
    <x v="2"/>
    <x v="5"/>
    <x v="0"/>
    <x v="0"/>
    <x v="2"/>
    <x v="17"/>
    <n v="176"/>
    <x v="17"/>
    <x v="1"/>
  </r>
  <r>
    <x v="2"/>
    <x v="5"/>
    <x v="0"/>
    <x v="0"/>
    <x v="2"/>
    <x v="18"/>
    <n v="147"/>
    <x v="18"/>
    <x v="0"/>
  </r>
  <r>
    <x v="2"/>
    <x v="5"/>
    <x v="0"/>
    <x v="0"/>
    <x v="2"/>
    <x v="19"/>
    <n v="148"/>
    <x v="19"/>
    <x v="0"/>
  </r>
  <r>
    <x v="2"/>
    <x v="5"/>
    <x v="0"/>
    <x v="1"/>
    <x v="0"/>
    <x v="0"/>
    <n v="5"/>
    <x v="0"/>
    <x v="0"/>
  </r>
  <r>
    <x v="2"/>
    <x v="5"/>
    <x v="0"/>
    <x v="1"/>
    <x v="0"/>
    <x v="1"/>
    <n v="12"/>
    <x v="1"/>
    <x v="0"/>
  </r>
  <r>
    <x v="2"/>
    <x v="5"/>
    <x v="0"/>
    <x v="1"/>
    <x v="0"/>
    <x v="2"/>
    <n v="7"/>
    <x v="2"/>
    <x v="0"/>
  </r>
  <r>
    <x v="2"/>
    <x v="5"/>
    <x v="0"/>
    <x v="1"/>
    <x v="0"/>
    <x v="3"/>
    <n v="9"/>
    <x v="3"/>
    <x v="1"/>
  </r>
  <r>
    <x v="2"/>
    <x v="5"/>
    <x v="0"/>
    <x v="1"/>
    <x v="0"/>
    <x v="4"/>
    <n v="11"/>
    <x v="4"/>
    <x v="1"/>
  </r>
  <r>
    <x v="2"/>
    <x v="5"/>
    <x v="0"/>
    <x v="1"/>
    <x v="0"/>
    <x v="5"/>
    <n v="11"/>
    <x v="5"/>
    <x v="1"/>
  </r>
  <r>
    <x v="2"/>
    <x v="5"/>
    <x v="0"/>
    <x v="1"/>
    <x v="0"/>
    <x v="6"/>
    <n v="12"/>
    <x v="6"/>
    <x v="1"/>
  </r>
  <r>
    <x v="2"/>
    <x v="5"/>
    <x v="0"/>
    <x v="1"/>
    <x v="0"/>
    <x v="7"/>
    <n v="7"/>
    <x v="7"/>
    <x v="0"/>
  </r>
  <r>
    <x v="2"/>
    <x v="5"/>
    <x v="0"/>
    <x v="1"/>
    <x v="1"/>
    <x v="8"/>
    <n v="8"/>
    <x v="8"/>
    <x v="1"/>
  </r>
  <r>
    <x v="2"/>
    <x v="5"/>
    <x v="0"/>
    <x v="1"/>
    <x v="1"/>
    <x v="9"/>
    <n v="15"/>
    <x v="9"/>
    <x v="1"/>
  </r>
  <r>
    <x v="2"/>
    <x v="5"/>
    <x v="0"/>
    <x v="1"/>
    <x v="1"/>
    <x v="10"/>
    <n v="13"/>
    <x v="10"/>
    <x v="1"/>
  </r>
  <r>
    <x v="2"/>
    <x v="5"/>
    <x v="0"/>
    <x v="1"/>
    <x v="1"/>
    <x v="11"/>
    <n v="8"/>
    <x v="11"/>
    <x v="1"/>
  </r>
  <r>
    <x v="2"/>
    <x v="5"/>
    <x v="0"/>
    <x v="1"/>
    <x v="2"/>
    <x v="12"/>
    <n v="5"/>
    <x v="12"/>
    <x v="0"/>
  </r>
  <r>
    <x v="2"/>
    <x v="5"/>
    <x v="0"/>
    <x v="1"/>
    <x v="2"/>
    <x v="13"/>
    <n v="10"/>
    <x v="13"/>
    <x v="0"/>
  </r>
  <r>
    <x v="2"/>
    <x v="5"/>
    <x v="0"/>
    <x v="1"/>
    <x v="2"/>
    <x v="14"/>
    <n v="7"/>
    <x v="14"/>
    <x v="1"/>
  </r>
  <r>
    <x v="2"/>
    <x v="5"/>
    <x v="0"/>
    <x v="1"/>
    <x v="2"/>
    <x v="15"/>
    <n v="5"/>
    <x v="15"/>
    <x v="1"/>
  </r>
  <r>
    <x v="2"/>
    <x v="5"/>
    <x v="0"/>
    <x v="1"/>
    <x v="2"/>
    <x v="16"/>
    <n v="9"/>
    <x v="16"/>
    <x v="1"/>
  </r>
  <r>
    <x v="2"/>
    <x v="5"/>
    <x v="0"/>
    <x v="1"/>
    <x v="2"/>
    <x v="17"/>
    <n v="8"/>
    <x v="17"/>
    <x v="1"/>
  </r>
  <r>
    <x v="2"/>
    <x v="5"/>
    <x v="0"/>
    <x v="1"/>
    <x v="2"/>
    <x v="18"/>
    <n v="8"/>
    <x v="18"/>
    <x v="0"/>
  </r>
  <r>
    <x v="2"/>
    <x v="5"/>
    <x v="0"/>
    <x v="1"/>
    <x v="2"/>
    <x v="19"/>
    <n v="5"/>
    <x v="19"/>
    <x v="0"/>
  </r>
  <r>
    <x v="2"/>
    <x v="5"/>
    <x v="0"/>
    <x v="2"/>
    <x v="0"/>
    <x v="0"/>
    <n v="0"/>
    <x v="0"/>
    <x v="0"/>
  </r>
  <r>
    <x v="2"/>
    <x v="5"/>
    <x v="0"/>
    <x v="2"/>
    <x v="0"/>
    <x v="1"/>
    <n v="0"/>
    <x v="1"/>
    <x v="0"/>
  </r>
  <r>
    <x v="2"/>
    <x v="5"/>
    <x v="0"/>
    <x v="2"/>
    <x v="0"/>
    <x v="2"/>
    <n v="2"/>
    <x v="2"/>
    <x v="0"/>
  </r>
  <r>
    <x v="2"/>
    <x v="5"/>
    <x v="0"/>
    <x v="2"/>
    <x v="0"/>
    <x v="3"/>
    <n v="0"/>
    <x v="3"/>
    <x v="1"/>
  </r>
  <r>
    <x v="2"/>
    <x v="5"/>
    <x v="0"/>
    <x v="2"/>
    <x v="0"/>
    <x v="4"/>
    <n v="1"/>
    <x v="4"/>
    <x v="1"/>
  </r>
  <r>
    <x v="2"/>
    <x v="5"/>
    <x v="0"/>
    <x v="2"/>
    <x v="0"/>
    <x v="5"/>
    <n v="1"/>
    <x v="5"/>
    <x v="1"/>
  </r>
  <r>
    <x v="2"/>
    <x v="5"/>
    <x v="0"/>
    <x v="2"/>
    <x v="0"/>
    <x v="6"/>
    <n v="1"/>
    <x v="6"/>
    <x v="1"/>
  </r>
  <r>
    <x v="2"/>
    <x v="5"/>
    <x v="0"/>
    <x v="2"/>
    <x v="0"/>
    <x v="7"/>
    <n v="0"/>
    <x v="7"/>
    <x v="0"/>
  </r>
  <r>
    <x v="2"/>
    <x v="5"/>
    <x v="0"/>
    <x v="2"/>
    <x v="1"/>
    <x v="8"/>
    <n v="1"/>
    <x v="8"/>
    <x v="1"/>
  </r>
  <r>
    <x v="2"/>
    <x v="5"/>
    <x v="0"/>
    <x v="2"/>
    <x v="1"/>
    <x v="9"/>
    <n v="2"/>
    <x v="9"/>
    <x v="1"/>
  </r>
  <r>
    <x v="2"/>
    <x v="5"/>
    <x v="0"/>
    <x v="2"/>
    <x v="1"/>
    <x v="10"/>
    <n v="2"/>
    <x v="10"/>
    <x v="1"/>
  </r>
  <r>
    <x v="2"/>
    <x v="5"/>
    <x v="0"/>
    <x v="2"/>
    <x v="1"/>
    <x v="11"/>
    <n v="0"/>
    <x v="11"/>
    <x v="1"/>
  </r>
  <r>
    <x v="2"/>
    <x v="5"/>
    <x v="0"/>
    <x v="2"/>
    <x v="2"/>
    <x v="12"/>
    <n v="0"/>
    <x v="12"/>
    <x v="0"/>
  </r>
  <r>
    <x v="2"/>
    <x v="5"/>
    <x v="0"/>
    <x v="2"/>
    <x v="2"/>
    <x v="13"/>
    <n v="2"/>
    <x v="13"/>
    <x v="0"/>
  </r>
  <r>
    <x v="2"/>
    <x v="5"/>
    <x v="0"/>
    <x v="2"/>
    <x v="2"/>
    <x v="14"/>
    <n v="5"/>
    <x v="14"/>
    <x v="1"/>
  </r>
  <r>
    <x v="2"/>
    <x v="5"/>
    <x v="0"/>
    <x v="2"/>
    <x v="2"/>
    <x v="15"/>
    <n v="3"/>
    <x v="15"/>
    <x v="1"/>
  </r>
  <r>
    <x v="2"/>
    <x v="5"/>
    <x v="0"/>
    <x v="2"/>
    <x v="2"/>
    <x v="16"/>
    <n v="6"/>
    <x v="16"/>
    <x v="1"/>
  </r>
  <r>
    <x v="2"/>
    <x v="5"/>
    <x v="0"/>
    <x v="2"/>
    <x v="2"/>
    <x v="17"/>
    <n v="4"/>
    <x v="17"/>
    <x v="1"/>
  </r>
  <r>
    <x v="2"/>
    <x v="5"/>
    <x v="0"/>
    <x v="2"/>
    <x v="2"/>
    <x v="18"/>
    <n v="1"/>
    <x v="18"/>
    <x v="0"/>
  </r>
  <r>
    <x v="2"/>
    <x v="5"/>
    <x v="0"/>
    <x v="2"/>
    <x v="2"/>
    <x v="19"/>
    <n v="3"/>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m="1" x="6"/>
        <item m="1" x="3"/>
        <item m="1" x="5"/>
        <item m="1" x="4"/>
        <item x="0"/>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m="1" x="5"/>
        <item m="1" x="3"/>
        <item m="1" x="4"/>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F37" sqref="F3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89</v>
      </c>
      <c r="D10">
        <v>1</v>
      </c>
      <c r="E10" s="1" t="s">
        <v>79</v>
      </c>
      <c r="F10" s="1"/>
    </row>
    <row r="11" spans="2:12" x14ac:dyDescent="0.25">
      <c r="B11" t="s">
        <v>2</v>
      </c>
      <c r="C11" s="23">
        <v>44139</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Chapmans Road North</v>
      </c>
      <c r="C4" s="1" t="str">
        <f>Input!C31</f>
        <v>Port Hills Road East</v>
      </c>
      <c r="D4" s="1" t="str">
        <f>Input!C42</f>
        <v>Port Hills Road West</v>
      </c>
      <c r="E4" s="1">
        <f>Input!C53</f>
        <v>0</v>
      </c>
      <c r="F4" s="1">
        <f>Input!C64</f>
        <v>0</v>
      </c>
      <c r="G4" s="1">
        <f>Input!C75</f>
        <v>0</v>
      </c>
      <c r="H4" s="1">
        <f>Input!C86</f>
        <v>0</v>
      </c>
    </row>
    <row r="6" spans="2:8" x14ac:dyDescent="0.25">
      <c r="B6" t="s">
        <v>18</v>
      </c>
    </row>
    <row r="8" spans="2:8" x14ac:dyDescent="0.25">
      <c r="B8" s="1" t="str">
        <f>Input!C22</f>
        <v>Left into Port Hills Road East</v>
      </c>
      <c r="C8" s="1" t="str">
        <f>Input!C33</f>
        <v>Thru to Port Hills Road West</v>
      </c>
      <c r="D8" s="1" t="str">
        <f>Input!C44</f>
        <v>Left into Chapmans Road North</v>
      </c>
      <c r="E8" s="1">
        <f>Input!C55</f>
        <v>0</v>
      </c>
      <c r="F8" s="1">
        <f>Input!C66</f>
        <v>0</v>
      </c>
      <c r="G8" s="1">
        <f>Input!C77</f>
        <v>0</v>
      </c>
      <c r="H8" s="1">
        <f>Input!C88</f>
        <v>0</v>
      </c>
    </row>
    <row r="9" spans="2:8" x14ac:dyDescent="0.25">
      <c r="B9" s="1" t="str">
        <f>Input!C23</f>
        <v>Right into Port Hills Road West</v>
      </c>
      <c r="C9" s="1" t="str">
        <f>Input!C34</f>
        <v>Right into Chapmans Road North</v>
      </c>
      <c r="D9" s="1" t="str">
        <f>Input!C45</f>
        <v>Thru to Port Hills Road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Port Hills Road East</v>
      </c>
      <c r="C18" s="1" t="str">
        <f>Input!E33</f>
        <v>Port Hills Road West</v>
      </c>
      <c r="D18" s="1" t="str">
        <f>Input!E44</f>
        <v>Chapmans Road North</v>
      </c>
      <c r="E18" s="1">
        <f>Input!E55</f>
        <v>0</v>
      </c>
      <c r="F18" s="1">
        <f>Input!E66</f>
        <v>0</v>
      </c>
      <c r="G18" s="1">
        <f>Input!E77</f>
        <v>0</v>
      </c>
      <c r="H18" s="1">
        <f>Input!E88</f>
        <v>0</v>
      </c>
    </row>
    <row r="19" spans="2:8" x14ac:dyDescent="0.25">
      <c r="B19" s="1" t="str">
        <f>Input!E23</f>
        <v>Port Hills Road West</v>
      </c>
      <c r="C19" s="1" t="str">
        <f>Input!E34</f>
        <v>Chapmans Road North</v>
      </c>
      <c r="D19" s="1" t="str">
        <f>Input!E45</f>
        <v>Port Hills Road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90</v>
      </c>
      <c r="E7" s="44" t="s">
        <v>88</v>
      </c>
      <c r="F7" s="45" t="s">
        <v>79</v>
      </c>
      <c r="G7" s="43" t="s">
        <v>90</v>
      </c>
      <c r="H7" s="44" t="s">
        <v>88</v>
      </c>
      <c r="I7" s="42" t="s">
        <v>79</v>
      </c>
      <c r="J7" s="43" t="s">
        <v>90</v>
      </c>
      <c r="K7" s="44" t="s">
        <v>88</v>
      </c>
      <c r="L7" s="45" t="s">
        <v>79</v>
      </c>
      <c r="M7" s="43" t="s">
        <v>90</v>
      </c>
      <c r="N7" s="44" t="s">
        <v>88</v>
      </c>
      <c r="O7" s="42" t="s">
        <v>79</v>
      </c>
      <c r="P7" s="43" t="s">
        <v>90</v>
      </c>
      <c r="Q7" s="44" t="s">
        <v>88</v>
      </c>
      <c r="R7" s="45" t="s">
        <v>79</v>
      </c>
      <c r="S7" s="43" t="s">
        <v>90</v>
      </c>
      <c r="T7" s="46" t="s">
        <v>88</v>
      </c>
    </row>
    <row r="8" spans="1:20" x14ac:dyDescent="0.25">
      <c r="A8" s="2" t="s">
        <v>43</v>
      </c>
      <c r="B8" s="7">
        <v>0.29166666666666669</v>
      </c>
      <c r="C8" s="31">
        <v>1</v>
      </c>
      <c r="D8">
        <v>11</v>
      </c>
      <c r="E8">
        <v>0</v>
      </c>
      <c r="F8" s="28">
        <v>6</v>
      </c>
      <c r="G8">
        <v>7</v>
      </c>
      <c r="H8">
        <v>0</v>
      </c>
      <c r="I8" s="31">
        <v>91</v>
      </c>
      <c r="J8">
        <v>3</v>
      </c>
      <c r="K8">
        <v>0</v>
      </c>
      <c r="L8" s="28">
        <v>14</v>
      </c>
      <c r="M8">
        <v>2</v>
      </c>
      <c r="N8">
        <v>0</v>
      </c>
      <c r="O8" s="31">
        <v>26</v>
      </c>
      <c r="P8">
        <v>4</v>
      </c>
      <c r="Q8">
        <v>0</v>
      </c>
      <c r="R8" s="28">
        <v>39</v>
      </c>
      <c r="S8">
        <v>5</v>
      </c>
      <c r="T8" s="34">
        <v>0</v>
      </c>
    </row>
    <row r="9" spans="1:20" x14ac:dyDescent="0.25">
      <c r="A9" s="2" t="s">
        <v>43</v>
      </c>
      <c r="B9" s="7">
        <v>0.30208333333333331</v>
      </c>
      <c r="C9" s="31">
        <v>3</v>
      </c>
      <c r="D9">
        <v>12</v>
      </c>
      <c r="E9">
        <v>0</v>
      </c>
      <c r="F9" s="28">
        <v>5</v>
      </c>
      <c r="G9">
        <v>4</v>
      </c>
      <c r="H9">
        <v>0</v>
      </c>
      <c r="I9" s="31">
        <v>97</v>
      </c>
      <c r="J9">
        <v>9</v>
      </c>
      <c r="K9">
        <v>2</v>
      </c>
      <c r="L9" s="28">
        <v>28</v>
      </c>
      <c r="M9">
        <v>1</v>
      </c>
      <c r="N9">
        <v>1</v>
      </c>
      <c r="O9" s="31">
        <v>48</v>
      </c>
      <c r="P9">
        <v>8</v>
      </c>
      <c r="Q9">
        <v>0</v>
      </c>
      <c r="R9" s="28">
        <v>54</v>
      </c>
      <c r="S9">
        <v>12</v>
      </c>
      <c r="T9" s="34">
        <v>0</v>
      </c>
    </row>
    <row r="10" spans="1:20" x14ac:dyDescent="0.25">
      <c r="A10" s="2" t="s">
        <v>43</v>
      </c>
      <c r="B10" s="7">
        <v>0.3125</v>
      </c>
      <c r="C10" s="31">
        <v>6</v>
      </c>
      <c r="D10">
        <v>11</v>
      </c>
      <c r="E10">
        <v>0</v>
      </c>
      <c r="F10" s="28">
        <v>2</v>
      </c>
      <c r="G10">
        <v>3</v>
      </c>
      <c r="H10">
        <v>0</v>
      </c>
      <c r="I10" s="31">
        <v>134</v>
      </c>
      <c r="J10">
        <v>18</v>
      </c>
      <c r="K10">
        <v>2</v>
      </c>
      <c r="L10" s="28">
        <v>19</v>
      </c>
      <c r="M10">
        <v>4</v>
      </c>
      <c r="N10">
        <v>0</v>
      </c>
      <c r="O10" s="31">
        <v>34</v>
      </c>
      <c r="P10">
        <v>3</v>
      </c>
      <c r="Q10">
        <v>0</v>
      </c>
      <c r="R10" s="28">
        <v>51</v>
      </c>
      <c r="S10">
        <v>7</v>
      </c>
      <c r="T10" s="34">
        <v>2</v>
      </c>
    </row>
    <row r="11" spans="1:20" x14ac:dyDescent="0.25">
      <c r="A11" s="2" t="s">
        <v>43</v>
      </c>
      <c r="B11" s="7">
        <v>0.32291666666666669</v>
      </c>
      <c r="C11" s="31">
        <v>10</v>
      </c>
      <c r="D11">
        <v>8</v>
      </c>
      <c r="E11">
        <v>0</v>
      </c>
      <c r="F11" s="28">
        <v>3</v>
      </c>
      <c r="G11">
        <v>2</v>
      </c>
      <c r="H11">
        <v>0</v>
      </c>
      <c r="I11" s="31">
        <v>139</v>
      </c>
      <c r="J11">
        <v>19</v>
      </c>
      <c r="K11">
        <v>4</v>
      </c>
      <c r="L11" s="28">
        <v>42</v>
      </c>
      <c r="M11">
        <v>3</v>
      </c>
      <c r="N11">
        <v>0</v>
      </c>
      <c r="O11" s="31">
        <v>41</v>
      </c>
      <c r="P11">
        <v>9</v>
      </c>
      <c r="Q11">
        <v>4</v>
      </c>
      <c r="R11" s="28">
        <v>64</v>
      </c>
      <c r="S11">
        <v>9</v>
      </c>
      <c r="T11" s="34">
        <v>0</v>
      </c>
    </row>
    <row r="12" spans="1:20" x14ac:dyDescent="0.25">
      <c r="A12" s="2" t="s">
        <v>43</v>
      </c>
      <c r="B12" s="7">
        <v>0.33333333333333331</v>
      </c>
      <c r="C12" s="31">
        <v>12</v>
      </c>
      <c r="D12">
        <v>8</v>
      </c>
      <c r="E12">
        <v>0</v>
      </c>
      <c r="F12" s="28">
        <v>12</v>
      </c>
      <c r="G12">
        <v>9</v>
      </c>
      <c r="H12">
        <v>0</v>
      </c>
      <c r="I12" s="31">
        <v>149</v>
      </c>
      <c r="J12">
        <v>10</v>
      </c>
      <c r="K12">
        <v>6</v>
      </c>
      <c r="L12" s="28">
        <v>19</v>
      </c>
      <c r="M12">
        <v>1</v>
      </c>
      <c r="N12">
        <v>0</v>
      </c>
      <c r="O12" s="31">
        <v>40</v>
      </c>
      <c r="P12">
        <v>3</v>
      </c>
      <c r="Q12">
        <v>0</v>
      </c>
      <c r="R12" s="28">
        <v>46</v>
      </c>
      <c r="S12">
        <v>11</v>
      </c>
      <c r="T12" s="34">
        <v>1</v>
      </c>
    </row>
    <row r="13" spans="1:20" x14ac:dyDescent="0.25">
      <c r="A13" s="2" t="s">
        <v>43</v>
      </c>
      <c r="B13" s="7">
        <v>0.34375</v>
      </c>
      <c r="C13" s="31">
        <v>9</v>
      </c>
      <c r="D13">
        <v>9</v>
      </c>
      <c r="E13">
        <v>0</v>
      </c>
      <c r="F13" s="28">
        <v>9</v>
      </c>
      <c r="G13">
        <v>2</v>
      </c>
      <c r="H13">
        <v>0</v>
      </c>
      <c r="I13" s="31">
        <v>134</v>
      </c>
      <c r="J13">
        <v>16</v>
      </c>
      <c r="K13">
        <v>3</v>
      </c>
      <c r="L13" s="28">
        <v>30</v>
      </c>
      <c r="M13">
        <v>7</v>
      </c>
      <c r="N13">
        <v>0</v>
      </c>
      <c r="O13" s="31">
        <v>47</v>
      </c>
      <c r="P13">
        <v>3</v>
      </c>
      <c r="Q13">
        <v>0</v>
      </c>
      <c r="R13" s="28">
        <v>61</v>
      </c>
      <c r="S13">
        <v>11</v>
      </c>
      <c r="T13" s="34">
        <v>1</v>
      </c>
    </row>
    <row r="14" spans="1:20" x14ac:dyDescent="0.25">
      <c r="A14" s="2" t="s">
        <v>43</v>
      </c>
      <c r="B14" s="7">
        <v>0.35416666666666669</v>
      </c>
      <c r="C14" s="31">
        <v>11</v>
      </c>
      <c r="D14">
        <v>7</v>
      </c>
      <c r="E14">
        <v>0</v>
      </c>
      <c r="F14" s="28">
        <v>10</v>
      </c>
      <c r="G14">
        <v>4</v>
      </c>
      <c r="H14">
        <v>0</v>
      </c>
      <c r="I14" s="31">
        <v>134</v>
      </c>
      <c r="J14">
        <v>11</v>
      </c>
      <c r="K14">
        <v>5</v>
      </c>
      <c r="L14" s="28">
        <v>30</v>
      </c>
      <c r="M14">
        <v>0</v>
      </c>
      <c r="N14">
        <v>1</v>
      </c>
      <c r="O14" s="31">
        <v>28</v>
      </c>
      <c r="P14">
        <v>6</v>
      </c>
      <c r="Q14">
        <v>0</v>
      </c>
      <c r="R14" s="28">
        <v>76</v>
      </c>
      <c r="S14">
        <v>12</v>
      </c>
      <c r="T14" s="34">
        <v>1</v>
      </c>
    </row>
    <row r="15" spans="1:20" ht="15.75" thickBot="1" x14ac:dyDescent="0.3">
      <c r="A15" s="2" t="s">
        <v>43</v>
      </c>
      <c r="B15" s="7">
        <v>0.36458333333333331</v>
      </c>
      <c r="C15" s="31">
        <v>10</v>
      </c>
      <c r="D15">
        <v>9</v>
      </c>
      <c r="E15">
        <v>0</v>
      </c>
      <c r="F15" s="28">
        <v>8</v>
      </c>
      <c r="G15">
        <v>4</v>
      </c>
      <c r="H15">
        <v>0</v>
      </c>
      <c r="I15" s="31">
        <v>86</v>
      </c>
      <c r="J15">
        <v>20</v>
      </c>
      <c r="K15">
        <v>1</v>
      </c>
      <c r="L15" s="28">
        <v>17</v>
      </c>
      <c r="M15">
        <v>7</v>
      </c>
      <c r="N15">
        <v>0</v>
      </c>
      <c r="O15" s="31">
        <v>26</v>
      </c>
      <c r="P15">
        <v>5</v>
      </c>
      <c r="Q15">
        <v>0</v>
      </c>
      <c r="R15" s="28">
        <v>93</v>
      </c>
      <c r="S15">
        <v>7</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28</v>
      </c>
      <c r="D17">
        <v>13</v>
      </c>
      <c r="E17">
        <v>0</v>
      </c>
      <c r="F17" s="28">
        <v>19</v>
      </c>
      <c r="G17">
        <v>3</v>
      </c>
      <c r="H17">
        <v>0</v>
      </c>
      <c r="I17" s="31">
        <v>91</v>
      </c>
      <c r="J17">
        <v>16</v>
      </c>
      <c r="K17">
        <v>1</v>
      </c>
      <c r="L17" s="28">
        <v>20</v>
      </c>
      <c r="M17">
        <v>8</v>
      </c>
      <c r="N17">
        <v>0</v>
      </c>
      <c r="O17" s="31">
        <v>12</v>
      </c>
      <c r="P17">
        <v>13</v>
      </c>
      <c r="Q17">
        <v>0</v>
      </c>
      <c r="R17" s="28">
        <v>72</v>
      </c>
      <c r="S17">
        <v>8</v>
      </c>
      <c r="T17" s="34">
        <v>1</v>
      </c>
    </row>
    <row r="18" spans="1:20" x14ac:dyDescent="0.25">
      <c r="A18" s="2" t="s">
        <v>91</v>
      </c>
      <c r="B18" s="7">
        <v>0.55208333333333337</v>
      </c>
      <c r="C18" s="31">
        <v>16</v>
      </c>
      <c r="D18">
        <v>9</v>
      </c>
      <c r="E18">
        <v>0</v>
      </c>
      <c r="F18" s="28">
        <v>12</v>
      </c>
      <c r="G18">
        <v>8</v>
      </c>
      <c r="H18">
        <v>0</v>
      </c>
      <c r="I18" s="31">
        <v>58</v>
      </c>
      <c r="J18">
        <v>12</v>
      </c>
      <c r="K18">
        <v>0</v>
      </c>
      <c r="L18" s="28">
        <v>16</v>
      </c>
      <c r="M18">
        <v>6</v>
      </c>
      <c r="N18">
        <v>0</v>
      </c>
      <c r="O18" s="31">
        <v>20</v>
      </c>
      <c r="P18">
        <v>6</v>
      </c>
      <c r="Q18">
        <v>0</v>
      </c>
      <c r="R18" s="28">
        <v>63</v>
      </c>
      <c r="S18">
        <v>15</v>
      </c>
      <c r="T18" s="34">
        <v>2</v>
      </c>
    </row>
    <row r="19" spans="1:20" x14ac:dyDescent="0.25">
      <c r="A19" s="2" t="s">
        <v>91</v>
      </c>
      <c r="B19" s="7">
        <v>0.5625</v>
      </c>
      <c r="C19" s="31">
        <v>14</v>
      </c>
      <c r="D19">
        <v>11</v>
      </c>
      <c r="E19">
        <v>0</v>
      </c>
      <c r="F19" s="28">
        <v>22</v>
      </c>
      <c r="G19">
        <v>7</v>
      </c>
      <c r="H19">
        <v>0</v>
      </c>
      <c r="I19" s="31">
        <v>62</v>
      </c>
      <c r="J19">
        <v>15</v>
      </c>
      <c r="K19">
        <v>0</v>
      </c>
      <c r="L19" s="28">
        <v>17</v>
      </c>
      <c r="M19">
        <v>7</v>
      </c>
      <c r="N19">
        <v>0</v>
      </c>
      <c r="O19" s="31">
        <v>15</v>
      </c>
      <c r="P19">
        <v>9</v>
      </c>
      <c r="Q19">
        <v>0</v>
      </c>
      <c r="R19" s="28">
        <v>78</v>
      </c>
      <c r="S19">
        <v>13</v>
      </c>
      <c r="T19" s="34">
        <v>2</v>
      </c>
    </row>
    <row r="20" spans="1:20" ht="15.75" thickBot="1" x14ac:dyDescent="0.3">
      <c r="A20" s="2" t="s">
        <v>91</v>
      </c>
      <c r="B20" s="7">
        <v>0.57291666666666663</v>
      </c>
      <c r="C20" s="31">
        <v>17</v>
      </c>
      <c r="D20">
        <v>10</v>
      </c>
      <c r="E20">
        <v>0</v>
      </c>
      <c r="F20" s="28">
        <v>7</v>
      </c>
      <c r="G20">
        <v>6</v>
      </c>
      <c r="H20">
        <v>0</v>
      </c>
      <c r="I20" s="31">
        <v>81</v>
      </c>
      <c r="J20">
        <v>13</v>
      </c>
      <c r="K20">
        <v>2</v>
      </c>
      <c r="L20" s="28">
        <v>11</v>
      </c>
      <c r="M20">
        <v>6</v>
      </c>
      <c r="N20">
        <v>0</v>
      </c>
      <c r="O20" s="31">
        <v>23</v>
      </c>
      <c r="P20">
        <v>9</v>
      </c>
      <c r="Q20">
        <v>0</v>
      </c>
      <c r="R20" s="28">
        <v>83</v>
      </c>
      <c r="S20">
        <v>8</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41</v>
      </c>
      <c r="D22">
        <v>5</v>
      </c>
      <c r="E22">
        <v>0</v>
      </c>
      <c r="F22" s="28">
        <v>44</v>
      </c>
      <c r="G22">
        <v>8</v>
      </c>
      <c r="H22">
        <v>0</v>
      </c>
      <c r="I22" s="31">
        <v>71</v>
      </c>
      <c r="J22">
        <v>15</v>
      </c>
      <c r="K22">
        <v>1</v>
      </c>
      <c r="L22" s="28">
        <v>5</v>
      </c>
      <c r="M22">
        <v>4</v>
      </c>
      <c r="N22">
        <v>0</v>
      </c>
      <c r="O22" s="31">
        <v>15</v>
      </c>
      <c r="P22">
        <v>11</v>
      </c>
      <c r="Q22">
        <v>0</v>
      </c>
      <c r="R22" s="28">
        <v>126</v>
      </c>
      <c r="S22">
        <v>5</v>
      </c>
      <c r="T22" s="34">
        <v>0</v>
      </c>
    </row>
    <row r="23" spans="1:20" x14ac:dyDescent="0.25">
      <c r="A23" s="2" t="s">
        <v>44</v>
      </c>
      <c r="B23" s="7">
        <v>0.67708333333333337</v>
      </c>
      <c r="C23" s="31">
        <v>28</v>
      </c>
      <c r="D23">
        <v>8</v>
      </c>
      <c r="E23">
        <v>0</v>
      </c>
      <c r="F23" s="28">
        <v>17</v>
      </c>
      <c r="G23">
        <v>5</v>
      </c>
      <c r="H23">
        <v>1</v>
      </c>
      <c r="I23" s="31">
        <v>71</v>
      </c>
      <c r="J23">
        <v>15</v>
      </c>
      <c r="K23">
        <v>1</v>
      </c>
      <c r="L23" s="28">
        <v>8</v>
      </c>
      <c r="M23">
        <v>5</v>
      </c>
      <c r="N23">
        <v>0</v>
      </c>
      <c r="O23" s="31">
        <v>11</v>
      </c>
      <c r="P23">
        <v>9</v>
      </c>
      <c r="Q23">
        <v>0</v>
      </c>
      <c r="R23" s="28">
        <v>137</v>
      </c>
      <c r="S23">
        <v>10</v>
      </c>
      <c r="T23" s="34">
        <v>2</v>
      </c>
    </row>
    <row r="24" spans="1:20" x14ac:dyDescent="0.25">
      <c r="A24" s="2" t="s">
        <v>44</v>
      </c>
      <c r="B24" s="7">
        <v>0.6875</v>
      </c>
      <c r="C24" s="31">
        <v>59</v>
      </c>
      <c r="D24">
        <v>3</v>
      </c>
      <c r="E24">
        <v>0</v>
      </c>
      <c r="F24" s="28">
        <v>35</v>
      </c>
      <c r="G24">
        <v>4</v>
      </c>
      <c r="H24">
        <v>1</v>
      </c>
      <c r="I24" s="31">
        <v>119</v>
      </c>
      <c r="J24">
        <v>10</v>
      </c>
      <c r="K24">
        <v>1</v>
      </c>
      <c r="L24" s="28">
        <v>6</v>
      </c>
      <c r="M24">
        <v>5</v>
      </c>
      <c r="N24">
        <v>1</v>
      </c>
      <c r="O24" s="31">
        <v>7</v>
      </c>
      <c r="P24">
        <v>4</v>
      </c>
      <c r="Q24">
        <v>0</v>
      </c>
      <c r="R24" s="28">
        <v>156</v>
      </c>
      <c r="S24">
        <v>7</v>
      </c>
      <c r="T24" s="34">
        <v>5</v>
      </c>
    </row>
    <row r="25" spans="1:20" x14ac:dyDescent="0.25">
      <c r="A25" s="2" t="s">
        <v>44</v>
      </c>
      <c r="B25" s="7">
        <v>0.69791666666666663</v>
      </c>
      <c r="C25" s="31">
        <v>46</v>
      </c>
      <c r="D25">
        <v>5</v>
      </c>
      <c r="E25">
        <v>0</v>
      </c>
      <c r="F25" s="28">
        <v>25</v>
      </c>
      <c r="G25">
        <v>2</v>
      </c>
      <c r="H25">
        <v>0</v>
      </c>
      <c r="I25" s="31">
        <v>92</v>
      </c>
      <c r="J25">
        <v>12</v>
      </c>
      <c r="K25">
        <v>2</v>
      </c>
      <c r="L25" s="28">
        <v>7</v>
      </c>
      <c r="M25">
        <v>3</v>
      </c>
      <c r="N25">
        <v>0</v>
      </c>
      <c r="O25" s="31">
        <v>9</v>
      </c>
      <c r="P25">
        <v>6</v>
      </c>
      <c r="Q25">
        <v>0</v>
      </c>
      <c r="R25" s="28">
        <v>191</v>
      </c>
      <c r="S25">
        <v>5</v>
      </c>
      <c r="T25" s="34">
        <v>3</v>
      </c>
    </row>
    <row r="26" spans="1:20" x14ac:dyDescent="0.25">
      <c r="A26" s="2" t="s">
        <v>44</v>
      </c>
      <c r="B26" s="7">
        <v>0.70833333333333337</v>
      </c>
      <c r="C26" s="31">
        <v>78</v>
      </c>
      <c r="D26">
        <v>4</v>
      </c>
      <c r="E26">
        <v>0</v>
      </c>
      <c r="F26" s="28">
        <v>49</v>
      </c>
      <c r="G26">
        <v>1</v>
      </c>
      <c r="H26">
        <v>1</v>
      </c>
      <c r="I26" s="31">
        <v>90</v>
      </c>
      <c r="J26">
        <v>7</v>
      </c>
      <c r="K26">
        <v>3</v>
      </c>
      <c r="L26" s="28">
        <v>6</v>
      </c>
      <c r="M26">
        <v>0</v>
      </c>
      <c r="N26">
        <v>1</v>
      </c>
      <c r="O26" s="31">
        <v>2</v>
      </c>
      <c r="P26">
        <v>1</v>
      </c>
      <c r="Q26">
        <v>0</v>
      </c>
      <c r="R26" s="28">
        <v>151</v>
      </c>
      <c r="S26">
        <v>9</v>
      </c>
      <c r="T26" s="34">
        <v>6</v>
      </c>
    </row>
    <row r="27" spans="1:20" x14ac:dyDescent="0.25">
      <c r="A27" s="2" t="s">
        <v>44</v>
      </c>
      <c r="B27" s="7">
        <v>0.71875</v>
      </c>
      <c r="C27" s="31">
        <v>28</v>
      </c>
      <c r="D27">
        <v>2</v>
      </c>
      <c r="E27">
        <v>1</v>
      </c>
      <c r="F27" s="28">
        <v>27</v>
      </c>
      <c r="G27">
        <v>0</v>
      </c>
      <c r="H27">
        <v>1</v>
      </c>
      <c r="I27" s="31">
        <v>62</v>
      </c>
      <c r="J27">
        <v>10</v>
      </c>
      <c r="K27">
        <v>1</v>
      </c>
      <c r="L27" s="28">
        <v>7</v>
      </c>
      <c r="M27">
        <v>1</v>
      </c>
      <c r="N27">
        <v>0</v>
      </c>
      <c r="O27" s="31">
        <v>6</v>
      </c>
      <c r="P27">
        <v>2</v>
      </c>
      <c r="Q27">
        <v>0</v>
      </c>
      <c r="R27" s="28">
        <v>176</v>
      </c>
      <c r="S27">
        <v>8</v>
      </c>
      <c r="T27" s="34">
        <v>4</v>
      </c>
    </row>
    <row r="28" spans="1:20" x14ac:dyDescent="0.25">
      <c r="A28" s="2" t="s">
        <v>44</v>
      </c>
      <c r="B28" s="7">
        <v>0.72916666666666663</v>
      </c>
      <c r="C28" s="31">
        <v>20</v>
      </c>
      <c r="D28">
        <v>5</v>
      </c>
      <c r="E28">
        <v>0</v>
      </c>
      <c r="F28" s="28">
        <v>20</v>
      </c>
      <c r="G28">
        <v>4</v>
      </c>
      <c r="H28">
        <v>0</v>
      </c>
      <c r="I28" s="31">
        <v>75</v>
      </c>
      <c r="J28">
        <v>11</v>
      </c>
      <c r="K28">
        <v>2</v>
      </c>
      <c r="L28" s="28">
        <v>7</v>
      </c>
      <c r="M28">
        <v>2</v>
      </c>
      <c r="N28">
        <v>0</v>
      </c>
      <c r="O28" s="31">
        <v>5</v>
      </c>
      <c r="P28">
        <v>3</v>
      </c>
      <c r="Q28">
        <v>0</v>
      </c>
      <c r="R28" s="28">
        <v>147</v>
      </c>
      <c r="S28">
        <v>8</v>
      </c>
      <c r="T28" s="34">
        <v>1</v>
      </c>
    </row>
    <row r="29" spans="1:20" ht="15.75" thickBot="1" x14ac:dyDescent="0.3">
      <c r="A29" s="21" t="s">
        <v>44</v>
      </c>
      <c r="B29" s="48">
        <v>0.73958333333333337</v>
      </c>
      <c r="C29" s="39">
        <v>25</v>
      </c>
      <c r="D29" s="38">
        <v>4</v>
      </c>
      <c r="E29" s="38">
        <v>1</v>
      </c>
      <c r="F29" s="40">
        <v>9</v>
      </c>
      <c r="G29" s="38">
        <v>2</v>
      </c>
      <c r="H29" s="38">
        <v>0</v>
      </c>
      <c r="I29" s="39">
        <v>63</v>
      </c>
      <c r="J29" s="38">
        <v>4</v>
      </c>
      <c r="K29" s="38">
        <v>3</v>
      </c>
      <c r="L29" s="40">
        <v>4</v>
      </c>
      <c r="M29" s="38">
        <v>0</v>
      </c>
      <c r="N29" s="38">
        <v>0</v>
      </c>
      <c r="O29" s="39">
        <v>6</v>
      </c>
      <c r="P29" s="38">
        <v>4</v>
      </c>
      <c r="Q29" s="38">
        <v>0</v>
      </c>
      <c r="R29" s="40">
        <v>148</v>
      </c>
      <c r="S29" s="38">
        <v>5</v>
      </c>
      <c r="T29" s="41">
        <v>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1</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3</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6</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10</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12</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9</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11</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10</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28</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16</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14</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17</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41</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28</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59</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46</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78</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28</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20</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25</v>
      </c>
      <c r="H21" s="6">
        <f>FLOOR(tblPivotData[[#This Row],[Time]],Summary!$B$6/1440)</f>
        <v>0.73958333333333326</v>
      </c>
      <c r="I21" s="49">
        <f>INDEX(PeakCalc!$L$10:$L$303,MATCH(tblPivotData[[#This Row],[Time]],PeakCalc!$G$10:$G$303,0))</f>
        <v>0</v>
      </c>
    </row>
    <row r="22" spans="1:9" x14ac:dyDescent="0.25">
      <c r="A22" t="s">
        <v>93</v>
      </c>
      <c r="B22" t="s">
        <v>96</v>
      </c>
      <c r="C22" t="s">
        <v>94</v>
      </c>
      <c r="D22" t="s">
        <v>90</v>
      </c>
      <c r="E22" t="s">
        <v>43</v>
      </c>
      <c r="F22" s="6">
        <v>0.29166666666666669</v>
      </c>
      <c r="G22">
        <v>11</v>
      </c>
      <c r="H22" s="6">
        <f>FLOOR(tblPivotData[[#This Row],[Time]],Summary!$B$6/1440)</f>
        <v>0.29166666666666663</v>
      </c>
      <c r="I22" s="49">
        <f>INDEX(PeakCalc!$L$10:$L$303,MATCH(tblPivotData[[#This Row],[Time]],PeakCalc!$G$10:$G$303,0))</f>
        <v>0</v>
      </c>
    </row>
    <row r="23" spans="1:9" x14ac:dyDescent="0.25">
      <c r="A23" t="s">
        <v>93</v>
      </c>
      <c r="B23" t="s">
        <v>96</v>
      </c>
      <c r="C23" t="s">
        <v>94</v>
      </c>
      <c r="D23" t="s">
        <v>90</v>
      </c>
      <c r="E23" t="s">
        <v>43</v>
      </c>
      <c r="F23" s="6">
        <v>0.30208333333333331</v>
      </c>
      <c r="G23">
        <v>12</v>
      </c>
      <c r="H23" s="6">
        <f>FLOOR(tblPivotData[[#This Row],[Time]],Summary!$B$6/1440)</f>
        <v>0.30208333333333331</v>
      </c>
      <c r="I23" s="49">
        <f>INDEX(PeakCalc!$L$10:$L$303,MATCH(tblPivotData[[#This Row],[Time]],PeakCalc!$G$10:$G$303,0))</f>
        <v>0</v>
      </c>
    </row>
    <row r="24" spans="1:9" x14ac:dyDescent="0.25">
      <c r="A24" t="s">
        <v>93</v>
      </c>
      <c r="B24" t="s">
        <v>96</v>
      </c>
      <c r="C24" t="s">
        <v>94</v>
      </c>
      <c r="D24" t="s">
        <v>90</v>
      </c>
      <c r="E24" t="s">
        <v>43</v>
      </c>
      <c r="F24" s="6">
        <v>0.3125</v>
      </c>
      <c r="G24">
        <v>11</v>
      </c>
      <c r="H24" s="6">
        <f>FLOOR(tblPivotData[[#This Row],[Time]],Summary!$B$6/1440)</f>
        <v>0.3125</v>
      </c>
      <c r="I24" s="49">
        <f>INDEX(PeakCalc!$L$10:$L$303,MATCH(tblPivotData[[#This Row],[Time]],PeakCalc!$G$10:$G$303,0))</f>
        <v>0</v>
      </c>
    </row>
    <row r="25" spans="1:9" x14ac:dyDescent="0.25">
      <c r="A25" t="s">
        <v>93</v>
      </c>
      <c r="B25" t="s">
        <v>96</v>
      </c>
      <c r="C25" t="s">
        <v>94</v>
      </c>
      <c r="D25" t="s">
        <v>90</v>
      </c>
      <c r="E25" t="s">
        <v>43</v>
      </c>
      <c r="F25" s="6">
        <v>0.32291666666666669</v>
      </c>
      <c r="G25">
        <v>8</v>
      </c>
      <c r="H25" s="6">
        <f>FLOOR(tblPivotData[[#This Row],[Time]],Summary!$B$6/1440)</f>
        <v>0.32291666666666663</v>
      </c>
      <c r="I25" s="49">
        <f>INDEX(PeakCalc!$L$10:$L$303,MATCH(tblPivotData[[#This Row],[Time]],PeakCalc!$G$10:$G$303,0))</f>
        <v>1</v>
      </c>
    </row>
    <row r="26" spans="1:9" x14ac:dyDescent="0.25">
      <c r="A26" t="s">
        <v>93</v>
      </c>
      <c r="B26" t="s">
        <v>96</v>
      </c>
      <c r="C26" t="s">
        <v>94</v>
      </c>
      <c r="D26" t="s">
        <v>90</v>
      </c>
      <c r="E26" t="s">
        <v>43</v>
      </c>
      <c r="F26" s="6">
        <v>0.33333333333333331</v>
      </c>
      <c r="G26">
        <v>8</v>
      </c>
      <c r="H26" s="6">
        <f>FLOOR(tblPivotData[[#This Row],[Time]],Summary!$B$6/1440)</f>
        <v>0.33333333333333331</v>
      </c>
      <c r="I26" s="49">
        <f>INDEX(PeakCalc!$L$10:$L$303,MATCH(tblPivotData[[#This Row],[Time]],PeakCalc!$G$10:$G$303,0))</f>
        <v>1</v>
      </c>
    </row>
    <row r="27" spans="1:9" x14ac:dyDescent="0.25">
      <c r="A27" t="s">
        <v>93</v>
      </c>
      <c r="B27" t="s">
        <v>96</v>
      </c>
      <c r="C27" t="s">
        <v>94</v>
      </c>
      <c r="D27" t="s">
        <v>90</v>
      </c>
      <c r="E27" t="s">
        <v>43</v>
      </c>
      <c r="F27" s="6">
        <v>0.34375</v>
      </c>
      <c r="G27">
        <v>9</v>
      </c>
      <c r="H27" s="6">
        <f>FLOOR(tblPivotData[[#This Row],[Time]],Summary!$B$6/1440)</f>
        <v>0.34375</v>
      </c>
      <c r="I27" s="49">
        <f>INDEX(PeakCalc!$L$10:$L$303,MATCH(tblPivotData[[#This Row],[Time]],PeakCalc!$G$10:$G$303,0))</f>
        <v>1</v>
      </c>
    </row>
    <row r="28" spans="1:9" x14ac:dyDescent="0.25">
      <c r="A28" t="s">
        <v>93</v>
      </c>
      <c r="B28" t="s">
        <v>96</v>
      </c>
      <c r="C28" t="s">
        <v>94</v>
      </c>
      <c r="D28" t="s">
        <v>90</v>
      </c>
      <c r="E28" t="s">
        <v>43</v>
      </c>
      <c r="F28" s="6">
        <v>0.35416666666666669</v>
      </c>
      <c r="G28">
        <v>7</v>
      </c>
      <c r="H28" s="6">
        <f>FLOOR(tblPivotData[[#This Row],[Time]],Summary!$B$6/1440)</f>
        <v>0.35416666666666663</v>
      </c>
      <c r="I28" s="49">
        <f>INDEX(PeakCalc!$L$10:$L$303,MATCH(tblPivotData[[#This Row],[Time]],PeakCalc!$G$10:$G$303,0))</f>
        <v>1</v>
      </c>
    </row>
    <row r="29" spans="1:9" x14ac:dyDescent="0.25">
      <c r="A29" t="s">
        <v>93</v>
      </c>
      <c r="B29" t="s">
        <v>96</v>
      </c>
      <c r="C29" t="s">
        <v>94</v>
      </c>
      <c r="D29" t="s">
        <v>90</v>
      </c>
      <c r="E29" t="s">
        <v>43</v>
      </c>
      <c r="F29" s="6">
        <v>0.36458333333333331</v>
      </c>
      <c r="G29">
        <v>9</v>
      </c>
      <c r="H29" s="6">
        <f>FLOOR(tblPivotData[[#This Row],[Time]],Summary!$B$6/1440)</f>
        <v>0.36458333333333331</v>
      </c>
      <c r="I29" s="49">
        <f>INDEX(PeakCalc!$L$10:$L$303,MATCH(tblPivotData[[#This Row],[Time]],PeakCalc!$G$10:$G$303,0))</f>
        <v>0</v>
      </c>
    </row>
    <row r="30" spans="1:9" x14ac:dyDescent="0.25">
      <c r="A30" t="s">
        <v>93</v>
      </c>
      <c r="B30" t="s">
        <v>96</v>
      </c>
      <c r="C30" t="s">
        <v>94</v>
      </c>
      <c r="D30" t="s">
        <v>90</v>
      </c>
      <c r="E30" t="s">
        <v>91</v>
      </c>
      <c r="F30" s="6">
        <v>0.54166666666666663</v>
      </c>
      <c r="G30">
        <v>13</v>
      </c>
      <c r="H30" s="6">
        <f>FLOOR(tblPivotData[[#This Row],[Time]],Summary!$B$6/1440)</f>
        <v>0.54166666666666663</v>
      </c>
      <c r="I30" s="49">
        <f>INDEX(PeakCalc!$L$10:$L$303,MATCH(tblPivotData[[#This Row],[Time]],PeakCalc!$G$10:$G$303,0))</f>
        <v>1</v>
      </c>
    </row>
    <row r="31" spans="1:9" x14ac:dyDescent="0.25">
      <c r="A31" t="s">
        <v>93</v>
      </c>
      <c r="B31" t="s">
        <v>96</v>
      </c>
      <c r="C31" t="s">
        <v>94</v>
      </c>
      <c r="D31" t="s">
        <v>90</v>
      </c>
      <c r="E31" t="s">
        <v>91</v>
      </c>
      <c r="F31" s="6">
        <v>0.55208333333333337</v>
      </c>
      <c r="G31">
        <v>9</v>
      </c>
      <c r="H31" s="6">
        <f>FLOOR(tblPivotData[[#This Row],[Time]],Summary!$B$6/1440)</f>
        <v>0.55208333333333326</v>
      </c>
      <c r="I31" s="49">
        <f>INDEX(PeakCalc!$L$10:$L$303,MATCH(tblPivotData[[#This Row],[Time]],PeakCalc!$G$10:$G$303,0))</f>
        <v>1</v>
      </c>
    </row>
    <row r="32" spans="1:9" x14ac:dyDescent="0.25">
      <c r="A32" t="s">
        <v>93</v>
      </c>
      <c r="B32" t="s">
        <v>96</v>
      </c>
      <c r="C32" t="s">
        <v>94</v>
      </c>
      <c r="D32" t="s">
        <v>90</v>
      </c>
      <c r="E32" t="s">
        <v>91</v>
      </c>
      <c r="F32" s="6">
        <v>0.5625</v>
      </c>
      <c r="G32">
        <v>11</v>
      </c>
      <c r="H32" s="6">
        <f>FLOOR(tblPivotData[[#This Row],[Time]],Summary!$B$6/1440)</f>
        <v>0.5625</v>
      </c>
      <c r="I32" s="49">
        <f>INDEX(PeakCalc!$L$10:$L$303,MATCH(tblPivotData[[#This Row],[Time]],PeakCalc!$G$10:$G$303,0))</f>
        <v>1</v>
      </c>
    </row>
    <row r="33" spans="1:9" x14ac:dyDescent="0.25">
      <c r="A33" t="s">
        <v>93</v>
      </c>
      <c r="B33" t="s">
        <v>96</v>
      </c>
      <c r="C33" t="s">
        <v>94</v>
      </c>
      <c r="D33" t="s">
        <v>90</v>
      </c>
      <c r="E33" t="s">
        <v>91</v>
      </c>
      <c r="F33" s="6">
        <v>0.57291666666666663</v>
      </c>
      <c r="G33">
        <v>10</v>
      </c>
      <c r="H33" s="6">
        <f>FLOOR(tblPivotData[[#This Row],[Time]],Summary!$B$6/1440)</f>
        <v>0.57291666666666663</v>
      </c>
      <c r="I33" s="49">
        <f>INDEX(PeakCalc!$L$10:$L$303,MATCH(tblPivotData[[#This Row],[Time]],PeakCalc!$G$10:$G$303,0))</f>
        <v>1</v>
      </c>
    </row>
    <row r="34" spans="1:9" x14ac:dyDescent="0.25">
      <c r="A34" t="s">
        <v>93</v>
      </c>
      <c r="B34" t="s">
        <v>96</v>
      </c>
      <c r="C34" t="s">
        <v>94</v>
      </c>
      <c r="D34" t="s">
        <v>90</v>
      </c>
      <c r="E34" t="s">
        <v>44</v>
      </c>
      <c r="F34" s="6">
        <v>0.66666666666666663</v>
      </c>
      <c r="G34">
        <v>5</v>
      </c>
      <c r="H34" s="6">
        <f>FLOOR(tblPivotData[[#This Row],[Time]],Summary!$B$6/1440)</f>
        <v>0.66666666666666663</v>
      </c>
      <c r="I34" s="49">
        <f>INDEX(PeakCalc!$L$10:$L$303,MATCH(tblPivotData[[#This Row],[Time]],PeakCalc!$G$10:$G$303,0))</f>
        <v>0</v>
      </c>
    </row>
    <row r="35" spans="1:9" x14ac:dyDescent="0.25">
      <c r="A35" t="s">
        <v>93</v>
      </c>
      <c r="B35" t="s">
        <v>96</v>
      </c>
      <c r="C35" t="s">
        <v>94</v>
      </c>
      <c r="D35" t="s">
        <v>90</v>
      </c>
      <c r="E35" t="s">
        <v>44</v>
      </c>
      <c r="F35" s="6">
        <v>0.67708333333333337</v>
      </c>
      <c r="G35">
        <v>8</v>
      </c>
      <c r="H35" s="6">
        <f>FLOOR(tblPivotData[[#This Row],[Time]],Summary!$B$6/1440)</f>
        <v>0.67708333333333326</v>
      </c>
      <c r="I35" s="49">
        <f>INDEX(PeakCalc!$L$10:$L$303,MATCH(tblPivotData[[#This Row],[Time]],PeakCalc!$G$10:$G$303,0))</f>
        <v>0</v>
      </c>
    </row>
    <row r="36" spans="1:9" x14ac:dyDescent="0.25">
      <c r="A36" t="s">
        <v>93</v>
      </c>
      <c r="B36" t="s">
        <v>96</v>
      </c>
      <c r="C36" t="s">
        <v>94</v>
      </c>
      <c r="D36" t="s">
        <v>90</v>
      </c>
      <c r="E36" t="s">
        <v>44</v>
      </c>
      <c r="F36" s="6">
        <v>0.6875</v>
      </c>
      <c r="G36">
        <v>3</v>
      </c>
      <c r="H36" s="6">
        <f>FLOOR(tblPivotData[[#This Row],[Time]],Summary!$B$6/1440)</f>
        <v>0.6875</v>
      </c>
      <c r="I36" s="49">
        <f>INDEX(PeakCalc!$L$10:$L$303,MATCH(tblPivotData[[#This Row],[Time]],PeakCalc!$G$10:$G$303,0))</f>
        <v>1</v>
      </c>
    </row>
    <row r="37" spans="1:9" x14ac:dyDescent="0.25">
      <c r="A37" t="s">
        <v>93</v>
      </c>
      <c r="B37" t="s">
        <v>96</v>
      </c>
      <c r="C37" t="s">
        <v>94</v>
      </c>
      <c r="D37" t="s">
        <v>90</v>
      </c>
      <c r="E37" t="s">
        <v>44</v>
      </c>
      <c r="F37" s="6">
        <v>0.69791666666666663</v>
      </c>
      <c r="G37">
        <v>5</v>
      </c>
      <c r="H37" s="6">
        <f>FLOOR(tblPivotData[[#This Row],[Time]],Summary!$B$6/1440)</f>
        <v>0.69791666666666663</v>
      </c>
      <c r="I37" s="49">
        <f>INDEX(PeakCalc!$L$10:$L$303,MATCH(tblPivotData[[#This Row],[Time]],PeakCalc!$G$10:$G$303,0))</f>
        <v>1</v>
      </c>
    </row>
    <row r="38" spans="1:9" x14ac:dyDescent="0.25">
      <c r="A38" t="s">
        <v>93</v>
      </c>
      <c r="B38" t="s">
        <v>96</v>
      </c>
      <c r="C38" t="s">
        <v>94</v>
      </c>
      <c r="D38" t="s">
        <v>90</v>
      </c>
      <c r="E38" t="s">
        <v>44</v>
      </c>
      <c r="F38" s="6">
        <v>0.70833333333333337</v>
      </c>
      <c r="G38">
        <v>4</v>
      </c>
      <c r="H38" s="6">
        <f>FLOOR(tblPivotData[[#This Row],[Time]],Summary!$B$6/1440)</f>
        <v>0.70833333333333326</v>
      </c>
      <c r="I38" s="49">
        <f>INDEX(PeakCalc!$L$10:$L$303,MATCH(tblPivotData[[#This Row],[Time]],PeakCalc!$G$10:$G$303,0))</f>
        <v>1</v>
      </c>
    </row>
    <row r="39" spans="1:9" x14ac:dyDescent="0.25">
      <c r="A39" t="s">
        <v>93</v>
      </c>
      <c r="B39" t="s">
        <v>96</v>
      </c>
      <c r="C39" t="s">
        <v>94</v>
      </c>
      <c r="D39" t="s">
        <v>90</v>
      </c>
      <c r="E39" t="s">
        <v>44</v>
      </c>
      <c r="F39" s="6">
        <v>0.71875</v>
      </c>
      <c r="G39">
        <v>2</v>
      </c>
      <c r="H39" s="6">
        <f>FLOOR(tblPivotData[[#This Row],[Time]],Summary!$B$6/1440)</f>
        <v>0.71875</v>
      </c>
      <c r="I39" s="49">
        <f>INDEX(PeakCalc!$L$10:$L$303,MATCH(tblPivotData[[#This Row],[Time]],PeakCalc!$G$10:$G$303,0))</f>
        <v>1</v>
      </c>
    </row>
    <row r="40" spans="1:9" x14ac:dyDescent="0.25">
      <c r="A40" t="s">
        <v>93</v>
      </c>
      <c r="B40" t="s">
        <v>96</v>
      </c>
      <c r="C40" t="s">
        <v>94</v>
      </c>
      <c r="D40" t="s">
        <v>90</v>
      </c>
      <c r="E40" t="s">
        <v>44</v>
      </c>
      <c r="F40" s="6">
        <v>0.72916666666666663</v>
      </c>
      <c r="G40">
        <v>5</v>
      </c>
      <c r="H40" s="6">
        <f>FLOOR(tblPivotData[[#This Row],[Time]],Summary!$B$6/1440)</f>
        <v>0.72916666666666663</v>
      </c>
      <c r="I40" s="49">
        <f>INDEX(PeakCalc!$L$10:$L$303,MATCH(tblPivotData[[#This Row],[Time]],PeakCalc!$G$10:$G$303,0))</f>
        <v>0</v>
      </c>
    </row>
    <row r="41" spans="1:9" x14ac:dyDescent="0.25">
      <c r="A41" t="s">
        <v>93</v>
      </c>
      <c r="B41" t="s">
        <v>96</v>
      </c>
      <c r="C41" t="s">
        <v>94</v>
      </c>
      <c r="D41" t="s">
        <v>90</v>
      </c>
      <c r="E41" t="s">
        <v>44</v>
      </c>
      <c r="F41" s="6">
        <v>0.73958333333333337</v>
      </c>
      <c r="G41">
        <v>4</v>
      </c>
      <c r="H41" s="6">
        <f>FLOOR(tblPivotData[[#This Row],[Time]],Summary!$B$6/1440)</f>
        <v>0.73958333333333326</v>
      </c>
      <c r="I41" s="49">
        <f>INDEX(PeakCalc!$L$10:$L$303,MATCH(tblPivotData[[#This Row],[Time]],PeakCalc!$G$10:$G$303,0))</f>
        <v>0</v>
      </c>
    </row>
    <row r="42" spans="1:9" x14ac:dyDescent="0.25">
      <c r="A42" t="s">
        <v>93</v>
      </c>
      <c r="B42" t="s">
        <v>96</v>
      </c>
      <c r="C42" t="s">
        <v>94</v>
      </c>
      <c r="D42" t="s">
        <v>88</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88</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88</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88</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88</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88</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88</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88</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88</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88</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88</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88</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88</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88</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88</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88</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88</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88</v>
      </c>
      <c r="E59" t="s">
        <v>44</v>
      </c>
      <c r="F59" s="6">
        <v>0.71875</v>
      </c>
      <c r="G59">
        <v>1</v>
      </c>
      <c r="H59" s="6">
        <f>FLOOR(tblPivotData[[#This Row],[Time]],Summary!$B$6/1440)</f>
        <v>0.71875</v>
      </c>
      <c r="I59" s="49">
        <f>INDEX(PeakCalc!$L$10:$L$303,MATCH(tblPivotData[[#This Row],[Time]],PeakCalc!$G$10:$G$303,0))</f>
        <v>1</v>
      </c>
    </row>
    <row r="60" spans="1:9" x14ac:dyDescent="0.25">
      <c r="A60" t="s">
        <v>93</v>
      </c>
      <c r="B60" t="s">
        <v>96</v>
      </c>
      <c r="C60" t="s">
        <v>94</v>
      </c>
      <c r="D60" t="s">
        <v>88</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88</v>
      </c>
      <c r="E61" t="s">
        <v>44</v>
      </c>
      <c r="F61" s="6">
        <v>0.73958333333333337</v>
      </c>
      <c r="G61">
        <v>1</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6</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5</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2</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3</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12</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9</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10</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8</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19</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12</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22</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7</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44</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17</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35</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25</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49</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27</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20</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9</v>
      </c>
      <c r="H81" s="6">
        <f>FLOOR(tblPivotData[[#This Row],[Time]],Summary!$B$6/1440)</f>
        <v>0.73958333333333326</v>
      </c>
      <c r="I81" s="49">
        <f>INDEX(PeakCalc!$L$10:$L$303,MATCH(tblPivotData[[#This Row],[Time]],PeakCalc!$G$10:$G$303,0))</f>
        <v>0</v>
      </c>
    </row>
    <row r="82" spans="1:9" x14ac:dyDescent="0.25">
      <c r="A82" t="s">
        <v>93</v>
      </c>
      <c r="B82" t="s">
        <v>97</v>
      </c>
      <c r="C82" t="s">
        <v>95</v>
      </c>
      <c r="D82" t="s">
        <v>90</v>
      </c>
      <c r="E82" t="s">
        <v>43</v>
      </c>
      <c r="F82" s="6">
        <v>0.29166666666666669</v>
      </c>
      <c r="G82">
        <v>7</v>
      </c>
      <c r="H82" s="6">
        <f>FLOOR(tblPivotData[[#This Row],[Time]],Summary!$B$6/1440)</f>
        <v>0.29166666666666663</v>
      </c>
      <c r="I82" s="49">
        <f>INDEX(PeakCalc!$L$10:$L$303,MATCH(tblPivotData[[#This Row],[Time]],PeakCalc!$G$10:$G$303,0))</f>
        <v>0</v>
      </c>
    </row>
    <row r="83" spans="1:9" x14ac:dyDescent="0.25">
      <c r="A83" t="s">
        <v>93</v>
      </c>
      <c r="B83" t="s">
        <v>97</v>
      </c>
      <c r="C83" t="s">
        <v>95</v>
      </c>
      <c r="D83" t="s">
        <v>90</v>
      </c>
      <c r="E83" t="s">
        <v>43</v>
      </c>
      <c r="F83" s="6">
        <v>0.30208333333333331</v>
      </c>
      <c r="G83">
        <v>4</v>
      </c>
      <c r="H83" s="6">
        <f>FLOOR(tblPivotData[[#This Row],[Time]],Summary!$B$6/1440)</f>
        <v>0.30208333333333331</v>
      </c>
      <c r="I83" s="49">
        <f>INDEX(PeakCalc!$L$10:$L$303,MATCH(tblPivotData[[#This Row],[Time]],PeakCalc!$G$10:$G$303,0))</f>
        <v>0</v>
      </c>
    </row>
    <row r="84" spans="1:9" x14ac:dyDescent="0.25">
      <c r="A84" t="s">
        <v>93</v>
      </c>
      <c r="B84" t="s">
        <v>97</v>
      </c>
      <c r="C84" t="s">
        <v>95</v>
      </c>
      <c r="D84" t="s">
        <v>90</v>
      </c>
      <c r="E84" t="s">
        <v>43</v>
      </c>
      <c r="F84" s="6">
        <v>0.3125</v>
      </c>
      <c r="G84">
        <v>3</v>
      </c>
      <c r="H84" s="6">
        <f>FLOOR(tblPivotData[[#This Row],[Time]],Summary!$B$6/1440)</f>
        <v>0.3125</v>
      </c>
      <c r="I84" s="49">
        <f>INDEX(PeakCalc!$L$10:$L$303,MATCH(tblPivotData[[#This Row],[Time]],PeakCalc!$G$10:$G$303,0))</f>
        <v>0</v>
      </c>
    </row>
    <row r="85" spans="1:9" x14ac:dyDescent="0.25">
      <c r="A85" t="s">
        <v>93</v>
      </c>
      <c r="B85" t="s">
        <v>97</v>
      </c>
      <c r="C85" t="s">
        <v>95</v>
      </c>
      <c r="D85" t="s">
        <v>90</v>
      </c>
      <c r="E85" t="s">
        <v>43</v>
      </c>
      <c r="F85" s="6">
        <v>0.32291666666666669</v>
      </c>
      <c r="G85">
        <v>2</v>
      </c>
      <c r="H85" s="6">
        <f>FLOOR(tblPivotData[[#This Row],[Time]],Summary!$B$6/1440)</f>
        <v>0.32291666666666663</v>
      </c>
      <c r="I85" s="49">
        <f>INDEX(PeakCalc!$L$10:$L$303,MATCH(tblPivotData[[#This Row],[Time]],PeakCalc!$G$10:$G$303,0))</f>
        <v>1</v>
      </c>
    </row>
    <row r="86" spans="1:9" x14ac:dyDescent="0.25">
      <c r="A86" t="s">
        <v>93</v>
      </c>
      <c r="B86" t="s">
        <v>97</v>
      </c>
      <c r="C86" t="s">
        <v>95</v>
      </c>
      <c r="D86" t="s">
        <v>90</v>
      </c>
      <c r="E86" t="s">
        <v>43</v>
      </c>
      <c r="F86" s="6">
        <v>0.33333333333333331</v>
      </c>
      <c r="G86">
        <v>9</v>
      </c>
      <c r="H86" s="6">
        <f>FLOOR(tblPivotData[[#This Row],[Time]],Summary!$B$6/1440)</f>
        <v>0.33333333333333331</v>
      </c>
      <c r="I86" s="49">
        <f>INDEX(PeakCalc!$L$10:$L$303,MATCH(tblPivotData[[#This Row],[Time]],PeakCalc!$G$10:$G$303,0))</f>
        <v>1</v>
      </c>
    </row>
    <row r="87" spans="1:9" x14ac:dyDescent="0.25">
      <c r="A87" t="s">
        <v>93</v>
      </c>
      <c r="B87" t="s">
        <v>97</v>
      </c>
      <c r="C87" t="s">
        <v>95</v>
      </c>
      <c r="D87" t="s">
        <v>90</v>
      </c>
      <c r="E87" t="s">
        <v>43</v>
      </c>
      <c r="F87" s="6">
        <v>0.34375</v>
      </c>
      <c r="G87">
        <v>2</v>
      </c>
      <c r="H87" s="6">
        <f>FLOOR(tblPivotData[[#This Row],[Time]],Summary!$B$6/1440)</f>
        <v>0.34375</v>
      </c>
      <c r="I87" s="49">
        <f>INDEX(PeakCalc!$L$10:$L$303,MATCH(tblPivotData[[#This Row],[Time]],PeakCalc!$G$10:$G$303,0))</f>
        <v>1</v>
      </c>
    </row>
    <row r="88" spans="1:9" x14ac:dyDescent="0.25">
      <c r="A88" t="s">
        <v>93</v>
      </c>
      <c r="B88" t="s">
        <v>97</v>
      </c>
      <c r="C88" t="s">
        <v>95</v>
      </c>
      <c r="D88" t="s">
        <v>90</v>
      </c>
      <c r="E88" t="s">
        <v>43</v>
      </c>
      <c r="F88" s="6">
        <v>0.35416666666666669</v>
      </c>
      <c r="G88">
        <v>4</v>
      </c>
      <c r="H88" s="6">
        <f>FLOOR(tblPivotData[[#This Row],[Time]],Summary!$B$6/1440)</f>
        <v>0.35416666666666663</v>
      </c>
      <c r="I88" s="49">
        <f>INDEX(PeakCalc!$L$10:$L$303,MATCH(tblPivotData[[#This Row],[Time]],PeakCalc!$G$10:$G$303,0))</f>
        <v>1</v>
      </c>
    </row>
    <row r="89" spans="1:9" x14ac:dyDescent="0.25">
      <c r="A89" t="s">
        <v>93</v>
      </c>
      <c r="B89" t="s">
        <v>97</v>
      </c>
      <c r="C89" t="s">
        <v>95</v>
      </c>
      <c r="D89" t="s">
        <v>90</v>
      </c>
      <c r="E89" t="s">
        <v>43</v>
      </c>
      <c r="F89" s="6">
        <v>0.36458333333333331</v>
      </c>
      <c r="G89">
        <v>4</v>
      </c>
      <c r="H89" s="6">
        <f>FLOOR(tblPivotData[[#This Row],[Time]],Summary!$B$6/1440)</f>
        <v>0.36458333333333331</v>
      </c>
      <c r="I89" s="49">
        <f>INDEX(PeakCalc!$L$10:$L$303,MATCH(tblPivotData[[#This Row],[Time]],PeakCalc!$G$10:$G$303,0))</f>
        <v>0</v>
      </c>
    </row>
    <row r="90" spans="1:9" x14ac:dyDescent="0.25">
      <c r="A90" t="s">
        <v>93</v>
      </c>
      <c r="B90" t="s">
        <v>97</v>
      </c>
      <c r="C90" t="s">
        <v>95</v>
      </c>
      <c r="D90" t="s">
        <v>90</v>
      </c>
      <c r="E90" t="s">
        <v>91</v>
      </c>
      <c r="F90" s="6">
        <v>0.54166666666666663</v>
      </c>
      <c r="G90">
        <v>3</v>
      </c>
      <c r="H90" s="6">
        <f>FLOOR(tblPivotData[[#This Row],[Time]],Summary!$B$6/1440)</f>
        <v>0.54166666666666663</v>
      </c>
      <c r="I90" s="49">
        <f>INDEX(PeakCalc!$L$10:$L$303,MATCH(tblPivotData[[#This Row],[Time]],PeakCalc!$G$10:$G$303,0))</f>
        <v>1</v>
      </c>
    </row>
    <row r="91" spans="1:9" x14ac:dyDescent="0.25">
      <c r="A91" t="s">
        <v>93</v>
      </c>
      <c r="B91" t="s">
        <v>97</v>
      </c>
      <c r="C91" t="s">
        <v>95</v>
      </c>
      <c r="D91" t="s">
        <v>90</v>
      </c>
      <c r="E91" t="s">
        <v>91</v>
      </c>
      <c r="F91" s="6">
        <v>0.55208333333333337</v>
      </c>
      <c r="G91">
        <v>8</v>
      </c>
      <c r="H91" s="6">
        <f>FLOOR(tblPivotData[[#This Row],[Time]],Summary!$B$6/1440)</f>
        <v>0.55208333333333326</v>
      </c>
      <c r="I91" s="49">
        <f>INDEX(PeakCalc!$L$10:$L$303,MATCH(tblPivotData[[#This Row],[Time]],PeakCalc!$G$10:$G$303,0))</f>
        <v>1</v>
      </c>
    </row>
    <row r="92" spans="1:9" x14ac:dyDescent="0.25">
      <c r="A92" t="s">
        <v>93</v>
      </c>
      <c r="B92" t="s">
        <v>97</v>
      </c>
      <c r="C92" t="s">
        <v>95</v>
      </c>
      <c r="D92" t="s">
        <v>90</v>
      </c>
      <c r="E92" t="s">
        <v>91</v>
      </c>
      <c r="F92" s="6">
        <v>0.5625</v>
      </c>
      <c r="G92">
        <v>7</v>
      </c>
      <c r="H92" s="6">
        <f>FLOOR(tblPivotData[[#This Row],[Time]],Summary!$B$6/1440)</f>
        <v>0.5625</v>
      </c>
      <c r="I92" s="49">
        <f>INDEX(PeakCalc!$L$10:$L$303,MATCH(tblPivotData[[#This Row],[Time]],PeakCalc!$G$10:$G$303,0))</f>
        <v>1</v>
      </c>
    </row>
    <row r="93" spans="1:9" x14ac:dyDescent="0.25">
      <c r="A93" t="s">
        <v>93</v>
      </c>
      <c r="B93" t="s">
        <v>97</v>
      </c>
      <c r="C93" t="s">
        <v>95</v>
      </c>
      <c r="D93" t="s">
        <v>90</v>
      </c>
      <c r="E93" t="s">
        <v>91</v>
      </c>
      <c r="F93" s="6">
        <v>0.57291666666666663</v>
      </c>
      <c r="G93">
        <v>6</v>
      </c>
      <c r="H93" s="6">
        <f>FLOOR(tblPivotData[[#This Row],[Time]],Summary!$B$6/1440)</f>
        <v>0.57291666666666663</v>
      </c>
      <c r="I93" s="49">
        <f>INDEX(PeakCalc!$L$10:$L$303,MATCH(tblPivotData[[#This Row],[Time]],PeakCalc!$G$10:$G$303,0))</f>
        <v>1</v>
      </c>
    </row>
    <row r="94" spans="1:9" x14ac:dyDescent="0.25">
      <c r="A94" t="s">
        <v>93</v>
      </c>
      <c r="B94" t="s">
        <v>97</v>
      </c>
      <c r="C94" t="s">
        <v>95</v>
      </c>
      <c r="D94" t="s">
        <v>90</v>
      </c>
      <c r="E94" t="s">
        <v>44</v>
      </c>
      <c r="F94" s="6">
        <v>0.66666666666666663</v>
      </c>
      <c r="G94">
        <v>8</v>
      </c>
      <c r="H94" s="6">
        <f>FLOOR(tblPivotData[[#This Row],[Time]],Summary!$B$6/1440)</f>
        <v>0.66666666666666663</v>
      </c>
      <c r="I94" s="49">
        <f>INDEX(PeakCalc!$L$10:$L$303,MATCH(tblPivotData[[#This Row],[Time]],PeakCalc!$G$10:$G$303,0))</f>
        <v>0</v>
      </c>
    </row>
    <row r="95" spans="1:9" x14ac:dyDescent="0.25">
      <c r="A95" t="s">
        <v>93</v>
      </c>
      <c r="B95" t="s">
        <v>97</v>
      </c>
      <c r="C95" t="s">
        <v>95</v>
      </c>
      <c r="D95" t="s">
        <v>90</v>
      </c>
      <c r="E95" t="s">
        <v>44</v>
      </c>
      <c r="F95" s="6">
        <v>0.67708333333333337</v>
      </c>
      <c r="G95">
        <v>5</v>
      </c>
      <c r="H95" s="6">
        <f>FLOOR(tblPivotData[[#This Row],[Time]],Summary!$B$6/1440)</f>
        <v>0.67708333333333326</v>
      </c>
      <c r="I95" s="49">
        <f>INDEX(PeakCalc!$L$10:$L$303,MATCH(tblPivotData[[#This Row],[Time]],PeakCalc!$G$10:$G$303,0))</f>
        <v>0</v>
      </c>
    </row>
    <row r="96" spans="1:9" x14ac:dyDescent="0.25">
      <c r="A96" t="s">
        <v>93</v>
      </c>
      <c r="B96" t="s">
        <v>97</v>
      </c>
      <c r="C96" t="s">
        <v>95</v>
      </c>
      <c r="D96" t="s">
        <v>90</v>
      </c>
      <c r="E96" t="s">
        <v>44</v>
      </c>
      <c r="F96" s="6">
        <v>0.6875</v>
      </c>
      <c r="G96">
        <v>4</v>
      </c>
      <c r="H96" s="6">
        <f>FLOOR(tblPivotData[[#This Row],[Time]],Summary!$B$6/1440)</f>
        <v>0.6875</v>
      </c>
      <c r="I96" s="49">
        <f>INDEX(PeakCalc!$L$10:$L$303,MATCH(tblPivotData[[#This Row],[Time]],PeakCalc!$G$10:$G$303,0))</f>
        <v>1</v>
      </c>
    </row>
    <row r="97" spans="1:9" x14ac:dyDescent="0.25">
      <c r="A97" t="s">
        <v>93</v>
      </c>
      <c r="B97" t="s">
        <v>97</v>
      </c>
      <c r="C97" t="s">
        <v>95</v>
      </c>
      <c r="D97" t="s">
        <v>90</v>
      </c>
      <c r="E97" t="s">
        <v>44</v>
      </c>
      <c r="F97" s="6">
        <v>0.69791666666666663</v>
      </c>
      <c r="G97">
        <v>2</v>
      </c>
      <c r="H97" s="6">
        <f>FLOOR(tblPivotData[[#This Row],[Time]],Summary!$B$6/1440)</f>
        <v>0.69791666666666663</v>
      </c>
      <c r="I97" s="49">
        <f>INDEX(PeakCalc!$L$10:$L$303,MATCH(tblPivotData[[#This Row],[Time]],PeakCalc!$G$10:$G$303,0))</f>
        <v>1</v>
      </c>
    </row>
    <row r="98" spans="1:9" x14ac:dyDescent="0.25">
      <c r="A98" t="s">
        <v>93</v>
      </c>
      <c r="B98" t="s">
        <v>97</v>
      </c>
      <c r="C98" t="s">
        <v>95</v>
      </c>
      <c r="D98" t="s">
        <v>90</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93</v>
      </c>
      <c r="B99" t="s">
        <v>97</v>
      </c>
      <c r="C99" t="s">
        <v>95</v>
      </c>
      <c r="D99" t="s">
        <v>90</v>
      </c>
      <c r="E99" t="s">
        <v>44</v>
      </c>
      <c r="F99" s="6">
        <v>0.71875</v>
      </c>
      <c r="G99">
        <v>0</v>
      </c>
      <c r="H99" s="6">
        <f>FLOOR(tblPivotData[[#This Row],[Time]],Summary!$B$6/1440)</f>
        <v>0.71875</v>
      </c>
      <c r="I99" s="49">
        <f>INDEX(PeakCalc!$L$10:$L$303,MATCH(tblPivotData[[#This Row],[Time]],PeakCalc!$G$10:$G$303,0))</f>
        <v>1</v>
      </c>
    </row>
    <row r="100" spans="1:9" x14ac:dyDescent="0.25">
      <c r="A100" t="s">
        <v>93</v>
      </c>
      <c r="B100" t="s">
        <v>97</v>
      </c>
      <c r="C100" t="s">
        <v>95</v>
      </c>
      <c r="D100" t="s">
        <v>90</v>
      </c>
      <c r="E100" t="s">
        <v>44</v>
      </c>
      <c r="F100" s="6">
        <v>0.72916666666666663</v>
      </c>
      <c r="G100">
        <v>4</v>
      </c>
      <c r="H100" s="6">
        <f>FLOOR(tblPivotData[[#This Row],[Time]],Summary!$B$6/1440)</f>
        <v>0.72916666666666663</v>
      </c>
      <c r="I100" s="49">
        <f>INDEX(PeakCalc!$L$10:$L$303,MATCH(tblPivotData[[#This Row],[Time]],PeakCalc!$G$10:$G$303,0))</f>
        <v>0</v>
      </c>
    </row>
    <row r="101" spans="1:9" x14ac:dyDescent="0.25">
      <c r="A101" t="s">
        <v>93</v>
      </c>
      <c r="B101" t="s">
        <v>97</v>
      </c>
      <c r="C101" t="s">
        <v>95</v>
      </c>
      <c r="D101" t="s">
        <v>90</v>
      </c>
      <c r="E101" t="s">
        <v>44</v>
      </c>
      <c r="F101" s="6">
        <v>0.73958333333333337</v>
      </c>
      <c r="G101">
        <v>2</v>
      </c>
      <c r="H101" s="6">
        <f>FLOOR(tblPivotData[[#This Row],[Time]],Summary!$B$6/1440)</f>
        <v>0.73958333333333326</v>
      </c>
      <c r="I101" s="49">
        <f>INDEX(PeakCalc!$L$10:$L$303,MATCH(tblPivotData[[#This Row],[Time]],PeakCalc!$G$10:$G$303,0))</f>
        <v>0</v>
      </c>
    </row>
    <row r="102" spans="1:9" x14ac:dyDescent="0.25">
      <c r="A102" t="s">
        <v>93</v>
      </c>
      <c r="B102" t="s">
        <v>97</v>
      </c>
      <c r="C102" t="s">
        <v>95</v>
      </c>
      <c r="D102" t="s">
        <v>88</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88</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88</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95</v>
      </c>
      <c r="D105" t="s">
        <v>88</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88</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88</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88</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88</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88</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88</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88</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88</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88</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88</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93</v>
      </c>
      <c r="B116" t="s">
        <v>97</v>
      </c>
      <c r="C116" t="s">
        <v>95</v>
      </c>
      <c r="D116" t="s">
        <v>88</v>
      </c>
      <c r="E116" t="s">
        <v>44</v>
      </c>
      <c r="F116" s="6">
        <v>0.6875</v>
      </c>
      <c r="G116">
        <v>1</v>
      </c>
      <c r="H116" s="6">
        <f>FLOOR(tblPivotData[[#This Row],[Time]],Summary!$B$6/1440)</f>
        <v>0.6875</v>
      </c>
      <c r="I116" s="49">
        <f>INDEX(PeakCalc!$L$10:$L$303,MATCH(tblPivotData[[#This Row],[Time]],PeakCalc!$G$10:$G$303,0))</f>
        <v>1</v>
      </c>
    </row>
    <row r="117" spans="1:9" x14ac:dyDescent="0.25">
      <c r="A117" t="s">
        <v>93</v>
      </c>
      <c r="B117" t="s">
        <v>97</v>
      </c>
      <c r="C117" t="s">
        <v>95</v>
      </c>
      <c r="D117" t="s">
        <v>88</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88</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93</v>
      </c>
      <c r="B119" t="s">
        <v>97</v>
      </c>
      <c r="C119" t="s">
        <v>95</v>
      </c>
      <c r="D119" t="s">
        <v>88</v>
      </c>
      <c r="E119" t="s">
        <v>44</v>
      </c>
      <c r="F119" s="6">
        <v>0.71875</v>
      </c>
      <c r="G119">
        <v>1</v>
      </c>
      <c r="H119" s="6">
        <f>FLOOR(tblPivotData[[#This Row],[Time]],Summary!$B$6/1440)</f>
        <v>0.71875</v>
      </c>
      <c r="I119" s="49">
        <f>INDEX(PeakCalc!$L$10:$L$303,MATCH(tblPivotData[[#This Row],[Time]],PeakCalc!$G$10:$G$303,0))</f>
        <v>1</v>
      </c>
    </row>
    <row r="120" spans="1:9" x14ac:dyDescent="0.25">
      <c r="A120" t="s">
        <v>93</v>
      </c>
      <c r="B120" t="s">
        <v>97</v>
      </c>
      <c r="C120" t="s">
        <v>95</v>
      </c>
      <c r="D120" t="s">
        <v>88</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88</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91</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97</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134</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139</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149</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134</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134</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86</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91</v>
      </c>
      <c r="F130" s="6">
        <v>0.54166666666666663</v>
      </c>
      <c r="G130">
        <v>91</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58</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62</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81</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71</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71</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119</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92</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90</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62</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75</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63</v>
      </c>
      <c r="H141" s="6">
        <f>FLOOR(tblPivotData[[#This Row],[Time]],Summary!$B$6/1440)</f>
        <v>0.73958333333333326</v>
      </c>
      <c r="I141" s="49">
        <f>INDEX(PeakCalc!$L$10:$L$303,MATCH(tblPivotData[[#This Row],[Time]],PeakCalc!$G$10:$G$303,0))</f>
        <v>0</v>
      </c>
    </row>
    <row r="142" spans="1:9" x14ac:dyDescent="0.25">
      <c r="A142" t="s">
        <v>94</v>
      </c>
      <c r="B142" t="s">
        <v>98</v>
      </c>
      <c r="C142" t="s">
        <v>95</v>
      </c>
      <c r="D142" t="s">
        <v>90</v>
      </c>
      <c r="E142" t="s">
        <v>43</v>
      </c>
      <c r="F142" s="6">
        <v>0.29166666666666669</v>
      </c>
      <c r="G142">
        <v>3</v>
      </c>
      <c r="H142" s="6">
        <f>FLOOR(tblPivotData[[#This Row],[Time]],Summary!$B$6/1440)</f>
        <v>0.29166666666666663</v>
      </c>
      <c r="I142" s="49">
        <f>INDEX(PeakCalc!$L$10:$L$303,MATCH(tblPivotData[[#This Row],[Time]],PeakCalc!$G$10:$G$303,0))</f>
        <v>0</v>
      </c>
    </row>
    <row r="143" spans="1:9" x14ac:dyDescent="0.25">
      <c r="A143" t="s">
        <v>94</v>
      </c>
      <c r="B143" t="s">
        <v>98</v>
      </c>
      <c r="C143" t="s">
        <v>95</v>
      </c>
      <c r="D143" t="s">
        <v>90</v>
      </c>
      <c r="E143" t="s">
        <v>43</v>
      </c>
      <c r="F143" s="6">
        <v>0.30208333333333331</v>
      </c>
      <c r="G143">
        <v>9</v>
      </c>
      <c r="H143" s="6">
        <f>FLOOR(tblPivotData[[#This Row],[Time]],Summary!$B$6/1440)</f>
        <v>0.30208333333333331</v>
      </c>
      <c r="I143" s="49">
        <f>INDEX(PeakCalc!$L$10:$L$303,MATCH(tblPivotData[[#This Row],[Time]],PeakCalc!$G$10:$G$303,0))</f>
        <v>0</v>
      </c>
    </row>
    <row r="144" spans="1:9" x14ac:dyDescent="0.25">
      <c r="A144" t="s">
        <v>94</v>
      </c>
      <c r="B144" t="s">
        <v>98</v>
      </c>
      <c r="C144" t="s">
        <v>95</v>
      </c>
      <c r="D144" t="s">
        <v>90</v>
      </c>
      <c r="E144" t="s">
        <v>43</v>
      </c>
      <c r="F144" s="6">
        <v>0.3125</v>
      </c>
      <c r="G144">
        <v>18</v>
      </c>
      <c r="H144" s="6">
        <f>FLOOR(tblPivotData[[#This Row],[Time]],Summary!$B$6/1440)</f>
        <v>0.3125</v>
      </c>
      <c r="I144" s="49">
        <f>INDEX(PeakCalc!$L$10:$L$303,MATCH(tblPivotData[[#This Row],[Time]],PeakCalc!$G$10:$G$303,0))</f>
        <v>0</v>
      </c>
    </row>
    <row r="145" spans="1:9" x14ac:dyDescent="0.25">
      <c r="A145" t="s">
        <v>94</v>
      </c>
      <c r="B145" t="s">
        <v>98</v>
      </c>
      <c r="C145" t="s">
        <v>95</v>
      </c>
      <c r="D145" t="s">
        <v>90</v>
      </c>
      <c r="E145" t="s">
        <v>43</v>
      </c>
      <c r="F145" s="6">
        <v>0.32291666666666669</v>
      </c>
      <c r="G145">
        <v>19</v>
      </c>
      <c r="H145" s="6">
        <f>FLOOR(tblPivotData[[#This Row],[Time]],Summary!$B$6/1440)</f>
        <v>0.32291666666666663</v>
      </c>
      <c r="I145" s="49">
        <f>INDEX(PeakCalc!$L$10:$L$303,MATCH(tblPivotData[[#This Row],[Time]],PeakCalc!$G$10:$G$303,0))</f>
        <v>1</v>
      </c>
    </row>
    <row r="146" spans="1:9" x14ac:dyDescent="0.25">
      <c r="A146" t="s">
        <v>94</v>
      </c>
      <c r="B146" t="s">
        <v>98</v>
      </c>
      <c r="C146" t="s">
        <v>95</v>
      </c>
      <c r="D146" t="s">
        <v>90</v>
      </c>
      <c r="E146" t="s">
        <v>43</v>
      </c>
      <c r="F146" s="6">
        <v>0.33333333333333331</v>
      </c>
      <c r="G146">
        <v>10</v>
      </c>
      <c r="H146" s="6">
        <f>FLOOR(tblPivotData[[#This Row],[Time]],Summary!$B$6/1440)</f>
        <v>0.33333333333333331</v>
      </c>
      <c r="I146" s="49">
        <f>INDEX(PeakCalc!$L$10:$L$303,MATCH(tblPivotData[[#This Row],[Time]],PeakCalc!$G$10:$G$303,0))</f>
        <v>1</v>
      </c>
    </row>
    <row r="147" spans="1:9" x14ac:dyDescent="0.25">
      <c r="A147" t="s">
        <v>94</v>
      </c>
      <c r="B147" t="s">
        <v>98</v>
      </c>
      <c r="C147" t="s">
        <v>95</v>
      </c>
      <c r="D147" t="s">
        <v>90</v>
      </c>
      <c r="E147" t="s">
        <v>43</v>
      </c>
      <c r="F147" s="6">
        <v>0.34375</v>
      </c>
      <c r="G147">
        <v>16</v>
      </c>
      <c r="H147" s="6">
        <f>FLOOR(tblPivotData[[#This Row],[Time]],Summary!$B$6/1440)</f>
        <v>0.34375</v>
      </c>
      <c r="I147" s="49">
        <f>INDEX(PeakCalc!$L$10:$L$303,MATCH(tblPivotData[[#This Row],[Time]],PeakCalc!$G$10:$G$303,0))</f>
        <v>1</v>
      </c>
    </row>
    <row r="148" spans="1:9" x14ac:dyDescent="0.25">
      <c r="A148" t="s">
        <v>94</v>
      </c>
      <c r="B148" t="s">
        <v>98</v>
      </c>
      <c r="C148" t="s">
        <v>95</v>
      </c>
      <c r="D148" t="s">
        <v>90</v>
      </c>
      <c r="E148" t="s">
        <v>43</v>
      </c>
      <c r="F148" s="6">
        <v>0.35416666666666669</v>
      </c>
      <c r="G148">
        <v>11</v>
      </c>
      <c r="H148" s="6">
        <f>FLOOR(tblPivotData[[#This Row],[Time]],Summary!$B$6/1440)</f>
        <v>0.35416666666666663</v>
      </c>
      <c r="I148" s="49">
        <f>INDEX(PeakCalc!$L$10:$L$303,MATCH(tblPivotData[[#This Row],[Time]],PeakCalc!$G$10:$G$303,0))</f>
        <v>1</v>
      </c>
    </row>
    <row r="149" spans="1:9" x14ac:dyDescent="0.25">
      <c r="A149" t="s">
        <v>94</v>
      </c>
      <c r="B149" t="s">
        <v>98</v>
      </c>
      <c r="C149" t="s">
        <v>95</v>
      </c>
      <c r="D149" t="s">
        <v>90</v>
      </c>
      <c r="E149" t="s">
        <v>43</v>
      </c>
      <c r="F149" s="6">
        <v>0.36458333333333331</v>
      </c>
      <c r="G149">
        <v>20</v>
      </c>
      <c r="H149" s="6">
        <f>FLOOR(tblPivotData[[#This Row],[Time]],Summary!$B$6/1440)</f>
        <v>0.36458333333333331</v>
      </c>
      <c r="I149" s="49">
        <f>INDEX(PeakCalc!$L$10:$L$303,MATCH(tblPivotData[[#This Row],[Time]],PeakCalc!$G$10:$G$303,0))</f>
        <v>0</v>
      </c>
    </row>
    <row r="150" spans="1:9" x14ac:dyDescent="0.25">
      <c r="A150" t="s">
        <v>94</v>
      </c>
      <c r="B150" t="s">
        <v>98</v>
      </c>
      <c r="C150" t="s">
        <v>95</v>
      </c>
      <c r="D150" t="s">
        <v>90</v>
      </c>
      <c r="E150" t="s">
        <v>91</v>
      </c>
      <c r="F150" s="6">
        <v>0.54166666666666663</v>
      </c>
      <c r="G150">
        <v>16</v>
      </c>
      <c r="H150" s="6">
        <f>FLOOR(tblPivotData[[#This Row],[Time]],Summary!$B$6/1440)</f>
        <v>0.54166666666666663</v>
      </c>
      <c r="I150" s="49">
        <f>INDEX(PeakCalc!$L$10:$L$303,MATCH(tblPivotData[[#This Row],[Time]],PeakCalc!$G$10:$G$303,0))</f>
        <v>1</v>
      </c>
    </row>
    <row r="151" spans="1:9" x14ac:dyDescent="0.25">
      <c r="A151" t="s">
        <v>94</v>
      </c>
      <c r="B151" t="s">
        <v>98</v>
      </c>
      <c r="C151" t="s">
        <v>95</v>
      </c>
      <c r="D151" t="s">
        <v>90</v>
      </c>
      <c r="E151" t="s">
        <v>91</v>
      </c>
      <c r="F151" s="6">
        <v>0.55208333333333337</v>
      </c>
      <c r="G151">
        <v>12</v>
      </c>
      <c r="H151" s="6">
        <f>FLOOR(tblPivotData[[#This Row],[Time]],Summary!$B$6/1440)</f>
        <v>0.55208333333333326</v>
      </c>
      <c r="I151" s="49">
        <f>INDEX(PeakCalc!$L$10:$L$303,MATCH(tblPivotData[[#This Row],[Time]],PeakCalc!$G$10:$G$303,0))</f>
        <v>1</v>
      </c>
    </row>
    <row r="152" spans="1:9" x14ac:dyDescent="0.25">
      <c r="A152" t="s">
        <v>94</v>
      </c>
      <c r="B152" t="s">
        <v>98</v>
      </c>
      <c r="C152" t="s">
        <v>95</v>
      </c>
      <c r="D152" t="s">
        <v>90</v>
      </c>
      <c r="E152" t="s">
        <v>91</v>
      </c>
      <c r="F152" s="6">
        <v>0.5625</v>
      </c>
      <c r="G152">
        <v>15</v>
      </c>
      <c r="H152" s="6">
        <f>FLOOR(tblPivotData[[#This Row],[Time]],Summary!$B$6/1440)</f>
        <v>0.5625</v>
      </c>
      <c r="I152" s="49">
        <f>INDEX(PeakCalc!$L$10:$L$303,MATCH(tblPivotData[[#This Row],[Time]],PeakCalc!$G$10:$G$303,0))</f>
        <v>1</v>
      </c>
    </row>
    <row r="153" spans="1:9" x14ac:dyDescent="0.25">
      <c r="A153" t="s">
        <v>94</v>
      </c>
      <c r="B153" t="s">
        <v>98</v>
      </c>
      <c r="C153" t="s">
        <v>95</v>
      </c>
      <c r="D153" t="s">
        <v>90</v>
      </c>
      <c r="E153" t="s">
        <v>91</v>
      </c>
      <c r="F153" s="6">
        <v>0.57291666666666663</v>
      </c>
      <c r="G153">
        <v>13</v>
      </c>
      <c r="H153" s="6">
        <f>FLOOR(tblPivotData[[#This Row],[Time]],Summary!$B$6/1440)</f>
        <v>0.57291666666666663</v>
      </c>
      <c r="I153" s="49">
        <f>INDEX(PeakCalc!$L$10:$L$303,MATCH(tblPivotData[[#This Row],[Time]],PeakCalc!$G$10:$G$303,0))</f>
        <v>1</v>
      </c>
    </row>
    <row r="154" spans="1:9" x14ac:dyDescent="0.25">
      <c r="A154" t="s">
        <v>94</v>
      </c>
      <c r="B154" t="s">
        <v>98</v>
      </c>
      <c r="C154" t="s">
        <v>95</v>
      </c>
      <c r="D154" t="s">
        <v>90</v>
      </c>
      <c r="E154" t="s">
        <v>44</v>
      </c>
      <c r="F154" s="6">
        <v>0.66666666666666663</v>
      </c>
      <c r="G154">
        <v>15</v>
      </c>
      <c r="H154" s="6">
        <f>FLOOR(tblPivotData[[#This Row],[Time]],Summary!$B$6/1440)</f>
        <v>0.66666666666666663</v>
      </c>
      <c r="I154" s="49">
        <f>INDEX(PeakCalc!$L$10:$L$303,MATCH(tblPivotData[[#This Row],[Time]],PeakCalc!$G$10:$G$303,0))</f>
        <v>0</v>
      </c>
    </row>
    <row r="155" spans="1:9" x14ac:dyDescent="0.25">
      <c r="A155" t="s">
        <v>94</v>
      </c>
      <c r="B155" t="s">
        <v>98</v>
      </c>
      <c r="C155" t="s">
        <v>95</v>
      </c>
      <c r="D155" t="s">
        <v>90</v>
      </c>
      <c r="E155" t="s">
        <v>44</v>
      </c>
      <c r="F155" s="6">
        <v>0.67708333333333337</v>
      </c>
      <c r="G155">
        <v>15</v>
      </c>
      <c r="H155" s="6">
        <f>FLOOR(tblPivotData[[#This Row],[Time]],Summary!$B$6/1440)</f>
        <v>0.67708333333333326</v>
      </c>
      <c r="I155" s="49">
        <f>INDEX(PeakCalc!$L$10:$L$303,MATCH(tblPivotData[[#This Row],[Time]],PeakCalc!$G$10:$G$303,0))</f>
        <v>0</v>
      </c>
    </row>
    <row r="156" spans="1:9" x14ac:dyDescent="0.25">
      <c r="A156" t="s">
        <v>94</v>
      </c>
      <c r="B156" t="s">
        <v>98</v>
      </c>
      <c r="C156" t="s">
        <v>95</v>
      </c>
      <c r="D156" t="s">
        <v>90</v>
      </c>
      <c r="E156" t="s">
        <v>44</v>
      </c>
      <c r="F156" s="6">
        <v>0.6875</v>
      </c>
      <c r="G156">
        <v>10</v>
      </c>
      <c r="H156" s="6">
        <f>FLOOR(tblPivotData[[#This Row],[Time]],Summary!$B$6/1440)</f>
        <v>0.6875</v>
      </c>
      <c r="I156" s="49">
        <f>INDEX(PeakCalc!$L$10:$L$303,MATCH(tblPivotData[[#This Row],[Time]],PeakCalc!$G$10:$G$303,0))</f>
        <v>1</v>
      </c>
    </row>
    <row r="157" spans="1:9" x14ac:dyDescent="0.25">
      <c r="A157" t="s">
        <v>94</v>
      </c>
      <c r="B157" t="s">
        <v>98</v>
      </c>
      <c r="C157" t="s">
        <v>95</v>
      </c>
      <c r="D157" t="s">
        <v>90</v>
      </c>
      <c r="E157" t="s">
        <v>44</v>
      </c>
      <c r="F157" s="6">
        <v>0.69791666666666663</v>
      </c>
      <c r="G157">
        <v>12</v>
      </c>
      <c r="H157" s="6">
        <f>FLOOR(tblPivotData[[#This Row],[Time]],Summary!$B$6/1440)</f>
        <v>0.69791666666666663</v>
      </c>
      <c r="I157" s="49">
        <f>INDEX(PeakCalc!$L$10:$L$303,MATCH(tblPivotData[[#This Row],[Time]],PeakCalc!$G$10:$G$303,0))</f>
        <v>1</v>
      </c>
    </row>
    <row r="158" spans="1:9" x14ac:dyDescent="0.25">
      <c r="A158" t="s">
        <v>94</v>
      </c>
      <c r="B158" t="s">
        <v>98</v>
      </c>
      <c r="C158" t="s">
        <v>95</v>
      </c>
      <c r="D158" t="s">
        <v>90</v>
      </c>
      <c r="E158" t="s">
        <v>44</v>
      </c>
      <c r="F158" s="6">
        <v>0.70833333333333337</v>
      </c>
      <c r="G158">
        <v>7</v>
      </c>
      <c r="H158" s="6">
        <f>FLOOR(tblPivotData[[#This Row],[Time]],Summary!$B$6/1440)</f>
        <v>0.70833333333333326</v>
      </c>
      <c r="I158" s="49">
        <f>INDEX(PeakCalc!$L$10:$L$303,MATCH(tblPivotData[[#This Row],[Time]],PeakCalc!$G$10:$G$303,0))</f>
        <v>1</v>
      </c>
    </row>
    <row r="159" spans="1:9" x14ac:dyDescent="0.25">
      <c r="A159" t="s">
        <v>94</v>
      </c>
      <c r="B159" t="s">
        <v>98</v>
      </c>
      <c r="C159" t="s">
        <v>95</v>
      </c>
      <c r="D159" t="s">
        <v>90</v>
      </c>
      <c r="E159" t="s">
        <v>44</v>
      </c>
      <c r="F159" s="6">
        <v>0.71875</v>
      </c>
      <c r="G159">
        <v>10</v>
      </c>
      <c r="H159" s="6">
        <f>FLOOR(tblPivotData[[#This Row],[Time]],Summary!$B$6/1440)</f>
        <v>0.71875</v>
      </c>
      <c r="I159" s="49">
        <f>INDEX(PeakCalc!$L$10:$L$303,MATCH(tblPivotData[[#This Row],[Time]],PeakCalc!$G$10:$G$303,0))</f>
        <v>1</v>
      </c>
    </row>
    <row r="160" spans="1:9" x14ac:dyDescent="0.25">
      <c r="A160" t="s">
        <v>94</v>
      </c>
      <c r="B160" t="s">
        <v>98</v>
      </c>
      <c r="C160" t="s">
        <v>95</v>
      </c>
      <c r="D160" t="s">
        <v>90</v>
      </c>
      <c r="E160" t="s">
        <v>44</v>
      </c>
      <c r="F160" s="6">
        <v>0.72916666666666663</v>
      </c>
      <c r="G160">
        <v>11</v>
      </c>
      <c r="H160" s="6">
        <f>FLOOR(tblPivotData[[#This Row],[Time]],Summary!$B$6/1440)</f>
        <v>0.72916666666666663</v>
      </c>
      <c r="I160" s="49">
        <f>INDEX(PeakCalc!$L$10:$L$303,MATCH(tblPivotData[[#This Row],[Time]],PeakCalc!$G$10:$G$303,0))</f>
        <v>0</v>
      </c>
    </row>
    <row r="161" spans="1:9" x14ac:dyDescent="0.25">
      <c r="A161" t="s">
        <v>94</v>
      </c>
      <c r="B161" t="s">
        <v>98</v>
      </c>
      <c r="C161" t="s">
        <v>95</v>
      </c>
      <c r="D161" t="s">
        <v>90</v>
      </c>
      <c r="E161" t="s">
        <v>44</v>
      </c>
      <c r="F161" s="6">
        <v>0.73958333333333337</v>
      </c>
      <c r="G161">
        <v>4</v>
      </c>
      <c r="H161" s="6">
        <f>FLOOR(tblPivotData[[#This Row],[Time]],Summary!$B$6/1440)</f>
        <v>0.73958333333333326</v>
      </c>
      <c r="I161" s="49">
        <f>INDEX(PeakCalc!$L$10:$L$303,MATCH(tblPivotData[[#This Row],[Time]],PeakCalc!$G$10:$G$303,0))</f>
        <v>0</v>
      </c>
    </row>
    <row r="162" spans="1:9" x14ac:dyDescent="0.25">
      <c r="A162" t="s">
        <v>94</v>
      </c>
      <c r="B162" t="s">
        <v>98</v>
      </c>
      <c r="C162" t="s">
        <v>95</v>
      </c>
      <c r="D162" t="s">
        <v>88</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88</v>
      </c>
      <c r="E163" t="s">
        <v>43</v>
      </c>
      <c r="F163" s="6">
        <v>0.30208333333333331</v>
      </c>
      <c r="G163">
        <v>2</v>
      </c>
      <c r="H163" s="6">
        <f>FLOOR(tblPivotData[[#This Row],[Time]],Summary!$B$6/1440)</f>
        <v>0.30208333333333331</v>
      </c>
      <c r="I163" s="49">
        <f>INDEX(PeakCalc!$L$10:$L$303,MATCH(tblPivotData[[#This Row],[Time]],PeakCalc!$G$10:$G$303,0))</f>
        <v>0</v>
      </c>
    </row>
    <row r="164" spans="1:9" x14ac:dyDescent="0.25">
      <c r="A164" t="s">
        <v>94</v>
      </c>
      <c r="B164" t="s">
        <v>98</v>
      </c>
      <c r="C164" t="s">
        <v>95</v>
      </c>
      <c r="D164" t="s">
        <v>88</v>
      </c>
      <c r="E164" t="s">
        <v>43</v>
      </c>
      <c r="F164" s="6">
        <v>0.3125</v>
      </c>
      <c r="G164">
        <v>2</v>
      </c>
      <c r="H164" s="6">
        <f>FLOOR(tblPivotData[[#This Row],[Time]],Summary!$B$6/1440)</f>
        <v>0.3125</v>
      </c>
      <c r="I164" s="49">
        <f>INDEX(PeakCalc!$L$10:$L$303,MATCH(tblPivotData[[#This Row],[Time]],PeakCalc!$G$10:$G$303,0))</f>
        <v>0</v>
      </c>
    </row>
    <row r="165" spans="1:9" x14ac:dyDescent="0.25">
      <c r="A165" t="s">
        <v>94</v>
      </c>
      <c r="B165" t="s">
        <v>98</v>
      </c>
      <c r="C165" t="s">
        <v>95</v>
      </c>
      <c r="D165" t="s">
        <v>88</v>
      </c>
      <c r="E165" t="s">
        <v>43</v>
      </c>
      <c r="F165" s="6">
        <v>0.32291666666666669</v>
      </c>
      <c r="G165">
        <v>4</v>
      </c>
      <c r="H165" s="6">
        <f>FLOOR(tblPivotData[[#This Row],[Time]],Summary!$B$6/1440)</f>
        <v>0.32291666666666663</v>
      </c>
      <c r="I165" s="49">
        <f>INDEX(PeakCalc!$L$10:$L$303,MATCH(tblPivotData[[#This Row],[Time]],PeakCalc!$G$10:$G$303,0))</f>
        <v>1</v>
      </c>
    </row>
    <row r="166" spans="1:9" x14ac:dyDescent="0.25">
      <c r="A166" t="s">
        <v>94</v>
      </c>
      <c r="B166" t="s">
        <v>98</v>
      </c>
      <c r="C166" t="s">
        <v>95</v>
      </c>
      <c r="D166" t="s">
        <v>88</v>
      </c>
      <c r="E166" t="s">
        <v>43</v>
      </c>
      <c r="F166" s="6">
        <v>0.33333333333333331</v>
      </c>
      <c r="G166">
        <v>6</v>
      </c>
      <c r="H166" s="6">
        <f>FLOOR(tblPivotData[[#This Row],[Time]],Summary!$B$6/1440)</f>
        <v>0.33333333333333331</v>
      </c>
      <c r="I166" s="49">
        <f>INDEX(PeakCalc!$L$10:$L$303,MATCH(tblPivotData[[#This Row],[Time]],PeakCalc!$G$10:$G$303,0))</f>
        <v>1</v>
      </c>
    </row>
    <row r="167" spans="1:9" x14ac:dyDescent="0.25">
      <c r="A167" t="s">
        <v>94</v>
      </c>
      <c r="B167" t="s">
        <v>98</v>
      </c>
      <c r="C167" t="s">
        <v>95</v>
      </c>
      <c r="D167" t="s">
        <v>88</v>
      </c>
      <c r="E167" t="s">
        <v>43</v>
      </c>
      <c r="F167" s="6">
        <v>0.34375</v>
      </c>
      <c r="G167">
        <v>3</v>
      </c>
      <c r="H167" s="6">
        <f>FLOOR(tblPivotData[[#This Row],[Time]],Summary!$B$6/1440)</f>
        <v>0.34375</v>
      </c>
      <c r="I167" s="49">
        <f>INDEX(PeakCalc!$L$10:$L$303,MATCH(tblPivotData[[#This Row],[Time]],PeakCalc!$G$10:$G$303,0))</f>
        <v>1</v>
      </c>
    </row>
    <row r="168" spans="1:9" x14ac:dyDescent="0.25">
      <c r="A168" t="s">
        <v>94</v>
      </c>
      <c r="B168" t="s">
        <v>98</v>
      </c>
      <c r="C168" t="s">
        <v>95</v>
      </c>
      <c r="D168" t="s">
        <v>88</v>
      </c>
      <c r="E168" t="s">
        <v>43</v>
      </c>
      <c r="F168" s="6">
        <v>0.35416666666666669</v>
      </c>
      <c r="G168">
        <v>5</v>
      </c>
      <c r="H168" s="6">
        <f>FLOOR(tblPivotData[[#This Row],[Time]],Summary!$B$6/1440)</f>
        <v>0.35416666666666663</v>
      </c>
      <c r="I168" s="49">
        <f>INDEX(PeakCalc!$L$10:$L$303,MATCH(tblPivotData[[#This Row],[Time]],PeakCalc!$G$10:$G$303,0))</f>
        <v>1</v>
      </c>
    </row>
    <row r="169" spans="1:9" x14ac:dyDescent="0.25">
      <c r="A169" t="s">
        <v>94</v>
      </c>
      <c r="B169" t="s">
        <v>98</v>
      </c>
      <c r="C169" t="s">
        <v>95</v>
      </c>
      <c r="D169" t="s">
        <v>88</v>
      </c>
      <c r="E169" t="s">
        <v>43</v>
      </c>
      <c r="F169" s="6">
        <v>0.36458333333333331</v>
      </c>
      <c r="G169">
        <v>1</v>
      </c>
      <c r="H169" s="6">
        <f>FLOOR(tblPivotData[[#This Row],[Time]],Summary!$B$6/1440)</f>
        <v>0.36458333333333331</v>
      </c>
      <c r="I169" s="49">
        <f>INDEX(PeakCalc!$L$10:$L$303,MATCH(tblPivotData[[#This Row],[Time]],PeakCalc!$G$10:$G$303,0))</f>
        <v>0</v>
      </c>
    </row>
    <row r="170" spans="1:9" x14ac:dyDescent="0.25">
      <c r="A170" t="s">
        <v>94</v>
      </c>
      <c r="B170" t="s">
        <v>98</v>
      </c>
      <c r="C170" t="s">
        <v>95</v>
      </c>
      <c r="D170" t="s">
        <v>88</v>
      </c>
      <c r="E170" t="s">
        <v>91</v>
      </c>
      <c r="F170" s="6">
        <v>0.54166666666666663</v>
      </c>
      <c r="G170">
        <v>1</v>
      </c>
      <c r="H170" s="6">
        <f>FLOOR(tblPivotData[[#This Row],[Time]],Summary!$B$6/1440)</f>
        <v>0.54166666666666663</v>
      </c>
      <c r="I170" s="49">
        <f>INDEX(PeakCalc!$L$10:$L$303,MATCH(tblPivotData[[#This Row],[Time]],PeakCalc!$G$10:$G$303,0))</f>
        <v>1</v>
      </c>
    </row>
    <row r="171" spans="1:9" x14ac:dyDescent="0.25">
      <c r="A171" t="s">
        <v>94</v>
      </c>
      <c r="B171" t="s">
        <v>98</v>
      </c>
      <c r="C171" t="s">
        <v>95</v>
      </c>
      <c r="D171" t="s">
        <v>88</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88</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88</v>
      </c>
      <c r="E173" t="s">
        <v>91</v>
      </c>
      <c r="F173" s="6">
        <v>0.57291666666666663</v>
      </c>
      <c r="G173">
        <v>2</v>
      </c>
      <c r="H173" s="6">
        <f>FLOOR(tblPivotData[[#This Row],[Time]],Summary!$B$6/1440)</f>
        <v>0.57291666666666663</v>
      </c>
      <c r="I173" s="49">
        <f>INDEX(PeakCalc!$L$10:$L$303,MATCH(tblPivotData[[#This Row],[Time]],PeakCalc!$G$10:$G$303,0))</f>
        <v>1</v>
      </c>
    </row>
    <row r="174" spans="1:9" x14ac:dyDescent="0.25">
      <c r="A174" t="s">
        <v>94</v>
      </c>
      <c r="B174" t="s">
        <v>98</v>
      </c>
      <c r="C174" t="s">
        <v>95</v>
      </c>
      <c r="D174" t="s">
        <v>88</v>
      </c>
      <c r="E174" t="s">
        <v>44</v>
      </c>
      <c r="F174" s="6">
        <v>0.66666666666666663</v>
      </c>
      <c r="G174">
        <v>1</v>
      </c>
      <c r="H174" s="6">
        <f>FLOOR(tblPivotData[[#This Row],[Time]],Summary!$B$6/1440)</f>
        <v>0.66666666666666663</v>
      </c>
      <c r="I174" s="49">
        <f>INDEX(PeakCalc!$L$10:$L$303,MATCH(tblPivotData[[#This Row],[Time]],PeakCalc!$G$10:$G$303,0))</f>
        <v>0</v>
      </c>
    </row>
    <row r="175" spans="1:9" x14ac:dyDescent="0.25">
      <c r="A175" t="s">
        <v>94</v>
      </c>
      <c r="B175" t="s">
        <v>98</v>
      </c>
      <c r="C175" t="s">
        <v>95</v>
      </c>
      <c r="D175" t="s">
        <v>88</v>
      </c>
      <c r="E175" t="s">
        <v>44</v>
      </c>
      <c r="F175" s="6">
        <v>0.67708333333333337</v>
      </c>
      <c r="G175">
        <v>1</v>
      </c>
      <c r="H175" s="6">
        <f>FLOOR(tblPivotData[[#This Row],[Time]],Summary!$B$6/1440)</f>
        <v>0.67708333333333326</v>
      </c>
      <c r="I175" s="49">
        <f>INDEX(PeakCalc!$L$10:$L$303,MATCH(tblPivotData[[#This Row],[Time]],PeakCalc!$G$10:$G$303,0))</f>
        <v>0</v>
      </c>
    </row>
    <row r="176" spans="1:9" x14ac:dyDescent="0.25">
      <c r="A176" t="s">
        <v>94</v>
      </c>
      <c r="B176" t="s">
        <v>98</v>
      </c>
      <c r="C176" t="s">
        <v>95</v>
      </c>
      <c r="D176" t="s">
        <v>88</v>
      </c>
      <c r="E176" t="s">
        <v>44</v>
      </c>
      <c r="F176" s="6">
        <v>0.6875</v>
      </c>
      <c r="G176">
        <v>1</v>
      </c>
      <c r="H176" s="6">
        <f>FLOOR(tblPivotData[[#This Row],[Time]],Summary!$B$6/1440)</f>
        <v>0.6875</v>
      </c>
      <c r="I176" s="49">
        <f>INDEX(PeakCalc!$L$10:$L$303,MATCH(tblPivotData[[#This Row],[Time]],PeakCalc!$G$10:$G$303,0))</f>
        <v>1</v>
      </c>
    </row>
    <row r="177" spans="1:9" x14ac:dyDescent="0.25">
      <c r="A177" t="s">
        <v>94</v>
      </c>
      <c r="B177" t="s">
        <v>98</v>
      </c>
      <c r="C177" t="s">
        <v>95</v>
      </c>
      <c r="D177" t="s">
        <v>88</v>
      </c>
      <c r="E177" t="s">
        <v>44</v>
      </c>
      <c r="F177" s="6">
        <v>0.69791666666666663</v>
      </c>
      <c r="G177">
        <v>2</v>
      </c>
      <c r="H177" s="6">
        <f>FLOOR(tblPivotData[[#This Row],[Time]],Summary!$B$6/1440)</f>
        <v>0.69791666666666663</v>
      </c>
      <c r="I177" s="49">
        <f>INDEX(PeakCalc!$L$10:$L$303,MATCH(tblPivotData[[#This Row],[Time]],PeakCalc!$G$10:$G$303,0))</f>
        <v>1</v>
      </c>
    </row>
    <row r="178" spans="1:9" x14ac:dyDescent="0.25">
      <c r="A178" t="s">
        <v>94</v>
      </c>
      <c r="B178" t="s">
        <v>98</v>
      </c>
      <c r="C178" t="s">
        <v>95</v>
      </c>
      <c r="D178" t="s">
        <v>88</v>
      </c>
      <c r="E178" t="s">
        <v>44</v>
      </c>
      <c r="F178" s="6">
        <v>0.70833333333333337</v>
      </c>
      <c r="G178">
        <v>3</v>
      </c>
      <c r="H178" s="6">
        <f>FLOOR(tblPivotData[[#This Row],[Time]],Summary!$B$6/1440)</f>
        <v>0.70833333333333326</v>
      </c>
      <c r="I178" s="49">
        <f>INDEX(PeakCalc!$L$10:$L$303,MATCH(tblPivotData[[#This Row],[Time]],PeakCalc!$G$10:$G$303,0))</f>
        <v>1</v>
      </c>
    </row>
    <row r="179" spans="1:9" x14ac:dyDescent="0.25">
      <c r="A179" t="s">
        <v>94</v>
      </c>
      <c r="B179" t="s">
        <v>98</v>
      </c>
      <c r="C179" t="s">
        <v>95</v>
      </c>
      <c r="D179" t="s">
        <v>88</v>
      </c>
      <c r="E179" t="s">
        <v>44</v>
      </c>
      <c r="F179" s="6">
        <v>0.71875</v>
      </c>
      <c r="G179">
        <v>1</v>
      </c>
      <c r="H179" s="6">
        <f>FLOOR(tblPivotData[[#This Row],[Time]],Summary!$B$6/1440)</f>
        <v>0.71875</v>
      </c>
      <c r="I179" s="49">
        <f>INDEX(PeakCalc!$L$10:$L$303,MATCH(tblPivotData[[#This Row],[Time]],PeakCalc!$G$10:$G$303,0))</f>
        <v>1</v>
      </c>
    </row>
    <row r="180" spans="1:9" x14ac:dyDescent="0.25">
      <c r="A180" t="s">
        <v>94</v>
      </c>
      <c r="B180" t="s">
        <v>98</v>
      </c>
      <c r="C180" t="s">
        <v>95</v>
      </c>
      <c r="D180" t="s">
        <v>88</v>
      </c>
      <c r="E180" t="s">
        <v>44</v>
      </c>
      <c r="F180" s="6">
        <v>0.72916666666666663</v>
      </c>
      <c r="G180">
        <v>2</v>
      </c>
      <c r="H180" s="6">
        <f>FLOOR(tblPivotData[[#This Row],[Time]],Summary!$B$6/1440)</f>
        <v>0.72916666666666663</v>
      </c>
      <c r="I180" s="49">
        <f>INDEX(PeakCalc!$L$10:$L$303,MATCH(tblPivotData[[#This Row],[Time]],PeakCalc!$G$10:$G$303,0))</f>
        <v>0</v>
      </c>
    </row>
    <row r="181" spans="1:9" x14ac:dyDescent="0.25">
      <c r="A181" t="s">
        <v>94</v>
      </c>
      <c r="B181" t="s">
        <v>98</v>
      </c>
      <c r="C181" t="s">
        <v>95</v>
      </c>
      <c r="D181" t="s">
        <v>88</v>
      </c>
      <c r="E181" t="s">
        <v>44</v>
      </c>
      <c r="F181" s="6">
        <v>0.73958333333333337</v>
      </c>
      <c r="G181">
        <v>3</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14</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28</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19</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42</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19</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30</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30</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17</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91</v>
      </c>
      <c r="F190" s="6">
        <v>0.54166666666666663</v>
      </c>
      <c r="G190">
        <v>20</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16</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17</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11</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5</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8</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6</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7</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6</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7</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7</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4</v>
      </c>
      <c r="H201" s="6">
        <f>FLOOR(tblPivotData[[#This Row],[Time]],Summary!$B$6/1440)</f>
        <v>0.73958333333333326</v>
      </c>
      <c r="I201" s="49">
        <f>INDEX(PeakCalc!$L$10:$L$303,MATCH(tblPivotData[[#This Row],[Time]],PeakCalc!$G$10:$G$303,0))</f>
        <v>0</v>
      </c>
    </row>
    <row r="202" spans="1:9" x14ac:dyDescent="0.25">
      <c r="A202" t="s">
        <v>94</v>
      </c>
      <c r="B202" t="s">
        <v>99</v>
      </c>
      <c r="C202" t="s">
        <v>93</v>
      </c>
      <c r="D202" t="s">
        <v>90</v>
      </c>
      <c r="E202" t="s">
        <v>43</v>
      </c>
      <c r="F202" s="6">
        <v>0.29166666666666669</v>
      </c>
      <c r="G202">
        <v>2</v>
      </c>
      <c r="H202" s="6">
        <f>FLOOR(tblPivotData[[#This Row],[Time]],Summary!$B$6/1440)</f>
        <v>0.29166666666666663</v>
      </c>
      <c r="I202" s="49">
        <f>INDEX(PeakCalc!$L$10:$L$303,MATCH(tblPivotData[[#This Row],[Time]],PeakCalc!$G$10:$G$303,0))</f>
        <v>0</v>
      </c>
    </row>
    <row r="203" spans="1:9" x14ac:dyDescent="0.25">
      <c r="A203" t="s">
        <v>94</v>
      </c>
      <c r="B203" t="s">
        <v>99</v>
      </c>
      <c r="C203" t="s">
        <v>93</v>
      </c>
      <c r="D203" t="s">
        <v>90</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99</v>
      </c>
      <c r="C204" t="s">
        <v>93</v>
      </c>
      <c r="D204" t="s">
        <v>90</v>
      </c>
      <c r="E204" t="s">
        <v>43</v>
      </c>
      <c r="F204" s="6">
        <v>0.3125</v>
      </c>
      <c r="G204">
        <v>4</v>
      </c>
      <c r="H204" s="6">
        <f>FLOOR(tblPivotData[[#This Row],[Time]],Summary!$B$6/1440)</f>
        <v>0.3125</v>
      </c>
      <c r="I204" s="49">
        <f>INDEX(PeakCalc!$L$10:$L$303,MATCH(tblPivotData[[#This Row],[Time]],PeakCalc!$G$10:$G$303,0))</f>
        <v>0</v>
      </c>
    </row>
    <row r="205" spans="1:9" x14ac:dyDescent="0.25">
      <c r="A205" t="s">
        <v>94</v>
      </c>
      <c r="B205" t="s">
        <v>99</v>
      </c>
      <c r="C205" t="s">
        <v>93</v>
      </c>
      <c r="D205" t="s">
        <v>90</v>
      </c>
      <c r="E205" t="s">
        <v>43</v>
      </c>
      <c r="F205" s="6">
        <v>0.32291666666666669</v>
      </c>
      <c r="G205">
        <v>3</v>
      </c>
      <c r="H205" s="6">
        <f>FLOOR(tblPivotData[[#This Row],[Time]],Summary!$B$6/1440)</f>
        <v>0.32291666666666663</v>
      </c>
      <c r="I205" s="49">
        <f>INDEX(PeakCalc!$L$10:$L$303,MATCH(tblPivotData[[#This Row],[Time]],PeakCalc!$G$10:$G$303,0))</f>
        <v>1</v>
      </c>
    </row>
    <row r="206" spans="1:9" x14ac:dyDescent="0.25">
      <c r="A206" t="s">
        <v>94</v>
      </c>
      <c r="B206" t="s">
        <v>99</v>
      </c>
      <c r="C206" t="s">
        <v>93</v>
      </c>
      <c r="D206" t="s">
        <v>90</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99</v>
      </c>
      <c r="C207" t="s">
        <v>93</v>
      </c>
      <c r="D207" t="s">
        <v>90</v>
      </c>
      <c r="E207" t="s">
        <v>43</v>
      </c>
      <c r="F207" s="6">
        <v>0.34375</v>
      </c>
      <c r="G207">
        <v>7</v>
      </c>
      <c r="H207" s="6">
        <f>FLOOR(tblPivotData[[#This Row],[Time]],Summary!$B$6/1440)</f>
        <v>0.34375</v>
      </c>
      <c r="I207" s="49">
        <f>INDEX(PeakCalc!$L$10:$L$303,MATCH(tblPivotData[[#This Row],[Time]],PeakCalc!$G$10:$G$303,0))</f>
        <v>1</v>
      </c>
    </row>
    <row r="208" spans="1:9" x14ac:dyDescent="0.25">
      <c r="A208" t="s">
        <v>94</v>
      </c>
      <c r="B208" t="s">
        <v>99</v>
      </c>
      <c r="C208" t="s">
        <v>93</v>
      </c>
      <c r="D208" t="s">
        <v>90</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99</v>
      </c>
      <c r="C209" t="s">
        <v>93</v>
      </c>
      <c r="D209" t="s">
        <v>90</v>
      </c>
      <c r="E209" t="s">
        <v>43</v>
      </c>
      <c r="F209" s="6">
        <v>0.36458333333333331</v>
      </c>
      <c r="G209">
        <v>7</v>
      </c>
      <c r="H209" s="6">
        <f>FLOOR(tblPivotData[[#This Row],[Time]],Summary!$B$6/1440)</f>
        <v>0.36458333333333331</v>
      </c>
      <c r="I209" s="49">
        <f>INDEX(PeakCalc!$L$10:$L$303,MATCH(tblPivotData[[#This Row],[Time]],PeakCalc!$G$10:$G$303,0))</f>
        <v>0</v>
      </c>
    </row>
    <row r="210" spans="1:9" x14ac:dyDescent="0.25">
      <c r="A210" t="s">
        <v>94</v>
      </c>
      <c r="B210" t="s">
        <v>99</v>
      </c>
      <c r="C210" t="s">
        <v>93</v>
      </c>
      <c r="D210" t="s">
        <v>90</v>
      </c>
      <c r="E210" t="s">
        <v>91</v>
      </c>
      <c r="F210" s="6">
        <v>0.54166666666666663</v>
      </c>
      <c r="G210">
        <v>8</v>
      </c>
      <c r="H210" s="6">
        <f>FLOOR(tblPivotData[[#This Row],[Time]],Summary!$B$6/1440)</f>
        <v>0.54166666666666663</v>
      </c>
      <c r="I210" s="49">
        <f>INDEX(PeakCalc!$L$10:$L$303,MATCH(tblPivotData[[#This Row],[Time]],PeakCalc!$G$10:$G$303,0))</f>
        <v>1</v>
      </c>
    </row>
    <row r="211" spans="1:9" x14ac:dyDescent="0.25">
      <c r="A211" t="s">
        <v>94</v>
      </c>
      <c r="B211" t="s">
        <v>99</v>
      </c>
      <c r="C211" t="s">
        <v>93</v>
      </c>
      <c r="D211" t="s">
        <v>90</v>
      </c>
      <c r="E211" t="s">
        <v>91</v>
      </c>
      <c r="F211" s="6">
        <v>0.55208333333333337</v>
      </c>
      <c r="G211">
        <v>6</v>
      </c>
      <c r="H211" s="6">
        <f>FLOOR(tblPivotData[[#This Row],[Time]],Summary!$B$6/1440)</f>
        <v>0.55208333333333326</v>
      </c>
      <c r="I211" s="49">
        <f>INDEX(PeakCalc!$L$10:$L$303,MATCH(tblPivotData[[#This Row],[Time]],PeakCalc!$G$10:$G$303,0))</f>
        <v>1</v>
      </c>
    </row>
    <row r="212" spans="1:9" x14ac:dyDescent="0.25">
      <c r="A212" t="s">
        <v>94</v>
      </c>
      <c r="B212" t="s">
        <v>99</v>
      </c>
      <c r="C212" t="s">
        <v>93</v>
      </c>
      <c r="D212" t="s">
        <v>90</v>
      </c>
      <c r="E212" t="s">
        <v>91</v>
      </c>
      <c r="F212" s="6">
        <v>0.5625</v>
      </c>
      <c r="G212">
        <v>7</v>
      </c>
      <c r="H212" s="6">
        <f>FLOOR(tblPivotData[[#This Row],[Time]],Summary!$B$6/1440)</f>
        <v>0.5625</v>
      </c>
      <c r="I212" s="49">
        <f>INDEX(PeakCalc!$L$10:$L$303,MATCH(tblPivotData[[#This Row],[Time]],PeakCalc!$G$10:$G$303,0))</f>
        <v>1</v>
      </c>
    </row>
    <row r="213" spans="1:9" x14ac:dyDescent="0.25">
      <c r="A213" t="s">
        <v>94</v>
      </c>
      <c r="B213" t="s">
        <v>99</v>
      </c>
      <c r="C213" t="s">
        <v>93</v>
      </c>
      <c r="D213" t="s">
        <v>90</v>
      </c>
      <c r="E213" t="s">
        <v>91</v>
      </c>
      <c r="F213" s="6">
        <v>0.57291666666666663</v>
      </c>
      <c r="G213">
        <v>6</v>
      </c>
      <c r="H213" s="6">
        <f>FLOOR(tblPivotData[[#This Row],[Time]],Summary!$B$6/1440)</f>
        <v>0.57291666666666663</v>
      </c>
      <c r="I213" s="49">
        <f>INDEX(PeakCalc!$L$10:$L$303,MATCH(tblPivotData[[#This Row],[Time]],PeakCalc!$G$10:$G$303,0))</f>
        <v>1</v>
      </c>
    </row>
    <row r="214" spans="1:9" x14ac:dyDescent="0.25">
      <c r="A214" t="s">
        <v>94</v>
      </c>
      <c r="B214" t="s">
        <v>99</v>
      </c>
      <c r="C214" t="s">
        <v>93</v>
      </c>
      <c r="D214" t="s">
        <v>90</v>
      </c>
      <c r="E214" t="s">
        <v>44</v>
      </c>
      <c r="F214" s="6">
        <v>0.66666666666666663</v>
      </c>
      <c r="G214">
        <v>4</v>
      </c>
      <c r="H214" s="6">
        <f>FLOOR(tblPivotData[[#This Row],[Time]],Summary!$B$6/1440)</f>
        <v>0.66666666666666663</v>
      </c>
      <c r="I214" s="49">
        <f>INDEX(PeakCalc!$L$10:$L$303,MATCH(tblPivotData[[#This Row],[Time]],PeakCalc!$G$10:$G$303,0))</f>
        <v>0</v>
      </c>
    </row>
    <row r="215" spans="1:9" x14ac:dyDescent="0.25">
      <c r="A215" t="s">
        <v>94</v>
      </c>
      <c r="B215" t="s">
        <v>99</v>
      </c>
      <c r="C215" t="s">
        <v>93</v>
      </c>
      <c r="D215" t="s">
        <v>90</v>
      </c>
      <c r="E215" t="s">
        <v>44</v>
      </c>
      <c r="F215" s="6">
        <v>0.67708333333333337</v>
      </c>
      <c r="G215">
        <v>5</v>
      </c>
      <c r="H215" s="6">
        <f>FLOOR(tblPivotData[[#This Row],[Time]],Summary!$B$6/1440)</f>
        <v>0.67708333333333326</v>
      </c>
      <c r="I215" s="49">
        <f>INDEX(PeakCalc!$L$10:$L$303,MATCH(tblPivotData[[#This Row],[Time]],PeakCalc!$G$10:$G$303,0))</f>
        <v>0</v>
      </c>
    </row>
    <row r="216" spans="1:9" x14ac:dyDescent="0.25">
      <c r="A216" t="s">
        <v>94</v>
      </c>
      <c r="B216" t="s">
        <v>99</v>
      </c>
      <c r="C216" t="s">
        <v>93</v>
      </c>
      <c r="D216" t="s">
        <v>90</v>
      </c>
      <c r="E216" t="s">
        <v>44</v>
      </c>
      <c r="F216" s="6">
        <v>0.6875</v>
      </c>
      <c r="G216">
        <v>5</v>
      </c>
      <c r="H216" s="6">
        <f>FLOOR(tblPivotData[[#This Row],[Time]],Summary!$B$6/1440)</f>
        <v>0.6875</v>
      </c>
      <c r="I216" s="49">
        <f>INDEX(PeakCalc!$L$10:$L$303,MATCH(tblPivotData[[#This Row],[Time]],PeakCalc!$G$10:$G$303,0))</f>
        <v>1</v>
      </c>
    </row>
    <row r="217" spans="1:9" x14ac:dyDescent="0.25">
      <c r="A217" t="s">
        <v>94</v>
      </c>
      <c r="B217" t="s">
        <v>99</v>
      </c>
      <c r="C217" t="s">
        <v>93</v>
      </c>
      <c r="D217" t="s">
        <v>90</v>
      </c>
      <c r="E217" t="s">
        <v>44</v>
      </c>
      <c r="F217" s="6">
        <v>0.69791666666666663</v>
      </c>
      <c r="G217">
        <v>3</v>
      </c>
      <c r="H217" s="6">
        <f>FLOOR(tblPivotData[[#This Row],[Time]],Summary!$B$6/1440)</f>
        <v>0.69791666666666663</v>
      </c>
      <c r="I217" s="49">
        <f>INDEX(PeakCalc!$L$10:$L$303,MATCH(tblPivotData[[#This Row],[Time]],PeakCalc!$G$10:$G$303,0))</f>
        <v>1</v>
      </c>
    </row>
    <row r="218" spans="1:9" x14ac:dyDescent="0.25">
      <c r="A218" t="s">
        <v>94</v>
      </c>
      <c r="B218" t="s">
        <v>99</v>
      </c>
      <c r="C218" t="s">
        <v>93</v>
      </c>
      <c r="D218" t="s">
        <v>90</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90</v>
      </c>
      <c r="E219" t="s">
        <v>44</v>
      </c>
      <c r="F219" s="6">
        <v>0.71875</v>
      </c>
      <c r="G219">
        <v>1</v>
      </c>
      <c r="H219" s="6">
        <f>FLOOR(tblPivotData[[#This Row],[Time]],Summary!$B$6/1440)</f>
        <v>0.71875</v>
      </c>
      <c r="I219" s="49">
        <f>INDEX(PeakCalc!$L$10:$L$303,MATCH(tblPivotData[[#This Row],[Time]],PeakCalc!$G$10:$G$303,0))</f>
        <v>1</v>
      </c>
    </row>
    <row r="220" spans="1:9" x14ac:dyDescent="0.25">
      <c r="A220" t="s">
        <v>94</v>
      </c>
      <c r="B220" t="s">
        <v>99</v>
      </c>
      <c r="C220" t="s">
        <v>93</v>
      </c>
      <c r="D220" t="s">
        <v>90</v>
      </c>
      <c r="E220" t="s">
        <v>44</v>
      </c>
      <c r="F220" s="6">
        <v>0.72916666666666663</v>
      </c>
      <c r="G220">
        <v>2</v>
      </c>
      <c r="H220" s="6">
        <f>FLOOR(tblPivotData[[#This Row],[Time]],Summary!$B$6/1440)</f>
        <v>0.72916666666666663</v>
      </c>
      <c r="I220" s="49">
        <f>INDEX(PeakCalc!$L$10:$L$303,MATCH(tblPivotData[[#This Row],[Time]],PeakCalc!$G$10:$G$303,0))</f>
        <v>0</v>
      </c>
    </row>
    <row r="221" spans="1:9" x14ac:dyDescent="0.25">
      <c r="A221" t="s">
        <v>94</v>
      </c>
      <c r="B221" t="s">
        <v>99</v>
      </c>
      <c r="C221" t="s">
        <v>93</v>
      </c>
      <c r="D221" t="s">
        <v>90</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88</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88</v>
      </c>
      <c r="E223" t="s">
        <v>43</v>
      </c>
      <c r="F223" s="6">
        <v>0.30208333333333331</v>
      </c>
      <c r="G223">
        <v>1</v>
      </c>
      <c r="H223" s="6">
        <f>FLOOR(tblPivotData[[#This Row],[Time]],Summary!$B$6/1440)</f>
        <v>0.30208333333333331</v>
      </c>
      <c r="I223" s="49">
        <f>INDEX(PeakCalc!$L$10:$L$303,MATCH(tblPivotData[[#This Row],[Time]],PeakCalc!$G$10:$G$303,0))</f>
        <v>0</v>
      </c>
    </row>
    <row r="224" spans="1:9" x14ac:dyDescent="0.25">
      <c r="A224" t="s">
        <v>94</v>
      </c>
      <c r="B224" t="s">
        <v>99</v>
      </c>
      <c r="C224" t="s">
        <v>93</v>
      </c>
      <c r="D224" t="s">
        <v>88</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88</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93</v>
      </c>
      <c r="D226" t="s">
        <v>88</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88</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88</v>
      </c>
      <c r="E228" t="s">
        <v>43</v>
      </c>
      <c r="F228" s="6">
        <v>0.35416666666666669</v>
      </c>
      <c r="G228">
        <v>1</v>
      </c>
      <c r="H228" s="6">
        <f>FLOOR(tblPivotData[[#This Row],[Time]],Summary!$B$6/1440)</f>
        <v>0.35416666666666663</v>
      </c>
      <c r="I228" s="49">
        <f>INDEX(PeakCalc!$L$10:$L$303,MATCH(tblPivotData[[#This Row],[Time]],PeakCalc!$G$10:$G$303,0))</f>
        <v>1</v>
      </c>
    </row>
    <row r="229" spans="1:9" x14ac:dyDescent="0.25">
      <c r="A229" t="s">
        <v>94</v>
      </c>
      <c r="B229" t="s">
        <v>99</v>
      </c>
      <c r="C229" t="s">
        <v>93</v>
      </c>
      <c r="D229" t="s">
        <v>88</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88</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88</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88</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88</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88</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88</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93</v>
      </c>
      <c r="D236" t="s">
        <v>88</v>
      </c>
      <c r="E236" t="s">
        <v>44</v>
      </c>
      <c r="F236" s="6">
        <v>0.6875</v>
      </c>
      <c r="G236">
        <v>1</v>
      </c>
      <c r="H236" s="6">
        <f>FLOOR(tblPivotData[[#This Row],[Time]],Summary!$B$6/1440)</f>
        <v>0.6875</v>
      </c>
      <c r="I236" s="49">
        <f>INDEX(PeakCalc!$L$10:$L$303,MATCH(tblPivotData[[#This Row],[Time]],PeakCalc!$G$10:$G$303,0))</f>
        <v>1</v>
      </c>
    </row>
    <row r="237" spans="1:9" x14ac:dyDescent="0.25">
      <c r="A237" t="s">
        <v>94</v>
      </c>
      <c r="B237" t="s">
        <v>99</v>
      </c>
      <c r="C237" t="s">
        <v>93</v>
      </c>
      <c r="D237" t="s">
        <v>88</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88</v>
      </c>
      <c r="E238" t="s">
        <v>44</v>
      </c>
      <c r="F238" s="6">
        <v>0.70833333333333337</v>
      </c>
      <c r="G238">
        <v>1</v>
      </c>
      <c r="H238" s="6">
        <f>FLOOR(tblPivotData[[#This Row],[Time]],Summary!$B$6/1440)</f>
        <v>0.70833333333333326</v>
      </c>
      <c r="I238" s="49">
        <f>INDEX(PeakCalc!$L$10:$L$303,MATCH(tblPivotData[[#This Row],[Time]],PeakCalc!$G$10:$G$303,0))</f>
        <v>1</v>
      </c>
    </row>
    <row r="239" spans="1:9" x14ac:dyDescent="0.25">
      <c r="A239" t="s">
        <v>94</v>
      </c>
      <c r="B239" t="s">
        <v>99</v>
      </c>
      <c r="C239" t="s">
        <v>93</v>
      </c>
      <c r="D239" t="s">
        <v>88</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93</v>
      </c>
      <c r="D240" t="s">
        <v>88</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93</v>
      </c>
      <c r="D241" t="s">
        <v>88</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26</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48</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34</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41</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40</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47</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28</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26</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91</v>
      </c>
      <c r="F250" s="6">
        <v>0.54166666666666663</v>
      </c>
      <c r="G250">
        <v>12</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20</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15</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23</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15</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11</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7</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9</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2</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6</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5</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6</v>
      </c>
      <c r="H261" s="6">
        <f>FLOOR(tblPivotData[[#This Row],[Time]],Summary!$B$6/1440)</f>
        <v>0.73958333333333326</v>
      </c>
      <c r="I261" s="49">
        <f>INDEX(PeakCalc!$L$10:$L$303,MATCH(tblPivotData[[#This Row],[Time]],PeakCalc!$G$10:$G$303,0))</f>
        <v>0</v>
      </c>
    </row>
    <row r="262" spans="1:9" x14ac:dyDescent="0.25">
      <c r="A262" t="s">
        <v>95</v>
      </c>
      <c r="B262" t="s">
        <v>100</v>
      </c>
      <c r="C262" t="s">
        <v>93</v>
      </c>
      <c r="D262" t="s">
        <v>90</v>
      </c>
      <c r="E262" t="s">
        <v>43</v>
      </c>
      <c r="F262" s="6">
        <v>0.29166666666666669</v>
      </c>
      <c r="G262">
        <v>4</v>
      </c>
      <c r="H262" s="6">
        <f>FLOOR(tblPivotData[[#This Row],[Time]],Summary!$B$6/1440)</f>
        <v>0.29166666666666663</v>
      </c>
      <c r="I262" s="49">
        <f>INDEX(PeakCalc!$L$10:$L$303,MATCH(tblPivotData[[#This Row],[Time]],PeakCalc!$G$10:$G$303,0))</f>
        <v>0</v>
      </c>
    </row>
    <row r="263" spans="1:9" x14ac:dyDescent="0.25">
      <c r="A263" t="s">
        <v>95</v>
      </c>
      <c r="B263" t="s">
        <v>100</v>
      </c>
      <c r="C263" t="s">
        <v>93</v>
      </c>
      <c r="D263" t="s">
        <v>90</v>
      </c>
      <c r="E263" t="s">
        <v>43</v>
      </c>
      <c r="F263" s="6">
        <v>0.30208333333333331</v>
      </c>
      <c r="G263">
        <v>8</v>
      </c>
      <c r="H263" s="6">
        <f>FLOOR(tblPivotData[[#This Row],[Time]],Summary!$B$6/1440)</f>
        <v>0.30208333333333331</v>
      </c>
      <c r="I263" s="49">
        <f>INDEX(PeakCalc!$L$10:$L$303,MATCH(tblPivotData[[#This Row],[Time]],PeakCalc!$G$10:$G$303,0))</f>
        <v>0</v>
      </c>
    </row>
    <row r="264" spans="1:9" x14ac:dyDescent="0.25">
      <c r="A264" t="s">
        <v>95</v>
      </c>
      <c r="B264" t="s">
        <v>100</v>
      </c>
      <c r="C264" t="s">
        <v>93</v>
      </c>
      <c r="D264" t="s">
        <v>90</v>
      </c>
      <c r="E264" t="s">
        <v>43</v>
      </c>
      <c r="F264" s="6">
        <v>0.3125</v>
      </c>
      <c r="G264">
        <v>3</v>
      </c>
      <c r="H264" s="6">
        <f>FLOOR(tblPivotData[[#This Row],[Time]],Summary!$B$6/1440)</f>
        <v>0.3125</v>
      </c>
      <c r="I264" s="49">
        <f>INDEX(PeakCalc!$L$10:$L$303,MATCH(tblPivotData[[#This Row],[Time]],PeakCalc!$G$10:$G$303,0))</f>
        <v>0</v>
      </c>
    </row>
    <row r="265" spans="1:9" x14ac:dyDescent="0.25">
      <c r="A265" t="s">
        <v>95</v>
      </c>
      <c r="B265" t="s">
        <v>100</v>
      </c>
      <c r="C265" t="s">
        <v>93</v>
      </c>
      <c r="D265" t="s">
        <v>90</v>
      </c>
      <c r="E265" t="s">
        <v>43</v>
      </c>
      <c r="F265" s="6">
        <v>0.32291666666666669</v>
      </c>
      <c r="G265">
        <v>9</v>
      </c>
      <c r="H265" s="6">
        <f>FLOOR(tblPivotData[[#This Row],[Time]],Summary!$B$6/1440)</f>
        <v>0.32291666666666663</v>
      </c>
      <c r="I265" s="49">
        <f>INDEX(PeakCalc!$L$10:$L$303,MATCH(tblPivotData[[#This Row],[Time]],PeakCalc!$G$10:$G$303,0))</f>
        <v>1</v>
      </c>
    </row>
    <row r="266" spans="1:9" x14ac:dyDescent="0.25">
      <c r="A266" t="s">
        <v>95</v>
      </c>
      <c r="B266" t="s">
        <v>100</v>
      </c>
      <c r="C266" t="s">
        <v>93</v>
      </c>
      <c r="D266" t="s">
        <v>90</v>
      </c>
      <c r="E266" t="s">
        <v>43</v>
      </c>
      <c r="F266" s="6">
        <v>0.33333333333333331</v>
      </c>
      <c r="G266">
        <v>3</v>
      </c>
      <c r="H266" s="6">
        <f>FLOOR(tblPivotData[[#This Row],[Time]],Summary!$B$6/1440)</f>
        <v>0.33333333333333331</v>
      </c>
      <c r="I266" s="49">
        <f>INDEX(PeakCalc!$L$10:$L$303,MATCH(tblPivotData[[#This Row],[Time]],PeakCalc!$G$10:$G$303,0))</f>
        <v>1</v>
      </c>
    </row>
    <row r="267" spans="1:9" x14ac:dyDescent="0.25">
      <c r="A267" t="s">
        <v>95</v>
      </c>
      <c r="B267" t="s">
        <v>100</v>
      </c>
      <c r="C267" t="s">
        <v>93</v>
      </c>
      <c r="D267" t="s">
        <v>90</v>
      </c>
      <c r="E267" t="s">
        <v>43</v>
      </c>
      <c r="F267" s="6">
        <v>0.34375</v>
      </c>
      <c r="G267">
        <v>3</v>
      </c>
      <c r="H267" s="6">
        <f>FLOOR(tblPivotData[[#This Row],[Time]],Summary!$B$6/1440)</f>
        <v>0.34375</v>
      </c>
      <c r="I267" s="49">
        <f>INDEX(PeakCalc!$L$10:$L$303,MATCH(tblPivotData[[#This Row],[Time]],PeakCalc!$G$10:$G$303,0))</f>
        <v>1</v>
      </c>
    </row>
    <row r="268" spans="1:9" x14ac:dyDescent="0.25">
      <c r="A268" t="s">
        <v>95</v>
      </c>
      <c r="B268" t="s">
        <v>100</v>
      </c>
      <c r="C268" t="s">
        <v>93</v>
      </c>
      <c r="D268" t="s">
        <v>90</v>
      </c>
      <c r="E268" t="s">
        <v>43</v>
      </c>
      <c r="F268" s="6">
        <v>0.35416666666666669</v>
      </c>
      <c r="G268">
        <v>6</v>
      </c>
      <c r="H268" s="6">
        <f>FLOOR(tblPivotData[[#This Row],[Time]],Summary!$B$6/1440)</f>
        <v>0.35416666666666663</v>
      </c>
      <c r="I268" s="49">
        <f>INDEX(PeakCalc!$L$10:$L$303,MATCH(tblPivotData[[#This Row],[Time]],PeakCalc!$G$10:$G$303,0))</f>
        <v>1</v>
      </c>
    </row>
    <row r="269" spans="1:9" x14ac:dyDescent="0.25">
      <c r="A269" t="s">
        <v>95</v>
      </c>
      <c r="B269" t="s">
        <v>100</v>
      </c>
      <c r="C269" t="s">
        <v>93</v>
      </c>
      <c r="D269" t="s">
        <v>90</v>
      </c>
      <c r="E269" t="s">
        <v>43</v>
      </c>
      <c r="F269" s="6">
        <v>0.36458333333333331</v>
      </c>
      <c r="G269">
        <v>5</v>
      </c>
      <c r="H269" s="6">
        <f>FLOOR(tblPivotData[[#This Row],[Time]],Summary!$B$6/1440)</f>
        <v>0.36458333333333331</v>
      </c>
      <c r="I269" s="49">
        <f>INDEX(PeakCalc!$L$10:$L$303,MATCH(tblPivotData[[#This Row],[Time]],PeakCalc!$G$10:$G$303,0))</f>
        <v>0</v>
      </c>
    </row>
    <row r="270" spans="1:9" x14ac:dyDescent="0.25">
      <c r="A270" t="s">
        <v>95</v>
      </c>
      <c r="B270" t="s">
        <v>100</v>
      </c>
      <c r="C270" t="s">
        <v>93</v>
      </c>
      <c r="D270" t="s">
        <v>90</v>
      </c>
      <c r="E270" t="s">
        <v>91</v>
      </c>
      <c r="F270" s="6">
        <v>0.54166666666666663</v>
      </c>
      <c r="G270">
        <v>13</v>
      </c>
      <c r="H270" s="6">
        <f>FLOOR(tblPivotData[[#This Row],[Time]],Summary!$B$6/1440)</f>
        <v>0.54166666666666663</v>
      </c>
      <c r="I270" s="49">
        <f>INDEX(PeakCalc!$L$10:$L$303,MATCH(tblPivotData[[#This Row],[Time]],PeakCalc!$G$10:$G$303,0))</f>
        <v>1</v>
      </c>
    </row>
    <row r="271" spans="1:9" x14ac:dyDescent="0.25">
      <c r="A271" t="s">
        <v>95</v>
      </c>
      <c r="B271" t="s">
        <v>100</v>
      </c>
      <c r="C271" t="s">
        <v>93</v>
      </c>
      <c r="D271" t="s">
        <v>90</v>
      </c>
      <c r="E271" t="s">
        <v>91</v>
      </c>
      <c r="F271" s="6">
        <v>0.55208333333333337</v>
      </c>
      <c r="G271">
        <v>6</v>
      </c>
      <c r="H271" s="6">
        <f>FLOOR(tblPivotData[[#This Row],[Time]],Summary!$B$6/1440)</f>
        <v>0.55208333333333326</v>
      </c>
      <c r="I271" s="49">
        <f>INDEX(PeakCalc!$L$10:$L$303,MATCH(tblPivotData[[#This Row],[Time]],PeakCalc!$G$10:$G$303,0))</f>
        <v>1</v>
      </c>
    </row>
    <row r="272" spans="1:9" x14ac:dyDescent="0.25">
      <c r="A272" t="s">
        <v>95</v>
      </c>
      <c r="B272" t="s">
        <v>100</v>
      </c>
      <c r="C272" t="s">
        <v>93</v>
      </c>
      <c r="D272" t="s">
        <v>90</v>
      </c>
      <c r="E272" t="s">
        <v>91</v>
      </c>
      <c r="F272" s="6">
        <v>0.5625</v>
      </c>
      <c r="G272">
        <v>9</v>
      </c>
      <c r="H272" s="6">
        <f>FLOOR(tblPivotData[[#This Row],[Time]],Summary!$B$6/1440)</f>
        <v>0.5625</v>
      </c>
      <c r="I272" s="49">
        <f>INDEX(PeakCalc!$L$10:$L$303,MATCH(tblPivotData[[#This Row],[Time]],PeakCalc!$G$10:$G$303,0))</f>
        <v>1</v>
      </c>
    </row>
    <row r="273" spans="1:9" x14ac:dyDescent="0.25">
      <c r="A273" t="s">
        <v>95</v>
      </c>
      <c r="B273" t="s">
        <v>100</v>
      </c>
      <c r="C273" t="s">
        <v>93</v>
      </c>
      <c r="D273" t="s">
        <v>90</v>
      </c>
      <c r="E273" t="s">
        <v>91</v>
      </c>
      <c r="F273" s="6">
        <v>0.57291666666666663</v>
      </c>
      <c r="G273">
        <v>9</v>
      </c>
      <c r="H273" s="6">
        <f>FLOOR(tblPivotData[[#This Row],[Time]],Summary!$B$6/1440)</f>
        <v>0.57291666666666663</v>
      </c>
      <c r="I273" s="49">
        <f>INDEX(PeakCalc!$L$10:$L$303,MATCH(tblPivotData[[#This Row],[Time]],PeakCalc!$G$10:$G$303,0))</f>
        <v>1</v>
      </c>
    </row>
    <row r="274" spans="1:9" x14ac:dyDescent="0.25">
      <c r="A274" t="s">
        <v>95</v>
      </c>
      <c r="B274" t="s">
        <v>100</v>
      </c>
      <c r="C274" t="s">
        <v>93</v>
      </c>
      <c r="D274" t="s">
        <v>90</v>
      </c>
      <c r="E274" t="s">
        <v>44</v>
      </c>
      <c r="F274" s="6">
        <v>0.66666666666666663</v>
      </c>
      <c r="G274">
        <v>11</v>
      </c>
      <c r="H274" s="6">
        <f>FLOOR(tblPivotData[[#This Row],[Time]],Summary!$B$6/1440)</f>
        <v>0.66666666666666663</v>
      </c>
      <c r="I274" s="49">
        <f>INDEX(PeakCalc!$L$10:$L$303,MATCH(tblPivotData[[#This Row],[Time]],PeakCalc!$G$10:$G$303,0))</f>
        <v>0</v>
      </c>
    </row>
    <row r="275" spans="1:9" x14ac:dyDescent="0.25">
      <c r="A275" t="s">
        <v>95</v>
      </c>
      <c r="B275" t="s">
        <v>100</v>
      </c>
      <c r="C275" t="s">
        <v>93</v>
      </c>
      <c r="D275" t="s">
        <v>90</v>
      </c>
      <c r="E275" t="s">
        <v>44</v>
      </c>
      <c r="F275" s="6">
        <v>0.67708333333333337</v>
      </c>
      <c r="G275">
        <v>9</v>
      </c>
      <c r="H275" s="6">
        <f>FLOOR(tblPivotData[[#This Row],[Time]],Summary!$B$6/1440)</f>
        <v>0.67708333333333326</v>
      </c>
      <c r="I275" s="49">
        <f>INDEX(PeakCalc!$L$10:$L$303,MATCH(tblPivotData[[#This Row],[Time]],PeakCalc!$G$10:$G$303,0))</f>
        <v>0</v>
      </c>
    </row>
    <row r="276" spans="1:9" x14ac:dyDescent="0.25">
      <c r="A276" t="s">
        <v>95</v>
      </c>
      <c r="B276" t="s">
        <v>100</v>
      </c>
      <c r="C276" t="s">
        <v>93</v>
      </c>
      <c r="D276" t="s">
        <v>90</v>
      </c>
      <c r="E276" t="s">
        <v>44</v>
      </c>
      <c r="F276" s="6">
        <v>0.6875</v>
      </c>
      <c r="G276">
        <v>4</v>
      </c>
      <c r="H276" s="6">
        <f>FLOOR(tblPivotData[[#This Row],[Time]],Summary!$B$6/1440)</f>
        <v>0.6875</v>
      </c>
      <c r="I276" s="49">
        <f>INDEX(PeakCalc!$L$10:$L$303,MATCH(tblPivotData[[#This Row],[Time]],PeakCalc!$G$10:$G$303,0))</f>
        <v>1</v>
      </c>
    </row>
    <row r="277" spans="1:9" x14ac:dyDescent="0.25">
      <c r="A277" t="s">
        <v>95</v>
      </c>
      <c r="B277" t="s">
        <v>100</v>
      </c>
      <c r="C277" t="s">
        <v>93</v>
      </c>
      <c r="D277" t="s">
        <v>90</v>
      </c>
      <c r="E277" t="s">
        <v>44</v>
      </c>
      <c r="F277" s="6">
        <v>0.69791666666666663</v>
      </c>
      <c r="G277">
        <v>6</v>
      </c>
      <c r="H277" s="6">
        <f>FLOOR(tblPivotData[[#This Row],[Time]],Summary!$B$6/1440)</f>
        <v>0.69791666666666663</v>
      </c>
      <c r="I277" s="49">
        <f>INDEX(PeakCalc!$L$10:$L$303,MATCH(tblPivotData[[#This Row],[Time]],PeakCalc!$G$10:$G$303,0))</f>
        <v>1</v>
      </c>
    </row>
    <row r="278" spans="1:9" x14ac:dyDescent="0.25">
      <c r="A278" t="s">
        <v>95</v>
      </c>
      <c r="B278" t="s">
        <v>100</v>
      </c>
      <c r="C278" t="s">
        <v>93</v>
      </c>
      <c r="D278" t="s">
        <v>90</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95</v>
      </c>
      <c r="B279" t="s">
        <v>100</v>
      </c>
      <c r="C279" t="s">
        <v>93</v>
      </c>
      <c r="D279" t="s">
        <v>90</v>
      </c>
      <c r="E279" t="s">
        <v>44</v>
      </c>
      <c r="F279" s="6">
        <v>0.71875</v>
      </c>
      <c r="G279">
        <v>2</v>
      </c>
      <c r="H279" s="6">
        <f>FLOOR(tblPivotData[[#This Row],[Time]],Summary!$B$6/1440)</f>
        <v>0.71875</v>
      </c>
      <c r="I279" s="49">
        <f>INDEX(PeakCalc!$L$10:$L$303,MATCH(tblPivotData[[#This Row],[Time]],PeakCalc!$G$10:$G$303,0))</f>
        <v>1</v>
      </c>
    </row>
    <row r="280" spans="1:9" x14ac:dyDescent="0.25">
      <c r="A280" t="s">
        <v>95</v>
      </c>
      <c r="B280" t="s">
        <v>100</v>
      </c>
      <c r="C280" t="s">
        <v>93</v>
      </c>
      <c r="D280" t="s">
        <v>90</v>
      </c>
      <c r="E280" t="s">
        <v>44</v>
      </c>
      <c r="F280" s="6">
        <v>0.72916666666666663</v>
      </c>
      <c r="G280">
        <v>3</v>
      </c>
      <c r="H280" s="6">
        <f>FLOOR(tblPivotData[[#This Row],[Time]],Summary!$B$6/1440)</f>
        <v>0.72916666666666663</v>
      </c>
      <c r="I280" s="49">
        <f>INDEX(PeakCalc!$L$10:$L$303,MATCH(tblPivotData[[#This Row],[Time]],PeakCalc!$G$10:$G$303,0))</f>
        <v>0</v>
      </c>
    </row>
    <row r="281" spans="1:9" x14ac:dyDescent="0.25">
      <c r="A281" t="s">
        <v>95</v>
      </c>
      <c r="B281" t="s">
        <v>100</v>
      </c>
      <c r="C281" t="s">
        <v>93</v>
      </c>
      <c r="D281" t="s">
        <v>90</v>
      </c>
      <c r="E281" t="s">
        <v>44</v>
      </c>
      <c r="F281" s="6">
        <v>0.73958333333333337</v>
      </c>
      <c r="G281">
        <v>4</v>
      </c>
      <c r="H281" s="6">
        <f>FLOOR(tblPivotData[[#This Row],[Time]],Summary!$B$6/1440)</f>
        <v>0.73958333333333326</v>
      </c>
      <c r="I281" s="49">
        <f>INDEX(PeakCalc!$L$10:$L$303,MATCH(tblPivotData[[#This Row],[Time]],PeakCalc!$G$10:$G$303,0))</f>
        <v>0</v>
      </c>
    </row>
    <row r="282" spans="1:9" x14ac:dyDescent="0.25">
      <c r="A282" t="s">
        <v>95</v>
      </c>
      <c r="B282" t="s">
        <v>100</v>
      </c>
      <c r="C282" t="s">
        <v>93</v>
      </c>
      <c r="D282" t="s">
        <v>88</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88</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88</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93</v>
      </c>
      <c r="D285" t="s">
        <v>88</v>
      </c>
      <c r="E285" t="s">
        <v>43</v>
      </c>
      <c r="F285" s="6">
        <v>0.32291666666666669</v>
      </c>
      <c r="G285">
        <v>4</v>
      </c>
      <c r="H285" s="6">
        <f>FLOOR(tblPivotData[[#This Row],[Time]],Summary!$B$6/1440)</f>
        <v>0.32291666666666663</v>
      </c>
      <c r="I285" s="49">
        <f>INDEX(PeakCalc!$L$10:$L$303,MATCH(tblPivotData[[#This Row],[Time]],PeakCalc!$G$10:$G$303,0))</f>
        <v>1</v>
      </c>
    </row>
    <row r="286" spans="1:9" x14ac:dyDescent="0.25">
      <c r="A286" t="s">
        <v>95</v>
      </c>
      <c r="B286" t="s">
        <v>100</v>
      </c>
      <c r="C286" t="s">
        <v>93</v>
      </c>
      <c r="D286" t="s">
        <v>88</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88</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93</v>
      </c>
      <c r="D288" t="s">
        <v>88</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93</v>
      </c>
      <c r="D289" t="s">
        <v>88</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t="s">
        <v>93</v>
      </c>
      <c r="D290" t="s">
        <v>88</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88</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88</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88</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88</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88</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95</v>
      </c>
      <c r="B296" t="s">
        <v>100</v>
      </c>
      <c r="C296" t="s">
        <v>93</v>
      </c>
      <c r="D296" t="s">
        <v>88</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100</v>
      </c>
      <c r="C297" t="s">
        <v>93</v>
      </c>
      <c r="D297" t="s">
        <v>88</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88</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93</v>
      </c>
      <c r="D299" t="s">
        <v>88</v>
      </c>
      <c r="E299" t="s">
        <v>44</v>
      </c>
      <c r="F299" s="6">
        <v>0.71875</v>
      </c>
      <c r="G299">
        <v>0</v>
      </c>
      <c r="H299" s="6">
        <f>FLOOR(tblPivotData[[#This Row],[Time]],Summary!$B$6/1440)</f>
        <v>0.71875</v>
      </c>
      <c r="I299" s="49">
        <f>INDEX(PeakCalc!$L$10:$L$303,MATCH(tblPivotData[[#This Row],[Time]],PeakCalc!$G$10:$G$303,0))</f>
        <v>1</v>
      </c>
    </row>
    <row r="300" spans="1:9" x14ac:dyDescent="0.25">
      <c r="A300" t="s">
        <v>95</v>
      </c>
      <c r="B300" t="s">
        <v>100</v>
      </c>
      <c r="C300" t="s">
        <v>93</v>
      </c>
      <c r="D300" t="s">
        <v>88</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88</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39</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54</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51</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64</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46</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61</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76</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93</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91</v>
      </c>
      <c r="F310" s="6">
        <v>0.54166666666666663</v>
      </c>
      <c r="G310">
        <v>72</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63</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78</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83</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126</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137</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156</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191</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151</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176</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147</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148</v>
      </c>
      <c r="H321" s="6">
        <f>FLOOR(tblPivotData[[#This Row],[Time]],Summary!$B$6/1440)</f>
        <v>0.73958333333333326</v>
      </c>
      <c r="I321" s="49">
        <f>INDEX(PeakCalc!$L$10:$L$303,MATCH(tblPivotData[[#This Row],[Time]],PeakCalc!$G$10:$G$303,0))</f>
        <v>0</v>
      </c>
    </row>
    <row r="322" spans="1:9" x14ac:dyDescent="0.25">
      <c r="A322" t="s">
        <v>95</v>
      </c>
      <c r="B322" t="s">
        <v>101</v>
      </c>
      <c r="C322" t="s">
        <v>94</v>
      </c>
      <c r="D322" t="s">
        <v>90</v>
      </c>
      <c r="E322" t="s">
        <v>43</v>
      </c>
      <c r="F322" s="6">
        <v>0.29166666666666669</v>
      </c>
      <c r="G322">
        <v>5</v>
      </c>
      <c r="H322" s="6">
        <f>FLOOR(tblPivotData[[#This Row],[Time]],Summary!$B$6/1440)</f>
        <v>0.29166666666666663</v>
      </c>
      <c r="I322" s="49">
        <f>INDEX(PeakCalc!$L$10:$L$303,MATCH(tblPivotData[[#This Row],[Time]],PeakCalc!$G$10:$G$303,0))</f>
        <v>0</v>
      </c>
    </row>
    <row r="323" spans="1:9" x14ac:dyDescent="0.25">
      <c r="A323" t="s">
        <v>95</v>
      </c>
      <c r="B323" t="s">
        <v>101</v>
      </c>
      <c r="C323" t="s">
        <v>94</v>
      </c>
      <c r="D323" t="s">
        <v>90</v>
      </c>
      <c r="E323" t="s">
        <v>43</v>
      </c>
      <c r="F323" s="6">
        <v>0.30208333333333331</v>
      </c>
      <c r="G323">
        <v>12</v>
      </c>
      <c r="H323" s="6">
        <f>FLOOR(tblPivotData[[#This Row],[Time]],Summary!$B$6/1440)</f>
        <v>0.30208333333333331</v>
      </c>
      <c r="I323" s="49">
        <f>INDEX(PeakCalc!$L$10:$L$303,MATCH(tblPivotData[[#This Row],[Time]],PeakCalc!$G$10:$G$303,0))</f>
        <v>0</v>
      </c>
    </row>
    <row r="324" spans="1:9" x14ac:dyDescent="0.25">
      <c r="A324" t="s">
        <v>95</v>
      </c>
      <c r="B324" t="s">
        <v>101</v>
      </c>
      <c r="C324" t="s">
        <v>94</v>
      </c>
      <c r="D324" t="s">
        <v>90</v>
      </c>
      <c r="E324" t="s">
        <v>43</v>
      </c>
      <c r="F324" s="6">
        <v>0.3125</v>
      </c>
      <c r="G324">
        <v>7</v>
      </c>
      <c r="H324" s="6">
        <f>FLOOR(tblPivotData[[#This Row],[Time]],Summary!$B$6/1440)</f>
        <v>0.3125</v>
      </c>
      <c r="I324" s="49">
        <f>INDEX(PeakCalc!$L$10:$L$303,MATCH(tblPivotData[[#This Row],[Time]],PeakCalc!$G$10:$G$303,0))</f>
        <v>0</v>
      </c>
    </row>
    <row r="325" spans="1:9" x14ac:dyDescent="0.25">
      <c r="A325" t="s">
        <v>95</v>
      </c>
      <c r="B325" t="s">
        <v>101</v>
      </c>
      <c r="C325" t="s">
        <v>94</v>
      </c>
      <c r="D325" t="s">
        <v>90</v>
      </c>
      <c r="E325" t="s">
        <v>43</v>
      </c>
      <c r="F325" s="6">
        <v>0.32291666666666669</v>
      </c>
      <c r="G325">
        <v>9</v>
      </c>
      <c r="H325" s="6">
        <f>FLOOR(tblPivotData[[#This Row],[Time]],Summary!$B$6/1440)</f>
        <v>0.32291666666666663</v>
      </c>
      <c r="I325" s="49">
        <f>INDEX(PeakCalc!$L$10:$L$303,MATCH(tblPivotData[[#This Row],[Time]],PeakCalc!$G$10:$G$303,0))</f>
        <v>1</v>
      </c>
    </row>
    <row r="326" spans="1:9" x14ac:dyDescent="0.25">
      <c r="A326" t="s">
        <v>95</v>
      </c>
      <c r="B326" t="s">
        <v>101</v>
      </c>
      <c r="C326" t="s">
        <v>94</v>
      </c>
      <c r="D326" t="s">
        <v>90</v>
      </c>
      <c r="E326" t="s">
        <v>43</v>
      </c>
      <c r="F326" s="6">
        <v>0.33333333333333331</v>
      </c>
      <c r="G326">
        <v>11</v>
      </c>
      <c r="H326" s="6">
        <f>FLOOR(tblPivotData[[#This Row],[Time]],Summary!$B$6/1440)</f>
        <v>0.33333333333333331</v>
      </c>
      <c r="I326" s="49">
        <f>INDEX(PeakCalc!$L$10:$L$303,MATCH(tblPivotData[[#This Row],[Time]],PeakCalc!$G$10:$G$303,0))</f>
        <v>1</v>
      </c>
    </row>
    <row r="327" spans="1:9" x14ac:dyDescent="0.25">
      <c r="A327" t="s">
        <v>95</v>
      </c>
      <c r="B327" t="s">
        <v>101</v>
      </c>
      <c r="C327" t="s">
        <v>94</v>
      </c>
      <c r="D327" t="s">
        <v>90</v>
      </c>
      <c r="E327" t="s">
        <v>43</v>
      </c>
      <c r="F327" s="6">
        <v>0.34375</v>
      </c>
      <c r="G327">
        <v>11</v>
      </c>
      <c r="H327" s="6">
        <f>FLOOR(tblPivotData[[#This Row],[Time]],Summary!$B$6/1440)</f>
        <v>0.34375</v>
      </c>
      <c r="I327" s="49">
        <f>INDEX(PeakCalc!$L$10:$L$303,MATCH(tblPivotData[[#This Row],[Time]],PeakCalc!$G$10:$G$303,0))</f>
        <v>1</v>
      </c>
    </row>
    <row r="328" spans="1:9" x14ac:dyDescent="0.25">
      <c r="A328" t="s">
        <v>95</v>
      </c>
      <c r="B328" t="s">
        <v>101</v>
      </c>
      <c r="C328" t="s">
        <v>94</v>
      </c>
      <c r="D328" t="s">
        <v>90</v>
      </c>
      <c r="E328" t="s">
        <v>43</v>
      </c>
      <c r="F328" s="6">
        <v>0.35416666666666669</v>
      </c>
      <c r="G328">
        <v>12</v>
      </c>
      <c r="H328" s="6">
        <f>FLOOR(tblPivotData[[#This Row],[Time]],Summary!$B$6/1440)</f>
        <v>0.35416666666666663</v>
      </c>
      <c r="I328" s="49">
        <f>INDEX(PeakCalc!$L$10:$L$303,MATCH(tblPivotData[[#This Row],[Time]],PeakCalc!$G$10:$G$303,0))</f>
        <v>1</v>
      </c>
    </row>
    <row r="329" spans="1:9" x14ac:dyDescent="0.25">
      <c r="A329" t="s">
        <v>95</v>
      </c>
      <c r="B329" t="s">
        <v>101</v>
      </c>
      <c r="C329" t="s">
        <v>94</v>
      </c>
      <c r="D329" t="s">
        <v>90</v>
      </c>
      <c r="E329" t="s">
        <v>43</v>
      </c>
      <c r="F329" s="6">
        <v>0.36458333333333331</v>
      </c>
      <c r="G329">
        <v>7</v>
      </c>
      <c r="H329" s="6">
        <f>FLOOR(tblPivotData[[#This Row],[Time]],Summary!$B$6/1440)</f>
        <v>0.36458333333333331</v>
      </c>
      <c r="I329" s="49">
        <f>INDEX(PeakCalc!$L$10:$L$303,MATCH(tblPivotData[[#This Row],[Time]],PeakCalc!$G$10:$G$303,0))</f>
        <v>0</v>
      </c>
    </row>
    <row r="330" spans="1:9" x14ac:dyDescent="0.25">
      <c r="A330" t="s">
        <v>95</v>
      </c>
      <c r="B330" t="s">
        <v>101</v>
      </c>
      <c r="C330" t="s">
        <v>94</v>
      </c>
      <c r="D330" t="s">
        <v>90</v>
      </c>
      <c r="E330" t="s">
        <v>91</v>
      </c>
      <c r="F330" s="6">
        <v>0.54166666666666663</v>
      </c>
      <c r="G330">
        <v>8</v>
      </c>
      <c r="H330" s="6">
        <f>FLOOR(tblPivotData[[#This Row],[Time]],Summary!$B$6/1440)</f>
        <v>0.54166666666666663</v>
      </c>
      <c r="I330" s="49">
        <f>INDEX(PeakCalc!$L$10:$L$303,MATCH(tblPivotData[[#This Row],[Time]],PeakCalc!$G$10:$G$303,0))</f>
        <v>1</v>
      </c>
    </row>
    <row r="331" spans="1:9" x14ac:dyDescent="0.25">
      <c r="A331" t="s">
        <v>95</v>
      </c>
      <c r="B331" t="s">
        <v>101</v>
      </c>
      <c r="C331" t="s">
        <v>94</v>
      </c>
      <c r="D331" t="s">
        <v>90</v>
      </c>
      <c r="E331" t="s">
        <v>91</v>
      </c>
      <c r="F331" s="6">
        <v>0.55208333333333337</v>
      </c>
      <c r="G331">
        <v>15</v>
      </c>
      <c r="H331" s="6">
        <f>FLOOR(tblPivotData[[#This Row],[Time]],Summary!$B$6/1440)</f>
        <v>0.55208333333333326</v>
      </c>
      <c r="I331" s="49">
        <f>INDEX(PeakCalc!$L$10:$L$303,MATCH(tblPivotData[[#This Row],[Time]],PeakCalc!$G$10:$G$303,0))</f>
        <v>1</v>
      </c>
    </row>
    <row r="332" spans="1:9" x14ac:dyDescent="0.25">
      <c r="A332" t="s">
        <v>95</v>
      </c>
      <c r="B332" t="s">
        <v>101</v>
      </c>
      <c r="C332" t="s">
        <v>94</v>
      </c>
      <c r="D332" t="s">
        <v>90</v>
      </c>
      <c r="E332" t="s">
        <v>91</v>
      </c>
      <c r="F332" s="6">
        <v>0.5625</v>
      </c>
      <c r="G332">
        <v>13</v>
      </c>
      <c r="H332" s="6">
        <f>FLOOR(tblPivotData[[#This Row],[Time]],Summary!$B$6/1440)</f>
        <v>0.5625</v>
      </c>
      <c r="I332" s="49">
        <f>INDEX(PeakCalc!$L$10:$L$303,MATCH(tblPivotData[[#This Row],[Time]],PeakCalc!$G$10:$G$303,0))</f>
        <v>1</v>
      </c>
    </row>
    <row r="333" spans="1:9" x14ac:dyDescent="0.25">
      <c r="A333" t="s">
        <v>95</v>
      </c>
      <c r="B333" t="s">
        <v>101</v>
      </c>
      <c r="C333" t="s">
        <v>94</v>
      </c>
      <c r="D333" t="s">
        <v>90</v>
      </c>
      <c r="E333" t="s">
        <v>91</v>
      </c>
      <c r="F333" s="6">
        <v>0.57291666666666663</v>
      </c>
      <c r="G333">
        <v>8</v>
      </c>
      <c r="H333" s="6">
        <f>FLOOR(tblPivotData[[#This Row],[Time]],Summary!$B$6/1440)</f>
        <v>0.57291666666666663</v>
      </c>
      <c r="I333" s="49">
        <f>INDEX(PeakCalc!$L$10:$L$303,MATCH(tblPivotData[[#This Row],[Time]],PeakCalc!$G$10:$G$303,0))</f>
        <v>1</v>
      </c>
    </row>
    <row r="334" spans="1:9" x14ac:dyDescent="0.25">
      <c r="A334" t="s">
        <v>95</v>
      </c>
      <c r="B334" t="s">
        <v>101</v>
      </c>
      <c r="C334" t="s">
        <v>94</v>
      </c>
      <c r="D334" t="s">
        <v>90</v>
      </c>
      <c r="E334" t="s">
        <v>44</v>
      </c>
      <c r="F334" s="6">
        <v>0.66666666666666663</v>
      </c>
      <c r="G334">
        <v>5</v>
      </c>
      <c r="H334" s="6">
        <f>FLOOR(tblPivotData[[#This Row],[Time]],Summary!$B$6/1440)</f>
        <v>0.66666666666666663</v>
      </c>
      <c r="I334" s="49">
        <f>INDEX(PeakCalc!$L$10:$L$303,MATCH(tblPivotData[[#This Row],[Time]],PeakCalc!$G$10:$G$303,0))</f>
        <v>0</v>
      </c>
    </row>
    <row r="335" spans="1:9" x14ac:dyDescent="0.25">
      <c r="A335" t="s">
        <v>95</v>
      </c>
      <c r="B335" t="s">
        <v>101</v>
      </c>
      <c r="C335" t="s">
        <v>94</v>
      </c>
      <c r="D335" t="s">
        <v>90</v>
      </c>
      <c r="E335" t="s">
        <v>44</v>
      </c>
      <c r="F335" s="6">
        <v>0.67708333333333337</v>
      </c>
      <c r="G335">
        <v>10</v>
      </c>
      <c r="H335" s="6">
        <f>FLOOR(tblPivotData[[#This Row],[Time]],Summary!$B$6/1440)</f>
        <v>0.67708333333333326</v>
      </c>
      <c r="I335" s="49">
        <f>INDEX(PeakCalc!$L$10:$L$303,MATCH(tblPivotData[[#This Row],[Time]],PeakCalc!$G$10:$G$303,0))</f>
        <v>0</v>
      </c>
    </row>
    <row r="336" spans="1:9" x14ac:dyDescent="0.25">
      <c r="A336" t="s">
        <v>95</v>
      </c>
      <c r="B336" t="s">
        <v>101</v>
      </c>
      <c r="C336" t="s">
        <v>94</v>
      </c>
      <c r="D336" t="s">
        <v>90</v>
      </c>
      <c r="E336" t="s">
        <v>44</v>
      </c>
      <c r="F336" s="6">
        <v>0.6875</v>
      </c>
      <c r="G336">
        <v>7</v>
      </c>
      <c r="H336" s="6">
        <f>FLOOR(tblPivotData[[#This Row],[Time]],Summary!$B$6/1440)</f>
        <v>0.6875</v>
      </c>
      <c r="I336" s="49">
        <f>INDEX(PeakCalc!$L$10:$L$303,MATCH(tblPivotData[[#This Row],[Time]],PeakCalc!$G$10:$G$303,0))</f>
        <v>1</v>
      </c>
    </row>
    <row r="337" spans="1:9" x14ac:dyDescent="0.25">
      <c r="A337" t="s">
        <v>95</v>
      </c>
      <c r="B337" t="s">
        <v>101</v>
      </c>
      <c r="C337" t="s">
        <v>94</v>
      </c>
      <c r="D337" t="s">
        <v>90</v>
      </c>
      <c r="E337" t="s">
        <v>44</v>
      </c>
      <c r="F337" s="6">
        <v>0.69791666666666663</v>
      </c>
      <c r="G337">
        <v>5</v>
      </c>
      <c r="H337" s="6">
        <f>FLOOR(tblPivotData[[#This Row],[Time]],Summary!$B$6/1440)</f>
        <v>0.69791666666666663</v>
      </c>
      <c r="I337" s="49">
        <f>INDEX(PeakCalc!$L$10:$L$303,MATCH(tblPivotData[[#This Row],[Time]],PeakCalc!$G$10:$G$303,0))</f>
        <v>1</v>
      </c>
    </row>
    <row r="338" spans="1:9" x14ac:dyDescent="0.25">
      <c r="A338" t="s">
        <v>95</v>
      </c>
      <c r="B338" t="s">
        <v>101</v>
      </c>
      <c r="C338" t="s">
        <v>94</v>
      </c>
      <c r="D338" t="s">
        <v>90</v>
      </c>
      <c r="E338" t="s">
        <v>44</v>
      </c>
      <c r="F338" s="6">
        <v>0.70833333333333337</v>
      </c>
      <c r="G338">
        <v>9</v>
      </c>
      <c r="H338" s="6">
        <f>FLOOR(tblPivotData[[#This Row],[Time]],Summary!$B$6/1440)</f>
        <v>0.70833333333333326</v>
      </c>
      <c r="I338" s="49">
        <f>INDEX(PeakCalc!$L$10:$L$303,MATCH(tblPivotData[[#This Row],[Time]],PeakCalc!$G$10:$G$303,0))</f>
        <v>1</v>
      </c>
    </row>
    <row r="339" spans="1:9" x14ac:dyDescent="0.25">
      <c r="A339" t="s">
        <v>95</v>
      </c>
      <c r="B339" t="s">
        <v>101</v>
      </c>
      <c r="C339" t="s">
        <v>94</v>
      </c>
      <c r="D339" t="s">
        <v>90</v>
      </c>
      <c r="E339" t="s">
        <v>44</v>
      </c>
      <c r="F339" s="6">
        <v>0.71875</v>
      </c>
      <c r="G339">
        <v>8</v>
      </c>
      <c r="H339" s="6">
        <f>FLOOR(tblPivotData[[#This Row],[Time]],Summary!$B$6/1440)</f>
        <v>0.71875</v>
      </c>
      <c r="I339" s="49">
        <f>INDEX(PeakCalc!$L$10:$L$303,MATCH(tblPivotData[[#This Row],[Time]],PeakCalc!$G$10:$G$303,0))</f>
        <v>1</v>
      </c>
    </row>
    <row r="340" spans="1:9" x14ac:dyDescent="0.25">
      <c r="A340" t="s">
        <v>95</v>
      </c>
      <c r="B340" t="s">
        <v>101</v>
      </c>
      <c r="C340" t="s">
        <v>94</v>
      </c>
      <c r="D340" t="s">
        <v>90</v>
      </c>
      <c r="E340" t="s">
        <v>44</v>
      </c>
      <c r="F340" s="6">
        <v>0.72916666666666663</v>
      </c>
      <c r="G340">
        <v>8</v>
      </c>
      <c r="H340" s="6">
        <f>FLOOR(tblPivotData[[#This Row],[Time]],Summary!$B$6/1440)</f>
        <v>0.72916666666666663</v>
      </c>
      <c r="I340" s="49">
        <f>INDEX(PeakCalc!$L$10:$L$303,MATCH(tblPivotData[[#This Row],[Time]],PeakCalc!$G$10:$G$303,0))</f>
        <v>0</v>
      </c>
    </row>
    <row r="341" spans="1:9" x14ac:dyDescent="0.25">
      <c r="A341" t="s">
        <v>95</v>
      </c>
      <c r="B341" t="s">
        <v>101</v>
      </c>
      <c r="C341" t="s">
        <v>94</v>
      </c>
      <c r="D341" t="s">
        <v>90</v>
      </c>
      <c r="E341" t="s">
        <v>44</v>
      </c>
      <c r="F341" s="6">
        <v>0.73958333333333337</v>
      </c>
      <c r="G341">
        <v>5</v>
      </c>
      <c r="H341" s="6">
        <f>FLOOR(tblPivotData[[#This Row],[Time]],Summary!$B$6/1440)</f>
        <v>0.73958333333333326</v>
      </c>
      <c r="I341" s="49">
        <f>INDEX(PeakCalc!$L$10:$L$303,MATCH(tblPivotData[[#This Row],[Time]],PeakCalc!$G$10:$G$303,0))</f>
        <v>0</v>
      </c>
    </row>
    <row r="342" spans="1:9" x14ac:dyDescent="0.25">
      <c r="A342" t="s">
        <v>95</v>
      </c>
      <c r="B342" t="s">
        <v>101</v>
      </c>
      <c r="C342" t="s">
        <v>94</v>
      </c>
      <c r="D342" t="s">
        <v>88</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88</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88</v>
      </c>
      <c r="E344" t="s">
        <v>43</v>
      </c>
      <c r="F344" s="6">
        <v>0.3125</v>
      </c>
      <c r="G344">
        <v>2</v>
      </c>
      <c r="H344" s="6">
        <f>FLOOR(tblPivotData[[#This Row],[Time]],Summary!$B$6/1440)</f>
        <v>0.3125</v>
      </c>
      <c r="I344" s="49">
        <f>INDEX(PeakCalc!$L$10:$L$303,MATCH(tblPivotData[[#This Row],[Time]],PeakCalc!$G$10:$G$303,0))</f>
        <v>0</v>
      </c>
    </row>
    <row r="345" spans="1:9" x14ac:dyDescent="0.25">
      <c r="A345" t="s">
        <v>95</v>
      </c>
      <c r="B345" t="s">
        <v>101</v>
      </c>
      <c r="C345" t="s">
        <v>94</v>
      </c>
      <c r="D345" t="s">
        <v>88</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101</v>
      </c>
      <c r="C346" t="s">
        <v>94</v>
      </c>
      <c r="D346" t="s">
        <v>88</v>
      </c>
      <c r="E346" t="s">
        <v>43</v>
      </c>
      <c r="F346" s="6">
        <v>0.33333333333333331</v>
      </c>
      <c r="G346">
        <v>1</v>
      </c>
      <c r="H346" s="6">
        <f>FLOOR(tblPivotData[[#This Row],[Time]],Summary!$B$6/1440)</f>
        <v>0.33333333333333331</v>
      </c>
      <c r="I346" s="49">
        <f>INDEX(PeakCalc!$L$10:$L$303,MATCH(tblPivotData[[#This Row],[Time]],PeakCalc!$G$10:$G$303,0))</f>
        <v>1</v>
      </c>
    </row>
    <row r="347" spans="1:9" x14ac:dyDescent="0.25">
      <c r="A347" t="s">
        <v>95</v>
      </c>
      <c r="B347" t="s">
        <v>101</v>
      </c>
      <c r="C347" t="s">
        <v>94</v>
      </c>
      <c r="D347" t="s">
        <v>88</v>
      </c>
      <c r="E347" t="s">
        <v>43</v>
      </c>
      <c r="F347" s="6">
        <v>0.34375</v>
      </c>
      <c r="G347">
        <v>1</v>
      </c>
      <c r="H347" s="6">
        <f>FLOOR(tblPivotData[[#This Row],[Time]],Summary!$B$6/1440)</f>
        <v>0.34375</v>
      </c>
      <c r="I347" s="49">
        <f>INDEX(PeakCalc!$L$10:$L$303,MATCH(tblPivotData[[#This Row],[Time]],PeakCalc!$G$10:$G$303,0))</f>
        <v>1</v>
      </c>
    </row>
    <row r="348" spans="1:9" x14ac:dyDescent="0.25">
      <c r="A348" t="s">
        <v>95</v>
      </c>
      <c r="B348" t="s">
        <v>101</v>
      </c>
      <c r="C348" t="s">
        <v>94</v>
      </c>
      <c r="D348" t="s">
        <v>88</v>
      </c>
      <c r="E348" t="s">
        <v>43</v>
      </c>
      <c r="F348" s="6">
        <v>0.35416666666666669</v>
      </c>
      <c r="G348">
        <v>1</v>
      </c>
      <c r="H348" s="6">
        <f>FLOOR(tblPivotData[[#This Row],[Time]],Summary!$B$6/1440)</f>
        <v>0.35416666666666663</v>
      </c>
      <c r="I348" s="49">
        <f>INDEX(PeakCalc!$L$10:$L$303,MATCH(tblPivotData[[#This Row],[Time]],PeakCalc!$G$10:$G$303,0))</f>
        <v>1</v>
      </c>
    </row>
    <row r="349" spans="1:9" x14ac:dyDescent="0.25">
      <c r="A349" t="s">
        <v>95</v>
      </c>
      <c r="B349" t="s">
        <v>101</v>
      </c>
      <c r="C349" t="s">
        <v>94</v>
      </c>
      <c r="D349" t="s">
        <v>88</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88</v>
      </c>
      <c r="E350" t="s">
        <v>91</v>
      </c>
      <c r="F350" s="6">
        <v>0.54166666666666663</v>
      </c>
      <c r="G350">
        <v>1</v>
      </c>
      <c r="H350" s="6">
        <f>FLOOR(tblPivotData[[#This Row],[Time]],Summary!$B$6/1440)</f>
        <v>0.54166666666666663</v>
      </c>
      <c r="I350" s="49">
        <f>INDEX(PeakCalc!$L$10:$L$303,MATCH(tblPivotData[[#This Row],[Time]],PeakCalc!$G$10:$G$303,0))</f>
        <v>1</v>
      </c>
    </row>
    <row r="351" spans="1:9" x14ac:dyDescent="0.25">
      <c r="A351" t="s">
        <v>95</v>
      </c>
      <c r="B351" t="s">
        <v>101</v>
      </c>
      <c r="C351" t="s">
        <v>94</v>
      </c>
      <c r="D351" t="s">
        <v>88</v>
      </c>
      <c r="E351" t="s">
        <v>91</v>
      </c>
      <c r="F351" s="6">
        <v>0.55208333333333337</v>
      </c>
      <c r="G351">
        <v>2</v>
      </c>
      <c r="H351" s="6">
        <f>FLOOR(tblPivotData[[#This Row],[Time]],Summary!$B$6/1440)</f>
        <v>0.55208333333333326</v>
      </c>
      <c r="I351" s="49">
        <f>INDEX(PeakCalc!$L$10:$L$303,MATCH(tblPivotData[[#This Row],[Time]],PeakCalc!$G$10:$G$303,0))</f>
        <v>1</v>
      </c>
    </row>
    <row r="352" spans="1:9" x14ac:dyDescent="0.25">
      <c r="A352" t="s">
        <v>95</v>
      </c>
      <c r="B352" t="s">
        <v>101</v>
      </c>
      <c r="C352" t="s">
        <v>94</v>
      </c>
      <c r="D352" t="s">
        <v>88</v>
      </c>
      <c r="E352" t="s">
        <v>91</v>
      </c>
      <c r="F352" s="6">
        <v>0.5625</v>
      </c>
      <c r="G352">
        <v>2</v>
      </c>
      <c r="H352" s="6">
        <f>FLOOR(tblPivotData[[#This Row],[Time]],Summary!$B$6/1440)</f>
        <v>0.5625</v>
      </c>
      <c r="I352" s="49">
        <f>INDEX(PeakCalc!$L$10:$L$303,MATCH(tblPivotData[[#This Row],[Time]],PeakCalc!$G$10:$G$303,0))</f>
        <v>1</v>
      </c>
    </row>
    <row r="353" spans="1:9" x14ac:dyDescent="0.25">
      <c r="A353" t="s">
        <v>95</v>
      </c>
      <c r="B353" t="s">
        <v>101</v>
      </c>
      <c r="C353" t="s">
        <v>94</v>
      </c>
      <c r="D353" t="s">
        <v>88</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88</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88</v>
      </c>
      <c r="E355" t="s">
        <v>44</v>
      </c>
      <c r="F355" s="6">
        <v>0.67708333333333337</v>
      </c>
      <c r="G355">
        <v>2</v>
      </c>
      <c r="H355" s="6">
        <f>FLOOR(tblPivotData[[#This Row],[Time]],Summary!$B$6/1440)</f>
        <v>0.67708333333333326</v>
      </c>
      <c r="I355" s="49">
        <f>INDEX(PeakCalc!$L$10:$L$303,MATCH(tblPivotData[[#This Row],[Time]],PeakCalc!$G$10:$G$303,0))</f>
        <v>0</v>
      </c>
    </row>
    <row r="356" spans="1:9" x14ac:dyDescent="0.25">
      <c r="A356" t="s">
        <v>95</v>
      </c>
      <c r="B356" t="s">
        <v>101</v>
      </c>
      <c r="C356" t="s">
        <v>94</v>
      </c>
      <c r="D356" t="s">
        <v>88</v>
      </c>
      <c r="E356" t="s">
        <v>44</v>
      </c>
      <c r="F356" s="6">
        <v>0.6875</v>
      </c>
      <c r="G356">
        <v>5</v>
      </c>
      <c r="H356" s="6">
        <f>FLOOR(tblPivotData[[#This Row],[Time]],Summary!$B$6/1440)</f>
        <v>0.6875</v>
      </c>
      <c r="I356" s="49">
        <f>INDEX(PeakCalc!$L$10:$L$303,MATCH(tblPivotData[[#This Row],[Time]],PeakCalc!$G$10:$G$303,0))</f>
        <v>1</v>
      </c>
    </row>
    <row r="357" spans="1:9" x14ac:dyDescent="0.25">
      <c r="A357" t="s">
        <v>95</v>
      </c>
      <c r="B357" t="s">
        <v>101</v>
      </c>
      <c r="C357" t="s">
        <v>94</v>
      </c>
      <c r="D357" t="s">
        <v>88</v>
      </c>
      <c r="E357" t="s">
        <v>44</v>
      </c>
      <c r="F357" s="6">
        <v>0.69791666666666663</v>
      </c>
      <c r="G357">
        <v>3</v>
      </c>
      <c r="H357" s="6">
        <f>FLOOR(tblPivotData[[#This Row],[Time]],Summary!$B$6/1440)</f>
        <v>0.69791666666666663</v>
      </c>
      <c r="I357" s="49">
        <f>INDEX(PeakCalc!$L$10:$L$303,MATCH(tblPivotData[[#This Row],[Time]],PeakCalc!$G$10:$G$303,0))</f>
        <v>1</v>
      </c>
    </row>
    <row r="358" spans="1:9" x14ac:dyDescent="0.25">
      <c r="A358" t="s">
        <v>95</v>
      </c>
      <c r="B358" t="s">
        <v>101</v>
      </c>
      <c r="C358" t="s">
        <v>94</v>
      </c>
      <c r="D358" t="s">
        <v>88</v>
      </c>
      <c r="E358" t="s">
        <v>44</v>
      </c>
      <c r="F358" s="6">
        <v>0.70833333333333337</v>
      </c>
      <c r="G358">
        <v>6</v>
      </c>
      <c r="H358" s="6">
        <f>FLOOR(tblPivotData[[#This Row],[Time]],Summary!$B$6/1440)</f>
        <v>0.70833333333333326</v>
      </c>
      <c r="I358" s="49">
        <f>INDEX(PeakCalc!$L$10:$L$303,MATCH(tblPivotData[[#This Row],[Time]],PeakCalc!$G$10:$G$303,0))</f>
        <v>1</v>
      </c>
    </row>
    <row r="359" spans="1:9" x14ac:dyDescent="0.25">
      <c r="A359" t="s">
        <v>95</v>
      </c>
      <c r="B359" t="s">
        <v>101</v>
      </c>
      <c r="C359" t="s">
        <v>94</v>
      </c>
      <c r="D359" t="s">
        <v>88</v>
      </c>
      <c r="E359" t="s">
        <v>44</v>
      </c>
      <c r="F359" s="6">
        <v>0.71875</v>
      </c>
      <c r="G359">
        <v>4</v>
      </c>
      <c r="H359" s="6">
        <f>FLOOR(tblPivotData[[#This Row],[Time]],Summary!$B$6/1440)</f>
        <v>0.71875</v>
      </c>
      <c r="I359" s="49">
        <f>INDEX(PeakCalc!$L$10:$L$303,MATCH(tblPivotData[[#This Row],[Time]],PeakCalc!$G$10:$G$303,0))</f>
        <v>1</v>
      </c>
    </row>
    <row r="360" spans="1:9" x14ac:dyDescent="0.25">
      <c r="A360" t="s">
        <v>95</v>
      </c>
      <c r="B360" t="s">
        <v>101</v>
      </c>
      <c r="C360" t="s">
        <v>94</v>
      </c>
      <c r="D360" t="s">
        <v>88</v>
      </c>
      <c r="E360" t="s">
        <v>44</v>
      </c>
      <c r="F360" s="6">
        <v>0.72916666666666663</v>
      </c>
      <c r="G360">
        <v>1</v>
      </c>
      <c r="H360" s="6">
        <f>FLOOR(tblPivotData[[#This Row],[Time]],Summary!$B$6/1440)</f>
        <v>0.72916666666666663</v>
      </c>
      <c r="I360" s="49">
        <f>INDEX(PeakCalc!$L$10:$L$303,MATCH(tblPivotData[[#This Row],[Time]],PeakCalc!$G$10:$G$303,0))</f>
        <v>0</v>
      </c>
    </row>
    <row r="361" spans="1:9" x14ac:dyDescent="0.25">
      <c r="A361" t="s">
        <v>95</v>
      </c>
      <c r="B361" t="s">
        <v>101</v>
      </c>
      <c r="C361" t="s">
        <v>94</v>
      </c>
      <c r="D361" t="s">
        <v>88</v>
      </c>
      <c r="E361" t="s">
        <v>44</v>
      </c>
      <c r="F361" s="6">
        <v>0.73958333333333337</v>
      </c>
      <c r="G361">
        <v>3</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5" t="s">
        <v>93</v>
      </c>
      <c r="D11" s="56"/>
      <c r="E11" s="56"/>
      <c r="F11" s="56"/>
      <c r="G11" s="56"/>
      <c r="H11" s="56"/>
      <c r="I11" s="56"/>
      <c r="J11" s="56"/>
      <c r="K11" s="53" t="s">
        <v>103</v>
      </c>
      <c r="L11" s="55" t="s">
        <v>94</v>
      </c>
      <c r="M11" s="56"/>
      <c r="N11" s="56"/>
      <c r="O11" s="56"/>
      <c r="P11" s="56"/>
      <c r="Q11" s="56"/>
      <c r="R11" s="56"/>
      <c r="S11" s="56"/>
      <c r="T11" s="53" t="s">
        <v>104</v>
      </c>
      <c r="U11" s="55" t="s">
        <v>95</v>
      </c>
      <c r="V11" s="56"/>
      <c r="W11" s="56"/>
      <c r="X11" s="56"/>
      <c r="Y11" s="56"/>
      <c r="Z11" s="56"/>
      <c r="AA11" s="56"/>
      <c r="AB11" s="56"/>
      <c r="AC11" s="53" t="s">
        <v>105</v>
      </c>
      <c r="AD11" s="53" t="s">
        <v>49</v>
      </c>
    </row>
    <row r="12" spans="2:30" x14ac:dyDescent="0.25">
      <c r="B12" s="25"/>
      <c r="C12" s="53" t="s">
        <v>96</v>
      </c>
      <c r="D12" s="54"/>
      <c r="E12" s="54"/>
      <c r="F12" s="53" t="s">
        <v>106</v>
      </c>
      <c r="G12" s="53" t="s">
        <v>97</v>
      </c>
      <c r="H12" s="54"/>
      <c r="I12" s="54"/>
      <c r="J12" s="53" t="s">
        <v>107</v>
      </c>
      <c r="K12" s="54"/>
      <c r="L12" s="53" t="s">
        <v>98</v>
      </c>
      <c r="M12" s="54"/>
      <c r="N12" s="54"/>
      <c r="O12" s="53" t="s">
        <v>108</v>
      </c>
      <c r="P12" s="53" t="s">
        <v>99</v>
      </c>
      <c r="Q12" s="54"/>
      <c r="R12" s="54"/>
      <c r="S12" s="53" t="s">
        <v>109</v>
      </c>
      <c r="T12" s="54"/>
      <c r="U12" s="53" t="s">
        <v>100</v>
      </c>
      <c r="V12" s="54"/>
      <c r="W12" s="54"/>
      <c r="X12" s="53" t="s">
        <v>110</v>
      </c>
      <c r="Y12" s="53" t="s">
        <v>101</v>
      </c>
      <c r="Z12" s="54"/>
      <c r="AA12" s="54"/>
      <c r="AB12" s="53" t="s">
        <v>111</v>
      </c>
      <c r="AC12" s="54"/>
      <c r="AD12" s="54"/>
    </row>
    <row r="13" spans="2:30" ht="30" x14ac:dyDescent="0.25">
      <c r="B13" s="25"/>
      <c r="C13" s="24" t="s">
        <v>79</v>
      </c>
      <c r="D13" s="24" t="s">
        <v>90</v>
      </c>
      <c r="E13" s="24" t="s">
        <v>88</v>
      </c>
      <c r="F13" s="54"/>
      <c r="G13" s="24" t="s">
        <v>79</v>
      </c>
      <c r="H13" s="24" t="s">
        <v>90</v>
      </c>
      <c r="I13" s="24" t="s">
        <v>88</v>
      </c>
      <c r="J13" s="54"/>
      <c r="K13" s="54"/>
      <c r="L13" s="24" t="s">
        <v>79</v>
      </c>
      <c r="M13" s="24" t="s">
        <v>90</v>
      </c>
      <c r="N13" s="24" t="s">
        <v>88</v>
      </c>
      <c r="O13" s="54"/>
      <c r="P13" s="24" t="s">
        <v>79</v>
      </c>
      <c r="Q13" s="24" t="s">
        <v>90</v>
      </c>
      <c r="R13" s="24" t="s">
        <v>88</v>
      </c>
      <c r="S13" s="54"/>
      <c r="T13" s="54"/>
      <c r="U13" s="24" t="s">
        <v>79</v>
      </c>
      <c r="V13" s="24" t="s">
        <v>90</v>
      </c>
      <c r="W13" s="24" t="s">
        <v>88</v>
      </c>
      <c r="X13" s="54"/>
      <c r="Y13" s="24" t="s">
        <v>79</v>
      </c>
      <c r="Z13" s="24" t="s">
        <v>90</v>
      </c>
      <c r="AA13" s="24" t="s">
        <v>88</v>
      </c>
      <c r="AB13" s="54"/>
      <c r="AC13" s="54"/>
      <c r="AD13" s="54"/>
    </row>
    <row r="14" spans="2:30" x14ac:dyDescent="0.25">
      <c r="B14" s="10" t="s">
        <v>43</v>
      </c>
      <c r="C14" s="49">
        <v>62</v>
      </c>
      <c r="D14" s="49">
        <v>75</v>
      </c>
      <c r="E14" s="49">
        <v>0</v>
      </c>
      <c r="F14" s="49">
        <v>137</v>
      </c>
      <c r="G14" s="49">
        <v>55</v>
      </c>
      <c r="H14" s="49">
        <v>35</v>
      </c>
      <c r="I14" s="49">
        <v>0</v>
      </c>
      <c r="J14" s="49">
        <v>90</v>
      </c>
      <c r="K14" s="49">
        <v>227</v>
      </c>
      <c r="L14" s="49">
        <v>964</v>
      </c>
      <c r="M14" s="49">
        <v>106</v>
      </c>
      <c r="N14" s="49">
        <v>23</v>
      </c>
      <c r="O14" s="49">
        <v>1093</v>
      </c>
      <c r="P14" s="49">
        <v>199</v>
      </c>
      <c r="Q14" s="49">
        <v>25</v>
      </c>
      <c r="R14" s="49">
        <v>2</v>
      </c>
      <c r="S14" s="49">
        <v>226</v>
      </c>
      <c r="T14" s="49">
        <v>1319</v>
      </c>
      <c r="U14" s="49">
        <v>290</v>
      </c>
      <c r="V14" s="49">
        <v>41</v>
      </c>
      <c r="W14" s="49">
        <v>4</v>
      </c>
      <c r="X14" s="49">
        <v>335</v>
      </c>
      <c r="Y14" s="49">
        <v>484</v>
      </c>
      <c r="Z14" s="49">
        <v>74</v>
      </c>
      <c r="AA14" s="49">
        <v>5</v>
      </c>
      <c r="AB14" s="49">
        <v>563</v>
      </c>
      <c r="AC14" s="49">
        <v>898</v>
      </c>
      <c r="AD14" s="49">
        <v>2444</v>
      </c>
    </row>
    <row r="15" spans="2:30" x14ac:dyDescent="0.25">
      <c r="B15" s="11">
        <v>0.29166666666666669</v>
      </c>
      <c r="C15" s="49">
        <v>1</v>
      </c>
      <c r="D15" s="49">
        <v>11</v>
      </c>
      <c r="E15" s="49">
        <v>0</v>
      </c>
      <c r="F15" s="49">
        <v>12</v>
      </c>
      <c r="G15" s="49">
        <v>6</v>
      </c>
      <c r="H15" s="49">
        <v>7</v>
      </c>
      <c r="I15" s="49">
        <v>0</v>
      </c>
      <c r="J15" s="49">
        <v>13</v>
      </c>
      <c r="K15" s="49">
        <v>25</v>
      </c>
      <c r="L15" s="49">
        <v>91</v>
      </c>
      <c r="M15" s="49">
        <v>3</v>
      </c>
      <c r="N15" s="49">
        <v>0</v>
      </c>
      <c r="O15" s="49">
        <v>94</v>
      </c>
      <c r="P15" s="49">
        <v>14</v>
      </c>
      <c r="Q15" s="49">
        <v>2</v>
      </c>
      <c r="R15" s="49">
        <v>0</v>
      </c>
      <c r="S15" s="49">
        <v>16</v>
      </c>
      <c r="T15" s="49">
        <v>110</v>
      </c>
      <c r="U15" s="49">
        <v>26</v>
      </c>
      <c r="V15" s="49">
        <v>4</v>
      </c>
      <c r="W15" s="49">
        <v>0</v>
      </c>
      <c r="X15" s="49">
        <v>30</v>
      </c>
      <c r="Y15" s="49">
        <v>39</v>
      </c>
      <c r="Z15" s="49">
        <v>5</v>
      </c>
      <c r="AA15" s="49">
        <v>0</v>
      </c>
      <c r="AB15" s="49">
        <v>44</v>
      </c>
      <c r="AC15" s="49">
        <v>74</v>
      </c>
      <c r="AD15" s="49">
        <v>209</v>
      </c>
    </row>
    <row r="16" spans="2:30" x14ac:dyDescent="0.25">
      <c r="B16" s="11">
        <v>0.30208333333333331</v>
      </c>
      <c r="C16" s="49">
        <v>3</v>
      </c>
      <c r="D16" s="49">
        <v>12</v>
      </c>
      <c r="E16" s="49">
        <v>0</v>
      </c>
      <c r="F16" s="49">
        <v>15</v>
      </c>
      <c r="G16" s="49">
        <v>5</v>
      </c>
      <c r="H16" s="49">
        <v>4</v>
      </c>
      <c r="I16" s="49">
        <v>0</v>
      </c>
      <c r="J16" s="49">
        <v>9</v>
      </c>
      <c r="K16" s="49">
        <v>24</v>
      </c>
      <c r="L16" s="49">
        <v>97</v>
      </c>
      <c r="M16" s="49">
        <v>9</v>
      </c>
      <c r="N16" s="49">
        <v>2</v>
      </c>
      <c r="O16" s="49">
        <v>108</v>
      </c>
      <c r="P16" s="49">
        <v>28</v>
      </c>
      <c r="Q16" s="49">
        <v>1</v>
      </c>
      <c r="R16" s="49">
        <v>1</v>
      </c>
      <c r="S16" s="49">
        <v>30</v>
      </c>
      <c r="T16" s="49">
        <v>138</v>
      </c>
      <c r="U16" s="49">
        <v>48</v>
      </c>
      <c r="V16" s="49">
        <v>8</v>
      </c>
      <c r="W16" s="49">
        <v>0</v>
      </c>
      <c r="X16" s="49">
        <v>56</v>
      </c>
      <c r="Y16" s="49">
        <v>54</v>
      </c>
      <c r="Z16" s="49">
        <v>12</v>
      </c>
      <c r="AA16" s="49">
        <v>0</v>
      </c>
      <c r="AB16" s="49">
        <v>66</v>
      </c>
      <c r="AC16" s="49">
        <v>122</v>
      </c>
      <c r="AD16" s="49">
        <v>284</v>
      </c>
    </row>
    <row r="17" spans="2:30" x14ac:dyDescent="0.25">
      <c r="B17" s="11">
        <v>0.3125</v>
      </c>
      <c r="C17" s="49">
        <v>6</v>
      </c>
      <c r="D17" s="49">
        <v>11</v>
      </c>
      <c r="E17" s="49">
        <v>0</v>
      </c>
      <c r="F17" s="49">
        <v>17</v>
      </c>
      <c r="G17" s="49">
        <v>2</v>
      </c>
      <c r="H17" s="49">
        <v>3</v>
      </c>
      <c r="I17" s="49">
        <v>0</v>
      </c>
      <c r="J17" s="49">
        <v>5</v>
      </c>
      <c r="K17" s="49">
        <v>22</v>
      </c>
      <c r="L17" s="49">
        <v>134</v>
      </c>
      <c r="M17" s="49">
        <v>18</v>
      </c>
      <c r="N17" s="49">
        <v>2</v>
      </c>
      <c r="O17" s="49">
        <v>154</v>
      </c>
      <c r="P17" s="49">
        <v>19</v>
      </c>
      <c r="Q17" s="49">
        <v>4</v>
      </c>
      <c r="R17" s="49">
        <v>0</v>
      </c>
      <c r="S17" s="49">
        <v>23</v>
      </c>
      <c r="T17" s="49">
        <v>177</v>
      </c>
      <c r="U17" s="49">
        <v>34</v>
      </c>
      <c r="V17" s="49">
        <v>3</v>
      </c>
      <c r="W17" s="49">
        <v>0</v>
      </c>
      <c r="X17" s="49">
        <v>37</v>
      </c>
      <c r="Y17" s="49">
        <v>51</v>
      </c>
      <c r="Z17" s="49">
        <v>7</v>
      </c>
      <c r="AA17" s="49">
        <v>2</v>
      </c>
      <c r="AB17" s="49">
        <v>60</v>
      </c>
      <c r="AC17" s="49">
        <v>97</v>
      </c>
      <c r="AD17" s="49">
        <v>296</v>
      </c>
    </row>
    <row r="18" spans="2:30" x14ac:dyDescent="0.25">
      <c r="B18" s="11">
        <v>0.32291666666666669</v>
      </c>
      <c r="C18" s="49">
        <v>10</v>
      </c>
      <c r="D18" s="49">
        <v>8</v>
      </c>
      <c r="E18" s="49">
        <v>0</v>
      </c>
      <c r="F18" s="49">
        <v>18</v>
      </c>
      <c r="G18" s="49">
        <v>3</v>
      </c>
      <c r="H18" s="49">
        <v>2</v>
      </c>
      <c r="I18" s="49">
        <v>0</v>
      </c>
      <c r="J18" s="49">
        <v>5</v>
      </c>
      <c r="K18" s="49">
        <v>23</v>
      </c>
      <c r="L18" s="49">
        <v>139</v>
      </c>
      <c r="M18" s="49">
        <v>19</v>
      </c>
      <c r="N18" s="49">
        <v>4</v>
      </c>
      <c r="O18" s="49">
        <v>162</v>
      </c>
      <c r="P18" s="49">
        <v>42</v>
      </c>
      <c r="Q18" s="49">
        <v>3</v>
      </c>
      <c r="R18" s="49">
        <v>0</v>
      </c>
      <c r="S18" s="49">
        <v>45</v>
      </c>
      <c r="T18" s="49">
        <v>207</v>
      </c>
      <c r="U18" s="49">
        <v>41</v>
      </c>
      <c r="V18" s="49">
        <v>9</v>
      </c>
      <c r="W18" s="49">
        <v>4</v>
      </c>
      <c r="X18" s="49">
        <v>54</v>
      </c>
      <c r="Y18" s="49">
        <v>64</v>
      </c>
      <c r="Z18" s="49">
        <v>9</v>
      </c>
      <c r="AA18" s="49">
        <v>0</v>
      </c>
      <c r="AB18" s="49">
        <v>73</v>
      </c>
      <c r="AC18" s="49">
        <v>127</v>
      </c>
      <c r="AD18" s="49">
        <v>357</v>
      </c>
    </row>
    <row r="19" spans="2:30" x14ac:dyDescent="0.25">
      <c r="B19" s="11">
        <v>0.33333333333333331</v>
      </c>
      <c r="C19" s="49">
        <v>12</v>
      </c>
      <c r="D19" s="49">
        <v>8</v>
      </c>
      <c r="E19" s="49">
        <v>0</v>
      </c>
      <c r="F19" s="49">
        <v>20</v>
      </c>
      <c r="G19" s="49">
        <v>12</v>
      </c>
      <c r="H19" s="49">
        <v>9</v>
      </c>
      <c r="I19" s="49">
        <v>0</v>
      </c>
      <c r="J19" s="49">
        <v>21</v>
      </c>
      <c r="K19" s="49">
        <v>41</v>
      </c>
      <c r="L19" s="49">
        <v>149</v>
      </c>
      <c r="M19" s="49">
        <v>10</v>
      </c>
      <c r="N19" s="49">
        <v>6</v>
      </c>
      <c r="O19" s="49">
        <v>165</v>
      </c>
      <c r="P19" s="49">
        <v>19</v>
      </c>
      <c r="Q19" s="49">
        <v>1</v>
      </c>
      <c r="R19" s="49">
        <v>0</v>
      </c>
      <c r="S19" s="49">
        <v>20</v>
      </c>
      <c r="T19" s="49">
        <v>185</v>
      </c>
      <c r="U19" s="49">
        <v>40</v>
      </c>
      <c r="V19" s="49">
        <v>3</v>
      </c>
      <c r="W19" s="49">
        <v>0</v>
      </c>
      <c r="X19" s="49">
        <v>43</v>
      </c>
      <c r="Y19" s="49">
        <v>46</v>
      </c>
      <c r="Z19" s="49">
        <v>11</v>
      </c>
      <c r="AA19" s="49">
        <v>1</v>
      </c>
      <c r="AB19" s="49">
        <v>58</v>
      </c>
      <c r="AC19" s="49">
        <v>101</v>
      </c>
      <c r="AD19" s="49">
        <v>327</v>
      </c>
    </row>
    <row r="20" spans="2:30" x14ac:dyDescent="0.25">
      <c r="B20" s="11">
        <v>0.34375</v>
      </c>
      <c r="C20" s="49">
        <v>9</v>
      </c>
      <c r="D20" s="49">
        <v>9</v>
      </c>
      <c r="E20" s="49">
        <v>0</v>
      </c>
      <c r="F20" s="49">
        <v>18</v>
      </c>
      <c r="G20" s="49">
        <v>9</v>
      </c>
      <c r="H20" s="49">
        <v>2</v>
      </c>
      <c r="I20" s="49">
        <v>0</v>
      </c>
      <c r="J20" s="49">
        <v>11</v>
      </c>
      <c r="K20" s="49">
        <v>29</v>
      </c>
      <c r="L20" s="49">
        <v>134</v>
      </c>
      <c r="M20" s="49">
        <v>16</v>
      </c>
      <c r="N20" s="49">
        <v>3</v>
      </c>
      <c r="O20" s="49">
        <v>153</v>
      </c>
      <c r="P20" s="49">
        <v>30</v>
      </c>
      <c r="Q20" s="49">
        <v>7</v>
      </c>
      <c r="R20" s="49">
        <v>0</v>
      </c>
      <c r="S20" s="49">
        <v>37</v>
      </c>
      <c r="T20" s="49">
        <v>190</v>
      </c>
      <c r="U20" s="49">
        <v>47</v>
      </c>
      <c r="V20" s="49">
        <v>3</v>
      </c>
      <c r="W20" s="49">
        <v>0</v>
      </c>
      <c r="X20" s="49">
        <v>50</v>
      </c>
      <c r="Y20" s="49">
        <v>61</v>
      </c>
      <c r="Z20" s="49">
        <v>11</v>
      </c>
      <c r="AA20" s="49">
        <v>1</v>
      </c>
      <c r="AB20" s="49">
        <v>73</v>
      </c>
      <c r="AC20" s="49">
        <v>123</v>
      </c>
      <c r="AD20" s="49">
        <v>342</v>
      </c>
    </row>
    <row r="21" spans="2:30" x14ac:dyDescent="0.25">
      <c r="B21" s="11">
        <v>0.35416666666666669</v>
      </c>
      <c r="C21" s="49">
        <v>11</v>
      </c>
      <c r="D21" s="49">
        <v>7</v>
      </c>
      <c r="E21" s="49">
        <v>0</v>
      </c>
      <c r="F21" s="49">
        <v>18</v>
      </c>
      <c r="G21" s="49">
        <v>10</v>
      </c>
      <c r="H21" s="49">
        <v>4</v>
      </c>
      <c r="I21" s="49">
        <v>0</v>
      </c>
      <c r="J21" s="49">
        <v>14</v>
      </c>
      <c r="K21" s="49">
        <v>32</v>
      </c>
      <c r="L21" s="49">
        <v>134</v>
      </c>
      <c r="M21" s="49">
        <v>11</v>
      </c>
      <c r="N21" s="49">
        <v>5</v>
      </c>
      <c r="O21" s="49">
        <v>150</v>
      </c>
      <c r="P21" s="49">
        <v>30</v>
      </c>
      <c r="Q21" s="49">
        <v>0</v>
      </c>
      <c r="R21" s="49">
        <v>1</v>
      </c>
      <c r="S21" s="49">
        <v>31</v>
      </c>
      <c r="T21" s="49">
        <v>181</v>
      </c>
      <c r="U21" s="49">
        <v>28</v>
      </c>
      <c r="V21" s="49">
        <v>6</v>
      </c>
      <c r="W21" s="49">
        <v>0</v>
      </c>
      <c r="X21" s="49">
        <v>34</v>
      </c>
      <c r="Y21" s="49">
        <v>76</v>
      </c>
      <c r="Z21" s="49">
        <v>12</v>
      </c>
      <c r="AA21" s="49">
        <v>1</v>
      </c>
      <c r="AB21" s="49">
        <v>89</v>
      </c>
      <c r="AC21" s="49">
        <v>123</v>
      </c>
      <c r="AD21" s="49">
        <v>336</v>
      </c>
    </row>
    <row r="22" spans="2:30" x14ac:dyDescent="0.25">
      <c r="B22" s="11">
        <v>0.36458333333333331</v>
      </c>
      <c r="C22" s="49">
        <v>10</v>
      </c>
      <c r="D22" s="49">
        <v>9</v>
      </c>
      <c r="E22" s="49">
        <v>0</v>
      </c>
      <c r="F22" s="49">
        <v>19</v>
      </c>
      <c r="G22" s="49">
        <v>8</v>
      </c>
      <c r="H22" s="49">
        <v>4</v>
      </c>
      <c r="I22" s="49">
        <v>0</v>
      </c>
      <c r="J22" s="49">
        <v>12</v>
      </c>
      <c r="K22" s="49">
        <v>31</v>
      </c>
      <c r="L22" s="49">
        <v>86</v>
      </c>
      <c r="M22" s="49">
        <v>20</v>
      </c>
      <c r="N22" s="49">
        <v>1</v>
      </c>
      <c r="O22" s="49">
        <v>107</v>
      </c>
      <c r="P22" s="49">
        <v>17</v>
      </c>
      <c r="Q22" s="49">
        <v>7</v>
      </c>
      <c r="R22" s="49">
        <v>0</v>
      </c>
      <c r="S22" s="49">
        <v>24</v>
      </c>
      <c r="T22" s="49">
        <v>131</v>
      </c>
      <c r="U22" s="49">
        <v>26</v>
      </c>
      <c r="V22" s="49">
        <v>5</v>
      </c>
      <c r="W22" s="49">
        <v>0</v>
      </c>
      <c r="X22" s="49">
        <v>31</v>
      </c>
      <c r="Y22" s="49">
        <v>93</v>
      </c>
      <c r="Z22" s="49">
        <v>7</v>
      </c>
      <c r="AA22" s="49">
        <v>0</v>
      </c>
      <c r="AB22" s="49">
        <v>100</v>
      </c>
      <c r="AC22" s="49">
        <v>131</v>
      </c>
      <c r="AD22" s="49">
        <v>293</v>
      </c>
    </row>
    <row r="23" spans="2:30" x14ac:dyDescent="0.25">
      <c r="B23" s="10" t="s">
        <v>44</v>
      </c>
      <c r="C23" s="49">
        <v>325</v>
      </c>
      <c r="D23" s="49">
        <v>36</v>
      </c>
      <c r="E23" s="49">
        <v>2</v>
      </c>
      <c r="F23" s="49">
        <v>363</v>
      </c>
      <c r="G23" s="49">
        <v>226</v>
      </c>
      <c r="H23" s="49">
        <v>26</v>
      </c>
      <c r="I23" s="49">
        <v>4</v>
      </c>
      <c r="J23" s="49">
        <v>256</v>
      </c>
      <c r="K23" s="49">
        <v>619</v>
      </c>
      <c r="L23" s="49">
        <v>643</v>
      </c>
      <c r="M23" s="49">
        <v>84</v>
      </c>
      <c r="N23" s="49">
        <v>14</v>
      </c>
      <c r="O23" s="49">
        <v>741</v>
      </c>
      <c r="P23" s="49">
        <v>50</v>
      </c>
      <c r="Q23" s="49">
        <v>20</v>
      </c>
      <c r="R23" s="49">
        <v>2</v>
      </c>
      <c r="S23" s="49">
        <v>72</v>
      </c>
      <c r="T23" s="49">
        <v>813</v>
      </c>
      <c r="U23" s="49">
        <v>61</v>
      </c>
      <c r="V23" s="49">
        <v>40</v>
      </c>
      <c r="W23" s="49">
        <v>0</v>
      </c>
      <c r="X23" s="49">
        <v>101</v>
      </c>
      <c r="Y23" s="49">
        <v>1232</v>
      </c>
      <c r="Z23" s="49">
        <v>57</v>
      </c>
      <c r="AA23" s="49">
        <v>24</v>
      </c>
      <c r="AB23" s="49">
        <v>1313</v>
      </c>
      <c r="AC23" s="49">
        <v>1414</v>
      </c>
      <c r="AD23" s="49">
        <v>2846</v>
      </c>
    </row>
    <row r="24" spans="2:30" x14ac:dyDescent="0.25">
      <c r="B24" s="11">
        <v>0.66666666666666663</v>
      </c>
      <c r="C24" s="49">
        <v>41</v>
      </c>
      <c r="D24" s="49">
        <v>5</v>
      </c>
      <c r="E24" s="49">
        <v>0</v>
      </c>
      <c r="F24" s="49">
        <v>46</v>
      </c>
      <c r="G24" s="49">
        <v>44</v>
      </c>
      <c r="H24" s="49">
        <v>8</v>
      </c>
      <c r="I24" s="49">
        <v>0</v>
      </c>
      <c r="J24" s="49">
        <v>52</v>
      </c>
      <c r="K24" s="49">
        <v>98</v>
      </c>
      <c r="L24" s="49">
        <v>71</v>
      </c>
      <c r="M24" s="49">
        <v>15</v>
      </c>
      <c r="N24" s="49">
        <v>1</v>
      </c>
      <c r="O24" s="49">
        <v>87</v>
      </c>
      <c r="P24" s="49">
        <v>5</v>
      </c>
      <c r="Q24" s="49">
        <v>4</v>
      </c>
      <c r="R24" s="49">
        <v>0</v>
      </c>
      <c r="S24" s="49">
        <v>9</v>
      </c>
      <c r="T24" s="49">
        <v>96</v>
      </c>
      <c r="U24" s="49">
        <v>15</v>
      </c>
      <c r="V24" s="49">
        <v>11</v>
      </c>
      <c r="W24" s="49">
        <v>0</v>
      </c>
      <c r="X24" s="49">
        <v>26</v>
      </c>
      <c r="Y24" s="49">
        <v>126</v>
      </c>
      <c r="Z24" s="49">
        <v>5</v>
      </c>
      <c r="AA24" s="49">
        <v>0</v>
      </c>
      <c r="AB24" s="49">
        <v>131</v>
      </c>
      <c r="AC24" s="49">
        <v>157</v>
      </c>
      <c r="AD24" s="49">
        <v>351</v>
      </c>
    </row>
    <row r="25" spans="2:30" x14ac:dyDescent="0.25">
      <c r="B25" s="11">
        <v>0.67708333333333337</v>
      </c>
      <c r="C25" s="49">
        <v>28</v>
      </c>
      <c r="D25" s="49">
        <v>8</v>
      </c>
      <c r="E25" s="49">
        <v>0</v>
      </c>
      <c r="F25" s="49">
        <v>36</v>
      </c>
      <c r="G25" s="49">
        <v>17</v>
      </c>
      <c r="H25" s="49">
        <v>5</v>
      </c>
      <c r="I25" s="49">
        <v>1</v>
      </c>
      <c r="J25" s="49">
        <v>23</v>
      </c>
      <c r="K25" s="49">
        <v>59</v>
      </c>
      <c r="L25" s="49">
        <v>71</v>
      </c>
      <c r="M25" s="49">
        <v>15</v>
      </c>
      <c r="N25" s="49">
        <v>1</v>
      </c>
      <c r="O25" s="49">
        <v>87</v>
      </c>
      <c r="P25" s="49">
        <v>8</v>
      </c>
      <c r="Q25" s="49">
        <v>5</v>
      </c>
      <c r="R25" s="49">
        <v>0</v>
      </c>
      <c r="S25" s="49">
        <v>13</v>
      </c>
      <c r="T25" s="49">
        <v>100</v>
      </c>
      <c r="U25" s="49">
        <v>11</v>
      </c>
      <c r="V25" s="49">
        <v>9</v>
      </c>
      <c r="W25" s="49">
        <v>0</v>
      </c>
      <c r="X25" s="49">
        <v>20</v>
      </c>
      <c r="Y25" s="49">
        <v>137</v>
      </c>
      <c r="Z25" s="49">
        <v>10</v>
      </c>
      <c r="AA25" s="49">
        <v>2</v>
      </c>
      <c r="AB25" s="49">
        <v>149</v>
      </c>
      <c r="AC25" s="49">
        <v>169</v>
      </c>
      <c r="AD25" s="49">
        <v>328</v>
      </c>
    </row>
    <row r="26" spans="2:30" x14ac:dyDescent="0.25">
      <c r="B26" s="11">
        <v>0.6875</v>
      </c>
      <c r="C26" s="49">
        <v>59</v>
      </c>
      <c r="D26" s="49">
        <v>3</v>
      </c>
      <c r="E26" s="49">
        <v>0</v>
      </c>
      <c r="F26" s="49">
        <v>62</v>
      </c>
      <c r="G26" s="49">
        <v>35</v>
      </c>
      <c r="H26" s="49">
        <v>4</v>
      </c>
      <c r="I26" s="49">
        <v>1</v>
      </c>
      <c r="J26" s="49">
        <v>40</v>
      </c>
      <c r="K26" s="49">
        <v>102</v>
      </c>
      <c r="L26" s="49">
        <v>119</v>
      </c>
      <c r="M26" s="49">
        <v>10</v>
      </c>
      <c r="N26" s="49">
        <v>1</v>
      </c>
      <c r="O26" s="49">
        <v>130</v>
      </c>
      <c r="P26" s="49">
        <v>6</v>
      </c>
      <c r="Q26" s="49">
        <v>5</v>
      </c>
      <c r="R26" s="49">
        <v>1</v>
      </c>
      <c r="S26" s="49">
        <v>12</v>
      </c>
      <c r="T26" s="49">
        <v>142</v>
      </c>
      <c r="U26" s="49">
        <v>7</v>
      </c>
      <c r="V26" s="49">
        <v>4</v>
      </c>
      <c r="W26" s="49">
        <v>0</v>
      </c>
      <c r="X26" s="49">
        <v>11</v>
      </c>
      <c r="Y26" s="49">
        <v>156</v>
      </c>
      <c r="Z26" s="49">
        <v>7</v>
      </c>
      <c r="AA26" s="49">
        <v>5</v>
      </c>
      <c r="AB26" s="49">
        <v>168</v>
      </c>
      <c r="AC26" s="49">
        <v>179</v>
      </c>
      <c r="AD26" s="49">
        <v>423</v>
      </c>
    </row>
    <row r="27" spans="2:30" x14ac:dyDescent="0.25">
      <c r="B27" s="11">
        <v>0.69791666666666663</v>
      </c>
      <c r="C27" s="49">
        <v>46</v>
      </c>
      <c r="D27" s="49">
        <v>5</v>
      </c>
      <c r="E27" s="49">
        <v>0</v>
      </c>
      <c r="F27" s="49">
        <v>51</v>
      </c>
      <c r="G27" s="49">
        <v>25</v>
      </c>
      <c r="H27" s="49">
        <v>2</v>
      </c>
      <c r="I27" s="49">
        <v>0</v>
      </c>
      <c r="J27" s="49">
        <v>27</v>
      </c>
      <c r="K27" s="49">
        <v>78</v>
      </c>
      <c r="L27" s="49">
        <v>92</v>
      </c>
      <c r="M27" s="49">
        <v>12</v>
      </c>
      <c r="N27" s="49">
        <v>2</v>
      </c>
      <c r="O27" s="49">
        <v>106</v>
      </c>
      <c r="P27" s="49">
        <v>7</v>
      </c>
      <c r="Q27" s="49">
        <v>3</v>
      </c>
      <c r="R27" s="49">
        <v>0</v>
      </c>
      <c r="S27" s="49">
        <v>10</v>
      </c>
      <c r="T27" s="49">
        <v>116</v>
      </c>
      <c r="U27" s="49">
        <v>9</v>
      </c>
      <c r="V27" s="49">
        <v>6</v>
      </c>
      <c r="W27" s="49">
        <v>0</v>
      </c>
      <c r="X27" s="49">
        <v>15</v>
      </c>
      <c r="Y27" s="49">
        <v>191</v>
      </c>
      <c r="Z27" s="49">
        <v>5</v>
      </c>
      <c r="AA27" s="49">
        <v>3</v>
      </c>
      <c r="AB27" s="49">
        <v>199</v>
      </c>
      <c r="AC27" s="49">
        <v>214</v>
      </c>
      <c r="AD27" s="49">
        <v>408</v>
      </c>
    </row>
    <row r="28" spans="2:30" x14ac:dyDescent="0.25">
      <c r="B28" s="11">
        <v>0.70833333333333337</v>
      </c>
      <c r="C28" s="49">
        <v>78</v>
      </c>
      <c r="D28" s="49">
        <v>4</v>
      </c>
      <c r="E28" s="49">
        <v>0</v>
      </c>
      <c r="F28" s="49">
        <v>82</v>
      </c>
      <c r="G28" s="49">
        <v>49</v>
      </c>
      <c r="H28" s="49">
        <v>1</v>
      </c>
      <c r="I28" s="49">
        <v>1</v>
      </c>
      <c r="J28" s="49">
        <v>51</v>
      </c>
      <c r="K28" s="49">
        <v>133</v>
      </c>
      <c r="L28" s="49">
        <v>90</v>
      </c>
      <c r="M28" s="49">
        <v>7</v>
      </c>
      <c r="N28" s="49">
        <v>3</v>
      </c>
      <c r="O28" s="49">
        <v>100</v>
      </c>
      <c r="P28" s="49">
        <v>6</v>
      </c>
      <c r="Q28" s="49">
        <v>0</v>
      </c>
      <c r="R28" s="49">
        <v>1</v>
      </c>
      <c r="S28" s="49">
        <v>7</v>
      </c>
      <c r="T28" s="49">
        <v>107</v>
      </c>
      <c r="U28" s="49">
        <v>2</v>
      </c>
      <c r="V28" s="49">
        <v>1</v>
      </c>
      <c r="W28" s="49">
        <v>0</v>
      </c>
      <c r="X28" s="49">
        <v>3</v>
      </c>
      <c r="Y28" s="49">
        <v>151</v>
      </c>
      <c r="Z28" s="49">
        <v>9</v>
      </c>
      <c r="AA28" s="49">
        <v>6</v>
      </c>
      <c r="AB28" s="49">
        <v>166</v>
      </c>
      <c r="AC28" s="49">
        <v>169</v>
      </c>
      <c r="AD28" s="49">
        <v>409</v>
      </c>
    </row>
    <row r="29" spans="2:30" x14ac:dyDescent="0.25">
      <c r="B29" s="11">
        <v>0.71875</v>
      </c>
      <c r="C29" s="49">
        <v>28</v>
      </c>
      <c r="D29" s="49">
        <v>2</v>
      </c>
      <c r="E29" s="49">
        <v>1</v>
      </c>
      <c r="F29" s="49">
        <v>31</v>
      </c>
      <c r="G29" s="49">
        <v>27</v>
      </c>
      <c r="H29" s="49">
        <v>0</v>
      </c>
      <c r="I29" s="49">
        <v>1</v>
      </c>
      <c r="J29" s="49">
        <v>28</v>
      </c>
      <c r="K29" s="49">
        <v>59</v>
      </c>
      <c r="L29" s="49">
        <v>62</v>
      </c>
      <c r="M29" s="49">
        <v>10</v>
      </c>
      <c r="N29" s="49">
        <v>1</v>
      </c>
      <c r="O29" s="49">
        <v>73</v>
      </c>
      <c r="P29" s="49">
        <v>7</v>
      </c>
      <c r="Q29" s="49">
        <v>1</v>
      </c>
      <c r="R29" s="49">
        <v>0</v>
      </c>
      <c r="S29" s="49">
        <v>8</v>
      </c>
      <c r="T29" s="49">
        <v>81</v>
      </c>
      <c r="U29" s="49">
        <v>6</v>
      </c>
      <c r="V29" s="49">
        <v>2</v>
      </c>
      <c r="W29" s="49">
        <v>0</v>
      </c>
      <c r="X29" s="49">
        <v>8</v>
      </c>
      <c r="Y29" s="49">
        <v>176</v>
      </c>
      <c r="Z29" s="49">
        <v>8</v>
      </c>
      <c r="AA29" s="49">
        <v>4</v>
      </c>
      <c r="AB29" s="49">
        <v>188</v>
      </c>
      <c r="AC29" s="49">
        <v>196</v>
      </c>
      <c r="AD29" s="49">
        <v>336</v>
      </c>
    </row>
    <row r="30" spans="2:30" x14ac:dyDescent="0.25">
      <c r="B30" s="11">
        <v>0.72916666666666663</v>
      </c>
      <c r="C30" s="49">
        <v>20</v>
      </c>
      <c r="D30" s="49">
        <v>5</v>
      </c>
      <c r="E30" s="49">
        <v>0</v>
      </c>
      <c r="F30" s="49">
        <v>25</v>
      </c>
      <c r="G30" s="49">
        <v>20</v>
      </c>
      <c r="H30" s="49">
        <v>4</v>
      </c>
      <c r="I30" s="49">
        <v>0</v>
      </c>
      <c r="J30" s="49">
        <v>24</v>
      </c>
      <c r="K30" s="49">
        <v>49</v>
      </c>
      <c r="L30" s="49">
        <v>75</v>
      </c>
      <c r="M30" s="49">
        <v>11</v>
      </c>
      <c r="N30" s="49">
        <v>2</v>
      </c>
      <c r="O30" s="49">
        <v>88</v>
      </c>
      <c r="P30" s="49">
        <v>7</v>
      </c>
      <c r="Q30" s="49">
        <v>2</v>
      </c>
      <c r="R30" s="49">
        <v>0</v>
      </c>
      <c r="S30" s="49">
        <v>9</v>
      </c>
      <c r="T30" s="49">
        <v>97</v>
      </c>
      <c r="U30" s="49">
        <v>5</v>
      </c>
      <c r="V30" s="49">
        <v>3</v>
      </c>
      <c r="W30" s="49">
        <v>0</v>
      </c>
      <c r="X30" s="49">
        <v>8</v>
      </c>
      <c r="Y30" s="49">
        <v>147</v>
      </c>
      <c r="Z30" s="49">
        <v>8</v>
      </c>
      <c r="AA30" s="49">
        <v>1</v>
      </c>
      <c r="AB30" s="49">
        <v>156</v>
      </c>
      <c r="AC30" s="49">
        <v>164</v>
      </c>
      <c r="AD30" s="49">
        <v>310</v>
      </c>
    </row>
    <row r="31" spans="2:30" x14ac:dyDescent="0.25">
      <c r="B31" s="11">
        <v>0.73958333333333337</v>
      </c>
      <c r="C31" s="49">
        <v>25</v>
      </c>
      <c r="D31" s="49">
        <v>4</v>
      </c>
      <c r="E31" s="49">
        <v>1</v>
      </c>
      <c r="F31" s="49">
        <v>30</v>
      </c>
      <c r="G31" s="49">
        <v>9</v>
      </c>
      <c r="H31" s="49">
        <v>2</v>
      </c>
      <c r="I31" s="49">
        <v>0</v>
      </c>
      <c r="J31" s="49">
        <v>11</v>
      </c>
      <c r="K31" s="49">
        <v>41</v>
      </c>
      <c r="L31" s="49">
        <v>63</v>
      </c>
      <c r="M31" s="49">
        <v>4</v>
      </c>
      <c r="N31" s="49">
        <v>3</v>
      </c>
      <c r="O31" s="49">
        <v>70</v>
      </c>
      <c r="P31" s="49">
        <v>4</v>
      </c>
      <c r="Q31" s="49">
        <v>0</v>
      </c>
      <c r="R31" s="49">
        <v>0</v>
      </c>
      <c r="S31" s="49">
        <v>4</v>
      </c>
      <c r="T31" s="49">
        <v>74</v>
      </c>
      <c r="U31" s="49">
        <v>6</v>
      </c>
      <c r="V31" s="49">
        <v>4</v>
      </c>
      <c r="W31" s="49">
        <v>0</v>
      </c>
      <c r="X31" s="49">
        <v>10</v>
      </c>
      <c r="Y31" s="49">
        <v>148</v>
      </c>
      <c r="Z31" s="49">
        <v>5</v>
      </c>
      <c r="AA31" s="49">
        <v>3</v>
      </c>
      <c r="AB31" s="49">
        <v>156</v>
      </c>
      <c r="AC31" s="49">
        <v>166</v>
      </c>
      <c r="AD31" s="49">
        <v>281</v>
      </c>
    </row>
    <row r="32" spans="2:30" x14ac:dyDescent="0.25">
      <c r="B32" s="10" t="s">
        <v>91</v>
      </c>
      <c r="C32" s="49">
        <v>75</v>
      </c>
      <c r="D32" s="49">
        <v>43</v>
      </c>
      <c r="E32" s="49">
        <v>0</v>
      </c>
      <c r="F32" s="49">
        <v>118</v>
      </c>
      <c r="G32" s="49">
        <v>60</v>
      </c>
      <c r="H32" s="49">
        <v>24</v>
      </c>
      <c r="I32" s="49">
        <v>0</v>
      </c>
      <c r="J32" s="49">
        <v>84</v>
      </c>
      <c r="K32" s="49">
        <v>202</v>
      </c>
      <c r="L32" s="49">
        <v>292</v>
      </c>
      <c r="M32" s="49">
        <v>56</v>
      </c>
      <c r="N32" s="49">
        <v>3</v>
      </c>
      <c r="O32" s="49">
        <v>351</v>
      </c>
      <c r="P32" s="49">
        <v>64</v>
      </c>
      <c r="Q32" s="49">
        <v>27</v>
      </c>
      <c r="R32" s="49">
        <v>0</v>
      </c>
      <c r="S32" s="49">
        <v>91</v>
      </c>
      <c r="T32" s="49">
        <v>442</v>
      </c>
      <c r="U32" s="49">
        <v>70</v>
      </c>
      <c r="V32" s="49">
        <v>37</v>
      </c>
      <c r="W32" s="49">
        <v>0</v>
      </c>
      <c r="X32" s="49">
        <v>107</v>
      </c>
      <c r="Y32" s="49">
        <v>296</v>
      </c>
      <c r="Z32" s="49">
        <v>44</v>
      </c>
      <c r="AA32" s="49">
        <v>5</v>
      </c>
      <c r="AB32" s="49">
        <v>345</v>
      </c>
      <c r="AC32" s="49">
        <v>452</v>
      </c>
      <c r="AD32" s="49">
        <v>1096</v>
      </c>
    </row>
    <row r="33" spans="2:30" x14ac:dyDescent="0.25">
      <c r="B33" s="11">
        <v>0.54166666666666663</v>
      </c>
      <c r="C33" s="49">
        <v>28</v>
      </c>
      <c r="D33" s="49">
        <v>13</v>
      </c>
      <c r="E33" s="49">
        <v>0</v>
      </c>
      <c r="F33" s="49">
        <v>41</v>
      </c>
      <c r="G33" s="49">
        <v>19</v>
      </c>
      <c r="H33" s="49">
        <v>3</v>
      </c>
      <c r="I33" s="49">
        <v>0</v>
      </c>
      <c r="J33" s="49">
        <v>22</v>
      </c>
      <c r="K33" s="49">
        <v>63</v>
      </c>
      <c r="L33" s="49">
        <v>91</v>
      </c>
      <c r="M33" s="49">
        <v>16</v>
      </c>
      <c r="N33" s="49">
        <v>1</v>
      </c>
      <c r="O33" s="49">
        <v>108</v>
      </c>
      <c r="P33" s="49">
        <v>20</v>
      </c>
      <c r="Q33" s="49">
        <v>8</v>
      </c>
      <c r="R33" s="49">
        <v>0</v>
      </c>
      <c r="S33" s="49">
        <v>28</v>
      </c>
      <c r="T33" s="49">
        <v>136</v>
      </c>
      <c r="U33" s="49">
        <v>12</v>
      </c>
      <c r="V33" s="49">
        <v>13</v>
      </c>
      <c r="W33" s="49">
        <v>0</v>
      </c>
      <c r="X33" s="49">
        <v>25</v>
      </c>
      <c r="Y33" s="49">
        <v>72</v>
      </c>
      <c r="Z33" s="49">
        <v>8</v>
      </c>
      <c r="AA33" s="49">
        <v>1</v>
      </c>
      <c r="AB33" s="49">
        <v>81</v>
      </c>
      <c r="AC33" s="49">
        <v>106</v>
      </c>
      <c r="AD33" s="49">
        <v>305</v>
      </c>
    </row>
    <row r="34" spans="2:30" x14ac:dyDescent="0.25">
      <c r="B34" s="11">
        <v>0.55208333333333337</v>
      </c>
      <c r="C34" s="49">
        <v>16</v>
      </c>
      <c r="D34" s="49">
        <v>9</v>
      </c>
      <c r="E34" s="49">
        <v>0</v>
      </c>
      <c r="F34" s="49">
        <v>25</v>
      </c>
      <c r="G34" s="49">
        <v>12</v>
      </c>
      <c r="H34" s="49">
        <v>8</v>
      </c>
      <c r="I34" s="49">
        <v>0</v>
      </c>
      <c r="J34" s="49">
        <v>20</v>
      </c>
      <c r="K34" s="49">
        <v>45</v>
      </c>
      <c r="L34" s="49">
        <v>58</v>
      </c>
      <c r="M34" s="49">
        <v>12</v>
      </c>
      <c r="N34" s="49">
        <v>0</v>
      </c>
      <c r="O34" s="49">
        <v>70</v>
      </c>
      <c r="P34" s="49">
        <v>16</v>
      </c>
      <c r="Q34" s="49">
        <v>6</v>
      </c>
      <c r="R34" s="49">
        <v>0</v>
      </c>
      <c r="S34" s="49">
        <v>22</v>
      </c>
      <c r="T34" s="49">
        <v>92</v>
      </c>
      <c r="U34" s="49">
        <v>20</v>
      </c>
      <c r="V34" s="49">
        <v>6</v>
      </c>
      <c r="W34" s="49">
        <v>0</v>
      </c>
      <c r="X34" s="49">
        <v>26</v>
      </c>
      <c r="Y34" s="49">
        <v>63</v>
      </c>
      <c r="Z34" s="49">
        <v>15</v>
      </c>
      <c r="AA34" s="49">
        <v>2</v>
      </c>
      <c r="AB34" s="49">
        <v>80</v>
      </c>
      <c r="AC34" s="49">
        <v>106</v>
      </c>
      <c r="AD34" s="49">
        <v>243</v>
      </c>
    </row>
    <row r="35" spans="2:30" x14ac:dyDescent="0.25">
      <c r="B35" s="11">
        <v>0.5625</v>
      </c>
      <c r="C35" s="49">
        <v>14</v>
      </c>
      <c r="D35" s="49">
        <v>11</v>
      </c>
      <c r="E35" s="49">
        <v>0</v>
      </c>
      <c r="F35" s="49">
        <v>25</v>
      </c>
      <c r="G35" s="49">
        <v>22</v>
      </c>
      <c r="H35" s="49">
        <v>7</v>
      </c>
      <c r="I35" s="49">
        <v>0</v>
      </c>
      <c r="J35" s="49">
        <v>29</v>
      </c>
      <c r="K35" s="49">
        <v>54</v>
      </c>
      <c r="L35" s="49">
        <v>62</v>
      </c>
      <c r="M35" s="49">
        <v>15</v>
      </c>
      <c r="N35" s="49">
        <v>0</v>
      </c>
      <c r="O35" s="49">
        <v>77</v>
      </c>
      <c r="P35" s="49">
        <v>17</v>
      </c>
      <c r="Q35" s="49">
        <v>7</v>
      </c>
      <c r="R35" s="49">
        <v>0</v>
      </c>
      <c r="S35" s="49">
        <v>24</v>
      </c>
      <c r="T35" s="49">
        <v>101</v>
      </c>
      <c r="U35" s="49">
        <v>15</v>
      </c>
      <c r="V35" s="49">
        <v>9</v>
      </c>
      <c r="W35" s="49">
        <v>0</v>
      </c>
      <c r="X35" s="49">
        <v>24</v>
      </c>
      <c r="Y35" s="49">
        <v>78</v>
      </c>
      <c r="Z35" s="49">
        <v>13</v>
      </c>
      <c r="AA35" s="49">
        <v>2</v>
      </c>
      <c r="AB35" s="49">
        <v>93</v>
      </c>
      <c r="AC35" s="49">
        <v>117</v>
      </c>
      <c r="AD35" s="49">
        <v>272</v>
      </c>
    </row>
    <row r="36" spans="2:30" x14ac:dyDescent="0.25">
      <c r="B36" s="11">
        <v>0.57291666666666663</v>
      </c>
      <c r="C36" s="49">
        <v>17</v>
      </c>
      <c r="D36" s="49">
        <v>10</v>
      </c>
      <c r="E36" s="49">
        <v>0</v>
      </c>
      <c r="F36" s="49">
        <v>27</v>
      </c>
      <c r="G36" s="49">
        <v>7</v>
      </c>
      <c r="H36" s="49">
        <v>6</v>
      </c>
      <c r="I36" s="49">
        <v>0</v>
      </c>
      <c r="J36" s="49">
        <v>13</v>
      </c>
      <c r="K36" s="49">
        <v>40</v>
      </c>
      <c r="L36" s="49">
        <v>81</v>
      </c>
      <c r="M36" s="49">
        <v>13</v>
      </c>
      <c r="N36" s="49">
        <v>2</v>
      </c>
      <c r="O36" s="49">
        <v>96</v>
      </c>
      <c r="P36" s="49">
        <v>11</v>
      </c>
      <c r="Q36" s="49">
        <v>6</v>
      </c>
      <c r="R36" s="49">
        <v>0</v>
      </c>
      <c r="S36" s="49">
        <v>17</v>
      </c>
      <c r="T36" s="49">
        <v>113</v>
      </c>
      <c r="U36" s="49">
        <v>23</v>
      </c>
      <c r="V36" s="49">
        <v>9</v>
      </c>
      <c r="W36" s="49">
        <v>0</v>
      </c>
      <c r="X36" s="49">
        <v>32</v>
      </c>
      <c r="Y36" s="49">
        <v>83</v>
      </c>
      <c r="Z36" s="49">
        <v>8</v>
      </c>
      <c r="AA36" s="49">
        <v>0</v>
      </c>
      <c r="AB36" s="49">
        <v>91</v>
      </c>
      <c r="AC36" s="49">
        <v>123</v>
      </c>
      <c r="AD36" s="49">
        <v>276</v>
      </c>
    </row>
  </sheetData>
  <mergeCells count="19">
    <mergeCell ref="C11:J11"/>
    <mergeCell ref="K11:K13"/>
    <mergeCell ref="L11:S11"/>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1362</v>
      </c>
      <c r="I5">
        <f>MAX(I11:I303)</f>
        <v>1096</v>
      </c>
      <c r="J5">
        <f>MAX(J11:J303)</f>
        <v>1576</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1362 vehicles between 07:45 and 08:45</v>
      </c>
      <c r="I8" s="6" t="str">
        <f>IF(I5=0,"","The peak hour for " &amp;I10&amp;" is "&amp;I5&amp;" vehicles between " &amp; TEXT(I6, "hh:mm")&amp; " and " &amp;TEXT(I7,"hh:mm"))</f>
        <v>The peak hour for INT is 1096 vehicles between 13:00 and 14:00</v>
      </c>
      <c r="J8" s="6" t="str">
        <f>IF(J5=0,"","The peak hour for " &amp;J10&amp;" is "&amp;J5&amp;" vehicles between " &amp; TEXT(J6, "hh:mm")&amp; " and " &amp;TEXT(J7,"hh:mm"))</f>
        <v>The peak hour for PM is 1576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209</v>
      </c>
      <c r="C11" s="49"/>
      <c r="D11" s="49"/>
      <c r="G11" s="7">
        <f>A11</f>
        <v>0.29166666666666669</v>
      </c>
      <c r="H11">
        <f>IF(B11&lt;&gt;0,SUMIF($G$11:$G11,"&gt;"&amp;$G11-1/24,B$11:B11),0)</f>
        <v>209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209</v>
      </c>
      <c r="Q11">
        <f>P11*L11</f>
        <v>0</v>
      </c>
      <c r="S11" s="9">
        <v>0.29166666666666669</v>
      </c>
      <c r="T11" s="49">
        <v>209</v>
      </c>
      <c r="U11" s="49">
        <v>0</v>
      </c>
    </row>
    <row r="12" spans="1:21" x14ac:dyDescent="0.25">
      <c r="A12" s="9">
        <v>0.30208333333333331</v>
      </c>
      <c r="B12" s="49">
        <v>284</v>
      </c>
      <c r="C12" s="49"/>
      <c r="D12" s="49"/>
      <c r="G12" s="7">
        <f t="shared" ref="G12:G26" si="3">A12</f>
        <v>0.30208333333333331</v>
      </c>
      <c r="H12">
        <f>IF(B12&lt;&gt;0,SUMIF($G$11:$G12,"&gt;"&amp;$G12-1/24,B$11:B12),0)</f>
        <v>493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284</v>
      </c>
      <c r="Q12">
        <f t="shared" ref="Q12:Q75" si="7">P12*L12</f>
        <v>0</v>
      </c>
      <c r="S12" s="9">
        <v>0.30208333333333331</v>
      </c>
      <c r="T12" s="49">
        <v>284</v>
      </c>
      <c r="U12" s="49">
        <v>0</v>
      </c>
    </row>
    <row r="13" spans="1:21" x14ac:dyDescent="0.25">
      <c r="A13" s="9">
        <v>0.3125</v>
      </c>
      <c r="B13" s="49">
        <v>296</v>
      </c>
      <c r="C13" s="49"/>
      <c r="D13" s="49"/>
      <c r="G13" s="7">
        <f t="shared" si="3"/>
        <v>0.3125</v>
      </c>
      <c r="H13">
        <f>IF(B13&lt;&gt;0,SUMIF($G$11:$G13,"&gt;"&amp;$G13-1/24,B$11:B13),0)</f>
        <v>789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296</v>
      </c>
      <c r="Q13">
        <f t="shared" si="7"/>
        <v>0</v>
      </c>
      <c r="S13" s="9">
        <v>0.3125</v>
      </c>
      <c r="T13" s="49">
        <v>296</v>
      </c>
      <c r="U13" s="49">
        <v>0</v>
      </c>
    </row>
    <row r="14" spans="1:21" x14ac:dyDescent="0.25">
      <c r="A14" s="9">
        <v>0.32291666666666669</v>
      </c>
      <c r="B14" s="49">
        <v>357</v>
      </c>
      <c r="C14" s="49"/>
      <c r="D14" s="49"/>
      <c r="G14" s="7">
        <f t="shared" si="3"/>
        <v>0.32291666666666669</v>
      </c>
      <c r="H14">
        <f>IF(B14&lt;&gt;0,SUMIF($G$11:$G14,"&gt;"&amp;$G14-1/24,B$11:B14),0)</f>
        <v>1146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357</v>
      </c>
      <c r="Q14">
        <f t="shared" si="7"/>
        <v>357</v>
      </c>
      <c r="S14" s="9">
        <v>0.32291666666666669</v>
      </c>
      <c r="T14" s="49">
        <v>357</v>
      </c>
      <c r="U14" s="49">
        <v>357</v>
      </c>
    </row>
    <row r="15" spans="1:21" x14ac:dyDescent="0.25">
      <c r="A15" s="9">
        <v>0.33333333333333331</v>
      </c>
      <c r="B15" s="49">
        <v>327</v>
      </c>
      <c r="C15" s="49"/>
      <c r="D15" s="49"/>
      <c r="G15" s="7">
        <f t="shared" si="3"/>
        <v>0.33333333333333331</v>
      </c>
      <c r="H15">
        <f>IF(B15&lt;&gt;0,SUMIF($G$11:$G15,"&gt;"&amp;$G15-1/24,B$11:B15),0)</f>
        <v>1264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327</v>
      </c>
      <c r="Q15">
        <f t="shared" si="7"/>
        <v>327</v>
      </c>
      <c r="S15" s="9">
        <v>0.33333333333333331</v>
      </c>
      <c r="T15" s="49">
        <v>327</v>
      </c>
      <c r="U15" s="49">
        <v>327</v>
      </c>
    </row>
    <row r="16" spans="1:21" x14ac:dyDescent="0.25">
      <c r="A16" s="9">
        <v>0.34375</v>
      </c>
      <c r="B16" s="49">
        <v>342</v>
      </c>
      <c r="C16" s="49"/>
      <c r="D16" s="49"/>
      <c r="G16" s="7">
        <f t="shared" si="3"/>
        <v>0.34375</v>
      </c>
      <c r="H16">
        <f>IF(B16&lt;&gt;0,SUMIF($G$11:$G16,"&gt;"&amp;$G16-1/24,B$11:B16),0)</f>
        <v>1322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342</v>
      </c>
      <c r="Q16">
        <f t="shared" si="7"/>
        <v>342</v>
      </c>
      <c r="S16" s="9">
        <v>0.34375</v>
      </c>
      <c r="T16" s="49">
        <v>342</v>
      </c>
      <c r="U16" s="49">
        <v>342</v>
      </c>
    </row>
    <row r="17" spans="1:21" x14ac:dyDescent="0.25">
      <c r="A17" s="9">
        <v>0.35416666666666669</v>
      </c>
      <c r="B17" s="49">
        <v>336</v>
      </c>
      <c r="C17" s="49"/>
      <c r="D17" s="49"/>
      <c r="G17" s="7">
        <f t="shared" si="3"/>
        <v>0.35416666666666669</v>
      </c>
      <c r="H17">
        <f>IF(B17&lt;&gt;0,SUMIF($G$11:$G17,"&gt;"&amp;$G17-1/24,B$11:B17),0)</f>
        <v>1362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336</v>
      </c>
      <c r="Q17">
        <f t="shared" si="7"/>
        <v>336</v>
      </c>
      <c r="S17" s="9">
        <v>0.35416666666666669</v>
      </c>
      <c r="T17" s="49">
        <v>336</v>
      </c>
      <c r="U17" s="49">
        <v>336</v>
      </c>
    </row>
    <row r="18" spans="1:21" x14ac:dyDescent="0.25">
      <c r="A18" s="9">
        <v>0.36458333333333331</v>
      </c>
      <c r="B18" s="49">
        <v>293</v>
      </c>
      <c r="C18" s="49"/>
      <c r="D18" s="49"/>
      <c r="G18" s="7">
        <f t="shared" si="3"/>
        <v>0.36458333333333331</v>
      </c>
      <c r="H18">
        <f>IF(B18&lt;&gt;0,SUMIF($G$11:$G18,"&gt;"&amp;$G18-1/24,B$11:B18),0)</f>
        <v>1298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293</v>
      </c>
      <c r="Q18">
        <f t="shared" si="7"/>
        <v>0</v>
      </c>
      <c r="S18" s="9">
        <v>0.36458333333333331</v>
      </c>
      <c r="T18" s="49">
        <v>293</v>
      </c>
      <c r="U18" s="49">
        <v>0</v>
      </c>
    </row>
    <row r="19" spans="1:21" x14ac:dyDescent="0.25">
      <c r="A19" s="9">
        <v>0.54166666666666663</v>
      </c>
      <c r="B19" s="49"/>
      <c r="C19" s="49">
        <v>305</v>
      </c>
      <c r="D19" s="49"/>
      <c r="G19" s="7">
        <f t="shared" si="3"/>
        <v>0.54166666666666663</v>
      </c>
      <c r="H19">
        <f>IF(B19&lt;&gt;0,SUMIF($G$11:$G19,"&gt;"&amp;$G19-1/24,B$11:B19),0)</f>
        <v>0</v>
      </c>
      <c r="I19">
        <f>IF(C19&lt;&gt;0,SUMIF($G$11:$G19,"&gt;"&amp;$G19-1/24,C$11:C19),0)</f>
        <v>305</v>
      </c>
      <c r="J19">
        <f>IF(D19&lt;&gt;0,SUMIF($G$11:$G19,"&gt;"&amp;$G19-1/24,D$11:D19),0)</f>
        <v>0</v>
      </c>
      <c r="K19">
        <f>IF(E19&lt;&gt;0,SUMIF($G$11:$G19,"&gt;"&amp;$G19-1/24,E$11:E19),0)</f>
        <v>0</v>
      </c>
      <c r="L19">
        <f t="shared" si="4"/>
        <v>1</v>
      </c>
      <c r="N19" t="str">
        <f t="shared" si="5"/>
        <v>INT</v>
      </c>
      <c r="O19" s="7">
        <f t="shared" si="2"/>
        <v>0.54166666666666663</v>
      </c>
      <c r="P19">
        <f t="shared" si="6"/>
        <v>305</v>
      </c>
      <c r="Q19">
        <f t="shared" si="7"/>
        <v>305</v>
      </c>
      <c r="S19" s="9" t="s">
        <v>49</v>
      </c>
      <c r="T19" s="49">
        <v>2444</v>
      </c>
      <c r="U19" s="49">
        <v>1362</v>
      </c>
    </row>
    <row r="20" spans="1:21" x14ac:dyDescent="0.25">
      <c r="A20" s="9">
        <v>0.55208333333333337</v>
      </c>
      <c r="B20" s="49"/>
      <c r="C20" s="49">
        <v>243</v>
      </c>
      <c r="D20" s="49"/>
      <c r="G20" s="7">
        <f t="shared" si="3"/>
        <v>0.55208333333333337</v>
      </c>
      <c r="H20">
        <f>IF(B20&lt;&gt;0,SUMIF($G$11:$G20,"&gt;"&amp;$G20-1/24,B$11:B20),0)</f>
        <v>0</v>
      </c>
      <c r="I20">
        <f>IF(C20&lt;&gt;0,SUMIF($G$11:$G20,"&gt;"&amp;$G20-1/24,C$11:C20),0)</f>
        <v>548</v>
      </c>
      <c r="J20">
        <f>IF(D20&lt;&gt;0,SUMIF($G$11:$G20,"&gt;"&amp;$G20-1/24,D$11:D20),0)</f>
        <v>0</v>
      </c>
      <c r="K20">
        <f>IF(E20&lt;&gt;0,SUMIF($G$11:$G20,"&gt;"&amp;$G20-1/24,E$11:E20),0)</f>
        <v>0</v>
      </c>
      <c r="L20">
        <f t="shared" si="4"/>
        <v>1</v>
      </c>
      <c r="N20" t="str">
        <f t="shared" si="5"/>
        <v>INT</v>
      </c>
      <c r="O20" s="7">
        <f t="shared" si="2"/>
        <v>0.55208333333333337</v>
      </c>
      <c r="P20">
        <f t="shared" si="6"/>
        <v>243</v>
      </c>
      <c r="Q20">
        <f t="shared" si="7"/>
        <v>243</v>
      </c>
    </row>
    <row r="21" spans="1:21" x14ac:dyDescent="0.25">
      <c r="A21" s="9">
        <v>0.5625</v>
      </c>
      <c r="B21" s="49"/>
      <c r="C21" s="49">
        <v>272</v>
      </c>
      <c r="D21" s="49"/>
      <c r="G21" s="7">
        <f t="shared" si="3"/>
        <v>0.5625</v>
      </c>
      <c r="H21">
        <f>IF(B21&lt;&gt;0,SUMIF($G$11:$G21,"&gt;"&amp;$G21-1/24,B$11:B21),0)</f>
        <v>0</v>
      </c>
      <c r="I21">
        <f>IF(C21&lt;&gt;0,SUMIF($G$11:$G21,"&gt;"&amp;$G21-1/24,C$11:C21),0)</f>
        <v>820</v>
      </c>
      <c r="J21">
        <f>IF(D21&lt;&gt;0,SUMIF($G$11:$G21,"&gt;"&amp;$G21-1/24,D$11:D21),0)</f>
        <v>0</v>
      </c>
      <c r="K21">
        <f>IF(E21&lt;&gt;0,SUMIF($G$11:$G21,"&gt;"&amp;$G21-1/24,E$11:E21),0)</f>
        <v>0</v>
      </c>
      <c r="L21">
        <f t="shared" si="4"/>
        <v>1</v>
      </c>
      <c r="N21" t="str">
        <f t="shared" si="5"/>
        <v>INT</v>
      </c>
      <c r="O21" s="7">
        <f t="shared" si="2"/>
        <v>0.5625</v>
      </c>
      <c r="P21">
        <f t="shared" si="6"/>
        <v>272</v>
      </c>
      <c r="Q21">
        <f t="shared" si="7"/>
        <v>272</v>
      </c>
    </row>
    <row r="22" spans="1:21" x14ac:dyDescent="0.25">
      <c r="A22" s="9">
        <v>0.57291666666666663</v>
      </c>
      <c r="B22" s="49"/>
      <c r="C22" s="49">
        <v>276</v>
      </c>
      <c r="D22" s="49"/>
      <c r="G22" s="7">
        <f t="shared" si="3"/>
        <v>0.57291666666666663</v>
      </c>
      <c r="H22">
        <f>IF(B22&lt;&gt;0,SUMIF($G$11:$G22,"&gt;"&amp;$G22-1/24,B$11:B22),0)</f>
        <v>0</v>
      </c>
      <c r="I22">
        <f>IF(C22&lt;&gt;0,SUMIF($G$11:$G22,"&gt;"&amp;$G22-1/24,C$11:C22),0)</f>
        <v>1096</v>
      </c>
      <c r="J22">
        <f>IF(D22&lt;&gt;0,SUMIF($G$11:$G22,"&gt;"&amp;$G22-1/24,D$11:D22),0)</f>
        <v>0</v>
      </c>
      <c r="K22">
        <f>IF(E22&lt;&gt;0,SUMIF($G$11:$G22,"&gt;"&amp;$G22-1/24,E$11:E22),0)</f>
        <v>0</v>
      </c>
      <c r="L22">
        <f t="shared" si="4"/>
        <v>1</v>
      </c>
      <c r="N22" t="str">
        <f t="shared" si="5"/>
        <v>INT</v>
      </c>
      <c r="O22" s="7">
        <f t="shared" si="2"/>
        <v>0.57291666666666663</v>
      </c>
      <c r="P22">
        <f t="shared" si="6"/>
        <v>276</v>
      </c>
      <c r="Q22">
        <f t="shared" si="7"/>
        <v>276</v>
      </c>
    </row>
    <row r="23" spans="1:21" x14ac:dyDescent="0.25">
      <c r="A23" s="9">
        <v>0.66666666666666663</v>
      </c>
      <c r="B23" s="49"/>
      <c r="C23" s="49"/>
      <c r="D23" s="49">
        <v>351</v>
      </c>
      <c r="G23" s="7">
        <f t="shared" si="3"/>
        <v>0.66666666666666663</v>
      </c>
      <c r="H23">
        <f>IF(B23&lt;&gt;0,SUMIF($G$11:$G23,"&gt;"&amp;$G23-1/24,B$11:B23),0)</f>
        <v>0</v>
      </c>
      <c r="I23">
        <f>IF(C23&lt;&gt;0,SUMIF($G$11:$G23,"&gt;"&amp;$G23-1/24,C$11:C23),0)</f>
        <v>0</v>
      </c>
      <c r="J23">
        <f>IF(D23&lt;&gt;0,SUMIF($G$11:$G23,"&gt;"&amp;$G23-1/24,D$11:D23),0)</f>
        <v>351</v>
      </c>
      <c r="K23">
        <f>IF(E23&lt;&gt;0,SUMIF($G$11:$G23,"&gt;"&amp;$G23-1/24,E$11:E23),0)</f>
        <v>0</v>
      </c>
      <c r="L23">
        <f t="shared" si="4"/>
        <v>0</v>
      </c>
      <c r="N23" t="str">
        <f t="shared" si="5"/>
        <v>PM</v>
      </c>
      <c r="O23" s="7">
        <f t="shared" si="2"/>
        <v>0.66666666666666663</v>
      </c>
      <c r="P23">
        <f t="shared" si="6"/>
        <v>351</v>
      </c>
      <c r="Q23">
        <f t="shared" si="7"/>
        <v>0</v>
      </c>
    </row>
    <row r="24" spans="1:21" x14ac:dyDescent="0.25">
      <c r="A24" s="9">
        <v>0.67708333333333337</v>
      </c>
      <c r="B24" s="49"/>
      <c r="C24" s="49"/>
      <c r="D24" s="49">
        <v>328</v>
      </c>
      <c r="G24" s="7">
        <f t="shared" si="3"/>
        <v>0.67708333333333337</v>
      </c>
      <c r="H24">
        <f>IF(B24&lt;&gt;0,SUMIF($G$11:$G24,"&gt;"&amp;$G24-1/24,B$11:B24),0)</f>
        <v>0</v>
      </c>
      <c r="I24">
        <f>IF(C24&lt;&gt;0,SUMIF($G$11:$G24,"&gt;"&amp;$G24-1/24,C$11:C24),0)</f>
        <v>0</v>
      </c>
      <c r="J24">
        <f>IF(D24&lt;&gt;0,SUMIF($G$11:$G24,"&gt;"&amp;$G24-1/24,D$11:D24),0)</f>
        <v>679</v>
      </c>
      <c r="K24">
        <f>IF(E24&lt;&gt;0,SUMIF($G$11:$G24,"&gt;"&amp;$G24-1/24,E$11:E24),0)</f>
        <v>0</v>
      </c>
      <c r="L24">
        <f t="shared" si="4"/>
        <v>0</v>
      </c>
      <c r="N24" t="str">
        <f t="shared" si="5"/>
        <v>PM</v>
      </c>
      <c r="O24" s="7">
        <f t="shared" si="2"/>
        <v>0.67708333333333337</v>
      </c>
      <c r="P24">
        <f t="shared" si="6"/>
        <v>328</v>
      </c>
      <c r="Q24">
        <f t="shared" si="7"/>
        <v>0</v>
      </c>
    </row>
    <row r="25" spans="1:21" x14ac:dyDescent="0.25">
      <c r="A25" s="9">
        <v>0.6875</v>
      </c>
      <c r="B25" s="49"/>
      <c r="C25" s="49"/>
      <c r="D25" s="49">
        <v>423</v>
      </c>
      <c r="G25" s="7">
        <f t="shared" si="3"/>
        <v>0.6875</v>
      </c>
      <c r="H25">
        <f>IF(B25&lt;&gt;0,SUMIF($G$11:$G25,"&gt;"&amp;$G25-1/24,B$11:B25),0)</f>
        <v>0</v>
      </c>
      <c r="I25">
        <f>IF(C25&lt;&gt;0,SUMIF($G$11:$G25,"&gt;"&amp;$G25-1/24,C$11:C25),0)</f>
        <v>0</v>
      </c>
      <c r="J25">
        <f>IF(D25&lt;&gt;0,SUMIF($G$11:$G25,"&gt;"&amp;$G25-1/24,D$11:D25),0)</f>
        <v>1102</v>
      </c>
      <c r="K25">
        <f>IF(E25&lt;&gt;0,SUMIF($G$11:$G25,"&gt;"&amp;$G25-1/24,E$11:E25),0)</f>
        <v>0</v>
      </c>
      <c r="L25">
        <f t="shared" si="4"/>
        <v>1</v>
      </c>
      <c r="N25" t="str">
        <f t="shared" si="5"/>
        <v>PM</v>
      </c>
      <c r="O25" s="7">
        <f t="shared" si="2"/>
        <v>0.6875</v>
      </c>
      <c r="P25">
        <f t="shared" si="6"/>
        <v>423</v>
      </c>
      <c r="Q25">
        <f t="shared" si="7"/>
        <v>423</v>
      </c>
    </row>
    <row r="26" spans="1:21" x14ac:dyDescent="0.25">
      <c r="A26" s="9">
        <v>0.69791666666666663</v>
      </c>
      <c r="B26" s="49"/>
      <c r="C26" s="49"/>
      <c r="D26" s="49">
        <v>408</v>
      </c>
      <c r="G26" s="7">
        <f t="shared" si="3"/>
        <v>0.69791666666666663</v>
      </c>
      <c r="H26">
        <f>IF(B26&lt;&gt;0,SUMIF($G$11:$G26,"&gt;"&amp;$G26-1/24,B$11:B26),0)</f>
        <v>0</v>
      </c>
      <c r="I26">
        <f>IF(C26&lt;&gt;0,SUMIF($G$11:$G26,"&gt;"&amp;$G26-1/24,C$11:C26),0)</f>
        <v>0</v>
      </c>
      <c r="J26">
        <f>IF(D26&lt;&gt;0,SUMIF($G$11:$G26,"&gt;"&amp;$G26-1/24,D$11:D26),0)</f>
        <v>1510</v>
      </c>
      <c r="K26">
        <f>IF(E26&lt;&gt;0,SUMIF($G$11:$G26,"&gt;"&amp;$G26-1/24,E$11:E26),0)</f>
        <v>0</v>
      </c>
      <c r="L26">
        <f t="shared" si="4"/>
        <v>1</v>
      </c>
      <c r="N26" t="str">
        <f t="shared" si="5"/>
        <v>PM</v>
      </c>
      <c r="O26" s="7">
        <f t="shared" si="2"/>
        <v>0.69791666666666663</v>
      </c>
      <c r="P26">
        <f t="shared" si="6"/>
        <v>408</v>
      </c>
      <c r="Q26">
        <f t="shared" si="7"/>
        <v>408</v>
      </c>
    </row>
    <row r="27" spans="1:21" x14ac:dyDescent="0.25">
      <c r="A27" s="9">
        <v>0.70833333333333337</v>
      </c>
      <c r="B27" s="49"/>
      <c r="C27" s="49"/>
      <c r="D27" s="49">
        <v>409</v>
      </c>
      <c r="G27" s="7">
        <f t="shared" ref="G27:G90" si="8">A27</f>
        <v>0.70833333333333337</v>
      </c>
      <c r="H27">
        <f>IF(B27&lt;&gt;0,SUMIF($G$11:$G27,"&gt;"&amp;$G27-1/24,B$11:B27),0)</f>
        <v>0</v>
      </c>
      <c r="I27">
        <f>IF(C27&lt;&gt;0,SUMIF($G$11:$G27,"&gt;"&amp;$G27-1/24,C$11:C27),0)</f>
        <v>0</v>
      </c>
      <c r="J27">
        <f>IF(D27&lt;&gt;0,SUMIF($G$11:$G27,"&gt;"&amp;$G27-1/24,D$11:D27),0)</f>
        <v>1568</v>
      </c>
      <c r="K27">
        <f>IF(E27&lt;&gt;0,SUMIF($G$11:$G27,"&gt;"&amp;$G27-1/24,E$11:E27),0)</f>
        <v>0</v>
      </c>
      <c r="L27">
        <f t="shared" si="4"/>
        <v>1</v>
      </c>
      <c r="N27" t="str">
        <f t="shared" si="5"/>
        <v>PM</v>
      </c>
      <c r="O27" s="7">
        <f t="shared" si="2"/>
        <v>0.70833333333333337</v>
      </c>
      <c r="P27">
        <f t="shared" si="6"/>
        <v>409</v>
      </c>
      <c r="Q27">
        <f t="shared" si="7"/>
        <v>409</v>
      </c>
    </row>
    <row r="28" spans="1:21" x14ac:dyDescent="0.25">
      <c r="A28" s="9">
        <v>0.71875</v>
      </c>
      <c r="B28" s="49"/>
      <c r="C28" s="49"/>
      <c r="D28" s="49">
        <v>336</v>
      </c>
      <c r="G28" s="7">
        <f t="shared" si="8"/>
        <v>0.71875</v>
      </c>
      <c r="H28">
        <f>IF(B28&lt;&gt;0,SUMIF($G$11:$G28,"&gt;"&amp;$G28-1/24,B$11:B28),0)</f>
        <v>0</v>
      </c>
      <c r="I28">
        <f>IF(C28&lt;&gt;0,SUMIF($G$11:$G28,"&gt;"&amp;$G28-1/24,C$11:C28),0)</f>
        <v>0</v>
      </c>
      <c r="J28">
        <f>IF(D28&lt;&gt;0,SUMIF($G$11:$G28,"&gt;"&amp;$G28-1/24,D$11:D28),0)</f>
        <v>1576</v>
      </c>
      <c r="K28">
        <f>IF(E28&lt;&gt;0,SUMIF($G$11:$G28,"&gt;"&amp;$G28-1/24,E$11:E28),0)</f>
        <v>0</v>
      </c>
      <c r="L28">
        <f t="shared" si="4"/>
        <v>1</v>
      </c>
      <c r="N28" t="str">
        <f t="shared" si="5"/>
        <v>PM</v>
      </c>
      <c r="O28" s="7">
        <f t="shared" si="2"/>
        <v>0.71875</v>
      </c>
      <c r="P28">
        <f t="shared" si="6"/>
        <v>336</v>
      </c>
      <c r="Q28">
        <f t="shared" si="7"/>
        <v>336</v>
      </c>
    </row>
    <row r="29" spans="1:21" x14ac:dyDescent="0.25">
      <c r="A29" s="9">
        <v>0.72916666666666663</v>
      </c>
      <c r="B29" s="49"/>
      <c r="C29" s="49"/>
      <c r="D29" s="49">
        <v>310</v>
      </c>
      <c r="G29" s="7">
        <f t="shared" si="8"/>
        <v>0.72916666666666663</v>
      </c>
      <c r="H29">
        <f>IF(B29&lt;&gt;0,SUMIF($G$11:$G29,"&gt;"&amp;$G29-1/24,B$11:B29),0)</f>
        <v>0</v>
      </c>
      <c r="I29">
        <f>IF(C29&lt;&gt;0,SUMIF($G$11:$G29,"&gt;"&amp;$G29-1/24,C$11:C29),0)</f>
        <v>0</v>
      </c>
      <c r="J29">
        <f>IF(D29&lt;&gt;0,SUMIF($G$11:$G29,"&gt;"&amp;$G29-1/24,D$11:D29),0)</f>
        <v>1463</v>
      </c>
      <c r="K29">
        <f>IF(E29&lt;&gt;0,SUMIF($G$11:$G29,"&gt;"&amp;$G29-1/24,E$11:E29),0)</f>
        <v>0</v>
      </c>
      <c r="L29">
        <f t="shared" si="4"/>
        <v>0</v>
      </c>
      <c r="N29" t="str">
        <f t="shared" si="5"/>
        <v>PM</v>
      </c>
      <c r="O29" s="7">
        <f t="shared" si="2"/>
        <v>0.72916666666666663</v>
      </c>
      <c r="P29">
        <f t="shared" si="6"/>
        <v>310</v>
      </c>
      <c r="Q29">
        <f t="shared" si="7"/>
        <v>0</v>
      </c>
    </row>
    <row r="30" spans="1:21" x14ac:dyDescent="0.25">
      <c r="A30" s="9">
        <v>0.73958333333333337</v>
      </c>
      <c r="B30" s="49"/>
      <c r="C30" s="49"/>
      <c r="D30" s="49">
        <v>281</v>
      </c>
      <c r="G30" s="7">
        <f t="shared" si="8"/>
        <v>0.73958333333333337</v>
      </c>
      <c r="H30">
        <f>IF(B30&lt;&gt;0,SUMIF($G$11:$G30,"&gt;"&amp;$G30-1/24,B$11:B30),0)</f>
        <v>0</v>
      </c>
      <c r="I30">
        <f>IF(C30&lt;&gt;0,SUMIF($G$11:$G30,"&gt;"&amp;$G30-1/24,C$11:C30),0)</f>
        <v>0</v>
      </c>
      <c r="J30">
        <f>IF(D30&lt;&gt;0,SUMIF($G$11:$G30,"&gt;"&amp;$G30-1/24,D$11:D30),0)</f>
        <v>1336</v>
      </c>
      <c r="K30">
        <f>IF(E30&lt;&gt;0,SUMIF($G$11:$G30,"&gt;"&amp;$G30-1/24,E$11:E30),0)</f>
        <v>0</v>
      </c>
      <c r="L30">
        <f t="shared" si="4"/>
        <v>0</v>
      </c>
      <c r="N30" t="str">
        <f t="shared" si="5"/>
        <v>PM</v>
      </c>
      <c r="O30" s="7">
        <f t="shared" si="2"/>
        <v>0.73958333333333337</v>
      </c>
      <c r="P30">
        <f t="shared" si="6"/>
        <v>281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209</v>
      </c>
      <c r="E5" t="str">
        <f>"Vehicle Count by Exit Leg for "&amp;C2&amp;" Period"</f>
        <v>Vehicle Count by Exit Leg for AM Period</v>
      </c>
    </row>
    <row r="6" spans="2:5" x14ac:dyDescent="0.25">
      <c r="B6" s="9">
        <v>0.30208333333333331</v>
      </c>
      <c r="C6" s="49">
        <v>284</v>
      </c>
    </row>
    <row r="7" spans="2:5" x14ac:dyDescent="0.25">
      <c r="B7" s="9">
        <v>0.3125</v>
      </c>
      <c r="C7" s="49">
        <v>296</v>
      </c>
    </row>
    <row r="8" spans="2:5" x14ac:dyDescent="0.25">
      <c r="B8" s="9">
        <v>0.32291666666666669</v>
      </c>
      <c r="C8" s="49">
        <v>357</v>
      </c>
    </row>
    <row r="9" spans="2:5" x14ac:dyDescent="0.25">
      <c r="B9" s="9">
        <v>0.33333333333333331</v>
      </c>
      <c r="C9" s="49">
        <v>327</v>
      </c>
    </row>
    <row r="10" spans="2:5" x14ac:dyDescent="0.25">
      <c r="B10" s="9">
        <v>0.34375</v>
      </c>
      <c r="C10" s="49">
        <v>342</v>
      </c>
    </row>
    <row r="11" spans="2:5" x14ac:dyDescent="0.25">
      <c r="B11" s="9">
        <v>0.35416666666666669</v>
      </c>
      <c r="C11" s="49">
        <v>336</v>
      </c>
    </row>
    <row r="12" spans="2:5" x14ac:dyDescent="0.25">
      <c r="B12" s="9">
        <v>0.36458333333333331</v>
      </c>
      <c r="C12" s="49">
        <v>293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85546875" bestFit="1" customWidth="1"/>
    <col min="12" max="12" width="18.140625" bestFit="1" customWidth="1"/>
    <col min="13" max="13" width="19.28515625" bestFit="1" customWidth="1"/>
    <col min="14" max="14" width="8.28515625" customWidth="1"/>
    <col min="15" max="15" width="5.5703125" customWidth="1"/>
    <col min="16" max="18" width="3.28515625" customWidth="1"/>
    <col min="19" max="19" width="11.28515625" bestFit="1" customWidth="1"/>
    <col min="20" max="20" width="20.85546875" bestFit="1" customWidth="1"/>
    <col min="21" max="21" width="18.140625" bestFit="1" customWidth="1"/>
    <col min="22" max="22" width="19.28515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94</v>
      </c>
      <c r="M25" s="25" t="s">
        <v>95</v>
      </c>
      <c r="T25" s="25" t="s">
        <v>93</v>
      </c>
      <c r="U25" s="25" t="s">
        <v>94</v>
      </c>
      <c r="V25" s="25" t="s">
        <v>95</v>
      </c>
      <c r="X25" s="13"/>
    </row>
    <row r="26" spans="2:24" x14ac:dyDescent="0.25">
      <c r="B26" s="9">
        <v>0.29166666666666669</v>
      </c>
      <c r="C26" s="50">
        <v>209</v>
      </c>
      <c r="J26" s="9">
        <v>0.29166666666666669</v>
      </c>
      <c r="K26" s="50">
        <v>25</v>
      </c>
      <c r="L26" s="50">
        <v>110</v>
      </c>
      <c r="M26" s="50">
        <v>74</v>
      </c>
      <c r="S26" s="9">
        <v>0.29166666666666669</v>
      </c>
      <c r="T26" s="50">
        <v>46</v>
      </c>
      <c r="U26" s="50">
        <v>56</v>
      </c>
      <c r="V26" s="50">
        <v>107</v>
      </c>
    </row>
    <row r="27" spans="2:24" x14ac:dyDescent="0.25">
      <c r="B27" s="9">
        <v>0.30208333333333331</v>
      </c>
      <c r="C27" s="50">
        <v>284</v>
      </c>
      <c r="J27" s="9">
        <v>0.30208333333333331</v>
      </c>
      <c r="K27" s="50">
        <v>24</v>
      </c>
      <c r="L27" s="50">
        <v>138</v>
      </c>
      <c r="M27" s="50">
        <v>122</v>
      </c>
      <c r="S27" s="9">
        <v>0.30208333333333331</v>
      </c>
      <c r="T27" s="50">
        <v>86</v>
      </c>
      <c r="U27" s="50">
        <v>81</v>
      </c>
      <c r="V27" s="50">
        <v>117</v>
      </c>
    </row>
    <row r="28" spans="2:24" x14ac:dyDescent="0.25">
      <c r="B28" s="9">
        <v>0.3125</v>
      </c>
      <c r="C28" s="50">
        <v>296</v>
      </c>
      <c r="J28" s="9">
        <v>0.3125</v>
      </c>
      <c r="K28" s="50">
        <v>22</v>
      </c>
      <c r="L28" s="50">
        <v>177</v>
      </c>
      <c r="M28" s="50">
        <v>97</v>
      </c>
      <c r="S28" s="9">
        <v>0.3125</v>
      </c>
      <c r="T28" s="50">
        <v>60</v>
      </c>
      <c r="U28" s="50">
        <v>77</v>
      </c>
      <c r="V28" s="50">
        <v>159</v>
      </c>
    </row>
    <row r="29" spans="2:24" x14ac:dyDescent="0.25">
      <c r="B29" s="9">
        <v>0.32291666666666669</v>
      </c>
      <c r="C29" s="50">
        <v>357</v>
      </c>
      <c r="J29" s="9">
        <v>0.32291666666666669</v>
      </c>
      <c r="K29" s="50">
        <v>23</v>
      </c>
      <c r="L29" s="50">
        <v>207</v>
      </c>
      <c r="M29" s="50">
        <v>127</v>
      </c>
      <c r="S29" s="9">
        <v>0.32291666666666669</v>
      </c>
      <c r="T29" s="50">
        <v>99</v>
      </c>
      <c r="U29" s="50">
        <v>91</v>
      </c>
      <c r="V29" s="50">
        <v>167</v>
      </c>
    </row>
    <row r="30" spans="2:24" x14ac:dyDescent="0.25">
      <c r="B30" s="9">
        <v>0.33333333333333331</v>
      </c>
      <c r="C30" s="50">
        <v>327</v>
      </c>
      <c r="J30" s="9">
        <v>0.33333333333333331</v>
      </c>
      <c r="K30" s="50">
        <v>41</v>
      </c>
      <c r="L30" s="50">
        <v>185</v>
      </c>
      <c r="M30" s="50">
        <v>101</v>
      </c>
      <c r="S30" s="9">
        <v>0.33333333333333331</v>
      </c>
      <c r="T30" s="50">
        <v>63</v>
      </c>
      <c r="U30" s="50">
        <v>78</v>
      </c>
      <c r="V30" s="50">
        <v>186</v>
      </c>
    </row>
    <row r="31" spans="2:24" x14ac:dyDescent="0.25">
      <c r="B31" s="9">
        <v>0.34375</v>
      </c>
      <c r="C31" s="50">
        <v>342</v>
      </c>
      <c r="J31" s="9">
        <v>0.34375</v>
      </c>
      <c r="K31" s="50">
        <v>29</v>
      </c>
      <c r="L31" s="50">
        <v>190</v>
      </c>
      <c r="M31" s="50">
        <v>123</v>
      </c>
      <c r="S31" s="9">
        <v>0.34375</v>
      </c>
      <c r="T31" s="50">
        <v>87</v>
      </c>
      <c r="U31" s="50">
        <v>91</v>
      </c>
      <c r="V31" s="50">
        <v>164</v>
      </c>
    </row>
    <row r="32" spans="2:24" x14ac:dyDescent="0.25">
      <c r="B32" s="9">
        <v>0.35416666666666669</v>
      </c>
      <c r="C32" s="50">
        <v>336</v>
      </c>
      <c r="J32" s="9">
        <v>0.35416666666666669</v>
      </c>
      <c r="K32" s="50">
        <v>32</v>
      </c>
      <c r="L32" s="50">
        <v>181</v>
      </c>
      <c r="M32" s="50">
        <v>123</v>
      </c>
      <c r="S32" s="9">
        <v>0.35416666666666669</v>
      </c>
      <c r="T32" s="50">
        <v>65</v>
      </c>
      <c r="U32" s="50">
        <v>107</v>
      </c>
      <c r="V32" s="50">
        <v>164</v>
      </c>
    </row>
    <row r="33" spans="2:22" x14ac:dyDescent="0.25">
      <c r="B33" s="9">
        <v>0.36458333333333331</v>
      </c>
      <c r="C33" s="50">
        <v>293</v>
      </c>
      <c r="J33" s="9">
        <v>0.36458333333333331</v>
      </c>
      <c r="K33" s="50">
        <v>31</v>
      </c>
      <c r="L33" s="50">
        <v>131</v>
      </c>
      <c r="M33" s="50">
        <v>131</v>
      </c>
      <c r="S33" s="9">
        <v>0.36458333333333331</v>
      </c>
      <c r="T33" s="50">
        <v>55</v>
      </c>
      <c r="U33" s="50">
        <v>119</v>
      </c>
      <c r="V33" s="50">
        <v>119</v>
      </c>
    </row>
    <row r="34" spans="2:22" x14ac:dyDescent="0.25">
      <c r="B34" s="9" t="s">
        <v>49</v>
      </c>
      <c r="C34" s="50">
        <v>2444</v>
      </c>
      <c r="J34" s="9" t="s">
        <v>49</v>
      </c>
      <c r="K34" s="50">
        <v>227</v>
      </c>
      <c r="L34" s="50">
        <v>1319</v>
      </c>
      <c r="M34" s="50">
        <v>898</v>
      </c>
      <c r="S34" s="9" t="s">
        <v>49</v>
      </c>
      <c r="T34" s="50">
        <v>561</v>
      </c>
      <c r="U34" s="50">
        <v>700</v>
      </c>
      <c r="V34" s="50">
        <v>1183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1.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1362 vehicles between 07:45 and 08:45</v>
      </c>
    </row>
    <row r="5" spans="2:2" x14ac:dyDescent="0.25">
      <c r="B5" s="6" t="str">
        <f>PeakCalc!I8</f>
        <v>The peak hour for INT is 1096 vehicles between 13:00 and 14:00</v>
      </c>
    </row>
    <row r="6" spans="2:2" x14ac:dyDescent="0.25">
      <c r="B6" s="6" t="str">
        <f>PeakCalc!J8</f>
        <v>The peak hour for PM is 1576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5" t="s">
        <v>43</v>
      </c>
      <c r="D30" s="56"/>
      <c r="E30" s="56"/>
      <c r="F30" s="55" t="s">
        <v>84</v>
      </c>
      <c r="G30" s="53" t="s">
        <v>44</v>
      </c>
      <c r="H30" s="54"/>
      <c r="I30" s="54"/>
      <c r="J30" s="53" t="s">
        <v>87</v>
      </c>
      <c r="K30" s="53" t="s">
        <v>91</v>
      </c>
      <c r="L30" s="54"/>
      <c r="M30" s="54"/>
      <c r="N30" s="53" t="s">
        <v>112</v>
      </c>
    </row>
    <row r="31" spans="2:14" x14ac:dyDescent="0.25">
      <c r="B31" s="25"/>
      <c r="C31" s="24" t="s">
        <v>79</v>
      </c>
      <c r="D31" s="24" t="s">
        <v>90</v>
      </c>
      <c r="E31" s="24" t="s">
        <v>88</v>
      </c>
      <c r="F31" s="56"/>
      <c r="G31" s="24" t="s">
        <v>79</v>
      </c>
      <c r="H31" s="24" t="s">
        <v>90</v>
      </c>
      <c r="I31" s="24" t="s">
        <v>88</v>
      </c>
      <c r="J31" s="54"/>
      <c r="K31" s="24" t="s">
        <v>79</v>
      </c>
      <c r="L31" s="24" t="s">
        <v>90</v>
      </c>
      <c r="M31" s="24" t="s">
        <v>88</v>
      </c>
      <c r="N31" s="54"/>
    </row>
    <row r="32" spans="2:14" x14ac:dyDescent="0.25">
      <c r="B32" s="10" t="s">
        <v>93</v>
      </c>
      <c r="C32" s="49">
        <v>76</v>
      </c>
      <c r="D32" s="49">
        <v>49</v>
      </c>
      <c r="E32" s="49">
        <v>0</v>
      </c>
      <c r="F32" s="49">
        <v>125</v>
      </c>
      <c r="G32" s="49">
        <v>347</v>
      </c>
      <c r="H32" s="49">
        <v>21</v>
      </c>
      <c r="I32" s="49">
        <v>4</v>
      </c>
      <c r="J32" s="49">
        <v>372</v>
      </c>
      <c r="K32" s="49">
        <v>135</v>
      </c>
      <c r="L32" s="49">
        <v>67</v>
      </c>
      <c r="M32" s="49">
        <v>0</v>
      </c>
      <c r="N32" s="49">
        <v>202</v>
      </c>
    </row>
    <row r="33" spans="2:14" x14ac:dyDescent="0.25">
      <c r="B33" s="14" t="s">
        <v>96</v>
      </c>
      <c r="C33" s="49">
        <v>42</v>
      </c>
      <c r="D33" s="49">
        <v>32</v>
      </c>
      <c r="E33" s="49">
        <v>0</v>
      </c>
      <c r="F33" s="49">
        <v>74</v>
      </c>
      <c r="G33" s="49">
        <v>211</v>
      </c>
      <c r="H33" s="49">
        <v>14</v>
      </c>
      <c r="I33" s="49">
        <v>1</v>
      </c>
      <c r="J33" s="49">
        <v>226</v>
      </c>
      <c r="K33" s="49">
        <v>75</v>
      </c>
      <c r="L33" s="49">
        <v>43</v>
      </c>
      <c r="M33" s="49">
        <v>0</v>
      </c>
      <c r="N33" s="49">
        <v>118</v>
      </c>
    </row>
    <row r="34" spans="2:14" x14ac:dyDescent="0.25">
      <c r="B34" s="14" t="s">
        <v>97</v>
      </c>
      <c r="C34" s="49">
        <v>34</v>
      </c>
      <c r="D34" s="49">
        <v>17</v>
      </c>
      <c r="E34" s="49">
        <v>0</v>
      </c>
      <c r="F34" s="49">
        <v>51</v>
      </c>
      <c r="G34" s="49">
        <v>136</v>
      </c>
      <c r="H34" s="49">
        <v>7</v>
      </c>
      <c r="I34" s="49">
        <v>3</v>
      </c>
      <c r="J34" s="49">
        <v>146</v>
      </c>
      <c r="K34" s="49">
        <v>60</v>
      </c>
      <c r="L34" s="49">
        <v>24</v>
      </c>
      <c r="M34" s="49">
        <v>0</v>
      </c>
      <c r="N34" s="49">
        <v>84</v>
      </c>
    </row>
    <row r="35" spans="2:14" x14ac:dyDescent="0.25">
      <c r="B35" s="10" t="s">
        <v>94</v>
      </c>
      <c r="C35" s="49">
        <v>677</v>
      </c>
      <c r="D35" s="49">
        <v>67</v>
      </c>
      <c r="E35" s="49">
        <v>19</v>
      </c>
      <c r="F35" s="49">
        <v>763</v>
      </c>
      <c r="G35" s="49">
        <v>389</v>
      </c>
      <c r="H35" s="49">
        <v>48</v>
      </c>
      <c r="I35" s="49">
        <v>9</v>
      </c>
      <c r="J35" s="49">
        <v>446</v>
      </c>
      <c r="K35" s="49">
        <v>356</v>
      </c>
      <c r="L35" s="49">
        <v>83</v>
      </c>
      <c r="M35" s="49">
        <v>3</v>
      </c>
      <c r="N35" s="49">
        <v>442</v>
      </c>
    </row>
    <row r="36" spans="2:14" x14ac:dyDescent="0.25">
      <c r="B36" s="14" t="s">
        <v>98</v>
      </c>
      <c r="C36" s="49">
        <v>556</v>
      </c>
      <c r="D36" s="49">
        <v>56</v>
      </c>
      <c r="E36" s="49">
        <v>18</v>
      </c>
      <c r="F36" s="49">
        <v>630</v>
      </c>
      <c r="G36" s="49">
        <v>363</v>
      </c>
      <c r="H36" s="49">
        <v>39</v>
      </c>
      <c r="I36" s="49">
        <v>7</v>
      </c>
      <c r="J36" s="49">
        <v>409</v>
      </c>
      <c r="K36" s="49">
        <v>292</v>
      </c>
      <c r="L36" s="49">
        <v>56</v>
      </c>
      <c r="M36" s="49">
        <v>3</v>
      </c>
      <c r="N36" s="49">
        <v>351</v>
      </c>
    </row>
    <row r="37" spans="2:14" x14ac:dyDescent="0.25">
      <c r="B37" s="14" t="s">
        <v>99</v>
      </c>
      <c r="C37" s="49">
        <v>121</v>
      </c>
      <c r="D37" s="49">
        <v>11</v>
      </c>
      <c r="E37" s="49">
        <v>1</v>
      </c>
      <c r="F37" s="49">
        <v>133</v>
      </c>
      <c r="G37" s="49">
        <v>26</v>
      </c>
      <c r="H37" s="49">
        <v>9</v>
      </c>
      <c r="I37" s="49">
        <v>2</v>
      </c>
      <c r="J37" s="49">
        <v>37</v>
      </c>
      <c r="K37" s="49">
        <v>64</v>
      </c>
      <c r="L37" s="49">
        <v>27</v>
      </c>
      <c r="M37" s="49">
        <v>0</v>
      </c>
      <c r="N37" s="49">
        <v>91</v>
      </c>
    </row>
    <row r="38" spans="2:14" x14ac:dyDescent="0.25">
      <c r="B38" s="10" t="s">
        <v>95</v>
      </c>
      <c r="C38" s="49">
        <v>403</v>
      </c>
      <c r="D38" s="49">
        <v>64</v>
      </c>
      <c r="E38" s="49">
        <v>7</v>
      </c>
      <c r="F38" s="49">
        <v>474</v>
      </c>
      <c r="G38" s="49">
        <v>698</v>
      </c>
      <c r="H38" s="49">
        <v>42</v>
      </c>
      <c r="I38" s="49">
        <v>18</v>
      </c>
      <c r="J38" s="49">
        <v>758</v>
      </c>
      <c r="K38" s="49">
        <v>366</v>
      </c>
      <c r="L38" s="49">
        <v>81</v>
      </c>
      <c r="M38" s="49">
        <v>5</v>
      </c>
      <c r="N38" s="49">
        <v>452</v>
      </c>
    </row>
    <row r="39" spans="2:14" x14ac:dyDescent="0.25">
      <c r="B39" s="14" t="s">
        <v>100</v>
      </c>
      <c r="C39" s="49">
        <v>156</v>
      </c>
      <c r="D39" s="49">
        <v>21</v>
      </c>
      <c r="E39" s="49">
        <v>4</v>
      </c>
      <c r="F39" s="49">
        <v>181</v>
      </c>
      <c r="G39" s="49">
        <v>24</v>
      </c>
      <c r="H39" s="49">
        <v>13</v>
      </c>
      <c r="I39" s="49">
        <v>0</v>
      </c>
      <c r="J39" s="49">
        <v>37</v>
      </c>
      <c r="K39" s="49">
        <v>70</v>
      </c>
      <c r="L39" s="49">
        <v>37</v>
      </c>
      <c r="M39" s="49">
        <v>0</v>
      </c>
      <c r="N39" s="49">
        <v>107</v>
      </c>
    </row>
    <row r="40" spans="2:14" x14ac:dyDescent="0.25">
      <c r="B40" s="14" t="s">
        <v>101</v>
      </c>
      <c r="C40" s="49">
        <v>247</v>
      </c>
      <c r="D40" s="49">
        <v>43</v>
      </c>
      <c r="E40" s="49">
        <v>3</v>
      </c>
      <c r="F40" s="49">
        <v>293</v>
      </c>
      <c r="G40" s="49">
        <v>674</v>
      </c>
      <c r="H40" s="49">
        <v>29</v>
      </c>
      <c r="I40" s="49">
        <v>18</v>
      </c>
      <c r="J40" s="49">
        <v>721</v>
      </c>
      <c r="K40" s="49">
        <v>296</v>
      </c>
      <c r="L40" s="49">
        <v>44</v>
      </c>
      <c r="M40" s="49">
        <v>5</v>
      </c>
      <c r="N40" s="49">
        <v>345</v>
      </c>
    </row>
    <row r="41" spans="2:14" x14ac:dyDescent="0.25">
      <c r="B41" s="10" t="s">
        <v>49</v>
      </c>
      <c r="C41" s="49">
        <v>1156</v>
      </c>
      <c r="D41" s="49">
        <v>180</v>
      </c>
      <c r="E41" s="49">
        <v>26</v>
      </c>
      <c r="F41" s="49">
        <v>1362</v>
      </c>
      <c r="G41" s="49">
        <v>1434</v>
      </c>
      <c r="H41" s="49">
        <v>111</v>
      </c>
      <c r="I41" s="49">
        <v>31</v>
      </c>
      <c r="J41" s="49">
        <v>1576</v>
      </c>
      <c r="K41" s="49">
        <v>857</v>
      </c>
      <c r="L41" s="49">
        <v>231</v>
      </c>
      <c r="M41" s="49">
        <v>8</v>
      </c>
      <c r="N41" s="49">
        <v>1096</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3A024-88C2-49A9-B270-51A1AB26CA05}">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154</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153</v>
      </c>
      <c r="C12" s="60"/>
      <c r="D12" s="60"/>
      <c r="E12" s="60"/>
      <c r="F12" s="60"/>
      <c r="G12" s="60"/>
      <c r="H12" s="60"/>
      <c r="I12" s="61"/>
      <c r="J12" s="59" t="s">
        <v>150</v>
      </c>
      <c r="K12" s="60"/>
      <c r="L12" s="60"/>
      <c r="M12" s="60"/>
      <c r="N12" s="60"/>
      <c r="O12" s="60"/>
      <c r="P12" s="60"/>
      <c r="Q12" s="61"/>
      <c r="R12" s="59" t="s">
        <v>152</v>
      </c>
      <c r="S12" s="60"/>
      <c r="T12" s="60"/>
      <c r="U12" s="60"/>
      <c r="V12" s="60"/>
      <c r="W12" s="60"/>
      <c r="X12" s="60"/>
      <c r="Y12" s="61"/>
      <c r="Z12" s="59" t="s">
        <v>150</v>
      </c>
      <c r="AA12" s="60"/>
      <c r="AB12" s="60"/>
      <c r="AC12" s="60"/>
      <c r="AD12" s="60"/>
      <c r="AE12" s="60"/>
      <c r="AF12" s="60"/>
      <c r="AG12" s="61"/>
      <c r="AH12" s="59" t="s">
        <v>150</v>
      </c>
      <c r="AI12" s="60"/>
      <c r="AJ12" s="60"/>
      <c r="AK12" s="60"/>
      <c r="AL12" s="60"/>
      <c r="AM12" s="60"/>
      <c r="AN12" s="60"/>
      <c r="AO12" s="61"/>
      <c r="AP12" s="59" t="s">
        <v>150</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v>1</v>
      </c>
      <c r="D15" s="51" t="s">
        <v>113</v>
      </c>
      <c r="E15" s="51" t="s">
        <v>113</v>
      </c>
      <c r="F15" s="51" t="s">
        <v>113</v>
      </c>
      <c r="G15" s="51">
        <v>6</v>
      </c>
      <c r="H15" s="51" t="s">
        <v>113</v>
      </c>
      <c r="I15" s="51">
        <v>0</v>
      </c>
      <c r="J15" s="51" t="s">
        <v>113</v>
      </c>
      <c r="K15" s="51" t="s">
        <v>113</v>
      </c>
      <c r="L15" s="51" t="s">
        <v>113</v>
      </c>
      <c r="M15" s="51" t="s">
        <v>113</v>
      </c>
      <c r="N15" s="51" t="s">
        <v>113</v>
      </c>
      <c r="O15" s="51" t="s">
        <v>113</v>
      </c>
      <c r="P15" s="51" t="s">
        <v>113</v>
      </c>
      <c r="Q15" s="51" t="s">
        <v>113</v>
      </c>
      <c r="R15" s="51" t="s">
        <v>113</v>
      </c>
      <c r="S15" s="51" t="s">
        <v>113</v>
      </c>
      <c r="T15" s="51" t="s">
        <v>113</v>
      </c>
      <c r="U15" s="51">
        <v>91</v>
      </c>
      <c r="V15" s="51" t="s">
        <v>113</v>
      </c>
      <c r="W15" s="51">
        <v>14</v>
      </c>
      <c r="X15" s="51" t="s">
        <v>113</v>
      </c>
      <c r="Y15" s="51">
        <v>0</v>
      </c>
      <c r="Z15" s="51" t="s">
        <v>113</v>
      </c>
      <c r="AA15" s="51" t="s">
        <v>113</v>
      </c>
      <c r="AB15" s="51" t="s">
        <v>113</v>
      </c>
      <c r="AC15" s="51" t="s">
        <v>113</v>
      </c>
      <c r="AD15" s="51" t="s">
        <v>113</v>
      </c>
      <c r="AE15" s="51" t="s">
        <v>113</v>
      </c>
      <c r="AF15" s="51" t="s">
        <v>113</v>
      </c>
      <c r="AG15" s="51" t="s">
        <v>113</v>
      </c>
      <c r="AH15" s="51" t="s">
        <v>113</v>
      </c>
      <c r="AI15" s="51" t="s">
        <v>113</v>
      </c>
      <c r="AJ15" s="51" t="s">
        <v>113</v>
      </c>
      <c r="AK15" s="51" t="s">
        <v>113</v>
      </c>
      <c r="AL15" s="51" t="s">
        <v>113</v>
      </c>
      <c r="AM15" s="51" t="s">
        <v>113</v>
      </c>
      <c r="AN15" s="51" t="s">
        <v>113</v>
      </c>
      <c r="AO15" s="51" t="s">
        <v>113</v>
      </c>
      <c r="AP15" s="51" t="s">
        <v>113</v>
      </c>
      <c r="AQ15" s="51" t="s">
        <v>113</v>
      </c>
      <c r="AR15" s="51" t="s">
        <v>113</v>
      </c>
      <c r="AS15" s="51" t="s">
        <v>113</v>
      </c>
      <c r="AT15" s="51" t="s">
        <v>113</v>
      </c>
      <c r="AU15" s="51" t="s">
        <v>113</v>
      </c>
      <c r="AV15" s="51" t="s">
        <v>113</v>
      </c>
      <c r="AW15" s="51" t="s">
        <v>113</v>
      </c>
      <c r="AX15" s="51" t="s">
        <v>113</v>
      </c>
      <c r="AY15" s="51">
        <v>26</v>
      </c>
      <c r="AZ15" s="51" t="s">
        <v>113</v>
      </c>
      <c r="BA15" s="51">
        <v>39</v>
      </c>
      <c r="BB15" s="51" t="s">
        <v>113</v>
      </c>
      <c r="BC15" s="51" t="s">
        <v>113</v>
      </c>
      <c r="BD15" s="51" t="s">
        <v>113</v>
      </c>
      <c r="BE15" s="51">
        <v>0</v>
      </c>
      <c r="BF15" s="51" t="s">
        <v>113</v>
      </c>
      <c r="BG15" s="51" t="s">
        <v>113</v>
      </c>
      <c r="BH15" s="51" t="s">
        <v>113</v>
      </c>
      <c r="BI15" s="51" t="s">
        <v>113</v>
      </c>
      <c r="BJ15" s="51" t="s">
        <v>113</v>
      </c>
      <c r="BK15" s="51" t="s">
        <v>113</v>
      </c>
      <c r="BL15" s="51" t="s">
        <v>113</v>
      </c>
      <c r="BM15" s="51" t="s">
        <v>113</v>
      </c>
    </row>
    <row r="16" spans="1:65" ht="15" customHeight="1" x14ac:dyDescent="0.2">
      <c r="A16" s="51" t="s">
        <v>132</v>
      </c>
      <c r="B16" s="51" t="s">
        <v>113</v>
      </c>
      <c r="C16" s="51">
        <v>3</v>
      </c>
      <c r="D16" s="51" t="s">
        <v>113</v>
      </c>
      <c r="E16" s="51" t="s">
        <v>113</v>
      </c>
      <c r="F16" s="51" t="s">
        <v>113</v>
      </c>
      <c r="G16" s="51">
        <v>5</v>
      </c>
      <c r="H16" s="51" t="s">
        <v>113</v>
      </c>
      <c r="I16" s="51">
        <v>0</v>
      </c>
      <c r="J16" s="51" t="s">
        <v>113</v>
      </c>
      <c r="K16" s="51" t="s">
        <v>113</v>
      </c>
      <c r="L16" s="51" t="s">
        <v>113</v>
      </c>
      <c r="M16" s="51" t="s">
        <v>113</v>
      </c>
      <c r="N16" s="51" t="s">
        <v>113</v>
      </c>
      <c r="O16" s="51" t="s">
        <v>113</v>
      </c>
      <c r="P16" s="51" t="s">
        <v>113</v>
      </c>
      <c r="Q16" s="51" t="s">
        <v>113</v>
      </c>
      <c r="R16" s="51" t="s">
        <v>113</v>
      </c>
      <c r="S16" s="51" t="s">
        <v>113</v>
      </c>
      <c r="T16" s="51" t="s">
        <v>113</v>
      </c>
      <c r="U16" s="51">
        <v>97</v>
      </c>
      <c r="V16" s="51" t="s">
        <v>113</v>
      </c>
      <c r="W16" s="51">
        <v>28</v>
      </c>
      <c r="X16" s="51" t="s">
        <v>113</v>
      </c>
      <c r="Y16" s="51">
        <v>0</v>
      </c>
      <c r="Z16" s="51" t="s">
        <v>113</v>
      </c>
      <c r="AA16" s="51" t="s">
        <v>113</v>
      </c>
      <c r="AB16" s="51" t="s">
        <v>113</v>
      </c>
      <c r="AC16" s="51" t="s">
        <v>113</v>
      </c>
      <c r="AD16" s="51" t="s">
        <v>113</v>
      </c>
      <c r="AE16" s="51" t="s">
        <v>113</v>
      </c>
      <c r="AF16" s="51" t="s">
        <v>113</v>
      </c>
      <c r="AG16" s="51" t="s">
        <v>113</v>
      </c>
      <c r="AH16" s="51" t="s">
        <v>113</v>
      </c>
      <c r="AI16" s="51" t="s">
        <v>113</v>
      </c>
      <c r="AJ16" s="51" t="s">
        <v>113</v>
      </c>
      <c r="AK16" s="51" t="s">
        <v>113</v>
      </c>
      <c r="AL16" s="51" t="s">
        <v>113</v>
      </c>
      <c r="AM16" s="51" t="s">
        <v>113</v>
      </c>
      <c r="AN16" s="51" t="s">
        <v>113</v>
      </c>
      <c r="AO16" s="51" t="s">
        <v>113</v>
      </c>
      <c r="AP16" s="51" t="s">
        <v>113</v>
      </c>
      <c r="AQ16" s="51" t="s">
        <v>113</v>
      </c>
      <c r="AR16" s="51" t="s">
        <v>113</v>
      </c>
      <c r="AS16" s="51" t="s">
        <v>113</v>
      </c>
      <c r="AT16" s="51" t="s">
        <v>113</v>
      </c>
      <c r="AU16" s="51" t="s">
        <v>113</v>
      </c>
      <c r="AV16" s="51" t="s">
        <v>113</v>
      </c>
      <c r="AW16" s="51" t="s">
        <v>113</v>
      </c>
      <c r="AX16" s="51" t="s">
        <v>113</v>
      </c>
      <c r="AY16" s="51">
        <v>48</v>
      </c>
      <c r="AZ16" s="51" t="s">
        <v>113</v>
      </c>
      <c r="BA16" s="51">
        <v>54</v>
      </c>
      <c r="BB16" s="51" t="s">
        <v>113</v>
      </c>
      <c r="BC16" s="51" t="s">
        <v>113</v>
      </c>
      <c r="BD16" s="51" t="s">
        <v>113</v>
      </c>
      <c r="BE16" s="51">
        <v>0</v>
      </c>
      <c r="BF16" s="51" t="s">
        <v>113</v>
      </c>
      <c r="BG16" s="51" t="s">
        <v>113</v>
      </c>
      <c r="BH16" s="51" t="s">
        <v>113</v>
      </c>
      <c r="BI16" s="51" t="s">
        <v>113</v>
      </c>
      <c r="BJ16" s="51" t="s">
        <v>113</v>
      </c>
      <c r="BK16" s="51" t="s">
        <v>113</v>
      </c>
      <c r="BL16" s="51" t="s">
        <v>113</v>
      </c>
      <c r="BM16" s="51" t="s">
        <v>113</v>
      </c>
    </row>
    <row r="17" spans="1:65" ht="15" customHeight="1" x14ac:dyDescent="0.2">
      <c r="A17" s="51" t="s">
        <v>131</v>
      </c>
      <c r="B17" s="51" t="s">
        <v>113</v>
      </c>
      <c r="C17" s="51">
        <v>6</v>
      </c>
      <c r="D17" s="51" t="s">
        <v>113</v>
      </c>
      <c r="E17" s="51" t="s">
        <v>113</v>
      </c>
      <c r="F17" s="51" t="s">
        <v>113</v>
      </c>
      <c r="G17" s="51">
        <v>2</v>
      </c>
      <c r="H17" s="51" t="s">
        <v>113</v>
      </c>
      <c r="I17" s="51">
        <v>0</v>
      </c>
      <c r="J17" s="51" t="s">
        <v>113</v>
      </c>
      <c r="K17" s="51" t="s">
        <v>113</v>
      </c>
      <c r="L17" s="51" t="s">
        <v>113</v>
      </c>
      <c r="M17" s="51" t="s">
        <v>113</v>
      </c>
      <c r="N17" s="51" t="s">
        <v>113</v>
      </c>
      <c r="O17" s="51" t="s">
        <v>113</v>
      </c>
      <c r="P17" s="51" t="s">
        <v>113</v>
      </c>
      <c r="Q17" s="51" t="s">
        <v>113</v>
      </c>
      <c r="R17" s="51" t="s">
        <v>113</v>
      </c>
      <c r="S17" s="51" t="s">
        <v>113</v>
      </c>
      <c r="T17" s="51" t="s">
        <v>113</v>
      </c>
      <c r="U17" s="51">
        <v>134</v>
      </c>
      <c r="V17" s="51" t="s">
        <v>113</v>
      </c>
      <c r="W17" s="51">
        <v>19</v>
      </c>
      <c r="X17" s="51" t="s">
        <v>113</v>
      </c>
      <c r="Y17" s="51">
        <v>0</v>
      </c>
      <c r="Z17" s="51" t="s">
        <v>113</v>
      </c>
      <c r="AA17" s="51" t="s">
        <v>113</v>
      </c>
      <c r="AB17" s="51" t="s">
        <v>113</v>
      </c>
      <c r="AC17" s="51" t="s">
        <v>113</v>
      </c>
      <c r="AD17" s="51" t="s">
        <v>113</v>
      </c>
      <c r="AE17" s="51" t="s">
        <v>113</v>
      </c>
      <c r="AF17" s="51" t="s">
        <v>113</v>
      </c>
      <c r="AG17" s="51" t="s">
        <v>113</v>
      </c>
      <c r="AH17" s="51" t="s">
        <v>113</v>
      </c>
      <c r="AI17" s="51" t="s">
        <v>113</v>
      </c>
      <c r="AJ17" s="51" t="s">
        <v>113</v>
      </c>
      <c r="AK17" s="51" t="s">
        <v>113</v>
      </c>
      <c r="AL17" s="51" t="s">
        <v>113</v>
      </c>
      <c r="AM17" s="51" t="s">
        <v>113</v>
      </c>
      <c r="AN17" s="51" t="s">
        <v>113</v>
      </c>
      <c r="AO17" s="51" t="s">
        <v>113</v>
      </c>
      <c r="AP17" s="51" t="s">
        <v>113</v>
      </c>
      <c r="AQ17" s="51" t="s">
        <v>113</v>
      </c>
      <c r="AR17" s="51" t="s">
        <v>113</v>
      </c>
      <c r="AS17" s="51" t="s">
        <v>113</v>
      </c>
      <c r="AT17" s="51" t="s">
        <v>113</v>
      </c>
      <c r="AU17" s="51" t="s">
        <v>113</v>
      </c>
      <c r="AV17" s="51" t="s">
        <v>113</v>
      </c>
      <c r="AW17" s="51" t="s">
        <v>113</v>
      </c>
      <c r="AX17" s="51" t="s">
        <v>113</v>
      </c>
      <c r="AY17" s="51">
        <v>34</v>
      </c>
      <c r="AZ17" s="51" t="s">
        <v>113</v>
      </c>
      <c r="BA17" s="51">
        <v>51</v>
      </c>
      <c r="BB17" s="51" t="s">
        <v>113</v>
      </c>
      <c r="BC17" s="51" t="s">
        <v>113</v>
      </c>
      <c r="BD17" s="51" t="s">
        <v>113</v>
      </c>
      <c r="BE17" s="51">
        <v>0</v>
      </c>
      <c r="BF17" s="51" t="s">
        <v>113</v>
      </c>
      <c r="BG17" s="51" t="s">
        <v>113</v>
      </c>
      <c r="BH17" s="51" t="s">
        <v>113</v>
      </c>
      <c r="BI17" s="51" t="s">
        <v>113</v>
      </c>
      <c r="BJ17" s="51" t="s">
        <v>113</v>
      </c>
      <c r="BK17" s="51" t="s">
        <v>113</v>
      </c>
      <c r="BL17" s="51" t="s">
        <v>113</v>
      </c>
      <c r="BM17" s="51" t="s">
        <v>113</v>
      </c>
    </row>
    <row r="18" spans="1:65" ht="15" customHeight="1" x14ac:dyDescent="0.2">
      <c r="A18" s="51" t="s">
        <v>130</v>
      </c>
      <c r="B18" s="51" t="s">
        <v>113</v>
      </c>
      <c r="C18" s="51">
        <v>10</v>
      </c>
      <c r="D18" s="51" t="s">
        <v>113</v>
      </c>
      <c r="E18" s="51" t="s">
        <v>113</v>
      </c>
      <c r="F18" s="51" t="s">
        <v>113</v>
      </c>
      <c r="G18" s="51">
        <v>3</v>
      </c>
      <c r="H18" s="51" t="s">
        <v>113</v>
      </c>
      <c r="I18" s="51">
        <v>0</v>
      </c>
      <c r="J18" s="51" t="s">
        <v>113</v>
      </c>
      <c r="K18" s="51" t="s">
        <v>113</v>
      </c>
      <c r="L18" s="51" t="s">
        <v>113</v>
      </c>
      <c r="M18" s="51" t="s">
        <v>113</v>
      </c>
      <c r="N18" s="51" t="s">
        <v>113</v>
      </c>
      <c r="O18" s="51" t="s">
        <v>113</v>
      </c>
      <c r="P18" s="51" t="s">
        <v>113</v>
      </c>
      <c r="Q18" s="51" t="s">
        <v>113</v>
      </c>
      <c r="R18" s="51" t="s">
        <v>113</v>
      </c>
      <c r="S18" s="51" t="s">
        <v>113</v>
      </c>
      <c r="T18" s="51" t="s">
        <v>113</v>
      </c>
      <c r="U18" s="51">
        <v>139</v>
      </c>
      <c r="V18" s="51" t="s">
        <v>113</v>
      </c>
      <c r="W18" s="51">
        <v>42</v>
      </c>
      <c r="X18" s="51" t="s">
        <v>113</v>
      </c>
      <c r="Y18" s="51">
        <v>0</v>
      </c>
      <c r="Z18" s="51" t="s">
        <v>113</v>
      </c>
      <c r="AA18" s="51" t="s">
        <v>113</v>
      </c>
      <c r="AB18" s="51" t="s">
        <v>113</v>
      </c>
      <c r="AC18" s="51" t="s">
        <v>113</v>
      </c>
      <c r="AD18" s="51" t="s">
        <v>113</v>
      </c>
      <c r="AE18" s="51" t="s">
        <v>113</v>
      </c>
      <c r="AF18" s="51" t="s">
        <v>113</v>
      </c>
      <c r="AG18" s="51" t="s">
        <v>113</v>
      </c>
      <c r="AH18" s="51" t="s">
        <v>113</v>
      </c>
      <c r="AI18" s="51" t="s">
        <v>113</v>
      </c>
      <c r="AJ18" s="51" t="s">
        <v>113</v>
      </c>
      <c r="AK18" s="51" t="s">
        <v>113</v>
      </c>
      <c r="AL18" s="51" t="s">
        <v>113</v>
      </c>
      <c r="AM18" s="51" t="s">
        <v>113</v>
      </c>
      <c r="AN18" s="51" t="s">
        <v>113</v>
      </c>
      <c r="AO18" s="51" t="s">
        <v>113</v>
      </c>
      <c r="AP18" s="51" t="s">
        <v>113</v>
      </c>
      <c r="AQ18" s="51" t="s">
        <v>113</v>
      </c>
      <c r="AR18" s="51" t="s">
        <v>113</v>
      </c>
      <c r="AS18" s="51" t="s">
        <v>113</v>
      </c>
      <c r="AT18" s="51" t="s">
        <v>113</v>
      </c>
      <c r="AU18" s="51" t="s">
        <v>113</v>
      </c>
      <c r="AV18" s="51" t="s">
        <v>113</v>
      </c>
      <c r="AW18" s="51" t="s">
        <v>113</v>
      </c>
      <c r="AX18" s="51" t="s">
        <v>113</v>
      </c>
      <c r="AY18" s="51">
        <v>41</v>
      </c>
      <c r="AZ18" s="51" t="s">
        <v>113</v>
      </c>
      <c r="BA18" s="51">
        <v>64</v>
      </c>
      <c r="BB18" s="51" t="s">
        <v>113</v>
      </c>
      <c r="BC18" s="51" t="s">
        <v>113</v>
      </c>
      <c r="BD18" s="51" t="s">
        <v>113</v>
      </c>
      <c r="BE18" s="51">
        <v>0</v>
      </c>
      <c r="BF18" s="51" t="s">
        <v>113</v>
      </c>
      <c r="BG18" s="51" t="s">
        <v>113</v>
      </c>
      <c r="BH18" s="51" t="s">
        <v>113</v>
      </c>
      <c r="BI18" s="51" t="s">
        <v>113</v>
      </c>
      <c r="BJ18" s="51" t="s">
        <v>113</v>
      </c>
      <c r="BK18" s="51" t="s">
        <v>113</v>
      </c>
      <c r="BL18" s="51" t="s">
        <v>113</v>
      </c>
      <c r="BM18" s="51" t="s">
        <v>113</v>
      </c>
    </row>
    <row r="19" spans="1:65" ht="15" customHeight="1" x14ac:dyDescent="0.2">
      <c r="A19" s="51" t="s">
        <v>129</v>
      </c>
      <c r="B19" s="51" t="s">
        <v>113</v>
      </c>
      <c r="C19" s="51">
        <v>12</v>
      </c>
      <c r="D19" s="51" t="s">
        <v>113</v>
      </c>
      <c r="E19" s="51" t="s">
        <v>113</v>
      </c>
      <c r="F19" s="51" t="s">
        <v>113</v>
      </c>
      <c r="G19" s="51">
        <v>12</v>
      </c>
      <c r="H19" s="51" t="s">
        <v>113</v>
      </c>
      <c r="I19" s="51">
        <v>0</v>
      </c>
      <c r="J19" s="51" t="s">
        <v>113</v>
      </c>
      <c r="K19" s="51" t="s">
        <v>113</v>
      </c>
      <c r="L19" s="51" t="s">
        <v>113</v>
      </c>
      <c r="M19" s="51" t="s">
        <v>113</v>
      </c>
      <c r="N19" s="51" t="s">
        <v>113</v>
      </c>
      <c r="O19" s="51" t="s">
        <v>113</v>
      </c>
      <c r="P19" s="51" t="s">
        <v>113</v>
      </c>
      <c r="Q19" s="51" t="s">
        <v>113</v>
      </c>
      <c r="R19" s="51" t="s">
        <v>113</v>
      </c>
      <c r="S19" s="51" t="s">
        <v>113</v>
      </c>
      <c r="T19" s="51" t="s">
        <v>113</v>
      </c>
      <c r="U19" s="51">
        <v>149</v>
      </c>
      <c r="V19" s="51" t="s">
        <v>113</v>
      </c>
      <c r="W19" s="51">
        <v>19</v>
      </c>
      <c r="X19" s="51" t="s">
        <v>113</v>
      </c>
      <c r="Y19" s="51">
        <v>0</v>
      </c>
      <c r="Z19" s="51" t="s">
        <v>113</v>
      </c>
      <c r="AA19" s="51" t="s">
        <v>113</v>
      </c>
      <c r="AB19" s="51" t="s">
        <v>113</v>
      </c>
      <c r="AC19" s="51" t="s">
        <v>113</v>
      </c>
      <c r="AD19" s="51" t="s">
        <v>113</v>
      </c>
      <c r="AE19" s="51" t="s">
        <v>113</v>
      </c>
      <c r="AF19" s="51" t="s">
        <v>113</v>
      </c>
      <c r="AG19" s="51" t="s">
        <v>113</v>
      </c>
      <c r="AH19" s="51" t="s">
        <v>113</v>
      </c>
      <c r="AI19" s="51" t="s">
        <v>113</v>
      </c>
      <c r="AJ19" s="51" t="s">
        <v>113</v>
      </c>
      <c r="AK19" s="51" t="s">
        <v>113</v>
      </c>
      <c r="AL19" s="51" t="s">
        <v>113</v>
      </c>
      <c r="AM19" s="51" t="s">
        <v>113</v>
      </c>
      <c r="AN19" s="51" t="s">
        <v>113</v>
      </c>
      <c r="AO19" s="51" t="s">
        <v>113</v>
      </c>
      <c r="AP19" s="51" t="s">
        <v>113</v>
      </c>
      <c r="AQ19" s="51" t="s">
        <v>113</v>
      </c>
      <c r="AR19" s="51" t="s">
        <v>113</v>
      </c>
      <c r="AS19" s="51" t="s">
        <v>113</v>
      </c>
      <c r="AT19" s="51" t="s">
        <v>113</v>
      </c>
      <c r="AU19" s="51" t="s">
        <v>113</v>
      </c>
      <c r="AV19" s="51" t="s">
        <v>113</v>
      </c>
      <c r="AW19" s="51" t="s">
        <v>113</v>
      </c>
      <c r="AX19" s="51" t="s">
        <v>113</v>
      </c>
      <c r="AY19" s="51">
        <v>40</v>
      </c>
      <c r="AZ19" s="51" t="s">
        <v>113</v>
      </c>
      <c r="BA19" s="51">
        <v>46</v>
      </c>
      <c r="BB19" s="51" t="s">
        <v>113</v>
      </c>
      <c r="BC19" s="51" t="s">
        <v>113</v>
      </c>
      <c r="BD19" s="51" t="s">
        <v>113</v>
      </c>
      <c r="BE19" s="51">
        <v>0</v>
      </c>
      <c r="BF19" s="51" t="s">
        <v>113</v>
      </c>
      <c r="BG19" s="51" t="s">
        <v>113</v>
      </c>
      <c r="BH19" s="51" t="s">
        <v>113</v>
      </c>
      <c r="BI19" s="51" t="s">
        <v>113</v>
      </c>
      <c r="BJ19" s="51" t="s">
        <v>113</v>
      </c>
      <c r="BK19" s="51" t="s">
        <v>113</v>
      </c>
      <c r="BL19" s="51" t="s">
        <v>113</v>
      </c>
      <c r="BM19" s="51" t="s">
        <v>113</v>
      </c>
    </row>
    <row r="20" spans="1:65" ht="15" customHeight="1" x14ac:dyDescent="0.2">
      <c r="A20" s="51" t="s">
        <v>128</v>
      </c>
      <c r="B20" s="51" t="s">
        <v>113</v>
      </c>
      <c r="C20" s="51">
        <v>9</v>
      </c>
      <c r="D20" s="51" t="s">
        <v>113</v>
      </c>
      <c r="E20" s="51" t="s">
        <v>113</v>
      </c>
      <c r="F20" s="51" t="s">
        <v>113</v>
      </c>
      <c r="G20" s="51">
        <v>9</v>
      </c>
      <c r="H20" s="51" t="s">
        <v>113</v>
      </c>
      <c r="I20" s="51">
        <v>0</v>
      </c>
      <c r="J20" s="51" t="s">
        <v>113</v>
      </c>
      <c r="K20" s="51" t="s">
        <v>113</v>
      </c>
      <c r="L20" s="51" t="s">
        <v>113</v>
      </c>
      <c r="M20" s="51" t="s">
        <v>113</v>
      </c>
      <c r="N20" s="51" t="s">
        <v>113</v>
      </c>
      <c r="O20" s="51" t="s">
        <v>113</v>
      </c>
      <c r="P20" s="51" t="s">
        <v>113</v>
      </c>
      <c r="Q20" s="51" t="s">
        <v>113</v>
      </c>
      <c r="R20" s="51" t="s">
        <v>113</v>
      </c>
      <c r="S20" s="51" t="s">
        <v>113</v>
      </c>
      <c r="T20" s="51" t="s">
        <v>113</v>
      </c>
      <c r="U20" s="51">
        <v>134</v>
      </c>
      <c r="V20" s="51" t="s">
        <v>113</v>
      </c>
      <c r="W20" s="51">
        <v>30</v>
      </c>
      <c r="X20" s="51" t="s">
        <v>113</v>
      </c>
      <c r="Y20" s="51">
        <v>0</v>
      </c>
      <c r="Z20" s="51" t="s">
        <v>113</v>
      </c>
      <c r="AA20" s="51" t="s">
        <v>113</v>
      </c>
      <c r="AB20" s="51" t="s">
        <v>113</v>
      </c>
      <c r="AC20" s="51" t="s">
        <v>113</v>
      </c>
      <c r="AD20" s="51" t="s">
        <v>113</v>
      </c>
      <c r="AE20" s="51" t="s">
        <v>113</v>
      </c>
      <c r="AF20" s="51" t="s">
        <v>113</v>
      </c>
      <c r="AG20" s="51" t="s">
        <v>113</v>
      </c>
      <c r="AH20" s="51" t="s">
        <v>113</v>
      </c>
      <c r="AI20" s="51" t="s">
        <v>113</v>
      </c>
      <c r="AJ20" s="51" t="s">
        <v>113</v>
      </c>
      <c r="AK20" s="51" t="s">
        <v>113</v>
      </c>
      <c r="AL20" s="51" t="s">
        <v>113</v>
      </c>
      <c r="AM20" s="51" t="s">
        <v>113</v>
      </c>
      <c r="AN20" s="51" t="s">
        <v>113</v>
      </c>
      <c r="AO20" s="51" t="s">
        <v>113</v>
      </c>
      <c r="AP20" s="51" t="s">
        <v>113</v>
      </c>
      <c r="AQ20" s="51" t="s">
        <v>113</v>
      </c>
      <c r="AR20" s="51" t="s">
        <v>113</v>
      </c>
      <c r="AS20" s="51" t="s">
        <v>113</v>
      </c>
      <c r="AT20" s="51" t="s">
        <v>113</v>
      </c>
      <c r="AU20" s="51" t="s">
        <v>113</v>
      </c>
      <c r="AV20" s="51" t="s">
        <v>113</v>
      </c>
      <c r="AW20" s="51" t="s">
        <v>113</v>
      </c>
      <c r="AX20" s="51" t="s">
        <v>113</v>
      </c>
      <c r="AY20" s="51">
        <v>47</v>
      </c>
      <c r="AZ20" s="51" t="s">
        <v>113</v>
      </c>
      <c r="BA20" s="51">
        <v>61</v>
      </c>
      <c r="BB20" s="51" t="s">
        <v>113</v>
      </c>
      <c r="BC20" s="51" t="s">
        <v>113</v>
      </c>
      <c r="BD20" s="51" t="s">
        <v>113</v>
      </c>
      <c r="BE20" s="51">
        <v>0</v>
      </c>
      <c r="BF20" s="51" t="s">
        <v>113</v>
      </c>
      <c r="BG20" s="51" t="s">
        <v>113</v>
      </c>
      <c r="BH20" s="51" t="s">
        <v>113</v>
      </c>
      <c r="BI20" s="51" t="s">
        <v>113</v>
      </c>
      <c r="BJ20" s="51" t="s">
        <v>113</v>
      </c>
      <c r="BK20" s="51" t="s">
        <v>113</v>
      </c>
      <c r="BL20" s="51" t="s">
        <v>113</v>
      </c>
      <c r="BM20" s="51" t="s">
        <v>113</v>
      </c>
    </row>
    <row r="21" spans="1:65" ht="15" customHeight="1" x14ac:dyDescent="0.2">
      <c r="A21" s="51" t="s">
        <v>127</v>
      </c>
      <c r="B21" s="51" t="s">
        <v>113</v>
      </c>
      <c r="C21" s="51">
        <v>11</v>
      </c>
      <c r="D21" s="51" t="s">
        <v>113</v>
      </c>
      <c r="E21" s="51" t="s">
        <v>113</v>
      </c>
      <c r="F21" s="51" t="s">
        <v>113</v>
      </c>
      <c r="G21" s="51">
        <v>10</v>
      </c>
      <c r="H21" s="51" t="s">
        <v>113</v>
      </c>
      <c r="I21" s="51">
        <v>0</v>
      </c>
      <c r="J21" s="51" t="s">
        <v>113</v>
      </c>
      <c r="K21" s="51" t="s">
        <v>113</v>
      </c>
      <c r="L21" s="51" t="s">
        <v>113</v>
      </c>
      <c r="M21" s="51" t="s">
        <v>113</v>
      </c>
      <c r="N21" s="51" t="s">
        <v>113</v>
      </c>
      <c r="O21" s="51" t="s">
        <v>113</v>
      </c>
      <c r="P21" s="51" t="s">
        <v>113</v>
      </c>
      <c r="Q21" s="51" t="s">
        <v>113</v>
      </c>
      <c r="R21" s="51" t="s">
        <v>113</v>
      </c>
      <c r="S21" s="51" t="s">
        <v>113</v>
      </c>
      <c r="T21" s="51" t="s">
        <v>113</v>
      </c>
      <c r="U21" s="51">
        <v>134</v>
      </c>
      <c r="V21" s="51" t="s">
        <v>113</v>
      </c>
      <c r="W21" s="51">
        <v>30</v>
      </c>
      <c r="X21" s="51" t="s">
        <v>113</v>
      </c>
      <c r="Y21" s="51">
        <v>0</v>
      </c>
      <c r="Z21" s="51" t="s">
        <v>113</v>
      </c>
      <c r="AA21" s="51" t="s">
        <v>113</v>
      </c>
      <c r="AB21" s="51" t="s">
        <v>113</v>
      </c>
      <c r="AC21" s="51" t="s">
        <v>113</v>
      </c>
      <c r="AD21" s="51" t="s">
        <v>113</v>
      </c>
      <c r="AE21" s="51" t="s">
        <v>113</v>
      </c>
      <c r="AF21" s="51" t="s">
        <v>113</v>
      </c>
      <c r="AG21" s="51" t="s">
        <v>113</v>
      </c>
      <c r="AH21" s="51" t="s">
        <v>113</v>
      </c>
      <c r="AI21" s="51" t="s">
        <v>113</v>
      </c>
      <c r="AJ21" s="51" t="s">
        <v>113</v>
      </c>
      <c r="AK21" s="51" t="s">
        <v>113</v>
      </c>
      <c r="AL21" s="51" t="s">
        <v>113</v>
      </c>
      <c r="AM21" s="51" t="s">
        <v>113</v>
      </c>
      <c r="AN21" s="51" t="s">
        <v>113</v>
      </c>
      <c r="AO21" s="51" t="s">
        <v>113</v>
      </c>
      <c r="AP21" s="51" t="s">
        <v>113</v>
      </c>
      <c r="AQ21" s="51" t="s">
        <v>113</v>
      </c>
      <c r="AR21" s="51" t="s">
        <v>113</v>
      </c>
      <c r="AS21" s="51" t="s">
        <v>113</v>
      </c>
      <c r="AT21" s="51" t="s">
        <v>113</v>
      </c>
      <c r="AU21" s="51" t="s">
        <v>113</v>
      </c>
      <c r="AV21" s="51" t="s">
        <v>113</v>
      </c>
      <c r="AW21" s="51" t="s">
        <v>113</v>
      </c>
      <c r="AX21" s="51" t="s">
        <v>113</v>
      </c>
      <c r="AY21" s="51">
        <v>28</v>
      </c>
      <c r="AZ21" s="51" t="s">
        <v>113</v>
      </c>
      <c r="BA21" s="51">
        <v>76</v>
      </c>
      <c r="BB21" s="51" t="s">
        <v>113</v>
      </c>
      <c r="BC21" s="51" t="s">
        <v>113</v>
      </c>
      <c r="BD21" s="51" t="s">
        <v>113</v>
      </c>
      <c r="BE21" s="51">
        <v>0</v>
      </c>
      <c r="BF21" s="51" t="s">
        <v>113</v>
      </c>
      <c r="BG21" s="51" t="s">
        <v>113</v>
      </c>
      <c r="BH21" s="51" t="s">
        <v>113</v>
      </c>
      <c r="BI21" s="51" t="s">
        <v>113</v>
      </c>
      <c r="BJ21" s="51" t="s">
        <v>113</v>
      </c>
      <c r="BK21" s="51" t="s">
        <v>113</v>
      </c>
      <c r="BL21" s="51" t="s">
        <v>113</v>
      </c>
      <c r="BM21" s="51" t="s">
        <v>113</v>
      </c>
    </row>
    <row r="22" spans="1:65" ht="15" customHeight="1" x14ac:dyDescent="0.2">
      <c r="A22" s="51" t="s">
        <v>126</v>
      </c>
      <c r="B22" s="51" t="s">
        <v>113</v>
      </c>
      <c r="C22" s="51">
        <v>10</v>
      </c>
      <c r="D22" s="51" t="s">
        <v>113</v>
      </c>
      <c r="E22" s="51" t="s">
        <v>113</v>
      </c>
      <c r="F22" s="51" t="s">
        <v>113</v>
      </c>
      <c r="G22" s="51">
        <v>8</v>
      </c>
      <c r="H22" s="51" t="s">
        <v>113</v>
      </c>
      <c r="I22" s="51">
        <v>0</v>
      </c>
      <c r="J22" s="51" t="s">
        <v>113</v>
      </c>
      <c r="K22" s="51" t="s">
        <v>113</v>
      </c>
      <c r="L22" s="51" t="s">
        <v>113</v>
      </c>
      <c r="M22" s="51" t="s">
        <v>113</v>
      </c>
      <c r="N22" s="51" t="s">
        <v>113</v>
      </c>
      <c r="O22" s="51" t="s">
        <v>113</v>
      </c>
      <c r="P22" s="51" t="s">
        <v>113</v>
      </c>
      <c r="Q22" s="51" t="s">
        <v>113</v>
      </c>
      <c r="R22" s="51" t="s">
        <v>113</v>
      </c>
      <c r="S22" s="51" t="s">
        <v>113</v>
      </c>
      <c r="T22" s="51" t="s">
        <v>113</v>
      </c>
      <c r="U22" s="51">
        <v>86</v>
      </c>
      <c r="V22" s="51" t="s">
        <v>113</v>
      </c>
      <c r="W22" s="51">
        <v>17</v>
      </c>
      <c r="X22" s="51" t="s">
        <v>113</v>
      </c>
      <c r="Y22" s="51">
        <v>0</v>
      </c>
      <c r="Z22" s="51" t="s">
        <v>113</v>
      </c>
      <c r="AA22" s="51" t="s">
        <v>113</v>
      </c>
      <c r="AB22" s="51" t="s">
        <v>113</v>
      </c>
      <c r="AC22" s="51" t="s">
        <v>113</v>
      </c>
      <c r="AD22" s="51" t="s">
        <v>113</v>
      </c>
      <c r="AE22" s="51" t="s">
        <v>113</v>
      </c>
      <c r="AF22" s="51" t="s">
        <v>113</v>
      </c>
      <c r="AG22" s="51" t="s">
        <v>113</v>
      </c>
      <c r="AH22" s="51" t="s">
        <v>113</v>
      </c>
      <c r="AI22" s="51" t="s">
        <v>113</v>
      </c>
      <c r="AJ22" s="51" t="s">
        <v>113</v>
      </c>
      <c r="AK22" s="51" t="s">
        <v>113</v>
      </c>
      <c r="AL22" s="51" t="s">
        <v>113</v>
      </c>
      <c r="AM22" s="51" t="s">
        <v>113</v>
      </c>
      <c r="AN22" s="51" t="s">
        <v>113</v>
      </c>
      <c r="AO22" s="51" t="s">
        <v>113</v>
      </c>
      <c r="AP22" s="51" t="s">
        <v>113</v>
      </c>
      <c r="AQ22" s="51" t="s">
        <v>113</v>
      </c>
      <c r="AR22" s="51" t="s">
        <v>113</v>
      </c>
      <c r="AS22" s="51" t="s">
        <v>113</v>
      </c>
      <c r="AT22" s="51" t="s">
        <v>113</v>
      </c>
      <c r="AU22" s="51" t="s">
        <v>113</v>
      </c>
      <c r="AV22" s="51" t="s">
        <v>113</v>
      </c>
      <c r="AW22" s="51" t="s">
        <v>113</v>
      </c>
      <c r="AX22" s="51" t="s">
        <v>113</v>
      </c>
      <c r="AY22" s="51">
        <v>26</v>
      </c>
      <c r="AZ22" s="51" t="s">
        <v>113</v>
      </c>
      <c r="BA22" s="51">
        <v>93</v>
      </c>
      <c r="BB22" s="51" t="s">
        <v>113</v>
      </c>
      <c r="BC22" s="51" t="s">
        <v>113</v>
      </c>
      <c r="BD22" s="51" t="s">
        <v>113</v>
      </c>
      <c r="BE22" s="51">
        <v>0</v>
      </c>
      <c r="BF22" s="51" t="s">
        <v>113</v>
      </c>
      <c r="BG22" s="51" t="s">
        <v>113</v>
      </c>
      <c r="BH22" s="51" t="s">
        <v>113</v>
      </c>
      <c r="BI22" s="51" t="s">
        <v>113</v>
      </c>
      <c r="BJ22" s="51" t="s">
        <v>113</v>
      </c>
      <c r="BK22" s="51" t="s">
        <v>113</v>
      </c>
      <c r="BL22" s="51" t="s">
        <v>113</v>
      </c>
      <c r="BM22" s="51" t="s">
        <v>113</v>
      </c>
    </row>
    <row r="23" spans="1:65" ht="15" customHeight="1" x14ac:dyDescent="0.2">
      <c r="A23" s="51" t="s">
        <v>125</v>
      </c>
      <c r="B23" s="51" t="s">
        <v>113</v>
      </c>
      <c r="C23" s="51">
        <v>28</v>
      </c>
      <c r="D23" s="51" t="s">
        <v>113</v>
      </c>
      <c r="E23" s="51" t="s">
        <v>113</v>
      </c>
      <c r="F23" s="51" t="s">
        <v>113</v>
      </c>
      <c r="G23" s="51">
        <v>19</v>
      </c>
      <c r="H23" s="51" t="s">
        <v>113</v>
      </c>
      <c r="I23" s="51">
        <v>0</v>
      </c>
      <c r="J23" s="51" t="s">
        <v>113</v>
      </c>
      <c r="K23" s="51" t="s">
        <v>113</v>
      </c>
      <c r="L23" s="51" t="s">
        <v>113</v>
      </c>
      <c r="M23" s="51" t="s">
        <v>113</v>
      </c>
      <c r="N23" s="51" t="s">
        <v>113</v>
      </c>
      <c r="O23" s="51" t="s">
        <v>113</v>
      </c>
      <c r="P23" s="51" t="s">
        <v>113</v>
      </c>
      <c r="Q23" s="51" t="s">
        <v>113</v>
      </c>
      <c r="R23" s="51" t="s">
        <v>113</v>
      </c>
      <c r="S23" s="51" t="s">
        <v>113</v>
      </c>
      <c r="T23" s="51" t="s">
        <v>113</v>
      </c>
      <c r="U23" s="51">
        <v>91</v>
      </c>
      <c r="V23" s="51" t="s">
        <v>113</v>
      </c>
      <c r="W23" s="51">
        <v>20</v>
      </c>
      <c r="X23" s="51" t="s">
        <v>113</v>
      </c>
      <c r="Y23" s="51">
        <v>0</v>
      </c>
      <c r="Z23" s="51" t="s">
        <v>113</v>
      </c>
      <c r="AA23" s="51" t="s">
        <v>113</v>
      </c>
      <c r="AB23" s="51" t="s">
        <v>113</v>
      </c>
      <c r="AC23" s="51" t="s">
        <v>113</v>
      </c>
      <c r="AD23" s="51" t="s">
        <v>113</v>
      </c>
      <c r="AE23" s="51" t="s">
        <v>113</v>
      </c>
      <c r="AF23" s="51" t="s">
        <v>113</v>
      </c>
      <c r="AG23" s="51" t="s">
        <v>113</v>
      </c>
      <c r="AH23" s="51" t="s">
        <v>113</v>
      </c>
      <c r="AI23" s="51" t="s">
        <v>113</v>
      </c>
      <c r="AJ23" s="51" t="s">
        <v>113</v>
      </c>
      <c r="AK23" s="51" t="s">
        <v>113</v>
      </c>
      <c r="AL23" s="51" t="s">
        <v>113</v>
      </c>
      <c r="AM23" s="51" t="s">
        <v>113</v>
      </c>
      <c r="AN23" s="51" t="s">
        <v>113</v>
      </c>
      <c r="AO23" s="51" t="s">
        <v>113</v>
      </c>
      <c r="AP23" s="51" t="s">
        <v>113</v>
      </c>
      <c r="AQ23" s="51" t="s">
        <v>113</v>
      </c>
      <c r="AR23" s="51" t="s">
        <v>113</v>
      </c>
      <c r="AS23" s="51" t="s">
        <v>113</v>
      </c>
      <c r="AT23" s="51" t="s">
        <v>113</v>
      </c>
      <c r="AU23" s="51" t="s">
        <v>113</v>
      </c>
      <c r="AV23" s="51" t="s">
        <v>113</v>
      </c>
      <c r="AW23" s="51" t="s">
        <v>113</v>
      </c>
      <c r="AX23" s="51" t="s">
        <v>113</v>
      </c>
      <c r="AY23" s="51">
        <v>12</v>
      </c>
      <c r="AZ23" s="51" t="s">
        <v>113</v>
      </c>
      <c r="BA23" s="51">
        <v>72</v>
      </c>
      <c r="BB23" s="51" t="s">
        <v>113</v>
      </c>
      <c r="BC23" s="51" t="s">
        <v>113</v>
      </c>
      <c r="BD23" s="51" t="s">
        <v>113</v>
      </c>
      <c r="BE23" s="51">
        <v>0</v>
      </c>
      <c r="BF23" s="51" t="s">
        <v>113</v>
      </c>
      <c r="BG23" s="51" t="s">
        <v>113</v>
      </c>
      <c r="BH23" s="51" t="s">
        <v>113</v>
      </c>
      <c r="BI23" s="51" t="s">
        <v>113</v>
      </c>
      <c r="BJ23" s="51" t="s">
        <v>113</v>
      </c>
      <c r="BK23" s="51" t="s">
        <v>113</v>
      </c>
      <c r="BL23" s="51" t="s">
        <v>113</v>
      </c>
      <c r="BM23" s="51" t="s">
        <v>113</v>
      </c>
    </row>
    <row r="24" spans="1:65" ht="15" customHeight="1" x14ac:dyDescent="0.2">
      <c r="A24" s="51" t="s">
        <v>124</v>
      </c>
      <c r="B24" s="51" t="s">
        <v>113</v>
      </c>
      <c r="C24" s="51">
        <v>16</v>
      </c>
      <c r="D24" s="51" t="s">
        <v>113</v>
      </c>
      <c r="E24" s="51" t="s">
        <v>113</v>
      </c>
      <c r="F24" s="51" t="s">
        <v>113</v>
      </c>
      <c r="G24" s="51">
        <v>12</v>
      </c>
      <c r="H24" s="51" t="s">
        <v>113</v>
      </c>
      <c r="I24" s="51">
        <v>0</v>
      </c>
      <c r="J24" s="51" t="s">
        <v>113</v>
      </c>
      <c r="K24" s="51" t="s">
        <v>113</v>
      </c>
      <c r="L24" s="51" t="s">
        <v>113</v>
      </c>
      <c r="M24" s="51" t="s">
        <v>113</v>
      </c>
      <c r="N24" s="51" t="s">
        <v>113</v>
      </c>
      <c r="O24" s="51" t="s">
        <v>113</v>
      </c>
      <c r="P24" s="51" t="s">
        <v>113</v>
      </c>
      <c r="Q24" s="51" t="s">
        <v>113</v>
      </c>
      <c r="R24" s="51" t="s">
        <v>113</v>
      </c>
      <c r="S24" s="51" t="s">
        <v>113</v>
      </c>
      <c r="T24" s="51" t="s">
        <v>113</v>
      </c>
      <c r="U24" s="51">
        <v>58</v>
      </c>
      <c r="V24" s="51" t="s">
        <v>113</v>
      </c>
      <c r="W24" s="51">
        <v>16</v>
      </c>
      <c r="X24" s="51" t="s">
        <v>113</v>
      </c>
      <c r="Y24" s="51">
        <v>0</v>
      </c>
      <c r="Z24" s="51" t="s">
        <v>113</v>
      </c>
      <c r="AA24" s="51" t="s">
        <v>113</v>
      </c>
      <c r="AB24" s="51" t="s">
        <v>113</v>
      </c>
      <c r="AC24" s="51" t="s">
        <v>113</v>
      </c>
      <c r="AD24" s="51" t="s">
        <v>113</v>
      </c>
      <c r="AE24" s="51" t="s">
        <v>113</v>
      </c>
      <c r="AF24" s="51" t="s">
        <v>113</v>
      </c>
      <c r="AG24" s="51" t="s">
        <v>113</v>
      </c>
      <c r="AH24" s="51" t="s">
        <v>113</v>
      </c>
      <c r="AI24" s="51" t="s">
        <v>113</v>
      </c>
      <c r="AJ24" s="51" t="s">
        <v>113</v>
      </c>
      <c r="AK24" s="51" t="s">
        <v>113</v>
      </c>
      <c r="AL24" s="51" t="s">
        <v>113</v>
      </c>
      <c r="AM24" s="51" t="s">
        <v>113</v>
      </c>
      <c r="AN24" s="51" t="s">
        <v>113</v>
      </c>
      <c r="AO24" s="51" t="s">
        <v>113</v>
      </c>
      <c r="AP24" s="51" t="s">
        <v>113</v>
      </c>
      <c r="AQ24" s="51" t="s">
        <v>113</v>
      </c>
      <c r="AR24" s="51" t="s">
        <v>113</v>
      </c>
      <c r="AS24" s="51" t="s">
        <v>113</v>
      </c>
      <c r="AT24" s="51" t="s">
        <v>113</v>
      </c>
      <c r="AU24" s="51" t="s">
        <v>113</v>
      </c>
      <c r="AV24" s="51" t="s">
        <v>113</v>
      </c>
      <c r="AW24" s="51" t="s">
        <v>113</v>
      </c>
      <c r="AX24" s="51" t="s">
        <v>113</v>
      </c>
      <c r="AY24" s="51">
        <v>20</v>
      </c>
      <c r="AZ24" s="51" t="s">
        <v>113</v>
      </c>
      <c r="BA24" s="51">
        <v>63</v>
      </c>
      <c r="BB24" s="51" t="s">
        <v>113</v>
      </c>
      <c r="BC24" s="51" t="s">
        <v>113</v>
      </c>
      <c r="BD24" s="51" t="s">
        <v>113</v>
      </c>
      <c r="BE24" s="51">
        <v>0</v>
      </c>
      <c r="BF24" s="51" t="s">
        <v>113</v>
      </c>
      <c r="BG24" s="51" t="s">
        <v>113</v>
      </c>
      <c r="BH24" s="51" t="s">
        <v>113</v>
      </c>
      <c r="BI24" s="51" t="s">
        <v>113</v>
      </c>
      <c r="BJ24" s="51" t="s">
        <v>113</v>
      </c>
      <c r="BK24" s="51" t="s">
        <v>113</v>
      </c>
      <c r="BL24" s="51" t="s">
        <v>113</v>
      </c>
      <c r="BM24" s="51" t="s">
        <v>113</v>
      </c>
    </row>
    <row r="25" spans="1:65" ht="15" customHeight="1" x14ac:dyDescent="0.2">
      <c r="A25" s="51" t="s">
        <v>123</v>
      </c>
      <c r="B25" s="51" t="s">
        <v>113</v>
      </c>
      <c r="C25" s="51">
        <v>14</v>
      </c>
      <c r="D25" s="51" t="s">
        <v>113</v>
      </c>
      <c r="E25" s="51" t="s">
        <v>113</v>
      </c>
      <c r="F25" s="51" t="s">
        <v>113</v>
      </c>
      <c r="G25" s="51">
        <v>22</v>
      </c>
      <c r="H25" s="51" t="s">
        <v>113</v>
      </c>
      <c r="I25" s="51">
        <v>0</v>
      </c>
      <c r="J25" s="51" t="s">
        <v>113</v>
      </c>
      <c r="K25" s="51" t="s">
        <v>113</v>
      </c>
      <c r="L25" s="51" t="s">
        <v>113</v>
      </c>
      <c r="M25" s="51" t="s">
        <v>113</v>
      </c>
      <c r="N25" s="51" t="s">
        <v>113</v>
      </c>
      <c r="O25" s="51" t="s">
        <v>113</v>
      </c>
      <c r="P25" s="51" t="s">
        <v>113</v>
      </c>
      <c r="Q25" s="51" t="s">
        <v>113</v>
      </c>
      <c r="R25" s="51" t="s">
        <v>113</v>
      </c>
      <c r="S25" s="51" t="s">
        <v>113</v>
      </c>
      <c r="T25" s="51" t="s">
        <v>113</v>
      </c>
      <c r="U25" s="51">
        <v>62</v>
      </c>
      <c r="V25" s="51" t="s">
        <v>113</v>
      </c>
      <c r="W25" s="51">
        <v>17</v>
      </c>
      <c r="X25" s="51" t="s">
        <v>113</v>
      </c>
      <c r="Y25" s="51">
        <v>0</v>
      </c>
      <c r="Z25" s="51" t="s">
        <v>113</v>
      </c>
      <c r="AA25" s="51" t="s">
        <v>113</v>
      </c>
      <c r="AB25" s="51" t="s">
        <v>113</v>
      </c>
      <c r="AC25" s="51" t="s">
        <v>113</v>
      </c>
      <c r="AD25" s="51" t="s">
        <v>113</v>
      </c>
      <c r="AE25" s="51" t="s">
        <v>113</v>
      </c>
      <c r="AF25" s="51" t="s">
        <v>113</v>
      </c>
      <c r="AG25" s="51" t="s">
        <v>113</v>
      </c>
      <c r="AH25" s="51" t="s">
        <v>113</v>
      </c>
      <c r="AI25" s="51" t="s">
        <v>113</v>
      </c>
      <c r="AJ25" s="51" t="s">
        <v>113</v>
      </c>
      <c r="AK25" s="51" t="s">
        <v>113</v>
      </c>
      <c r="AL25" s="51" t="s">
        <v>113</v>
      </c>
      <c r="AM25" s="51" t="s">
        <v>113</v>
      </c>
      <c r="AN25" s="51" t="s">
        <v>113</v>
      </c>
      <c r="AO25" s="51" t="s">
        <v>113</v>
      </c>
      <c r="AP25" s="51" t="s">
        <v>113</v>
      </c>
      <c r="AQ25" s="51" t="s">
        <v>113</v>
      </c>
      <c r="AR25" s="51" t="s">
        <v>113</v>
      </c>
      <c r="AS25" s="51" t="s">
        <v>113</v>
      </c>
      <c r="AT25" s="51" t="s">
        <v>113</v>
      </c>
      <c r="AU25" s="51" t="s">
        <v>113</v>
      </c>
      <c r="AV25" s="51" t="s">
        <v>113</v>
      </c>
      <c r="AW25" s="51" t="s">
        <v>113</v>
      </c>
      <c r="AX25" s="51" t="s">
        <v>113</v>
      </c>
      <c r="AY25" s="51">
        <v>15</v>
      </c>
      <c r="AZ25" s="51" t="s">
        <v>113</v>
      </c>
      <c r="BA25" s="51">
        <v>78</v>
      </c>
      <c r="BB25" s="51" t="s">
        <v>113</v>
      </c>
      <c r="BC25" s="51" t="s">
        <v>113</v>
      </c>
      <c r="BD25" s="51" t="s">
        <v>113</v>
      </c>
      <c r="BE25" s="51">
        <v>0</v>
      </c>
      <c r="BF25" s="51" t="s">
        <v>113</v>
      </c>
      <c r="BG25" s="51" t="s">
        <v>113</v>
      </c>
      <c r="BH25" s="51" t="s">
        <v>113</v>
      </c>
      <c r="BI25" s="51" t="s">
        <v>113</v>
      </c>
      <c r="BJ25" s="51" t="s">
        <v>113</v>
      </c>
      <c r="BK25" s="51" t="s">
        <v>113</v>
      </c>
      <c r="BL25" s="51" t="s">
        <v>113</v>
      </c>
      <c r="BM25" s="51" t="s">
        <v>113</v>
      </c>
    </row>
    <row r="26" spans="1:65" ht="15" customHeight="1" x14ac:dyDescent="0.2">
      <c r="A26" s="51" t="s">
        <v>122</v>
      </c>
      <c r="B26" s="51" t="s">
        <v>113</v>
      </c>
      <c r="C26" s="51">
        <v>17</v>
      </c>
      <c r="D26" s="51" t="s">
        <v>113</v>
      </c>
      <c r="E26" s="51" t="s">
        <v>113</v>
      </c>
      <c r="F26" s="51" t="s">
        <v>113</v>
      </c>
      <c r="G26" s="51">
        <v>7</v>
      </c>
      <c r="H26" s="51" t="s">
        <v>113</v>
      </c>
      <c r="I26" s="51">
        <v>0</v>
      </c>
      <c r="J26" s="51" t="s">
        <v>113</v>
      </c>
      <c r="K26" s="51" t="s">
        <v>113</v>
      </c>
      <c r="L26" s="51" t="s">
        <v>113</v>
      </c>
      <c r="M26" s="51" t="s">
        <v>113</v>
      </c>
      <c r="N26" s="51" t="s">
        <v>113</v>
      </c>
      <c r="O26" s="51" t="s">
        <v>113</v>
      </c>
      <c r="P26" s="51" t="s">
        <v>113</v>
      </c>
      <c r="Q26" s="51" t="s">
        <v>113</v>
      </c>
      <c r="R26" s="51" t="s">
        <v>113</v>
      </c>
      <c r="S26" s="51" t="s">
        <v>113</v>
      </c>
      <c r="T26" s="51" t="s">
        <v>113</v>
      </c>
      <c r="U26" s="51">
        <v>81</v>
      </c>
      <c r="V26" s="51" t="s">
        <v>113</v>
      </c>
      <c r="W26" s="51">
        <v>11</v>
      </c>
      <c r="X26" s="51" t="s">
        <v>113</v>
      </c>
      <c r="Y26" s="51">
        <v>0</v>
      </c>
      <c r="Z26" s="51" t="s">
        <v>113</v>
      </c>
      <c r="AA26" s="51" t="s">
        <v>113</v>
      </c>
      <c r="AB26" s="51" t="s">
        <v>113</v>
      </c>
      <c r="AC26" s="51" t="s">
        <v>113</v>
      </c>
      <c r="AD26" s="51" t="s">
        <v>113</v>
      </c>
      <c r="AE26" s="51" t="s">
        <v>113</v>
      </c>
      <c r="AF26" s="51" t="s">
        <v>113</v>
      </c>
      <c r="AG26" s="51" t="s">
        <v>113</v>
      </c>
      <c r="AH26" s="51" t="s">
        <v>113</v>
      </c>
      <c r="AI26" s="51" t="s">
        <v>113</v>
      </c>
      <c r="AJ26" s="51" t="s">
        <v>113</v>
      </c>
      <c r="AK26" s="51" t="s">
        <v>113</v>
      </c>
      <c r="AL26" s="51" t="s">
        <v>113</v>
      </c>
      <c r="AM26" s="51" t="s">
        <v>113</v>
      </c>
      <c r="AN26" s="51" t="s">
        <v>113</v>
      </c>
      <c r="AO26" s="51" t="s">
        <v>113</v>
      </c>
      <c r="AP26" s="51" t="s">
        <v>113</v>
      </c>
      <c r="AQ26" s="51" t="s">
        <v>113</v>
      </c>
      <c r="AR26" s="51" t="s">
        <v>113</v>
      </c>
      <c r="AS26" s="51" t="s">
        <v>113</v>
      </c>
      <c r="AT26" s="51" t="s">
        <v>113</v>
      </c>
      <c r="AU26" s="51" t="s">
        <v>113</v>
      </c>
      <c r="AV26" s="51" t="s">
        <v>113</v>
      </c>
      <c r="AW26" s="51" t="s">
        <v>113</v>
      </c>
      <c r="AX26" s="51" t="s">
        <v>113</v>
      </c>
      <c r="AY26" s="51">
        <v>23</v>
      </c>
      <c r="AZ26" s="51" t="s">
        <v>113</v>
      </c>
      <c r="BA26" s="51">
        <v>83</v>
      </c>
      <c r="BB26" s="51" t="s">
        <v>113</v>
      </c>
      <c r="BC26" s="51" t="s">
        <v>113</v>
      </c>
      <c r="BD26" s="51" t="s">
        <v>113</v>
      </c>
      <c r="BE26" s="51">
        <v>0</v>
      </c>
      <c r="BF26" s="51" t="s">
        <v>113</v>
      </c>
      <c r="BG26" s="51" t="s">
        <v>113</v>
      </c>
      <c r="BH26" s="51" t="s">
        <v>113</v>
      </c>
      <c r="BI26" s="51" t="s">
        <v>113</v>
      </c>
      <c r="BJ26" s="51" t="s">
        <v>113</v>
      </c>
      <c r="BK26" s="51" t="s">
        <v>113</v>
      </c>
      <c r="BL26" s="51" t="s">
        <v>113</v>
      </c>
      <c r="BM26" s="51" t="s">
        <v>113</v>
      </c>
    </row>
    <row r="27" spans="1:65" ht="15" customHeight="1" x14ac:dyDescent="0.2">
      <c r="A27" s="51" t="s">
        <v>121</v>
      </c>
      <c r="B27" s="51" t="s">
        <v>113</v>
      </c>
      <c r="C27" s="51">
        <v>41</v>
      </c>
      <c r="D27" s="51" t="s">
        <v>113</v>
      </c>
      <c r="E27" s="51" t="s">
        <v>113</v>
      </c>
      <c r="F27" s="51" t="s">
        <v>113</v>
      </c>
      <c r="G27" s="51">
        <v>44</v>
      </c>
      <c r="H27" s="51" t="s">
        <v>113</v>
      </c>
      <c r="I27" s="51">
        <v>0</v>
      </c>
      <c r="J27" s="51" t="s">
        <v>113</v>
      </c>
      <c r="K27" s="51" t="s">
        <v>113</v>
      </c>
      <c r="L27" s="51" t="s">
        <v>113</v>
      </c>
      <c r="M27" s="51" t="s">
        <v>113</v>
      </c>
      <c r="N27" s="51" t="s">
        <v>113</v>
      </c>
      <c r="O27" s="51" t="s">
        <v>113</v>
      </c>
      <c r="P27" s="51" t="s">
        <v>113</v>
      </c>
      <c r="Q27" s="51" t="s">
        <v>113</v>
      </c>
      <c r="R27" s="51" t="s">
        <v>113</v>
      </c>
      <c r="S27" s="51" t="s">
        <v>113</v>
      </c>
      <c r="T27" s="51" t="s">
        <v>113</v>
      </c>
      <c r="U27" s="51">
        <v>71</v>
      </c>
      <c r="V27" s="51" t="s">
        <v>113</v>
      </c>
      <c r="W27" s="51">
        <v>5</v>
      </c>
      <c r="X27" s="51" t="s">
        <v>113</v>
      </c>
      <c r="Y27" s="51">
        <v>0</v>
      </c>
      <c r="Z27" s="51" t="s">
        <v>113</v>
      </c>
      <c r="AA27" s="51" t="s">
        <v>113</v>
      </c>
      <c r="AB27" s="51" t="s">
        <v>113</v>
      </c>
      <c r="AC27" s="51" t="s">
        <v>113</v>
      </c>
      <c r="AD27" s="51" t="s">
        <v>113</v>
      </c>
      <c r="AE27" s="51" t="s">
        <v>113</v>
      </c>
      <c r="AF27" s="51" t="s">
        <v>113</v>
      </c>
      <c r="AG27" s="51" t="s">
        <v>113</v>
      </c>
      <c r="AH27" s="51" t="s">
        <v>113</v>
      </c>
      <c r="AI27" s="51" t="s">
        <v>113</v>
      </c>
      <c r="AJ27" s="51" t="s">
        <v>113</v>
      </c>
      <c r="AK27" s="51" t="s">
        <v>113</v>
      </c>
      <c r="AL27" s="51" t="s">
        <v>113</v>
      </c>
      <c r="AM27" s="51" t="s">
        <v>113</v>
      </c>
      <c r="AN27" s="51" t="s">
        <v>113</v>
      </c>
      <c r="AO27" s="51" t="s">
        <v>113</v>
      </c>
      <c r="AP27" s="51" t="s">
        <v>113</v>
      </c>
      <c r="AQ27" s="51" t="s">
        <v>113</v>
      </c>
      <c r="AR27" s="51" t="s">
        <v>113</v>
      </c>
      <c r="AS27" s="51" t="s">
        <v>113</v>
      </c>
      <c r="AT27" s="51" t="s">
        <v>113</v>
      </c>
      <c r="AU27" s="51" t="s">
        <v>113</v>
      </c>
      <c r="AV27" s="51" t="s">
        <v>113</v>
      </c>
      <c r="AW27" s="51" t="s">
        <v>113</v>
      </c>
      <c r="AX27" s="51" t="s">
        <v>113</v>
      </c>
      <c r="AY27" s="51">
        <v>15</v>
      </c>
      <c r="AZ27" s="51" t="s">
        <v>113</v>
      </c>
      <c r="BA27" s="51">
        <v>126</v>
      </c>
      <c r="BB27" s="51" t="s">
        <v>113</v>
      </c>
      <c r="BC27" s="51" t="s">
        <v>113</v>
      </c>
      <c r="BD27" s="51" t="s">
        <v>113</v>
      </c>
      <c r="BE27" s="51">
        <v>0</v>
      </c>
      <c r="BF27" s="51" t="s">
        <v>113</v>
      </c>
      <c r="BG27" s="51" t="s">
        <v>113</v>
      </c>
      <c r="BH27" s="51" t="s">
        <v>113</v>
      </c>
      <c r="BI27" s="51" t="s">
        <v>113</v>
      </c>
      <c r="BJ27" s="51" t="s">
        <v>113</v>
      </c>
      <c r="BK27" s="51" t="s">
        <v>113</v>
      </c>
      <c r="BL27" s="51" t="s">
        <v>113</v>
      </c>
      <c r="BM27" s="51" t="s">
        <v>113</v>
      </c>
    </row>
    <row r="28" spans="1:65" ht="15" customHeight="1" x14ac:dyDescent="0.2">
      <c r="A28" s="51" t="s">
        <v>120</v>
      </c>
      <c r="B28" s="51" t="s">
        <v>113</v>
      </c>
      <c r="C28" s="51">
        <v>28</v>
      </c>
      <c r="D28" s="51" t="s">
        <v>113</v>
      </c>
      <c r="E28" s="51" t="s">
        <v>113</v>
      </c>
      <c r="F28" s="51" t="s">
        <v>113</v>
      </c>
      <c r="G28" s="51">
        <v>17</v>
      </c>
      <c r="H28" s="51" t="s">
        <v>113</v>
      </c>
      <c r="I28" s="51">
        <v>0</v>
      </c>
      <c r="J28" s="51" t="s">
        <v>113</v>
      </c>
      <c r="K28" s="51" t="s">
        <v>113</v>
      </c>
      <c r="L28" s="51" t="s">
        <v>113</v>
      </c>
      <c r="M28" s="51" t="s">
        <v>113</v>
      </c>
      <c r="N28" s="51" t="s">
        <v>113</v>
      </c>
      <c r="O28" s="51" t="s">
        <v>113</v>
      </c>
      <c r="P28" s="51" t="s">
        <v>113</v>
      </c>
      <c r="Q28" s="51" t="s">
        <v>113</v>
      </c>
      <c r="R28" s="51" t="s">
        <v>113</v>
      </c>
      <c r="S28" s="51" t="s">
        <v>113</v>
      </c>
      <c r="T28" s="51" t="s">
        <v>113</v>
      </c>
      <c r="U28" s="51">
        <v>71</v>
      </c>
      <c r="V28" s="51" t="s">
        <v>113</v>
      </c>
      <c r="W28" s="51">
        <v>8</v>
      </c>
      <c r="X28" s="51" t="s">
        <v>113</v>
      </c>
      <c r="Y28" s="51">
        <v>0</v>
      </c>
      <c r="Z28" s="51" t="s">
        <v>113</v>
      </c>
      <c r="AA28" s="51" t="s">
        <v>113</v>
      </c>
      <c r="AB28" s="51" t="s">
        <v>113</v>
      </c>
      <c r="AC28" s="51" t="s">
        <v>113</v>
      </c>
      <c r="AD28" s="51" t="s">
        <v>113</v>
      </c>
      <c r="AE28" s="51" t="s">
        <v>113</v>
      </c>
      <c r="AF28" s="51" t="s">
        <v>113</v>
      </c>
      <c r="AG28" s="51" t="s">
        <v>113</v>
      </c>
      <c r="AH28" s="51" t="s">
        <v>113</v>
      </c>
      <c r="AI28" s="51" t="s">
        <v>113</v>
      </c>
      <c r="AJ28" s="51" t="s">
        <v>113</v>
      </c>
      <c r="AK28" s="51" t="s">
        <v>113</v>
      </c>
      <c r="AL28" s="51" t="s">
        <v>113</v>
      </c>
      <c r="AM28" s="51" t="s">
        <v>113</v>
      </c>
      <c r="AN28" s="51" t="s">
        <v>113</v>
      </c>
      <c r="AO28" s="51" t="s">
        <v>113</v>
      </c>
      <c r="AP28" s="51" t="s">
        <v>113</v>
      </c>
      <c r="AQ28" s="51" t="s">
        <v>113</v>
      </c>
      <c r="AR28" s="51" t="s">
        <v>113</v>
      </c>
      <c r="AS28" s="51" t="s">
        <v>113</v>
      </c>
      <c r="AT28" s="51" t="s">
        <v>113</v>
      </c>
      <c r="AU28" s="51" t="s">
        <v>113</v>
      </c>
      <c r="AV28" s="51" t="s">
        <v>113</v>
      </c>
      <c r="AW28" s="51" t="s">
        <v>113</v>
      </c>
      <c r="AX28" s="51" t="s">
        <v>113</v>
      </c>
      <c r="AY28" s="51">
        <v>11</v>
      </c>
      <c r="AZ28" s="51" t="s">
        <v>113</v>
      </c>
      <c r="BA28" s="51">
        <v>137</v>
      </c>
      <c r="BB28" s="51" t="s">
        <v>113</v>
      </c>
      <c r="BC28" s="51" t="s">
        <v>113</v>
      </c>
      <c r="BD28" s="51" t="s">
        <v>113</v>
      </c>
      <c r="BE28" s="51">
        <v>0</v>
      </c>
      <c r="BF28" s="51" t="s">
        <v>113</v>
      </c>
      <c r="BG28" s="51" t="s">
        <v>113</v>
      </c>
      <c r="BH28" s="51" t="s">
        <v>113</v>
      </c>
      <c r="BI28" s="51" t="s">
        <v>113</v>
      </c>
      <c r="BJ28" s="51" t="s">
        <v>113</v>
      </c>
      <c r="BK28" s="51" t="s">
        <v>113</v>
      </c>
      <c r="BL28" s="51" t="s">
        <v>113</v>
      </c>
      <c r="BM28" s="51" t="s">
        <v>113</v>
      </c>
    </row>
    <row r="29" spans="1:65" ht="15" customHeight="1" x14ac:dyDescent="0.2">
      <c r="A29" s="51" t="s">
        <v>119</v>
      </c>
      <c r="B29" s="51" t="s">
        <v>113</v>
      </c>
      <c r="C29" s="51">
        <v>59</v>
      </c>
      <c r="D29" s="51" t="s">
        <v>113</v>
      </c>
      <c r="E29" s="51" t="s">
        <v>113</v>
      </c>
      <c r="F29" s="51" t="s">
        <v>113</v>
      </c>
      <c r="G29" s="51">
        <v>35</v>
      </c>
      <c r="H29" s="51" t="s">
        <v>113</v>
      </c>
      <c r="I29" s="51">
        <v>0</v>
      </c>
      <c r="J29" s="51" t="s">
        <v>113</v>
      </c>
      <c r="K29" s="51" t="s">
        <v>113</v>
      </c>
      <c r="L29" s="51" t="s">
        <v>113</v>
      </c>
      <c r="M29" s="51" t="s">
        <v>113</v>
      </c>
      <c r="N29" s="51" t="s">
        <v>113</v>
      </c>
      <c r="O29" s="51" t="s">
        <v>113</v>
      </c>
      <c r="P29" s="51" t="s">
        <v>113</v>
      </c>
      <c r="Q29" s="51" t="s">
        <v>113</v>
      </c>
      <c r="R29" s="51" t="s">
        <v>113</v>
      </c>
      <c r="S29" s="51" t="s">
        <v>113</v>
      </c>
      <c r="T29" s="51" t="s">
        <v>113</v>
      </c>
      <c r="U29" s="51">
        <v>119</v>
      </c>
      <c r="V29" s="51" t="s">
        <v>113</v>
      </c>
      <c r="W29" s="51">
        <v>6</v>
      </c>
      <c r="X29" s="51" t="s">
        <v>113</v>
      </c>
      <c r="Y29" s="51">
        <v>0</v>
      </c>
      <c r="Z29" s="51" t="s">
        <v>113</v>
      </c>
      <c r="AA29" s="51" t="s">
        <v>113</v>
      </c>
      <c r="AB29" s="51" t="s">
        <v>113</v>
      </c>
      <c r="AC29" s="51" t="s">
        <v>113</v>
      </c>
      <c r="AD29" s="51" t="s">
        <v>113</v>
      </c>
      <c r="AE29" s="51" t="s">
        <v>113</v>
      </c>
      <c r="AF29" s="51" t="s">
        <v>113</v>
      </c>
      <c r="AG29" s="51" t="s">
        <v>113</v>
      </c>
      <c r="AH29" s="51" t="s">
        <v>113</v>
      </c>
      <c r="AI29" s="51" t="s">
        <v>113</v>
      </c>
      <c r="AJ29" s="51" t="s">
        <v>113</v>
      </c>
      <c r="AK29" s="51" t="s">
        <v>113</v>
      </c>
      <c r="AL29" s="51" t="s">
        <v>113</v>
      </c>
      <c r="AM29" s="51" t="s">
        <v>113</v>
      </c>
      <c r="AN29" s="51" t="s">
        <v>113</v>
      </c>
      <c r="AO29" s="51" t="s">
        <v>113</v>
      </c>
      <c r="AP29" s="51" t="s">
        <v>113</v>
      </c>
      <c r="AQ29" s="51" t="s">
        <v>113</v>
      </c>
      <c r="AR29" s="51" t="s">
        <v>113</v>
      </c>
      <c r="AS29" s="51" t="s">
        <v>113</v>
      </c>
      <c r="AT29" s="51" t="s">
        <v>113</v>
      </c>
      <c r="AU29" s="51" t="s">
        <v>113</v>
      </c>
      <c r="AV29" s="51" t="s">
        <v>113</v>
      </c>
      <c r="AW29" s="51" t="s">
        <v>113</v>
      </c>
      <c r="AX29" s="51" t="s">
        <v>113</v>
      </c>
      <c r="AY29" s="51">
        <v>7</v>
      </c>
      <c r="AZ29" s="51" t="s">
        <v>113</v>
      </c>
      <c r="BA29" s="51">
        <v>156</v>
      </c>
      <c r="BB29" s="51" t="s">
        <v>113</v>
      </c>
      <c r="BC29" s="51" t="s">
        <v>113</v>
      </c>
      <c r="BD29" s="51" t="s">
        <v>113</v>
      </c>
      <c r="BE29" s="51">
        <v>0</v>
      </c>
      <c r="BF29" s="51" t="s">
        <v>113</v>
      </c>
      <c r="BG29" s="51" t="s">
        <v>113</v>
      </c>
      <c r="BH29" s="51" t="s">
        <v>113</v>
      </c>
      <c r="BI29" s="51" t="s">
        <v>113</v>
      </c>
      <c r="BJ29" s="51" t="s">
        <v>113</v>
      </c>
      <c r="BK29" s="51" t="s">
        <v>113</v>
      </c>
      <c r="BL29" s="51" t="s">
        <v>113</v>
      </c>
      <c r="BM29" s="51" t="s">
        <v>113</v>
      </c>
    </row>
    <row r="30" spans="1:65" ht="15" customHeight="1" x14ac:dyDescent="0.2">
      <c r="A30" s="51" t="s">
        <v>118</v>
      </c>
      <c r="B30" s="51" t="s">
        <v>113</v>
      </c>
      <c r="C30" s="51">
        <v>46</v>
      </c>
      <c r="D30" s="51" t="s">
        <v>113</v>
      </c>
      <c r="E30" s="51" t="s">
        <v>113</v>
      </c>
      <c r="F30" s="51" t="s">
        <v>113</v>
      </c>
      <c r="G30" s="51">
        <v>25</v>
      </c>
      <c r="H30" s="51" t="s">
        <v>113</v>
      </c>
      <c r="I30" s="51">
        <v>0</v>
      </c>
      <c r="J30" s="51" t="s">
        <v>113</v>
      </c>
      <c r="K30" s="51" t="s">
        <v>113</v>
      </c>
      <c r="L30" s="51" t="s">
        <v>113</v>
      </c>
      <c r="M30" s="51" t="s">
        <v>113</v>
      </c>
      <c r="N30" s="51" t="s">
        <v>113</v>
      </c>
      <c r="O30" s="51" t="s">
        <v>113</v>
      </c>
      <c r="P30" s="51" t="s">
        <v>113</v>
      </c>
      <c r="Q30" s="51" t="s">
        <v>113</v>
      </c>
      <c r="R30" s="51" t="s">
        <v>113</v>
      </c>
      <c r="S30" s="51" t="s">
        <v>113</v>
      </c>
      <c r="T30" s="51" t="s">
        <v>113</v>
      </c>
      <c r="U30" s="51">
        <v>92</v>
      </c>
      <c r="V30" s="51" t="s">
        <v>113</v>
      </c>
      <c r="W30" s="51">
        <v>7</v>
      </c>
      <c r="X30" s="51" t="s">
        <v>113</v>
      </c>
      <c r="Y30" s="51">
        <v>0</v>
      </c>
      <c r="Z30" s="51" t="s">
        <v>113</v>
      </c>
      <c r="AA30" s="51" t="s">
        <v>113</v>
      </c>
      <c r="AB30" s="51" t="s">
        <v>113</v>
      </c>
      <c r="AC30" s="51" t="s">
        <v>113</v>
      </c>
      <c r="AD30" s="51" t="s">
        <v>113</v>
      </c>
      <c r="AE30" s="51" t="s">
        <v>113</v>
      </c>
      <c r="AF30" s="51" t="s">
        <v>113</v>
      </c>
      <c r="AG30" s="51" t="s">
        <v>113</v>
      </c>
      <c r="AH30" s="51" t="s">
        <v>113</v>
      </c>
      <c r="AI30" s="51" t="s">
        <v>113</v>
      </c>
      <c r="AJ30" s="51" t="s">
        <v>113</v>
      </c>
      <c r="AK30" s="51" t="s">
        <v>113</v>
      </c>
      <c r="AL30" s="51" t="s">
        <v>113</v>
      </c>
      <c r="AM30" s="51" t="s">
        <v>113</v>
      </c>
      <c r="AN30" s="51" t="s">
        <v>113</v>
      </c>
      <c r="AO30" s="51" t="s">
        <v>113</v>
      </c>
      <c r="AP30" s="51" t="s">
        <v>113</v>
      </c>
      <c r="AQ30" s="51" t="s">
        <v>113</v>
      </c>
      <c r="AR30" s="51" t="s">
        <v>113</v>
      </c>
      <c r="AS30" s="51" t="s">
        <v>113</v>
      </c>
      <c r="AT30" s="51" t="s">
        <v>113</v>
      </c>
      <c r="AU30" s="51" t="s">
        <v>113</v>
      </c>
      <c r="AV30" s="51" t="s">
        <v>113</v>
      </c>
      <c r="AW30" s="51" t="s">
        <v>113</v>
      </c>
      <c r="AX30" s="51" t="s">
        <v>113</v>
      </c>
      <c r="AY30" s="51">
        <v>9</v>
      </c>
      <c r="AZ30" s="51" t="s">
        <v>113</v>
      </c>
      <c r="BA30" s="51">
        <v>191</v>
      </c>
      <c r="BB30" s="51" t="s">
        <v>113</v>
      </c>
      <c r="BC30" s="51" t="s">
        <v>113</v>
      </c>
      <c r="BD30" s="51" t="s">
        <v>113</v>
      </c>
      <c r="BE30" s="51">
        <v>0</v>
      </c>
      <c r="BF30" s="51" t="s">
        <v>113</v>
      </c>
      <c r="BG30" s="51" t="s">
        <v>113</v>
      </c>
      <c r="BH30" s="51" t="s">
        <v>113</v>
      </c>
      <c r="BI30" s="51" t="s">
        <v>113</v>
      </c>
      <c r="BJ30" s="51" t="s">
        <v>113</v>
      </c>
      <c r="BK30" s="51" t="s">
        <v>113</v>
      </c>
      <c r="BL30" s="51" t="s">
        <v>113</v>
      </c>
      <c r="BM30" s="51" t="s">
        <v>113</v>
      </c>
    </row>
    <row r="31" spans="1:65" ht="15" customHeight="1" x14ac:dyDescent="0.2">
      <c r="A31" s="51" t="s">
        <v>117</v>
      </c>
      <c r="B31" s="51" t="s">
        <v>113</v>
      </c>
      <c r="C31" s="51">
        <v>78</v>
      </c>
      <c r="D31" s="51" t="s">
        <v>113</v>
      </c>
      <c r="E31" s="51" t="s">
        <v>113</v>
      </c>
      <c r="F31" s="51" t="s">
        <v>113</v>
      </c>
      <c r="G31" s="51">
        <v>49</v>
      </c>
      <c r="H31" s="51" t="s">
        <v>113</v>
      </c>
      <c r="I31" s="51">
        <v>0</v>
      </c>
      <c r="J31" s="51" t="s">
        <v>113</v>
      </c>
      <c r="K31" s="51" t="s">
        <v>113</v>
      </c>
      <c r="L31" s="51" t="s">
        <v>113</v>
      </c>
      <c r="M31" s="51" t="s">
        <v>113</v>
      </c>
      <c r="N31" s="51" t="s">
        <v>113</v>
      </c>
      <c r="O31" s="51" t="s">
        <v>113</v>
      </c>
      <c r="P31" s="51" t="s">
        <v>113</v>
      </c>
      <c r="Q31" s="51" t="s">
        <v>113</v>
      </c>
      <c r="R31" s="51" t="s">
        <v>113</v>
      </c>
      <c r="S31" s="51" t="s">
        <v>113</v>
      </c>
      <c r="T31" s="51" t="s">
        <v>113</v>
      </c>
      <c r="U31" s="51">
        <v>90</v>
      </c>
      <c r="V31" s="51" t="s">
        <v>113</v>
      </c>
      <c r="W31" s="51">
        <v>6</v>
      </c>
      <c r="X31" s="51" t="s">
        <v>113</v>
      </c>
      <c r="Y31" s="51">
        <v>0</v>
      </c>
      <c r="Z31" s="51" t="s">
        <v>113</v>
      </c>
      <c r="AA31" s="51" t="s">
        <v>113</v>
      </c>
      <c r="AB31" s="51" t="s">
        <v>113</v>
      </c>
      <c r="AC31" s="51" t="s">
        <v>113</v>
      </c>
      <c r="AD31" s="51" t="s">
        <v>113</v>
      </c>
      <c r="AE31" s="51" t="s">
        <v>113</v>
      </c>
      <c r="AF31" s="51" t="s">
        <v>113</v>
      </c>
      <c r="AG31" s="51" t="s">
        <v>113</v>
      </c>
      <c r="AH31" s="51" t="s">
        <v>113</v>
      </c>
      <c r="AI31" s="51" t="s">
        <v>113</v>
      </c>
      <c r="AJ31" s="51" t="s">
        <v>113</v>
      </c>
      <c r="AK31" s="51" t="s">
        <v>113</v>
      </c>
      <c r="AL31" s="51" t="s">
        <v>113</v>
      </c>
      <c r="AM31" s="51" t="s">
        <v>113</v>
      </c>
      <c r="AN31" s="51" t="s">
        <v>113</v>
      </c>
      <c r="AO31" s="51" t="s">
        <v>113</v>
      </c>
      <c r="AP31" s="51" t="s">
        <v>113</v>
      </c>
      <c r="AQ31" s="51" t="s">
        <v>113</v>
      </c>
      <c r="AR31" s="51" t="s">
        <v>113</v>
      </c>
      <c r="AS31" s="51" t="s">
        <v>113</v>
      </c>
      <c r="AT31" s="51" t="s">
        <v>113</v>
      </c>
      <c r="AU31" s="51" t="s">
        <v>113</v>
      </c>
      <c r="AV31" s="51" t="s">
        <v>113</v>
      </c>
      <c r="AW31" s="51" t="s">
        <v>113</v>
      </c>
      <c r="AX31" s="51" t="s">
        <v>113</v>
      </c>
      <c r="AY31" s="51">
        <v>2</v>
      </c>
      <c r="AZ31" s="51" t="s">
        <v>113</v>
      </c>
      <c r="BA31" s="51">
        <v>151</v>
      </c>
      <c r="BB31" s="51" t="s">
        <v>113</v>
      </c>
      <c r="BC31" s="51" t="s">
        <v>113</v>
      </c>
      <c r="BD31" s="51" t="s">
        <v>113</v>
      </c>
      <c r="BE31" s="51">
        <v>0</v>
      </c>
      <c r="BF31" s="51" t="s">
        <v>113</v>
      </c>
      <c r="BG31" s="51" t="s">
        <v>113</v>
      </c>
      <c r="BH31" s="51" t="s">
        <v>113</v>
      </c>
      <c r="BI31" s="51" t="s">
        <v>113</v>
      </c>
      <c r="BJ31" s="51" t="s">
        <v>113</v>
      </c>
      <c r="BK31" s="51" t="s">
        <v>113</v>
      </c>
      <c r="BL31" s="51" t="s">
        <v>113</v>
      </c>
      <c r="BM31" s="51" t="s">
        <v>113</v>
      </c>
    </row>
    <row r="32" spans="1:65" ht="15" customHeight="1" x14ac:dyDescent="0.2">
      <c r="A32" s="51" t="s">
        <v>116</v>
      </c>
      <c r="B32" s="51" t="s">
        <v>113</v>
      </c>
      <c r="C32" s="51">
        <v>28</v>
      </c>
      <c r="D32" s="51" t="s">
        <v>113</v>
      </c>
      <c r="E32" s="51" t="s">
        <v>113</v>
      </c>
      <c r="F32" s="51" t="s">
        <v>113</v>
      </c>
      <c r="G32" s="51">
        <v>27</v>
      </c>
      <c r="H32" s="51" t="s">
        <v>113</v>
      </c>
      <c r="I32" s="51">
        <v>0</v>
      </c>
      <c r="J32" s="51" t="s">
        <v>113</v>
      </c>
      <c r="K32" s="51" t="s">
        <v>113</v>
      </c>
      <c r="L32" s="51" t="s">
        <v>113</v>
      </c>
      <c r="M32" s="51" t="s">
        <v>113</v>
      </c>
      <c r="N32" s="51" t="s">
        <v>113</v>
      </c>
      <c r="O32" s="51" t="s">
        <v>113</v>
      </c>
      <c r="P32" s="51" t="s">
        <v>113</v>
      </c>
      <c r="Q32" s="51" t="s">
        <v>113</v>
      </c>
      <c r="R32" s="51" t="s">
        <v>113</v>
      </c>
      <c r="S32" s="51" t="s">
        <v>113</v>
      </c>
      <c r="T32" s="51" t="s">
        <v>113</v>
      </c>
      <c r="U32" s="51">
        <v>62</v>
      </c>
      <c r="V32" s="51" t="s">
        <v>113</v>
      </c>
      <c r="W32" s="51">
        <v>7</v>
      </c>
      <c r="X32" s="51" t="s">
        <v>113</v>
      </c>
      <c r="Y32" s="51">
        <v>0</v>
      </c>
      <c r="Z32" s="51" t="s">
        <v>113</v>
      </c>
      <c r="AA32" s="51" t="s">
        <v>113</v>
      </c>
      <c r="AB32" s="51" t="s">
        <v>113</v>
      </c>
      <c r="AC32" s="51" t="s">
        <v>113</v>
      </c>
      <c r="AD32" s="51" t="s">
        <v>113</v>
      </c>
      <c r="AE32" s="51" t="s">
        <v>113</v>
      </c>
      <c r="AF32" s="51" t="s">
        <v>113</v>
      </c>
      <c r="AG32" s="51" t="s">
        <v>113</v>
      </c>
      <c r="AH32" s="51" t="s">
        <v>113</v>
      </c>
      <c r="AI32" s="51" t="s">
        <v>113</v>
      </c>
      <c r="AJ32" s="51" t="s">
        <v>113</v>
      </c>
      <c r="AK32" s="51" t="s">
        <v>113</v>
      </c>
      <c r="AL32" s="51" t="s">
        <v>113</v>
      </c>
      <c r="AM32" s="51" t="s">
        <v>113</v>
      </c>
      <c r="AN32" s="51" t="s">
        <v>113</v>
      </c>
      <c r="AO32" s="51" t="s">
        <v>113</v>
      </c>
      <c r="AP32" s="51" t="s">
        <v>113</v>
      </c>
      <c r="AQ32" s="51" t="s">
        <v>113</v>
      </c>
      <c r="AR32" s="51" t="s">
        <v>113</v>
      </c>
      <c r="AS32" s="51" t="s">
        <v>113</v>
      </c>
      <c r="AT32" s="51" t="s">
        <v>113</v>
      </c>
      <c r="AU32" s="51" t="s">
        <v>113</v>
      </c>
      <c r="AV32" s="51" t="s">
        <v>113</v>
      </c>
      <c r="AW32" s="51" t="s">
        <v>113</v>
      </c>
      <c r="AX32" s="51" t="s">
        <v>113</v>
      </c>
      <c r="AY32" s="51">
        <v>6</v>
      </c>
      <c r="AZ32" s="51" t="s">
        <v>113</v>
      </c>
      <c r="BA32" s="51">
        <v>176</v>
      </c>
      <c r="BB32" s="51" t="s">
        <v>113</v>
      </c>
      <c r="BC32" s="51" t="s">
        <v>113</v>
      </c>
      <c r="BD32" s="51" t="s">
        <v>113</v>
      </c>
      <c r="BE32" s="51">
        <v>0</v>
      </c>
      <c r="BF32" s="51" t="s">
        <v>113</v>
      </c>
      <c r="BG32" s="51" t="s">
        <v>113</v>
      </c>
      <c r="BH32" s="51" t="s">
        <v>113</v>
      </c>
      <c r="BI32" s="51" t="s">
        <v>113</v>
      </c>
      <c r="BJ32" s="51" t="s">
        <v>113</v>
      </c>
      <c r="BK32" s="51" t="s">
        <v>113</v>
      </c>
      <c r="BL32" s="51" t="s">
        <v>113</v>
      </c>
      <c r="BM32" s="51" t="s">
        <v>113</v>
      </c>
    </row>
    <row r="33" spans="1:65" ht="15" customHeight="1" x14ac:dyDescent="0.2">
      <c r="A33" s="51" t="s">
        <v>115</v>
      </c>
      <c r="B33" s="51" t="s">
        <v>113</v>
      </c>
      <c r="C33" s="51">
        <v>20</v>
      </c>
      <c r="D33" s="51" t="s">
        <v>113</v>
      </c>
      <c r="E33" s="51" t="s">
        <v>113</v>
      </c>
      <c r="F33" s="51" t="s">
        <v>113</v>
      </c>
      <c r="G33" s="51">
        <v>20</v>
      </c>
      <c r="H33" s="51" t="s">
        <v>113</v>
      </c>
      <c r="I33" s="51">
        <v>0</v>
      </c>
      <c r="J33" s="51" t="s">
        <v>113</v>
      </c>
      <c r="K33" s="51" t="s">
        <v>113</v>
      </c>
      <c r="L33" s="51" t="s">
        <v>113</v>
      </c>
      <c r="M33" s="51" t="s">
        <v>113</v>
      </c>
      <c r="N33" s="51" t="s">
        <v>113</v>
      </c>
      <c r="O33" s="51" t="s">
        <v>113</v>
      </c>
      <c r="P33" s="51" t="s">
        <v>113</v>
      </c>
      <c r="Q33" s="51" t="s">
        <v>113</v>
      </c>
      <c r="R33" s="51" t="s">
        <v>113</v>
      </c>
      <c r="S33" s="51" t="s">
        <v>113</v>
      </c>
      <c r="T33" s="51" t="s">
        <v>113</v>
      </c>
      <c r="U33" s="51">
        <v>75</v>
      </c>
      <c r="V33" s="51" t="s">
        <v>113</v>
      </c>
      <c r="W33" s="51">
        <v>7</v>
      </c>
      <c r="X33" s="51" t="s">
        <v>113</v>
      </c>
      <c r="Y33" s="51">
        <v>0</v>
      </c>
      <c r="Z33" s="51" t="s">
        <v>113</v>
      </c>
      <c r="AA33" s="51" t="s">
        <v>113</v>
      </c>
      <c r="AB33" s="51" t="s">
        <v>113</v>
      </c>
      <c r="AC33" s="51" t="s">
        <v>113</v>
      </c>
      <c r="AD33" s="51" t="s">
        <v>113</v>
      </c>
      <c r="AE33" s="51" t="s">
        <v>113</v>
      </c>
      <c r="AF33" s="51" t="s">
        <v>113</v>
      </c>
      <c r="AG33" s="51" t="s">
        <v>113</v>
      </c>
      <c r="AH33" s="51" t="s">
        <v>113</v>
      </c>
      <c r="AI33" s="51" t="s">
        <v>113</v>
      </c>
      <c r="AJ33" s="51" t="s">
        <v>113</v>
      </c>
      <c r="AK33" s="51" t="s">
        <v>113</v>
      </c>
      <c r="AL33" s="51" t="s">
        <v>113</v>
      </c>
      <c r="AM33" s="51" t="s">
        <v>113</v>
      </c>
      <c r="AN33" s="51" t="s">
        <v>113</v>
      </c>
      <c r="AO33" s="51" t="s">
        <v>113</v>
      </c>
      <c r="AP33" s="51" t="s">
        <v>113</v>
      </c>
      <c r="AQ33" s="51" t="s">
        <v>113</v>
      </c>
      <c r="AR33" s="51" t="s">
        <v>113</v>
      </c>
      <c r="AS33" s="51" t="s">
        <v>113</v>
      </c>
      <c r="AT33" s="51" t="s">
        <v>113</v>
      </c>
      <c r="AU33" s="51" t="s">
        <v>113</v>
      </c>
      <c r="AV33" s="51" t="s">
        <v>113</v>
      </c>
      <c r="AW33" s="51" t="s">
        <v>113</v>
      </c>
      <c r="AX33" s="51" t="s">
        <v>113</v>
      </c>
      <c r="AY33" s="51">
        <v>5</v>
      </c>
      <c r="AZ33" s="51" t="s">
        <v>113</v>
      </c>
      <c r="BA33" s="51">
        <v>147</v>
      </c>
      <c r="BB33" s="51" t="s">
        <v>113</v>
      </c>
      <c r="BC33" s="51" t="s">
        <v>113</v>
      </c>
      <c r="BD33" s="51" t="s">
        <v>113</v>
      </c>
      <c r="BE33" s="51">
        <v>0</v>
      </c>
      <c r="BF33" s="51" t="s">
        <v>113</v>
      </c>
      <c r="BG33" s="51" t="s">
        <v>113</v>
      </c>
      <c r="BH33" s="51" t="s">
        <v>113</v>
      </c>
      <c r="BI33" s="51" t="s">
        <v>113</v>
      </c>
      <c r="BJ33" s="51" t="s">
        <v>113</v>
      </c>
      <c r="BK33" s="51" t="s">
        <v>113</v>
      </c>
      <c r="BL33" s="51" t="s">
        <v>113</v>
      </c>
      <c r="BM33" s="51" t="s">
        <v>113</v>
      </c>
    </row>
    <row r="34" spans="1:65" ht="15" customHeight="1" x14ac:dyDescent="0.2">
      <c r="A34" s="51" t="s">
        <v>114</v>
      </c>
      <c r="B34" s="51" t="s">
        <v>113</v>
      </c>
      <c r="C34" s="51">
        <v>25</v>
      </c>
      <c r="D34" s="51" t="s">
        <v>113</v>
      </c>
      <c r="E34" s="51" t="s">
        <v>113</v>
      </c>
      <c r="F34" s="51" t="s">
        <v>113</v>
      </c>
      <c r="G34" s="51">
        <v>9</v>
      </c>
      <c r="H34" s="51" t="s">
        <v>113</v>
      </c>
      <c r="I34" s="51">
        <v>0</v>
      </c>
      <c r="J34" s="51" t="s">
        <v>113</v>
      </c>
      <c r="K34" s="51" t="s">
        <v>113</v>
      </c>
      <c r="L34" s="51" t="s">
        <v>113</v>
      </c>
      <c r="M34" s="51" t="s">
        <v>113</v>
      </c>
      <c r="N34" s="51" t="s">
        <v>113</v>
      </c>
      <c r="O34" s="51" t="s">
        <v>113</v>
      </c>
      <c r="P34" s="51" t="s">
        <v>113</v>
      </c>
      <c r="Q34" s="51" t="s">
        <v>113</v>
      </c>
      <c r="R34" s="51" t="s">
        <v>113</v>
      </c>
      <c r="S34" s="51" t="s">
        <v>113</v>
      </c>
      <c r="T34" s="51" t="s">
        <v>113</v>
      </c>
      <c r="U34" s="51">
        <v>63</v>
      </c>
      <c r="V34" s="51" t="s">
        <v>113</v>
      </c>
      <c r="W34" s="51">
        <v>4</v>
      </c>
      <c r="X34" s="51" t="s">
        <v>113</v>
      </c>
      <c r="Y34" s="51">
        <v>0</v>
      </c>
      <c r="Z34" s="51" t="s">
        <v>113</v>
      </c>
      <c r="AA34" s="51" t="s">
        <v>113</v>
      </c>
      <c r="AB34" s="51" t="s">
        <v>113</v>
      </c>
      <c r="AC34" s="51" t="s">
        <v>113</v>
      </c>
      <c r="AD34" s="51" t="s">
        <v>113</v>
      </c>
      <c r="AE34" s="51" t="s">
        <v>113</v>
      </c>
      <c r="AF34" s="51" t="s">
        <v>113</v>
      </c>
      <c r="AG34" s="51" t="s">
        <v>113</v>
      </c>
      <c r="AH34" s="51" t="s">
        <v>113</v>
      </c>
      <c r="AI34" s="51" t="s">
        <v>113</v>
      </c>
      <c r="AJ34" s="51" t="s">
        <v>113</v>
      </c>
      <c r="AK34" s="51" t="s">
        <v>113</v>
      </c>
      <c r="AL34" s="51" t="s">
        <v>113</v>
      </c>
      <c r="AM34" s="51" t="s">
        <v>113</v>
      </c>
      <c r="AN34" s="51" t="s">
        <v>113</v>
      </c>
      <c r="AO34" s="51" t="s">
        <v>113</v>
      </c>
      <c r="AP34" s="51" t="s">
        <v>113</v>
      </c>
      <c r="AQ34" s="51" t="s">
        <v>113</v>
      </c>
      <c r="AR34" s="51" t="s">
        <v>113</v>
      </c>
      <c r="AS34" s="51" t="s">
        <v>113</v>
      </c>
      <c r="AT34" s="51" t="s">
        <v>113</v>
      </c>
      <c r="AU34" s="51" t="s">
        <v>113</v>
      </c>
      <c r="AV34" s="51" t="s">
        <v>113</v>
      </c>
      <c r="AW34" s="51" t="s">
        <v>113</v>
      </c>
      <c r="AX34" s="51" t="s">
        <v>113</v>
      </c>
      <c r="AY34" s="51">
        <v>6</v>
      </c>
      <c r="AZ34" s="51" t="s">
        <v>113</v>
      </c>
      <c r="BA34" s="51">
        <v>148</v>
      </c>
      <c r="BB34" s="51" t="s">
        <v>113</v>
      </c>
      <c r="BC34" s="51" t="s">
        <v>113</v>
      </c>
      <c r="BD34" s="51" t="s">
        <v>113</v>
      </c>
      <c r="BE34" s="51">
        <v>0</v>
      </c>
      <c r="BF34" s="51" t="s">
        <v>113</v>
      </c>
      <c r="BG34" s="51" t="s">
        <v>113</v>
      </c>
      <c r="BH34" s="51" t="s">
        <v>113</v>
      </c>
      <c r="BI34" s="51" t="s">
        <v>113</v>
      </c>
      <c r="BJ34" s="51" t="s">
        <v>113</v>
      </c>
      <c r="BK34" s="51" t="s">
        <v>113</v>
      </c>
      <c r="BL34" s="51" t="s">
        <v>113</v>
      </c>
      <c r="BM34" s="51" t="s">
        <v>113</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115EB-7384-4236-A9F1-196F6632D4CF}">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90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153</v>
      </c>
      <c r="C12" s="60"/>
      <c r="D12" s="60"/>
      <c r="E12" s="60"/>
      <c r="F12" s="60"/>
      <c r="G12" s="60"/>
      <c r="H12" s="60"/>
      <c r="I12" s="61"/>
      <c r="J12" s="59" t="s">
        <v>150</v>
      </c>
      <c r="K12" s="60"/>
      <c r="L12" s="60"/>
      <c r="M12" s="60"/>
      <c r="N12" s="60"/>
      <c r="O12" s="60"/>
      <c r="P12" s="60"/>
      <c r="Q12" s="61"/>
      <c r="R12" s="59" t="s">
        <v>152</v>
      </c>
      <c r="S12" s="60"/>
      <c r="T12" s="60"/>
      <c r="U12" s="60"/>
      <c r="V12" s="60"/>
      <c r="W12" s="60"/>
      <c r="X12" s="60"/>
      <c r="Y12" s="61"/>
      <c r="Z12" s="59" t="s">
        <v>150</v>
      </c>
      <c r="AA12" s="60"/>
      <c r="AB12" s="60"/>
      <c r="AC12" s="60"/>
      <c r="AD12" s="60"/>
      <c r="AE12" s="60"/>
      <c r="AF12" s="60"/>
      <c r="AG12" s="61"/>
      <c r="AH12" s="59" t="s">
        <v>150</v>
      </c>
      <c r="AI12" s="60"/>
      <c r="AJ12" s="60"/>
      <c r="AK12" s="60"/>
      <c r="AL12" s="60"/>
      <c r="AM12" s="60"/>
      <c r="AN12" s="60"/>
      <c r="AO12" s="61"/>
      <c r="AP12" s="59" t="s">
        <v>150</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v>11</v>
      </c>
      <c r="D15" s="51" t="s">
        <v>113</v>
      </c>
      <c r="E15" s="51" t="s">
        <v>113</v>
      </c>
      <c r="F15" s="51" t="s">
        <v>113</v>
      </c>
      <c r="G15" s="51">
        <v>7</v>
      </c>
      <c r="H15" s="51" t="s">
        <v>113</v>
      </c>
      <c r="I15" s="51">
        <v>0</v>
      </c>
      <c r="J15" s="51" t="s">
        <v>113</v>
      </c>
      <c r="K15" s="51" t="s">
        <v>113</v>
      </c>
      <c r="L15" s="51" t="s">
        <v>113</v>
      </c>
      <c r="M15" s="51" t="s">
        <v>113</v>
      </c>
      <c r="N15" s="51" t="s">
        <v>113</v>
      </c>
      <c r="O15" s="51" t="s">
        <v>113</v>
      </c>
      <c r="P15" s="51" t="s">
        <v>113</v>
      </c>
      <c r="Q15" s="51" t="s">
        <v>113</v>
      </c>
      <c r="R15" s="51" t="s">
        <v>113</v>
      </c>
      <c r="S15" s="51" t="s">
        <v>113</v>
      </c>
      <c r="T15" s="51" t="s">
        <v>113</v>
      </c>
      <c r="U15" s="51">
        <v>3</v>
      </c>
      <c r="V15" s="51" t="s">
        <v>113</v>
      </c>
      <c r="W15" s="51">
        <v>2</v>
      </c>
      <c r="X15" s="51" t="s">
        <v>113</v>
      </c>
      <c r="Y15" s="51">
        <v>0</v>
      </c>
      <c r="Z15" s="51" t="s">
        <v>113</v>
      </c>
      <c r="AA15" s="51" t="s">
        <v>113</v>
      </c>
      <c r="AB15" s="51" t="s">
        <v>113</v>
      </c>
      <c r="AC15" s="51" t="s">
        <v>113</v>
      </c>
      <c r="AD15" s="51" t="s">
        <v>113</v>
      </c>
      <c r="AE15" s="51" t="s">
        <v>113</v>
      </c>
      <c r="AF15" s="51" t="s">
        <v>113</v>
      </c>
      <c r="AG15" s="51" t="s">
        <v>113</v>
      </c>
      <c r="AH15" s="51" t="s">
        <v>113</v>
      </c>
      <c r="AI15" s="51" t="s">
        <v>113</v>
      </c>
      <c r="AJ15" s="51" t="s">
        <v>113</v>
      </c>
      <c r="AK15" s="51" t="s">
        <v>113</v>
      </c>
      <c r="AL15" s="51" t="s">
        <v>113</v>
      </c>
      <c r="AM15" s="51" t="s">
        <v>113</v>
      </c>
      <c r="AN15" s="51" t="s">
        <v>113</v>
      </c>
      <c r="AO15" s="51" t="s">
        <v>113</v>
      </c>
      <c r="AP15" s="51" t="s">
        <v>113</v>
      </c>
      <c r="AQ15" s="51" t="s">
        <v>113</v>
      </c>
      <c r="AR15" s="51" t="s">
        <v>113</v>
      </c>
      <c r="AS15" s="51" t="s">
        <v>113</v>
      </c>
      <c r="AT15" s="51" t="s">
        <v>113</v>
      </c>
      <c r="AU15" s="51" t="s">
        <v>113</v>
      </c>
      <c r="AV15" s="51" t="s">
        <v>113</v>
      </c>
      <c r="AW15" s="51" t="s">
        <v>113</v>
      </c>
      <c r="AX15" s="51" t="s">
        <v>113</v>
      </c>
      <c r="AY15" s="51">
        <v>4</v>
      </c>
      <c r="AZ15" s="51" t="s">
        <v>113</v>
      </c>
      <c r="BA15" s="51">
        <v>5</v>
      </c>
      <c r="BB15" s="51" t="s">
        <v>113</v>
      </c>
      <c r="BC15" s="51" t="s">
        <v>113</v>
      </c>
      <c r="BD15" s="51" t="s">
        <v>113</v>
      </c>
      <c r="BE15" s="51">
        <v>0</v>
      </c>
      <c r="BF15" s="51" t="s">
        <v>113</v>
      </c>
      <c r="BG15" s="51" t="s">
        <v>113</v>
      </c>
      <c r="BH15" s="51" t="s">
        <v>113</v>
      </c>
      <c r="BI15" s="51" t="s">
        <v>113</v>
      </c>
      <c r="BJ15" s="51" t="s">
        <v>113</v>
      </c>
      <c r="BK15" s="51" t="s">
        <v>113</v>
      </c>
      <c r="BL15" s="51" t="s">
        <v>113</v>
      </c>
      <c r="BM15" s="51" t="s">
        <v>113</v>
      </c>
    </row>
    <row r="16" spans="1:65" ht="15" customHeight="1" x14ac:dyDescent="0.2">
      <c r="A16" s="51" t="s">
        <v>132</v>
      </c>
      <c r="B16" s="51" t="s">
        <v>113</v>
      </c>
      <c r="C16" s="51">
        <v>12</v>
      </c>
      <c r="D16" s="51" t="s">
        <v>113</v>
      </c>
      <c r="E16" s="51" t="s">
        <v>113</v>
      </c>
      <c r="F16" s="51" t="s">
        <v>113</v>
      </c>
      <c r="G16" s="51">
        <v>4</v>
      </c>
      <c r="H16" s="51" t="s">
        <v>113</v>
      </c>
      <c r="I16" s="51">
        <v>0</v>
      </c>
      <c r="J16" s="51" t="s">
        <v>113</v>
      </c>
      <c r="K16" s="51" t="s">
        <v>113</v>
      </c>
      <c r="L16" s="51" t="s">
        <v>113</v>
      </c>
      <c r="M16" s="51" t="s">
        <v>113</v>
      </c>
      <c r="N16" s="51" t="s">
        <v>113</v>
      </c>
      <c r="O16" s="51" t="s">
        <v>113</v>
      </c>
      <c r="P16" s="51" t="s">
        <v>113</v>
      </c>
      <c r="Q16" s="51" t="s">
        <v>113</v>
      </c>
      <c r="R16" s="51" t="s">
        <v>113</v>
      </c>
      <c r="S16" s="51" t="s">
        <v>113</v>
      </c>
      <c r="T16" s="51" t="s">
        <v>113</v>
      </c>
      <c r="U16" s="51">
        <v>9</v>
      </c>
      <c r="V16" s="51" t="s">
        <v>113</v>
      </c>
      <c r="W16" s="51">
        <v>1</v>
      </c>
      <c r="X16" s="51" t="s">
        <v>113</v>
      </c>
      <c r="Y16" s="51">
        <v>0</v>
      </c>
      <c r="Z16" s="51" t="s">
        <v>113</v>
      </c>
      <c r="AA16" s="51" t="s">
        <v>113</v>
      </c>
      <c r="AB16" s="51" t="s">
        <v>113</v>
      </c>
      <c r="AC16" s="51" t="s">
        <v>113</v>
      </c>
      <c r="AD16" s="51" t="s">
        <v>113</v>
      </c>
      <c r="AE16" s="51" t="s">
        <v>113</v>
      </c>
      <c r="AF16" s="51" t="s">
        <v>113</v>
      </c>
      <c r="AG16" s="51" t="s">
        <v>113</v>
      </c>
      <c r="AH16" s="51" t="s">
        <v>113</v>
      </c>
      <c r="AI16" s="51" t="s">
        <v>113</v>
      </c>
      <c r="AJ16" s="51" t="s">
        <v>113</v>
      </c>
      <c r="AK16" s="51" t="s">
        <v>113</v>
      </c>
      <c r="AL16" s="51" t="s">
        <v>113</v>
      </c>
      <c r="AM16" s="51" t="s">
        <v>113</v>
      </c>
      <c r="AN16" s="51" t="s">
        <v>113</v>
      </c>
      <c r="AO16" s="51" t="s">
        <v>113</v>
      </c>
      <c r="AP16" s="51" t="s">
        <v>113</v>
      </c>
      <c r="AQ16" s="51" t="s">
        <v>113</v>
      </c>
      <c r="AR16" s="51" t="s">
        <v>113</v>
      </c>
      <c r="AS16" s="51" t="s">
        <v>113</v>
      </c>
      <c r="AT16" s="51" t="s">
        <v>113</v>
      </c>
      <c r="AU16" s="51" t="s">
        <v>113</v>
      </c>
      <c r="AV16" s="51" t="s">
        <v>113</v>
      </c>
      <c r="AW16" s="51" t="s">
        <v>113</v>
      </c>
      <c r="AX16" s="51" t="s">
        <v>113</v>
      </c>
      <c r="AY16" s="51">
        <v>8</v>
      </c>
      <c r="AZ16" s="51" t="s">
        <v>113</v>
      </c>
      <c r="BA16" s="51">
        <v>12</v>
      </c>
      <c r="BB16" s="51" t="s">
        <v>113</v>
      </c>
      <c r="BC16" s="51" t="s">
        <v>113</v>
      </c>
      <c r="BD16" s="51" t="s">
        <v>113</v>
      </c>
      <c r="BE16" s="51">
        <v>0</v>
      </c>
      <c r="BF16" s="51" t="s">
        <v>113</v>
      </c>
      <c r="BG16" s="51" t="s">
        <v>113</v>
      </c>
      <c r="BH16" s="51" t="s">
        <v>113</v>
      </c>
      <c r="BI16" s="51" t="s">
        <v>113</v>
      </c>
      <c r="BJ16" s="51" t="s">
        <v>113</v>
      </c>
      <c r="BK16" s="51" t="s">
        <v>113</v>
      </c>
      <c r="BL16" s="51" t="s">
        <v>113</v>
      </c>
      <c r="BM16" s="51" t="s">
        <v>113</v>
      </c>
    </row>
    <row r="17" spans="1:65" ht="15" customHeight="1" x14ac:dyDescent="0.2">
      <c r="A17" s="51" t="s">
        <v>131</v>
      </c>
      <c r="B17" s="51" t="s">
        <v>113</v>
      </c>
      <c r="C17" s="51">
        <v>11</v>
      </c>
      <c r="D17" s="51" t="s">
        <v>113</v>
      </c>
      <c r="E17" s="51" t="s">
        <v>113</v>
      </c>
      <c r="F17" s="51" t="s">
        <v>113</v>
      </c>
      <c r="G17" s="51">
        <v>3</v>
      </c>
      <c r="H17" s="51" t="s">
        <v>113</v>
      </c>
      <c r="I17" s="51">
        <v>0</v>
      </c>
      <c r="J17" s="51" t="s">
        <v>113</v>
      </c>
      <c r="K17" s="51" t="s">
        <v>113</v>
      </c>
      <c r="L17" s="51" t="s">
        <v>113</v>
      </c>
      <c r="M17" s="51" t="s">
        <v>113</v>
      </c>
      <c r="N17" s="51" t="s">
        <v>113</v>
      </c>
      <c r="O17" s="51" t="s">
        <v>113</v>
      </c>
      <c r="P17" s="51" t="s">
        <v>113</v>
      </c>
      <c r="Q17" s="51" t="s">
        <v>113</v>
      </c>
      <c r="R17" s="51" t="s">
        <v>113</v>
      </c>
      <c r="S17" s="51" t="s">
        <v>113</v>
      </c>
      <c r="T17" s="51" t="s">
        <v>113</v>
      </c>
      <c r="U17" s="51">
        <v>18</v>
      </c>
      <c r="V17" s="51" t="s">
        <v>113</v>
      </c>
      <c r="W17" s="51">
        <v>4</v>
      </c>
      <c r="X17" s="51" t="s">
        <v>113</v>
      </c>
      <c r="Y17" s="51">
        <v>0</v>
      </c>
      <c r="Z17" s="51" t="s">
        <v>113</v>
      </c>
      <c r="AA17" s="51" t="s">
        <v>113</v>
      </c>
      <c r="AB17" s="51" t="s">
        <v>113</v>
      </c>
      <c r="AC17" s="51" t="s">
        <v>113</v>
      </c>
      <c r="AD17" s="51" t="s">
        <v>113</v>
      </c>
      <c r="AE17" s="51" t="s">
        <v>113</v>
      </c>
      <c r="AF17" s="51" t="s">
        <v>113</v>
      </c>
      <c r="AG17" s="51" t="s">
        <v>113</v>
      </c>
      <c r="AH17" s="51" t="s">
        <v>113</v>
      </c>
      <c r="AI17" s="51" t="s">
        <v>113</v>
      </c>
      <c r="AJ17" s="51" t="s">
        <v>113</v>
      </c>
      <c r="AK17" s="51" t="s">
        <v>113</v>
      </c>
      <c r="AL17" s="51" t="s">
        <v>113</v>
      </c>
      <c r="AM17" s="51" t="s">
        <v>113</v>
      </c>
      <c r="AN17" s="51" t="s">
        <v>113</v>
      </c>
      <c r="AO17" s="51" t="s">
        <v>113</v>
      </c>
      <c r="AP17" s="51" t="s">
        <v>113</v>
      </c>
      <c r="AQ17" s="51" t="s">
        <v>113</v>
      </c>
      <c r="AR17" s="51" t="s">
        <v>113</v>
      </c>
      <c r="AS17" s="51" t="s">
        <v>113</v>
      </c>
      <c r="AT17" s="51" t="s">
        <v>113</v>
      </c>
      <c r="AU17" s="51" t="s">
        <v>113</v>
      </c>
      <c r="AV17" s="51" t="s">
        <v>113</v>
      </c>
      <c r="AW17" s="51" t="s">
        <v>113</v>
      </c>
      <c r="AX17" s="51" t="s">
        <v>113</v>
      </c>
      <c r="AY17" s="51">
        <v>3</v>
      </c>
      <c r="AZ17" s="51" t="s">
        <v>113</v>
      </c>
      <c r="BA17" s="51">
        <v>7</v>
      </c>
      <c r="BB17" s="51" t="s">
        <v>113</v>
      </c>
      <c r="BC17" s="51" t="s">
        <v>113</v>
      </c>
      <c r="BD17" s="51" t="s">
        <v>113</v>
      </c>
      <c r="BE17" s="51">
        <v>0</v>
      </c>
      <c r="BF17" s="51" t="s">
        <v>113</v>
      </c>
      <c r="BG17" s="51" t="s">
        <v>113</v>
      </c>
      <c r="BH17" s="51" t="s">
        <v>113</v>
      </c>
      <c r="BI17" s="51" t="s">
        <v>113</v>
      </c>
      <c r="BJ17" s="51" t="s">
        <v>113</v>
      </c>
      <c r="BK17" s="51" t="s">
        <v>113</v>
      </c>
      <c r="BL17" s="51" t="s">
        <v>113</v>
      </c>
      <c r="BM17" s="51" t="s">
        <v>113</v>
      </c>
    </row>
    <row r="18" spans="1:65" ht="15" customHeight="1" x14ac:dyDescent="0.2">
      <c r="A18" s="51" t="s">
        <v>130</v>
      </c>
      <c r="B18" s="51" t="s">
        <v>113</v>
      </c>
      <c r="C18" s="51">
        <v>8</v>
      </c>
      <c r="D18" s="51" t="s">
        <v>113</v>
      </c>
      <c r="E18" s="51" t="s">
        <v>113</v>
      </c>
      <c r="F18" s="51" t="s">
        <v>113</v>
      </c>
      <c r="G18" s="51">
        <v>2</v>
      </c>
      <c r="H18" s="51" t="s">
        <v>113</v>
      </c>
      <c r="I18" s="51">
        <v>0</v>
      </c>
      <c r="J18" s="51" t="s">
        <v>113</v>
      </c>
      <c r="K18" s="51" t="s">
        <v>113</v>
      </c>
      <c r="L18" s="51" t="s">
        <v>113</v>
      </c>
      <c r="M18" s="51" t="s">
        <v>113</v>
      </c>
      <c r="N18" s="51" t="s">
        <v>113</v>
      </c>
      <c r="O18" s="51" t="s">
        <v>113</v>
      </c>
      <c r="P18" s="51" t="s">
        <v>113</v>
      </c>
      <c r="Q18" s="51" t="s">
        <v>113</v>
      </c>
      <c r="R18" s="51" t="s">
        <v>113</v>
      </c>
      <c r="S18" s="51" t="s">
        <v>113</v>
      </c>
      <c r="T18" s="51" t="s">
        <v>113</v>
      </c>
      <c r="U18" s="51">
        <v>19</v>
      </c>
      <c r="V18" s="51" t="s">
        <v>113</v>
      </c>
      <c r="W18" s="51">
        <v>3</v>
      </c>
      <c r="X18" s="51" t="s">
        <v>113</v>
      </c>
      <c r="Y18" s="51">
        <v>0</v>
      </c>
      <c r="Z18" s="51" t="s">
        <v>113</v>
      </c>
      <c r="AA18" s="51" t="s">
        <v>113</v>
      </c>
      <c r="AB18" s="51" t="s">
        <v>113</v>
      </c>
      <c r="AC18" s="51" t="s">
        <v>113</v>
      </c>
      <c r="AD18" s="51" t="s">
        <v>113</v>
      </c>
      <c r="AE18" s="51" t="s">
        <v>113</v>
      </c>
      <c r="AF18" s="51" t="s">
        <v>113</v>
      </c>
      <c r="AG18" s="51" t="s">
        <v>113</v>
      </c>
      <c r="AH18" s="51" t="s">
        <v>113</v>
      </c>
      <c r="AI18" s="51" t="s">
        <v>113</v>
      </c>
      <c r="AJ18" s="51" t="s">
        <v>113</v>
      </c>
      <c r="AK18" s="51" t="s">
        <v>113</v>
      </c>
      <c r="AL18" s="51" t="s">
        <v>113</v>
      </c>
      <c r="AM18" s="51" t="s">
        <v>113</v>
      </c>
      <c r="AN18" s="51" t="s">
        <v>113</v>
      </c>
      <c r="AO18" s="51" t="s">
        <v>113</v>
      </c>
      <c r="AP18" s="51" t="s">
        <v>113</v>
      </c>
      <c r="AQ18" s="51" t="s">
        <v>113</v>
      </c>
      <c r="AR18" s="51" t="s">
        <v>113</v>
      </c>
      <c r="AS18" s="51" t="s">
        <v>113</v>
      </c>
      <c r="AT18" s="51" t="s">
        <v>113</v>
      </c>
      <c r="AU18" s="51" t="s">
        <v>113</v>
      </c>
      <c r="AV18" s="51" t="s">
        <v>113</v>
      </c>
      <c r="AW18" s="51" t="s">
        <v>113</v>
      </c>
      <c r="AX18" s="51" t="s">
        <v>113</v>
      </c>
      <c r="AY18" s="51">
        <v>9</v>
      </c>
      <c r="AZ18" s="51" t="s">
        <v>113</v>
      </c>
      <c r="BA18" s="51">
        <v>9</v>
      </c>
      <c r="BB18" s="51" t="s">
        <v>113</v>
      </c>
      <c r="BC18" s="51" t="s">
        <v>113</v>
      </c>
      <c r="BD18" s="51" t="s">
        <v>113</v>
      </c>
      <c r="BE18" s="51">
        <v>0</v>
      </c>
      <c r="BF18" s="51" t="s">
        <v>113</v>
      </c>
      <c r="BG18" s="51" t="s">
        <v>113</v>
      </c>
      <c r="BH18" s="51" t="s">
        <v>113</v>
      </c>
      <c r="BI18" s="51" t="s">
        <v>113</v>
      </c>
      <c r="BJ18" s="51" t="s">
        <v>113</v>
      </c>
      <c r="BK18" s="51" t="s">
        <v>113</v>
      </c>
      <c r="BL18" s="51" t="s">
        <v>113</v>
      </c>
      <c r="BM18" s="51" t="s">
        <v>113</v>
      </c>
    </row>
    <row r="19" spans="1:65" ht="15" customHeight="1" x14ac:dyDescent="0.2">
      <c r="A19" s="51" t="s">
        <v>129</v>
      </c>
      <c r="B19" s="51" t="s">
        <v>113</v>
      </c>
      <c r="C19" s="51">
        <v>8</v>
      </c>
      <c r="D19" s="51" t="s">
        <v>113</v>
      </c>
      <c r="E19" s="51" t="s">
        <v>113</v>
      </c>
      <c r="F19" s="51" t="s">
        <v>113</v>
      </c>
      <c r="G19" s="51">
        <v>9</v>
      </c>
      <c r="H19" s="51" t="s">
        <v>113</v>
      </c>
      <c r="I19" s="51">
        <v>0</v>
      </c>
      <c r="J19" s="51" t="s">
        <v>113</v>
      </c>
      <c r="K19" s="51" t="s">
        <v>113</v>
      </c>
      <c r="L19" s="51" t="s">
        <v>113</v>
      </c>
      <c r="M19" s="51" t="s">
        <v>113</v>
      </c>
      <c r="N19" s="51" t="s">
        <v>113</v>
      </c>
      <c r="O19" s="51" t="s">
        <v>113</v>
      </c>
      <c r="P19" s="51" t="s">
        <v>113</v>
      </c>
      <c r="Q19" s="51" t="s">
        <v>113</v>
      </c>
      <c r="R19" s="51" t="s">
        <v>113</v>
      </c>
      <c r="S19" s="51" t="s">
        <v>113</v>
      </c>
      <c r="T19" s="51" t="s">
        <v>113</v>
      </c>
      <c r="U19" s="51">
        <v>10</v>
      </c>
      <c r="V19" s="51" t="s">
        <v>113</v>
      </c>
      <c r="W19" s="51">
        <v>1</v>
      </c>
      <c r="X19" s="51" t="s">
        <v>113</v>
      </c>
      <c r="Y19" s="51">
        <v>0</v>
      </c>
      <c r="Z19" s="51" t="s">
        <v>113</v>
      </c>
      <c r="AA19" s="51" t="s">
        <v>113</v>
      </c>
      <c r="AB19" s="51" t="s">
        <v>113</v>
      </c>
      <c r="AC19" s="51" t="s">
        <v>113</v>
      </c>
      <c r="AD19" s="51" t="s">
        <v>113</v>
      </c>
      <c r="AE19" s="51" t="s">
        <v>113</v>
      </c>
      <c r="AF19" s="51" t="s">
        <v>113</v>
      </c>
      <c r="AG19" s="51" t="s">
        <v>113</v>
      </c>
      <c r="AH19" s="51" t="s">
        <v>113</v>
      </c>
      <c r="AI19" s="51" t="s">
        <v>113</v>
      </c>
      <c r="AJ19" s="51" t="s">
        <v>113</v>
      </c>
      <c r="AK19" s="51" t="s">
        <v>113</v>
      </c>
      <c r="AL19" s="51" t="s">
        <v>113</v>
      </c>
      <c r="AM19" s="51" t="s">
        <v>113</v>
      </c>
      <c r="AN19" s="51" t="s">
        <v>113</v>
      </c>
      <c r="AO19" s="51" t="s">
        <v>113</v>
      </c>
      <c r="AP19" s="51" t="s">
        <v>113</v>
      </c>
      <c r="AQ19" s="51" t="s">
        <v>113</v>
      </c>
      <c r="AR19" s="51" t="s">
        <v>113</v>
      </c>
      <c r="AS19" s="51" t="s">
        <v>113</v>
      </c>
      <c r="AT19" s="51" t="s">
        <v>113</v>
      </c>
      <c r="AU19" s="51" t="s">
        <v>113</v>
      </c>
      <c r="AV19" s="51" t="s">
        <v>113</v>
      </c>
      <c r="AW19" s="51" t="s">
        <v>113</v>
      </c>
      <c r="AX19" s="51" t="s">
        <v>113</v>
      </c>
      <c r="AY19" s="51">
        <v>3</v>
      </c>
      <c r="AZ19" s="51" t="s">
        <v>113</v>
      </c>
      <c r="BA19" s="51">
        <v>11</v>
      </c>
      <c r="BB19" s="51" t="s">
        <v>113</v>
      </c>
      <c r="BC19" s="51" t="s">
        <v>113</v>
      </c>
      <c r="BD19" s="51" t="s">
        <v>113</v>
      </c>
      <c r="BE19" s="51">
        <v>0</v>
      </c>
      <c r="BF19" s="51" t="s">
        <v>113</v>
      </c>
      <c r="BG19" s="51" t="s">
        <v>113</v>
      </c>
      <c r="BH19" s="51" t="s">
        <v>113</v>
      </c>
      <c r="BI19" s="51" t="s">
        <v>113</v>
      </c>
      <c r="BJ19" s="51" t="s">
        <v>113</v>
      </c>
      <c r="BK19" s="51" t="s">
        <v>113</v>
      </c>
      <c r="BL19" s="51" t="s">
        <v>113</v>
      </c>
      <c r="BM19" s="51" t="s">
        <v>113</v>
      </c>
    </row>
    <row r="20" spans="1:65" ht="15" customHeight="1" x14ac:dyDescent="0.2">
      <c r="A20" s="51" t="s">
        <v>128</v>
      </c>
      <c r="B20" s="51" t="s">
        <v>113</v>
      </c>
      <c r="C20" s="51">
        <v>9</v>
      </c>
      <c r="D20" s="51" t="s">
        <v>113</v>
      </c>
      <c r="E20" s="51" t="s">
        <v>113</v>
      </c>
      <c r="F20" s="51" t="s">
        <v>113</v>
      </c>
      <c r="G20" s="51">
        <v>2</v>
      </c>
      <c r="H20" s="51" t="s">
        <v>113</v>
      </c>
      <c r="I20" s="51">
        <v>0</v>
      </c>
      <c r="J20" s="51" t="s">
        <v>113</v>
      </c>
      <c r="K20" s="51" t="s">
        <v>113</v>
      </c>
      <c r="L20" s="51" t="s">
        <v>113</v>
      </c>
      <c r="M20" s="51" t="s">
        <v>113</v>
      </c>
      <c r="N20" s="51" t="s">
        <v>113</v>
      </c>
      <c r="O20" s="51" t="s">
        <v>113</v>
      </c>
      <c r="P20" s="51" t="s">
        <v>113</v>
      </c>
      <c r="Q20" s="51" t="s">
        <v>113</v>
      </c>
      <c r="R20" s="51" t="s">
        <v>113</v>
      </c>
      <c r="S20" s="51" t="s">
        <v>113</v>
      </c>
      <c r="T20" s="51" t="s">
        <v>113</v>
      </c>
      <c r="U20" s="51">
        <v>16</v>
      </c>
      <c r="V20" s="51" t="s">
        <v>113</v>
      </c>
      <c r="W20" s="51">
        <v>7</v>
      </c>
      <c r="X20" s="51" t="s">
        <v>113</v>
      </c>
      <c r="Y20" s="51">
        <v>0</v>
      </c>
      <c r="Z20" s="51" t="s">
        <v>113</v>
      </c>
      <c r="AA20" s="51" t="s">
        <v>113</v>
      </c>
      <c r="AB20" s="51" t="s">
        <v>113</v>
      </c>
      <c r="AC20" s="51" t="s">
        <v>113</v>
      </c>
      <c r="AD20" s="51" t="s">
        <v>113</v>
      </c>
      <c r="AE20" s="51" t="s">
        <v>113</v>
      </c>
      <c r="AF20" s="51" t="s">
        <v>113</v>
      </c>
      <c r="AG20" s="51" t="s">
        <v>113</v>
      </c>
      <c r="AH20" s="51" t="s">
        <v>113</v>
      </c>
      <c r="AI20" s="51" t="s">
        <v>113</v>
      </c>
      <c r="AJ20" s="51" t="s">
        <v>113</v>
      </c>
      <c r="AK20" s="51" t="s">
        <v>113</v>
      </c>
      <c r="AL20" s="51" t="s">
        <v>113</v>
      </c>
      <c r="AM20" s="51" t="s">
        <v>113</v>
      </c>
      <c r="AN20" s="51" t="s">
        <v>113</v>
      </c>
      <c r="AO20" s="51" t="s">
        <v>113</v>
      </c>
      <c r="AP20" s="51" t="s">
        <v>113</v>
      </c>
      <c r="AQ20" s="51" t="s">
        <v>113</v>
      </c>
      <c r="AR20" s="51" t="s">
        <v>113</v>
      </c>
      <c r="AS20" s="51" t="s">
        <v>113</v>
      </c>
      <c r="AT20" s="51" t="s">
        <v>113</v>
      </c>
      <c r="AU20" s="51" t="s">
        <v>113</v>
      </c>
      <c r="AV20" s="51" t="s">
        <v>113</v>
      </c>
      <c r="AW20" s="51" t="s">
        <v>113</v>
      </c>
      <c r="AX20" s="51" t="s">
        <v>113</v>
      </c>
      <c r="AY20" s="51">
        <v>3</v>
      </c>
      <c r="AZ20" s="51" t="s">
        <v>113</v>
      </c>
      <c r="BA20" s="51">
        <v>11</v>
      </c>
      <c r="BB20" s="51" t="s">
        <v>113</v>
      </c>
      <c r="BC20" s="51" t="s">
        <v>113</v>
      </c>
      <c r="BD20" s="51" t="s">
        <v>113</v>
      </c>
      <c r="BE20" s="51">
        <v>0</v>
      </c>
      <c r="BF20" s="51" t="s">
        <v>113</v>
      </c>
      <c r="BG20" s="51" t="s">
        <v>113</v>
      </c>
      <c r="BH20" s="51" t="s">
        <v>113</v>
      </c>
      <c r="BI20" s="51" t="s">
        <v>113</v>
      </c>
      <c r="BJ20" s="51" t="s">
        <v>113</v>
      </c>
      <c r="BK20" s="51" t="s">
        <v>113</v>
      </c>
      <c r="BL20" s="51" t="s">
        <v>113</v>
      </c>
      <c r="BM20" s="51" t="s">
        <v>113</v>
      </c>
    </row>
    <row r="21" spans="1:65" ht="15" customHeight="1" x14ac:dyDescent="0.2">
      <c r="A21" s="51" t="s">
        <v>127</v>
      </c>
      <c r="B21" s="51" t="s">
        <v>113</v>
      </c>
      <c r="C21" s="51">
        <v>7</v>
      </c>
      <c r="D21" s="51" t="s">
        <v>113</v>
      </c>
      <c r="E21" s="51" t="s">
        <v>113</v>
      </c>
      <c r="F21" s="51" t="s">
        <v>113</v>
      </c>
      <c r="G21" s="51">
        <v>4</v>
      </c>
      <c r="H21" s="51" t="s">
        <v>113</v>
      </c>
      <c r="I21" s="51">
        <v>0</v>
      </c>
      <c r="J21" s="51" t="s">
        <v>113</v>
      </c>
      <c r="K21" s="51" t="s">
        <v>113</v>
      </c>
      <c r="L21" s="51" t="s">
        <v>113</v>
      </c>
      <c r="M21" s="51" t="s">
        <v>113</v>
      </c>
      <c r="N21" s="51" t="s">
        <v>113</v>
      </c>
      <c r="O21" s="51" t="s">
        <v>113</v>
      </c>
      <c r="P21" s="51" t="s">
        <v>113</v>
      </c>
      <c r="Q21" s="51" t="s">
        <v>113</v>
      </c>
      <c r="R21" s="51" t="s">
        <v>113</v>
      </c>
      <c r="S21" s="51" t="s">
        <v>113</v>
      </c>
      <c r="T21" s="51" t="s">
        <v>113</v>
      </c>
      <c r="U21" s="51">
        <v>11</v>
      </c>
      <c r="V21" s="51" t="s">
        <v>113</v>
      </c>
      <c r="W21" s="51">
        <v>0</v>
      </c>
      <c r="X21" s="51" t="s">
        <v>113</v>
      </c>
      <c r="Y21" s="51">
        <v>0</v>
      </c>
      <c r="Z21" s="51" t="s">
        <v>113</v>
      </c>
      <c r="AA21" s="51" t="s">
        <v>113</v>
      </c>
      <c r="AB21" s="51" t="s">
        <v>113</v>
      </c>
      <c r="AC21" s="51" t="s">
        <v>113</v>
      </c>
      <c r="AD21" s="51" t="s">
        <v>113</v>
      </c>
      <c r="AE21" s="51" t="s">
        <v>113</v>
      </c>
      <c r="AF21" s="51" t="s">
        <v>113</v>
      </c>
      <c r="AG21" s="51" t="s">
        <v>113</v>
      </c>
      <c r="AH21" s="51" t="s">
        <v>113</v>
      </c>
      <c r="AI21" s="51" t="s">
        <v>113</v>
      </c>
      <c r="AJ21" s="51" t="s">
        <v>113</v>
      </c>
      <c r="AK21" s="51" t="s">
        <v>113</v>
      </c>
      <c r="AL21" s="51" t="s">
        <v>113</v>
      </c>
      <c r="AM21" s="51" t="s">
        <v>113</v>
      </c>
      <c r="AN21" s="51" t="s">
        <v>113</v>
      </c>
      <c r="AO21" s="51" t="s">
        <v>113</v>
      </c>
      <c r="AP21" s="51" t="s">
        <v>113</v>
      </c>
      <c r="AQ21" s="51" t="s">
        <v>113</v>
      </c>
      <c r="AR21" s="51" t="s">
        <v>113</v>
      </c>
      <c r="AS21" s="51" t="s">
        <v>113</v>
      </c>
      <c r="AT21" s="51" t="s">
        <v>113</v>
      </c>
      <c r="AU21" s="51" t="s">
        <v>113</v>
      </c>
      <c r="AV21" s="51" t="s">
        <v>113</v>
      </c>
      <c r="AW21" s="51" t="s">
        <v>113</v>
      </c>
      <c r="AX21" s="51" t="s">
        <v>113</v>
      </c>
      <c r="AY21" s="51">
        <v>6</v>
      </c>
      <c r="AZ21" s="51" t="s">
        <v>113</v>
      </c>
      <c r="BA21" s="51">
        <v>12</v>
      </c>
      <c r="BB21" s="51" t="s">
        <v>113</v>
      </c>
      <c r="BC21" s="51" t="s">
        <v>113</v>
      </c>
      <c r="BD21" s="51" t="s">
        <v>113</v>
      </c>
      <c r="BE21" s="51">
        <v>0</v>
      </c>
      <c r="BF21" s="51" t="s">
        <v>113</v>
      </c>
      <c r="BG21" s="51" t="s">
        <v>113</v>
      </c>
      <c r="BH21" s="51" t="s">
        <v>113</v>
      </c>
      <c r="BI21" s="51" t="s">
        <v>113</v>
      </c>
      <c r="BJ21" s="51" t="s">
        <v>113</v>
      </c>
      <c r="BK21" s="51" t="s">
        <v>113</v>
      </c>
      <c r="BL21" s="51" t="s">
        <v>113</v>
      </c>
      <c r="BM21" s="51" t="s">
        <v>113</v>
      </c>
    </row>
    <row r="22" spans="1:65" ht="15" customHeight="1" x14ac:dyDescent="0.2">
      <c r="A22" s="51" t="s">
        <v>126</v>
      </c>
      <c r="B22" s="51" t="s">
        <v>113</v>
      </c>
      <c r="C22" s="51">
        <v>9</v>
      </c>
      <c r="D22" s="51" t="s">
        <v>113</v>
      </c>
      <c r="E22" s="51" t="s">
        <v>113</v>
      </c>
      <c r="F22" s="51" t="s">
        <v>113</v>
      </c>
      <c r="G22" s="51">
        <v>4</v>
      </c>
      <c r="H22" s="51" t="s">
        <v>113</v>
      </c>
      <c r="I22" s="51">
        <v>0</v>
      </c>
      <c r="J22" s="51" t="s">
        <v>113</v>
      </c>
      <c r="K22" s="51" t="s">
        <v>113</v>
      </c>
      <c r="L22" s="51" t="s">
        <v>113</v>
      </c>
      <c r="M22" s="51" t="s">
        <v>113</v>
      </c>
      <c r="N22" s="51" t="s">
        <v>113</v>
      </c>
      <c r="O22" s="51" t="s">
        <v>113</v>
      </c>
      <c r="P22" s="51" t="s">
        <v>113</v>
      </c>
      <c r="Q22" s="51" t="s">
        <v>113</v>
      </c>
      <c r="R22" s="51" t="s">
        <v>113</v>
      </c>
      <c r="S22" s="51" t="s">
        <v>113</v>
      </c>
      <c r="T22" s="51" t="s">
        <v>113</v>
      </c>
      <c r="U22" s="51">
        <v>20</v>
      </c>
      <c r="V22" s="51" t="s">
        <v>113</v>
      </c>
      <c r="W22" s="51">
        <v>7</v>
      </c>
      <c r="X22" s="51" t="s">
        <v>113</v>
      </c>
      <c r="Y22" s="51">
        <v>0</v>
      </c>
      <c r="Z22" s="51" t="s">
        <v>113</v>
      </c>
      <c r="AA22" s="51" t="s">
        <v>113</v>
      </c>
      <c r="AB22" s="51" t="s">
        <v>113</v>
      </c>
      <c r="AC22" s="51" t="s">
        <v>113</v>
      </c>
      <c r="AD22" s="51" t="s">
        <v>113</v>
      </c>
      <c r="AE22" s="51" t="s">
        <v>113</v>
      </c>
      <c r="AF22" s="51" t="s">
        <v>113</v>
      </c>
      <c r="AG22" s="51" t="s">
        <v>113</v>
      </c>
      <c r="AH22" s="51" t="s">
        <v>113</v>
      </c>
      <c r="AI22" s="51" t="s">
        <v>113</v>
      </c>
      <c r="AJ22" s="51" t="s">
        <v>113</v>
      </c>
      <c r="AK22" s="51" t="s">
        <v>113</v>
      </c>
      <c r="AL22" s="51" t="s">
        <v>113</v>
      </c>
      <c r="AM22" s="51" t="s">
        <v>113</v>
      </c>
      <c r="AN22" s="51" t="s">
        <v>113</v>
      </c>
      <c r="AO22" s="51" t="s">
        <v>113</v>
      </c>
      <c r="AP22" s="51" t="s">
        <v>113</v>
      </c>
      <c r="AQ22" s="51" t="s">
        <v>113</v>
      </c>
      <c r="AR22" s="51" t="s">
        <v>113</v>
      </c>
      <c r="AS22" s="51" t="s">
        <v>113</v>
      </c>
      <c r="AT22" s="51" t="s">
        <v>113</v>
      </c>
      <c r="AU22" s="51" t="s">
        <v>113</v>
      </c>
      <c r="AV22" s="51" t="s">
        <v>113</v>
      </c>
      <c r="AW22" s="51" t="s">
        <v>113</v>
      </c>
      <c r="AX22" s="51" t="s">
        <v>113</v>
      </c>
      <c r="AY22" s="51">
        <v>5</v>
      </c>
      <c r="AZ22" s="51" t="s">
        <v>113</v>
      </c>
      <c r="BA22" s="51">
        <v>7</v>
      </c>
      <c r="BB22" s="51" t="s">
        <v>113</v>
      </c>
      <c r="BC22" s="51" t="s">
        <v>113</v>
      </c>
      <c r="BD22" s="51" t="s">
        <v>113</v>
      </c>
      <c r="BE22" s="51">
        <v>0</v>
      </c>
      <c r="BF22" s="51" t="s">
        <v>113</v>
      </c>
      <c r="BG22" s="51" t="s">
        <v>113</v>
      </c>
      <c r="BH22" s="51" t="s">
        <v>113</v>
      </c>
      <c r="BI22" s="51" t="s">
        <v>113</v>
      </c>
      <c r="BJ22" s="51" t="s">
        <v>113</v>
      </c>
      <c r="BK22" s="51" t="s">
        <v>113</v>
      </c>
      <c r="BL22" s="51" t="s">
        <v>113</v>
      </c>
      <c r="BM22" s="51" t="s">
        <v>113</v>
      </c>
    </row>
    <row r="23" spans="1:65" ht="15" customHeight="1" x14ac:dyDescent="0.2">
      <c r="A23" s="51" t="s">
        <v>125</v>
      </c>
      <c r="B23" s="51" t="s">
        <v>113</v>
      </c>
      <c r="C23" s="51">
        <v>13</v>
      </c>
      <c r="D23" s="51" t="s">
        <v>113</v>
      </c>
      <c r="E23" s="51" t="s">
        <v>113</v>
      </c>
      <c r="F23" s="51" t="s">
        <v>113</v>
      </c>
      <c r="G23" s="51">
        <v>3</v>
      </c>
      <c r="H23" s="51" t="s">
        <v>113</v>
      </c>
      <c r="I23" s="51">
        <v>0</v>
      </c>
      <c r="J23" s="51" t="s">
        <v>113</v>
      </c>
      <c r="K23" s="51" t="s">
        <v>113</v>
      </c>
      <c r="L23" s="51" t="s">
        <v>113</v>
      </c>
      <c r="M23" s="51" t="s">
        <v>113</v>
      </c>
      <c r="N23" s="51" t="s">
        <v>113</v>
      </c>
      <c r="O23" s="51" t="s">
        <v>113</v>
      </c>
      <c r="P23" s="51" t="s">
        <v>113</v>
      </c>
      <c r="Q23" s="51" t="s">
        <v>113</v>
      </c>
      <c r="R23" s="51" t="s">
        <v>113</v>
      </c>
      <c r="S23" s="51" t="s">
        <v>113</v>
      </c>
      <c r="T23" s="51" t="s">
        <v>113</v>
      </c>
      <c r="U23" s="51">
        <v>16</v>
      </c>
      <c r="V23" s="51" t="s">
        <v>113</v>
      </c>
      <c r="W23" s="51">
        <v>8</v>
      </c>
      <c r="X23" s="51" t="s">
        <v>113</v>
      </c>
      <c r="Y23" s="51">
        <v>0</v>
      </c>
      <c r="Z23" s="51" t="s">
        <v>113</v>
      </c>
      <c r="AA23" s="51" t="s">
        <v>113</v>
      </c>
      <c r="AB23" s="51" t="s">
        <v>113</v>
      </c>
      <c r="AC23" s="51" t="s">
        <v>113</v>
      </c>
      <c r="AD23" s="51" t="s">
        <v>113</v>
      </c>
      <c r="AE23" s="51" t="s">
        <v>113</v>
      </c>
      <c r="AF23" s="51" t="s">
        <v>113</v>
      </c>
      <c r="AG23" s="51" t="s">
        <v>113</v>
      </c>
      <c r="AH23" s="51" t="s">
        <v>113</v>
      </c>
      <c r="AI23" s="51" t="s">
        <v>113</v>
      </c>
      <c r="AJ23" s="51" t="s">
        <v>113</v>
      </c>
      <c r="AK23" s="51" t="s">
        <v>113</v>
      </c>
      <c r="AL23" s="51" t="s">
        <v>113</v>
      </c>
      <c r="AM23" s="51" t="s">
        <v>113</v>
      </c>
      <c r="AN23" s="51" t="s">
        <v>113</v>
      </c>
      <c r="AO23" s="51" t="s">
        <v>113</v>
      </c>
      <c r="AP23" s="51" t="s">
        <v>113</v>
      </c>
      <c r="AQ23" s="51" t="s">
        <v>113</v>
      </c>
      <c r="AR23" s="51" t="s">
        <v>113</v>
      </c>
      <c r="AS23" s="51" t="s">
        <v>113</v>
      </c>
      <c r="AT23" s="51" t="s">
        <v>113</v>
      </c>
      <c r="AU23" s="51" t="s">
        <v>113</v>
      </c>
      <c r="AV23" s="51" t="s">
        <v>113</v>
      </c>
      <c r="AW23" s="51" t="s">
        <v>113</v>
      </c>
      <c r="AX23" s="51" t="s">
        <v>113</v>
      </c>
      <c r="AY23" s="51">
        <v>13</v>
      </c>
      <c r="AZ23" s="51" t="s">
        <v>113</v>
      </c>
      <c r="BA23" s="51">
        <v>8</v>
      </c>
      <c r="BB23" s="51" t="s">
        <v>113</v>
      </c>
      <c r="BC23" s="51" t="s">
        <v>113</v>
      </c>
      <c r="BD23" s="51" t="s">
        <v>113</v>
      </c>
      <c r="BE23" s="51">
        <v>0</v>
      </c>
      <c r="BF23" s="51" t="s">
        <v>113</v>
      </c>
      <c r="BG23" s="51" t="s">
        <v>113</v>
      </c>
      <c r="BH23" s="51" t="s">
        <v>113</v>
      </c>
      <c r="BI23" s="51" t="s">
        <v>113</v>
      </c>
      <c r="BJ23" s="51" t="s">
        <v>113</v>
      </c>
      <c r="BK23" s="51" t="s">
        <v>113</v>
      </c>
      <c r="BL23" s="51" t="s">
        <v>113</v>
      </c>
      <c r="BM23" s="51" t="s">
        <v>113</v>
      </c>
    </row>
    <row r="24" spans="1:65" ht="15" customHeight="1" x14ac:dyDescent="0.2">
      <c r="A24" s="51" t="s">
        <v>124</v>
      </c>
      <c r="B24" s="51" t="s">
        <v>113</v>
      </c>
      <c r="C24" s="51">
        <v>9</v>
      </c>
      <c r="D24" s="51" t="s">
        <v>113</v>
      </c>
      <c r="E24" s="51" t="s">
        <v>113</v>
      </c>
      <c r="F24" s="51" t="s">
        <v>113</v>
      </c>
      <c r="G24" s="51">
        <v>8</v>
      </c>
      <c r="H24" s="51" t="s">
        <v>113</v>
      </c>
      <c r="I24" s="51">
        <v>0</v>
      </c>
      <c r="J24" s="51" t="s">
        <v>113</v>
      </c>
      <c r="K24" s="51" t="s">
        <v>113</v>
      </c>
      <c r="L24" s="51" t="s">
        <v>113</v>
      </c>
      <c r="M24" s="51" t="s">
        <v>113</v>
      </c>
      <c r="N24" s="51" t="s">
        <v>113</v>
      </c>
      <c r="O24" s="51" t="s">
        <v>113</v>
      </c>
      <c r="P24" s="51" t="s">
        <v>113</v>
      </c>
      <c r="Q24" s="51" t="s">
        <v>113</v>
      </c>
      <c r="R24" s="51" t="s">
        <v>113</v>
      </c>
      <c r="S24" s="51" t="s">
        <v>113</v>
      </c>
      <c r="T24" s="51" t="s">
        <v>113</v>
      </c>
      <c r="U24" s="51">
        <v>12</v>
      </c>
      <c r="V24" s="51" t="s">
        <v>113</v>
      </c>
      <c r="W24" s="51">
        <v>6</v>
      </c>
      <c r="X24" s="51" t="s">
        <v>113</v>
      </c>
      <c r="Y24" s="51">
        <v>0</v>
      </c>
      <c r="Z24" s="51" t="s">
        <v>113</v>
      </c>
      <c r="AA24" s="51" t="s">
        <v>113</v>
      </c>
      <c r="AB24" s="51" t="s">
        <v>113</v>
      </c>
      <c r="AC24" s="51" t="s">
        <v>113</v>
      </c>
      <c r="AD24" s="51" t="s">
        <v>113</v>
      </c>
      <c r="AE24" s="51" t="s">
        <v>113</v>
      </c>
      <c r="AF24" s="51" t="s">
        <v>113</v>
      </c>
      <c r="AG24" s="51" t="s">
        <v>113</v>
      </c>
      <c r="AH24" s="51" t="s">
        <v>113</v>
      </c>
      <c r="AI24" s="51" t="s">
        <v>113</v>
      </c>
      <c r="AJ24" s="51" t="s">
        <v>113</v>
      </c>
      <c r="AK24" s="51" t="s">
        <v>113</v>
      </c>
      <c r="AL24" s="51" t="s">
        <v>113</v>
      </c>
      <c r="AM24" s="51" t="s">
        <v>113</v>
      </c>
      <c r="AN24" s="51" t="s">
        <v>113</v>
      </c>
      <c r="AO24" s="51" t="s">
        <v>113</v>
      </c>
      <c r="AP24" s="51" t="s">
        <v>113</v>
      </c>
      <c r="AQ24" s="51" t="s">
        <v>113</v>
      </c>
      <c r="AR24" s="51" t="s">
        <v>113</v>
      </c>
      <c r="AS24" s="51" t="s">
        <v>113</v>
      </c>
      <c r="AT24" s="51" t="s">
        <v>113</v>
      </c>
      <c r="AU24" s="51" t="s">
        <v>113</v>
      </c>
      <c r="AV24" s="51" t="s">
        <v>113</v>
      </c>
      <c r="AW24" s="51" t="s">
        <v>113</v>
      </c>
      <c r="AX24" s="51" t="s">
        <v>113</v>
      </c>
      <c r="AY24" s="51">
        <v>6</v>
      </c>
      <c r="AZ24" s="51" t="s">
        <v>113</v>
      </c>
      <c r="BA24" s="51">
        <v>15</v>
      </c>
      <c r="BB24" s="51" t="s">
        <v>113</v>
      </c>
      <c r="BC24" s="51" t="s">
        <v>113</v>
      </c>
      <c r="BD24" s="51" t="s">
        <v>113</v>
      </c>
      <c r="BE24" s="51">
        <v>0</v>
      </c>
      <c r="BF24" s="51" t="s">
        <v>113</v>
      </c>
      <c r="BG24" s="51" t="s">
        <v>113</v>
      </c>
      <c r="BH24" s="51" t="s">
        <v>113</v>
      </c>
      <c r="BI24" s="51" t="s">
        <v>113</v>
      </c>
      <c r="BJ24" s="51" t="s">
        <v>113</v>
      </c>
      <c r="BK24" s="51" t="s">
        <v>113</v>
      </c>
      <c r="BL24" s="51" t="s">
        <v>113</v>
      </c>
      <c r="BM24" s="51" t="s">
        <v>113</v>
      </c>
    </row>
    <row r="25" spans="1:65" ht="15" customHeight="1" x14ac:dyDescent="0.2">
      <c r="A25" s="51" t="s">
        <v>123</v>
      </c>
      <c r="B25" s="51" t="s">
        <v>113</v>
      </c>
      <c r="C25" s="51">
        <v>11</v>
      </c>
      <c r="D25" s="51" t="s">
        <v>113</v>
      </c>
      <c r="E25" s="51" t="s">
        <v>113</v>
      </c>
      <c r="F25" s="51" t="s">
        <v>113</v>
      </c>
      <c r="G25" s="51">
        <v>7</v>
      </c>
      <c r="H25" s="51" t="s">
        <v>113</v>
      </c>
      <c r="I25" s="51">
        <v>0</v>
      </c>
      <c r="J25" s="51" t="s">
        <v>113</v>
      </c>
      <c r="K25" s="51" t="s">
        <v>113</v>
      </c>
      <c r="L25" s="51" t="s">
        <v>113</v>
      </c>
      <c r="M25" s="51" t="s">
        <v>113</v>
      </c>
      <c r="N25" s="51" t="s">
        <v>113</v>
      </c>
      <c r="O25" s="51" t="s">
        <v>113</v>
      </c>
      <c r="P25" s="51" t="s">
        <v>113</v>
      </c>
      <c r="Q25" s="51" t="s">
        <v>113</v>
      </c>
      <c r="R25" s="51" t="s">
        <v>113</v>
      </c>
      <c r="S25" s="51" t="s">
        <v>113</v>
      </c>
      <c r="T25" s="51" t="s">
        <v>113</v>
      </c>
      <c r="U25" s="51">
        <v>15</v>
      </c>
      <c r="V25" s="51" t="s">
        <v>113</v>
      </c>
      <c r="W25" s="51">
        <v>7</v>
      </c>
      <c r="X25" s="51" t="s">
        <v>113</v>
      </c>
      <c r="Y25" s="51">
        <v>0</v>
      </c>
      <c r="Z25" s="51" t="s">
        <v>113</v>
      </c>
      <c r="AA25" s="51" t="s">
        <v>113</v>
      </c>
      <c r="AB25" s="51" t="s">
        <v>113</v>
      </c>
      <c r="AC25" s="51" t="s">
        <v>113</v>
      </c>
      <c r="AD25" s="51" t="s">
        <v>113</v>
      </c>
      <c r="AE25" s="51" t="s">
        <v>113</v>
      </c>
      <c r="AF25" s="51" t="s">
        <v>113</v>
      </c>
      <c r="AG25" s="51" t="s">
        <v>113</v>
      </c>
      <c r="AH25" s="51" t="s">
        <v>113</v>
      </c>
      <c r="AI25" s="51" t="s">
        <v>113</v>
      </c>
      <c r="AJ25" s="51" t="s">
        <v>113</v>
      </c>
      <c r="AK25" s="51" t="s">
        <v>113</v>
      </c>
      <c r="AL25" s="51" t="s">
        <v>113</v>
      </c>
      <c r="AM25" s="51" t="s">
        <v>113</v>
      </c>
      <c r="AN25" s="51" t="s">
        <v>113</v>
      </c>
      <c r="AO25" s="51" t="s">
        <v>113</v>
      </c>
      <c r="AP25" s="51" t="s">
        <v>113</v>
      </c>
      <c r="AQ25" s="51" t="s">
        <v>113</v>
      </c>
      <c r="AR25" s="51" t="s">
        <v>113</v>
      </c>
      <c r="AS25" s="51" t="s">
        <v>113</v>
      </c>
      <c r="AT25" s="51" t="s">
        <v>113</v>
      </c>
      <c r="AU25" s="51" t="s">
        <v>113</v>
      </c>
      <c r="AV25" s="51" t="s">
        <v>113</v>
      </c>
      <c r="AW25" s="51" t="s">
        <v>113</v>
      </c>
      <c r="AX25" s="51" t="s">
        <v>113</v>
      </c>
      <c r="AY25" s="51">
        <v>9</v>
      </c>
      <c r="AZ25" s="51" t="s">
        <v>113</v>
      </c>
      <c r="BA25" s="51">
        <v>13</v>
      </c>
      <c r="BB25" s="51" t="s">
        <v>113</v>
      </c>
      <c r="BC25" s="51" t="s">
        <v>113</v>
      </c>
      <c r="BD25" s="51" t="s">
        <v>113</v>
      </c>
      <c r="BE25" s="51">
        <v>0</v>
      </c>
      <c r="BF25" s="51" t="s">
        <v>113</v>
      </c>
      <c r="BG25" s="51" t="s">
        <v>113</v>
      </c>
      <c r="BH25" s="51" t="s">
        <v>113</v>
      </c>
      <c r="BI25" s="51" t="s">
        <v>113</v>
      </c>
      <c r="BJ25" s="51" t="s">
        <v>113</v>
      </c>
      <c r="BK25" s="51" t="s">
        <v>113</v>
      </c>
      <c r="BL25" s="51" t="s">
        <v>113</v>
      </c>
      <c r="BM25" s="51" t="s">
        <v>113</v>
      </c>
    </row>
    <row r="26" spans="1:65" ht="15" customHeight="1" x14ac:dyDescent="0.2">
      <c r="A26" s="51" t="s">
        <v>122</v>
      </c>
      <c r="B26" s="51" t="s">
        <v>113</v>
      </c>
      <c r="C26" s="51">
        <v>10</v>
      </c>
      <c r="D26" s="51" t="s">
        <v>113</v>
      </c>
      <c r="E26" s="51" t="s">
        <v>113</v>
      </c>
      <c r="F26" s="51" t="s">
        <v>113</v>
      </c>
      <c r="G26" s="51">
        <v>6</v>
      </c>
      <c r="H26" s="51" t="s">
        <v>113</v>
      </c>
      <c r="I26" s="51">
        <v>0</v>
      </c>
      <c r="J26" s="51" t="s">
        <v>113</v>
      </c>
      <c r="K26" s="51" t="s">
        <v>113</v>
      </c>
      <c r="L26" s="51" t="s">
        <v>113</v>
      </c>
      <c r="M26" s="51" t="s">
        <v>113</v>
      </c>
      <c r="N26" s="51" t="s">
        <v>113</v>
      </c>
      <c r="O26" s="51" t="s">
        <v>113</v>
      </c>
      <c r="P26" s="51" t="s">
        <v>113</v>
      </c>
      <c r="Q26" s="51" t="s">
        <v>113</v>
      </c>
      <c r="R26" s="51" t="s">
        <v>113</v>
      </c>
      <c r="S26" s="51" t="s">
        <v>113</v>
      </c>
      <c r="T26" s="51" t="s">
        <v>113</v>
      </c>
      <c r="U26" s="51">
        <v>13</v>
      </c>
      <c r="V26" s="51" t="s">
        <v>113</v>
      </c>
      <c r="W26" s="51">
        <v>6</v>
      </c>
      <c r="X26" s="51" t="s">
        <v>113</v>
      </c>
      <c r="Y26" s="51">
        <v>0</v>
      </c>
      <c r="Z26" s="51" t="s">
        <v>113</v>
      </c>
      <c r="AA26" s="51" t="s">
        <v>113</v>
      </c>
      <c r="AB26" s="51" t="s">
        <v>113</v>
      </c>
      <c r="AC26" s="51" t="s">
        <v>113</v>
      </c>
      <c r="AD26" s="51" t="s">
        <v>113</v>
      </c>
      <c r="AE26" s="51" t="s">
        <v>113</v>
      </c>
      <c r="AF26" s="51" t="s">
        <v>113</v>
      </c>
      <c r="AG26" s="51" t="s">
        <v>113</v>
      </c>
      <c r="AH26" s="51" t="s">
        <v>113</v>
      </c>
      <c r="AI26" s="51" t="s">
        <v>113</v>
      </c>
      <c r="AJ26" s="51" t="s">
        <v>113</v>
      </c>
      <c r="AK26" s="51" t="s">
        <v>113</v>
      </c>
      <c r="AL26" s="51" t="s">
        <v>113</v>
      </c>
      <c r="AM26" s="51" t="s">
        <v>113</v>
      </c>
      <c r="AN26" s="51" t="s">
        <v>113</v>
      </c>
      <c r="AO26" s="51" t="s">
        <v>113</v>
      </c>
      <c r="AP26" s="51" t="s">
        <v>113</v>
      </c>
      <c r="AQ26" s="51" t="s">
        <v>113</v>
      </c>
      <c r="AR26" s="51" t="s">
        <v>113</v>
      </c>
      <c r="AS26" s="51" t="s">
        <v>113</v>
      </c>
      <c r="AT26" s="51" t="s">
        <v>113</v>
      </c>
      <c r="AU26" s="51" t="s">
        <v>113</v>
      </c>
      <c r="AV26" s="51" t="s">
        <v>113</v>
      </c>
      <c r="AW26" s="51" t="s">
        <v>113</v>
      </c>
      <c r="AX26" s="51" t="s">
        <v>113</v>
      </c>
      <c r="AY26" s="51">
        <v>9</v>
      </c>
      <c r="AZ26" s="51" t="s">
        <v>113</v>
      </c>
      <c r="BA26" s="51">
        <v>8</v>
      </c>
      <c r="BB26" s="51" t="s">
        <v>113</v>
      </c>
      <c r="BC26" s="51" t="s">
        <v>113</v>
      </c>
      <c r="BD26" s="51" t="s">
        <v>113</v>
      </c>
      <c r="BE26" s="51">
        <v>0</v>
      </c>
      <c r="BF26" s="51" t="s">
        <v>113</v>
      </c>
      <c r="BG26" s="51" t="s">
        <v>113</v>
      </c>
      <c r="BH26" s="51" t="s">
        <v>113</v>
      </c>
      <c r="BI26" s="51" t="s">
        <v>113</v>
      </c>
      <c r="BJ26" s="51" t="s">
        <v>113</v>
      </c>
      <c r="BK26" s="51" t="s">
        <v>113</v>
      </c>
      <c r="BL26" s="51" t="s">
        <v>113</v>
      </c>
      <c r="BM26" s="51" t="s">
        <v>113</v>
      </c>
    </row>
    <row r="27" spans="1:65" ht="15" customHeight="1" x14ac:dyDescent="0.2">
      <c r="A27" s="51" t="s">
        <v>121</v>
      </c>
      <c r="B27" s="51" t="s">
        <v>113</v>
      </c>
      <c r="C27" s="51">
        <v>5</v>
      </c>
      <c r="D27" s="51" t="s">
        <v>113</v>
      </c>
      <c r="E27" s="51" t="s">
        <v>113</v>
      </c>
      <c r="F27" s="51" t="s">
        <v>113</v>
      </c>
      <c r="G27" s="51">
        <v>8</v>
      </c>
      <c r="H27" s="51" t="s">
        <v>113</v>
      </c>
      <c r="I27" s="51">
        <v>0</v>
      </c>
      <c r="J27" s="51" t="s">
        <v>113</v>
      </c>
      <c r="K27" s="51" t="s">
        <v>113</v>
      </c>
      <c r="L27" s="51" t="s">
        <v>113</v>
      </c>
      <c r="M27" s="51" t="s">
        <v>113</v>
      </c>
      <c r="N27" s="51" t="s">
        <v>113</v>
      </c>
      <c r="O27" s="51" t="s">
        <v>113</v>
      </c>
      <c r="P27" s="51" t="s">
        <v>113</v>
      </c>
      <c r="Q27" s="51" t="s">
        <v>113</v>
      </c>
      <c r="R27" s="51" t="s">
        <v>113</v>
      </c>
      <c r="S27" s="51" t="s">
        <v>113</v>
      </c>
      <c r="T27" s="51" t="s">
        <v>113</v>
      </c>
      <c r="U27" s="51">
        <v>15</v>
      </c>
      <c r="V27" s="51" t="s">
        <v>113</v>
      </c>
      <c r="W27" s="51">
        <v>4</v>
      </c>
      <c r="X27" s="51" t="s">
        <v>113</v>
      </c>
      <c r="Y27" s="51">
        <v>0</v>
      </c>
      <c r="Z27" s="51" t="s">
        <v>113</v>
      </c>
      <c r="AA27" s="51" t="s">
        <v>113</v>
      </c>
      <c r="AB27" s="51" t="s">
        <v>113</v>
      </c>
      <c r="AC27" s="51" t="s">
        <v>113</v>
      </c>
      <c r="AD27" s="51" t="s">
        <v>113</v>
      </c>
      <c r="AE27" s="51" t="s">
        <v>113</v>
      </c>
      <c r="AF27" s="51" t="s">
        <v>113</v>
      </c>
      <c r="AG27" s="51" t="s">
        <v>113</v>
      </c>
      <c r="AH27" s="51" t="s">
        <v>113</v>
      </c>
      <c r="AI27" s="51" t="s">
        <v>113</v>
      </c>
      <c r="AJ27" s="51" t="s">
        <v>113</v>
      </c>
      <c r="AK27" s="51" t="s">
        <v>113</v>
      </c>
      <c r="AL27" s="51" t="s">
        <v>113</v>
      </c>
      <c r="AM27" s="51" t="s">
        <v>113</v>
      </c>
      <c r="AN27" s="51" t="s">
        <v>113</v>
      </c>
      <c r="AO27" s="51" t="s">
        <v>113</v>
      </c>
      <c r="AP27" s="51" t="s">
        <v>113</v>
      </c>
      <c r="AQ27" s="51" t="s">
        <v>113</v>
      </c>
      <c r="AR27" s="51" t="s">
        <v>113</v>
      </c>
      <c r="AS27" s="51" t="s">
        <v>113</v>
      </c>
      <c r="AT27" s="51" t="s">
        <v>113</v>
      </c>
      <c r="AU27" s="51" t="s">
        <v>113</v>
      </c>
      <c r="AV27" s="51" t="s">
        <v>113</v>
      </c>
      <c r="AW27" s="51" t="s">
        <v>113</v>
      </c>
      <c r="AX27" s="51" t="s">
        <v>113</v>
      </c>
      <c r="AY27" s="51">
        <v>11</v>
      </c>
      <c r="AZ27" s="51" t="s">
        <v>113</v>
      </c>
      <c r="BA27" s="51">
        <v>5</v>
      </c>
      <c r="BB27" s="51" t="s">
        <v>113</v>
      </c>
      <c r="BC27" s="51" t="s">
        <v>113</v>
      </c>
      <c r="BD27" s="51" t="s">
        <v>113</v>
      </c>
      <c r="BE27" s="51">
        <v>0</v>
      </c>
      <c r="BF27" s="51" t="s">
        <v>113</v>
      </c>
      <c r="BG27" s="51" t="s">
        <v>113</v>
      </c>
      <c r="BH27" s="51" t="s">
        <v>113</v>
      </c>
      <c r="BI27" s="51" t="s">
        <v>113</v>
      </c>
      <c r="BJ27" s="51" t="s">
        <v>113</v>
      </c>
      <c r="BK27" s="51" t="s">
        <v>113</v>
      </c>
      <c r="BL27" s="51" t="s">
        <v>113</v>
      </c>
      <c r="BM27" s="51" t="s">
        <v>113</v>
      </c>
    </row>
    <row r="28" spans="1:65" ht="15" customHeight="1" x14ac:dyDescent="0.2">
      <c r="A28" s="51" t="s">
        <v>120</v>
      </c>
      <c r="B28" s="51" t="s">
        <v>113</v>
      </c>
      <c r="C28" s="51">
        <v>8</v>
      </c>
      <c r="D28" s="51" t="s">
        <v>113</v>
      </c>
      <c r="E28" s="51" t="s">
        <v>113</v>
      </c>
      <c r="F28" s="51" t="s">
        <v>113</v>
      </c>
      <c r="G28" s="51">
        <v>5</v>
      </c>
      <c r="H28" s="51" t="s">
        <v>113</v>
      </c>
      <c r="I28" s="51">
        <v>0</v>
      </c>
      <c r="J28" s="51" t="s">
        <v>113</v>
      </c>
      <c r="K28" s="51" t="s">
        <v>113</v>
      </c>
      <c r="L28" s="51" t="s">
        <v>113</v>
      </c>
      <c r="M28" s="51" t="s">
        <v>113</v>
      </c>
      <c r="N28" s="51" t="s">
        <v>113</v>
      </c>
      <c r="O28" s="51" t="s">
        <v>113</v>
      </c>
      <c r="P28" s="51" t="s">
        <v>113</v>
      </c>
      <c r="Q28" s="51" t="s">
        <v>113</v>
      </c>
      <c r="R28" s="51" t="s">
        <v>113</v>
      </c>
      <c r="S28" s="51" t="s">
        <v>113</v>
      </c>
      <c r="T28" s="51" t="s">
        <v>113</v>
      </c>
      <c r="U28" s="51">
        <v>15</v>
      </c>
      <c r="V28" s="51" t="s">
        <v>113</v>
      </c>
      <c r="W28" s="51">
        <v>5</v>
      </c>
      <c r="X28" s="51" t="s">
        <v>113</v>
      </c>
      <c r="Y28" s="51">
        <v>0</v>
      </c>
      <c r="Z28" s="51" t="s">
        <v>113</v>
      </c>
      <c r="AA28" s="51" t="s">
        <v>113</v>
      </c>
      <c r="AB28" s="51" t="s">
        <v>113</v>
      </c>
      <c r="AC28" s="51" t="s">
        <v>113</v>
      </c>
      <c r="AD28" s="51" t="s">
        <v>113</v>
      </c>
      <c r="AE28" s="51" t="s">
        <v>113</v>
      </c>
      <c r="AF28" s="51" t="s">
        <v>113</v>
      </c>
      <c r="AG28" s="51" t="s">
        <v>113</v>
      </c>
      <c r="AH28" s="51" t="s">
        <v>113</v>
      </c>
      <c r="AI28" s="51" t="s">
        <v>113</v>
      </c>
      <c r="AJ28" s="51" t="s">
        <v>113</v>
      </c>
      <c r="AK28" s="51" t="s">
        <v>113</v>
      </c>
      <c r="AL28" s="51" t="s">
        <v>113</v>
      </c>
      <c r="AM28" s="51" t="s">
        <v>113</v>
      </c>
      <c r="AN28" s="51" t="s">
        <v>113</v>
      </c>
      <c r="AO28" s="51" t="s">
        <v>113</v>
      </c>
      <c r="AP28" s="51" t="s">
        <v>113</v>
      </c>
      <c r="AQ28" s="51" t="s">
        <v>113</v>
      </c>
      <c r="AR28" s="51" t="s">
        <v>113</v>
      </c>
      <c r="AS28" s="51" t="s">
        <v>113</v>
      </c>
      <c r="AT28" s="51" t="s">
        <v>113</v>
      </c>
      <c r="AU28" s="51" t="s">
        <v>113</v>
      </c>
      <c r="AV28" s="51" t="s">
        <v>113</v>
      </c>
      <c r="AW28" s="51" t="s">
        <v>113</v>
      </c>
      <c r="AX28" s="51" t="s">
        <v>113</v>
      </c>
      <c r="AY28" s="51">
        <v>9</v>
      </c>
      <c r="AZ28" s="51" t="s">
        <v>113</v>
      </c>
      <c r="BA28" s="51">
        <v>10</v>
      </c>
      <c r="BB28" s="51" t="s">
        <v>113</v>
      </c>
      <c r="BC28" s="51" t="s">
        <v>113</v>
      </c>
      <c r="BD28" s="51" t="s">
        <v>113</v>
      </c>
      <c r="BE28" s="51">
        <v>0</v>
      </c>
      <c r="BF28" s="51" t="s">
        <v>113</v>
      </c>
      <c r="BG28" s="51" t="s">
        <v>113</v>
      </c>
      <c r="BH28" s="51" t="s">
        <v>113</v>
      </c>
      <c r="BI28" s="51" t="s">
        <v>113</v>
      </c>
      <c r="BJ28" s="51" t="s">
        <v>113</v>
      </c>
      <c r="BK28" s="51" t="s">
        <v>113</v>
      </c>
      <c r="BL28" s="51" t="s">
        <v>113</v>
      </c>
      <c r="BM28" s="51" t="s">
        <v>113</v>
      </c>
    </row>
    <row r="29" spans="1:65" ht="15" customHeight="1" x14ac:dyDescent="0.2">
      <c r="A29" s="51" t="s">
        <v>119</v>
      </c>
      <c r="B29" s="51" t="s">
        <v>113</v>
      </c>
      <c r="C29" s="51">
        <v>3</v>
      </c>
      <c r="D29" s="51" t="s">
        <v>113</v>
      </c>
      <c r="E29" s="51" t="s">
        <v>113</v>
      </c>
      <c r="F29" s="51" t="s">
        <v>113</v>
      </c>
      <c r="G29" s="51">
        <v>4</v>
      </c>
      <c r="H29" s="51" t="s">
        <v>113</v>
      </c>
      <c r="I29" s="51">
        <v>0</v>
      </c>
      <c r="J29" s="51" t="s">
        <v>113</v>
      </c>
      <c r="K29" s="51" t="s">
        <v>113</v>
      </c>
      <c r="L29" s="51" t="s">
        <v>113</v>
      </c>
      <c r="M29" s="51" t="s">
        <v>113</v>
      </c>
      <c r="N29" s="51" t="s">
        <v>113</v>
      </c>
      <c r="O29" s="51" t="s">
        <v>113</v>
      </c>
      <c r="P29" s="51" t="s">
        <v>113</v>
      </c>
      <c r="Q29" s="51" t="s">
        <v>113</v>
      </c>
      <c r="R29" s="51" t="s">
        <v>113</v>
      </c>
      <c r="S29" s="51" t="s">
        <v>113</v>
      </c>
      <c r="T29" s="51" t="s">
        <v>113</v>
      </c>
      <c r="U29" s="51">
        <v>10</v>
      </c>
      <c r="V29" s="51" t="s">
        <v>113</v>
      </c>
      <c r="W29" s="51">
        <v>5</v>
      </c>
      <c r="X29" s="51" t="s">
        <v>113</v>
      </c>
      <c r="Y29" s="51">
        <v>0</v>
      </c>
      <c r="Z29" s="51" t="s">
        <v>113</v>
      </c>
      <c r="AA29" s="51" t="s">
        <v>113</v>
      </c>
      <c r="AB29" s="51" t="s">
        <v>113</v>
      </c>
      <c r="AC29" s="51" t="s">
        <v>113</v>
      </c>
      <c r="AD29" s="51" t="s">
        <v>113</v>
      </c>
      <c r="AE29" s="51" t="s">
        <v>113</v>
      </c>
      <c r="AF29" s="51" t="s">
        <v>113</v>
      </c>
      <c r="AG29" s="51" t="s">
        <v>113</v>
      </c>
      <c r="AH29" s="51" t="s">
        <v>113</v>
      </c>
      <c r="AI29" s="51" t="s">
        <v>113</v>
      </c>
      <c r="AJ29" s="51" t="s">
        <v>113</v>
      </c>
      <c r="AK29" s="51" t="s">
        <v>113</v>
      </c>
      <c r="AL29" s="51" t="s">
        <v>113</v>
      </c>
      <c r="AM29" s="51" t="s">
        <v>113</v>
      </c>
      <c r="AN29" s="51" t="s">
        <v>113</v>
      </c>
      <c r="AO29" s="51" t="s">
        <v>113</v>
      </c>
      <c r="AP29" s="51" t="s">
        <v>113</v>
      </c>
      <c r="AQ29" s="51" t="s">
        <v>113</v>
      </c>
      <c r="AR29" s="51" t="s">
        <v>113</v>
      </c>
      <c r="AS29" s="51" t="s">
        <v>113</v>
      </c>
      <c r="AT29" s="51" t="s">
        <v>113</v>
      </c>
      <c r="AU29" s="51" t="s">
        <v>113</v>
      </c>
      <c r="AV29" s="51" t="s">
        <v>113</v>
      </c>
      <c r="AW29" s="51" t="s">
        <v>113</v>
      </c>
      <c r="AX29" s="51" t="s">
        <v>113</v>
      </c>
      <c r="AY29" s="51">
        <v>4</v>
      </c>
      <c r="AZ29" s="51" t="s">
        <v>113</v>
      </c>
      <c r="BA29" s="51">
        <v>7</v>
      </c>
      <c r="BB29" s="51" t="s">
        <v>113</v>
      </c>
      <c r="BC29" s="51" t="s">
        <v>113</v>
      </c>
      <c r="BD29" s="51" t="s">
        <v>113</v>
      </c>
      <c r="BE29" s="51">
        <v>0</v>
      </c>
      <c r="BF29" s="51" t="s">
        <v>113</v>
      </c>
      <c r="BG29" s="51" t="s">
        <v>113</v>
      </c>
      <c r="BH29" s="51" t="s">
        <v>113</v>
      </c>
      <c r="BI29" s="51" t="s">
        <v>113</v>
      </c>
      <c r="BJ29" s="51" t="s">
        <v>113</v>
      </c>
      <c r="BK29" s="51" t="s">
        <v>113</v>
      </c>
      <c r="BL29" s="51" t="s">
        <v>113</v>
      </c>
      <c r="BM29" s="51" t="s">
        <v>113</v>
      </c>
    </row>
    <row r="30" spans="1:65" ht="15" customHeight="1" x14ac:dyDescent="0.2">
      <c r="A30" s="51" t="s">
        <v>118</v>
      </c>
      <c r="B30" s="51" t="s">
        <v>113</v>
      </c>
      <c r="C30" s="51">
        <v>5</v>
      </c>
      <c r="D30" s="51" t="s">
        <v>113</v>
      </c>
      <c r="E30" s="51" t="s">
        <v>113</v>
      </c>
      <c r="F30" s="51" t="s">
        <v>113</v>
      </c>
      <c r="G30" s="51">
        <v>2</v>
      </c>
      <c r="H30" s="51" t="s">
        <v>113</v>
      </c>
      <c r="I30" s="51">
        <v>0</v>
      </c>
      <c r="J30" s="51" t="s">
        <v>113</v>
      </c>
      <c r="K30" s="51" t="s">
        <v>113</v>
      </c>
      <c r="L30" s="51" t="s">
        <v>113</v>
      </c>
      <c r="M30" s="51" t="s">
        <v>113</v>
      </c>
      <c r="N30" s="51" t="s">
        <v>113</v>
      </c>
      <c r="O30" s="51" t="s">
        <v>113</v>
      </c>
      <c r="P30" s="51" t="s">
        <v>113</v>
      </c>
      <c r="Q30" s="51" t="s">
        <v>113</v>
      </c>
      <c r="R30" s="51" t="s">
        <v>113</v>
      </c>
      <c r="S30" s="51" t="s">
        <v>113</v>
      </c>
      <c r="T30" s="51" t="s">
        <v>113</v>
      </c>
      <c r="U30" s="51">
        <v>12</v>
      </c>
      <c r="V30" s="51" t="s">
        <v>113</v>
      </c>
      <c r="W30" s="51">
        <v>3</v>
      </c>
      <c r="X30" s="51" t="s">
        <v>113</v>
      </c>
      <c r="Y30" s="51">
        <v>0</v>
      </c>
      <c r="Z30" s="51" t="s">
        <v>113</v>
      </c>
      <c r="AA30" s="51" t="s">
        <v>113</v>
      </c>
      <c r="AB30" s="51" t="s">
        <v>113</v>
      </c>
      <c r="AC30" s="51" t="s">
        <v>113</v>
      </c>
      <c r="AD30" s="51" t="s">
        <v>113</v>
      </c>
      <c r="AE30" s="51" t="s">
        <v>113</v>
      </c>
      <c r="AF30" s="51" t="s">
        <v>113</v>
      </c>
      <c r="AG30" s="51" t="s">
        <v>113</v>
      </c>
      <c r="AH30" s="51" t="s">
        <v>113</v>
      </c>
      <c r="AI30" s="51" t="s">
        <v>113</v>
      </c>
      <c r="AJ30" s="51" t="s">
        <v>113</v>
      </c>
      <c r="AK30" s="51" t="s">
        <v>113</v>
      </c>
      <c r="AL30" s="51" t="s">
        <v>113</v>
      </c>
      <c r="AM30" s="51" t="s">
        <v>113</v>
      </c>
      <c r="AN30" s="51" t="s">
        <v>113</v>
      </c>
      <c r="AO30" s="51" t="s">
        <v>113</v>
      </c>
      <c r="AP30" s="51" t="s">
        <v>113</v>
      </c>
      <c r="AQ30" s="51" t="s">
        <v>113</v>
      </c>
      <c r="AR30" s="51" t="s">
        <v>113</v>
      </c>
      <c r="AS30" s="51" t="s">
        <v>113</v>
      </c>
      <c r="AT30" s="51" t="s">
        <v>113</v>
      </c>
      <c r="AU30" s="51" t="s">
        <v>113</v>
      </c>
      <c r="AV30" s="51" t="s">
        <v>113</v>
      </c>
      <c r="AW30" s="51" t="s">
        <v>113</v>
      </c>
      <c r="AX30" s="51" t="s">
        <v>113</v>
      </c>
      <c r="AY30" s="51">
        <v>6</v>
      </c>
      <c r="AZ30" s="51" t="s">
        <v>113</v>
      </c>
      <c r="BA30" s="51">
        <v>5</v>
      </c>
      <c r="BB30" s="51" t="s">
        <v>113</v>
      </c>
      <c r="BC30" s="51" t="s">
        <v>113</v>
      </c>
      <c r="BD30" s="51" t="s">
        <v>113</v>
      </c>
      <c r="BE30" s="51">
        <v>0</v>
      </c>
      <c r="BF30" s="51" t="s">
        <v>113</v>
      </c>
      <c r="BG30" s="51" t="s">
        <v>113</v>
      </c>
      <c r="BH30" s="51" t="s">
        <v>113</v>
      </c>
      <c r="BI30" s="51" t="s">
        <v>113</v>
      </c>
      <c r="BJ30" s="51" t="s">
        <v>113</v>
      </c>
      <c r="BK30" s="51" t="s">
        <v>113</v>
      </c>
      <c r="BL30" s="51" t="s">
        <v>113</v>
      </c>
      <c r="BM30" s="51" t="s">
        <v>113</v>
      </c>
    </row>
    <row r="31" spans="1:65" ht="15" customHeight="1" x14ac:dyDescent="0.2">
      <c r="A31" s="51" t="s">
        <v>117</v>
      </c>
      <c r="B31" s="51" t="s">
        <v>113</v>
      </c>
      <c r="C31" s="51">
        <v>4</v>
      </c>
      <c r="D31" s="51" t="s">
        <v>113</v>
      </c>
      <c r="E31" s="51" t="s">
        <v>113</v>
      </c>
      <c r="F31" s="51" t="s">
        <v>113</v>
      </c>
      <c r="G31" s="51">
        <v>1</v>
      </c>
      <c r="H31" s="51" t="s">
        <v>113</v>
      </c>
      <c r="I31" s="51">
        <v>0</v>
      </c>
      <c r="J31" s="51" t="s">
        <v>113</v>
      </c>
      <c r="K31" s="51" t="s">
        <v>113</v>
      </c>
      <c r="L31" s="51" t="s">
        <v>113</v>
      </c>
      <c r="M31" s="51" t="s">
        <v>113</v>
      </c>
      <c r="N31" s="51" t="s">
        <v>113</v>
      </c>
      <c r="O31" s="51" t="s">
        <v>113</v>
      </c>
      <c r="P31" s="51" t="s">
        <v>113</v>
      </c>
      <c r="Q31" s="51" t="s">
        <v>113</v>
      </c>
      <c r="R31" s="51" t="s">
        <v>113</v>
      </c>
      <c r="S31" s="51" t="s">
        <v>113</v>
      </c>
      <c r="T31" s="51" t="s">
        <v>113</v>
      </c>
      <c r="U31" s="51">
        <v>7</v>
      </c>
      <c r="V31" s="51" t="s">
        <v>113</v>
      </c>
      <c r="W31" s="51">
        <v>0</v>
      </c>
      <c r="X31" s="51" t="s">
        <v>113</v>
      </c>
      <c r="Y31" s="51">
        <v>0</v>
      </c>
      <c r="Z31" s="51" t="s">
        <v>113</v>
      </c>
      <c r="AA31" s="51" t="s">
        <v>113</v>
      </c>
      <c r="AB31" s="51" t="s">
        <v>113</v>
      </c>
      <c r="AC31" s="51" t="s">
        <v>113</v>
      </c>
      <c r="AD31" s="51" t="s">
        <v>113</v>
      </c>
      <c r="AE31" s="51" t="s">
        <v>113</v>
      </c>
      <c r="AF31" s="51" t="s">
        <v>113</v>
      </c>
      <c r="AG31" s="51" t="s">
        <v>113</v>
      </c>
      <c r="AH31" s="51" t="s">
        <v>113</v>
      </c>
      <c r="AI31" s="51" t="s">
        <v>113</v>
      </c>
      <c r="AJ31" s="51" t="s">
        <v>113</v>
      </c>
      <c r="AK31" s="51" t="s">
        <v>113</v>
      </c>
      <c r="AL31" s="51" t="s">
        <v>113</v>
      </c>
      <c r="AM31" s="51" t="s">
        <v>113</v>
      </c>
      <c r="AN31" s="51" t="s">
        <v>113</v>
      </c>
      <c r="AO31" s="51" t="s">
        <v>113</v>
      </c>
      <c r="AP31" s="51" t="s">
        <v>113</v>
      </c>
      <c r="AQ31" s="51" t="s">
        <v>113</v>
      </c>
      <c r="AR31" s="51" t="s">
        <v>113</v>
      </c>
      <c r="AS31" s="51" t="s">
        <v>113</v>
      </c>
      <c r="AT31" s="51" t="s">
        <v>113</v>
      </c>
      <c r="AU31" s="51" t="s">
        <v>113</v>
      </c>
      <c r="AV31" s="51" t="s">
        <v>113</v>
      </c>
      <c r="AW31" s="51" t="s">
        <v>113</v>
      </c>
      <c r="AX31" s="51" t="s">
        <v>113</v>
      </c>
      <c r="AY31" s="51">
        <v>1</v>
      </c>
      <c r="AZ31" s="51" t="s">
        <v>113</v>
      </c>
      <c r="BA31" s="51">
        <v>9</v>
      </c>
      <c r="BB31" s="51" t="s">
        <v>113</v>
      </c>
      <c r="BC31" s="51" t="s">
        <v>113</v>
      </c>
      <c r="BD31" s="51" t="s">
        <v>113</v>
      </c>
      <c r="BE31" s="51">
        <v>0</v>
      </c>
      <c r="BF31" s="51" t="s">
        <v>113</v>
      </c>
      <c r="BG31" s="51" t="s">
        <v>113</v>
      </c>
      <c r="BH31" s="51" t="s">
        <v>113</v>
      </c>
      <c r="BI31" s="51" t="s">
        <v>113</v>
      </c>
      <c r="BJ31" s="51" t="s">
        <v>113</v>
      </c>
      <c r="BK31" s="51" t="s">
        <v>113</v>
      </c>
      <c r="BL31" s="51" t="s">
        <v>113</v>
      </c>
      <c r="BM31" s="51" t="s">
        <v>113</v>
      </c>
    </row>
    <row r="32" spans="1:65" ht="15" customHeight="1" x14ac:dyDescent="0.2">
      <c r="A32" s="51" t="s">
        <v>116</v>
      </c>
      <c r="B32" s="51" t="s">
        <v>113</v>
      </c>
      <c r="C32" s="51">
        <v>2</v>
      </c>
      <c r="D32" s="51" t="s">
        <v>113</v>
      </c>
      <c r="E32" s="51" t="s">
        <v>113</v>
      </c>
      <c r="F32" s="51" t="s">
        <v>113</v>
      </c>
      <c r="G32" s="51">
        <v>0</v>
      </c>
      <c r="H32" s="51" t="s">
        <v>113</v>
      </c>
      <c r="I32" s="51">
        <v>0</v>
      </c>
      <c r="J32" s="51" t="s">
        <v>113</v>
      </c>
      <c r="K32" s="51" t="s">
        <v>113</v>
      </c>
      <c r="L32" s="51" t="s">
        <v>113</v>
      </c>
      <c r="M32" s="51" t="s">
        <v>113</v>
      </c>
      <c r="N32" s="51" t="s">
        <v>113</v>
      </c>
      <c r="O32" s="51" t="s">
        <v>113</v>
      </c>
      <c r="P32" s="51" t="s">
        <v>113</v>
      </c>
      <c r="Q32" s="51" t="s">
        <v>113</v>
      </c>
      <c r="R32" s="51" t="s">
        <v>113</v>
      </c>
      <c r="S32" s="51" t="s">
        <v>113</v>
      </c>
      <c r="T32" s="51" t="s">
        <v>113</v>
      </c>
      <c r="U32" s="51">
        <v>10</v>
      </c>
      <c r="V32" s="51" t="s">
        <v>113</v>
      </c>
      <c r="W32" s="51">
        <v>1</v>
      </c>
      <c r="X32" s="51" t="s">
        <v>113</v>
      </c>
      <c r="Y32" s="51">
        <v>0</v>
      </c>
      <c r="Z32" s="51" t="s">
        <v>113</v>
      </c>
      <c r="AA32" s="51" t="s">
        <v>113</v>
      </c>
      <c r="AB32" s="51" t="s">
        <v>113</v>
      </c>
      <c r="AC32" s="51" t="s">
        <v>113</v>
      </c>
      <c r="AD32" s="51" t="s">
        <v>113</v>
      </c>
      <c r="AE32" s="51" t="s">
        <v>113</v>
      </c>
      <c r="AF32" s="51" t="s">
        <v>113</v>
      </c>
      <c r="AG32" s="51" t="s">
        <v>113</v>
      </c>
      <c r="AH32" s="51" t="s">
        <v>113</v>
      </c>
      <c r="AI32" s="51" t="s">
        <v>113</v>
      </c>
      <c r="AJ32" s="51" t="s">
        <v>113</v>
      </c>
      <c r="AK32" s="51" t="s">
        <v>113</v>
      </c>
      <c r="AL32" s="51" t="s">
        <v>113</v>
      </c>
      <c r="AM32" s="51" t="s">
        <v>113</v>
      </c>
      <c r="AN32" s="51" t="s">
        <v>113</v>
      </c>
      <c r="AO32" s="51" t="s">
        <v>113</v>
      </c>
      <c r="AP32" s="51" t="s">
        <v>113</v>
      </c>
      <c r="AQ32" s="51" t="s">
        <v>113</v>
      </c>
      <c r="AR32" s="51" t="s">
        <v>113</v>
      </c>
      <c r="AS32" s="51" t="s">
        <v>113</v>
      </c>
      <c r="AT32" s="51" t="s">
        <v>113</v>
      </c>
      <c r="AU32" s="51" t="s">
        <v>113</v>
      </c>
      <c r="AV32" s="51" t="s">
        <v>113</v>
      </c>
      <c r="AW32" s="51" t="s">
        <v>113</v>
      </c>
      <c r="AX32" s="51" t="s">
        <v>113</v>
      </c>
      <c r="AY32" s="51">
        <v>2</v>
      </c>
      <c r="AZ32" s="51" t="s">
        <v>113</v>
      </c>
      <c r="BA32" s="51">
        <v>8</v>
      </c>
      <c r="BB32" s="51" t="s">
        <v>113</v>
      </c>
      <c r="BC32" s="51" t="s">
        <v>113</v>
      </c>
      <c r="BD32" s="51" t="s">
        <v>113</v>
      </c>
      <c r="BE32" s="51">
        <v>0</v>
      </c>
      <c r="BF32" s="51" t="s">
        <v>113</v>
      </c>
      <c r="BG32" s="51" t="s">
        <v>113</v>
      </c>
      <c r="BH32" s="51" t="s">
        <v>113</v>
      </c>
      <c r="BI32" s="51" t="s">
        <v>113</v>
      </c>
      <c r="BJ32" s="51" t="s">
        <v>113</v>
      </c>
      <c r="BK32" s="51" t="s">
        <v>113</v>
      </c>
      <c r="BL32" s="51" t="s">
        <v>113</v>
      </c>
      <c r="BM32" s="51" t="s">
        <v>113</v>
      </c>
    </row>
    <row r="33" spans="1:65" ht="15" customHeight="1" x14ac:dyDescent="0.2">
      <c r="A33" s="51" t="s">
        <v>115</v>
      </c>
      <c r="B33" s="51" t="s">
        <v>113</v>
      </c>
      <c r="C33" s="51">
        <v>5</v>
      </c>
      <c r="D33" s="51" t="s">
        <v>113</v>
      </c>
      <c r="E33" s="51" t="s">
        <v>113</v>
      </c>
      <c r="F33" s="51" t="s">
        <v>113</v>
      </c>
      <c r="G33" s="51">
        <v>4</v>
      </c>
      <c r="H33" s="51" t="s">
        <v>113</v>
      </c>
      <c r="I33" s="51">
        <v>0</v>
      </c>
      <c r="J33" s="51" t="s">
        <v>113</v>
      </c>
      <c r="K33" s="51" t="s">
        <v>113</v>
      </c>
      <c r="L33" s="51" t="s">
        <v>113</v>
      </c>
      <c r="M33" s="51" t="s">
        <v>113</v>
      </c>
      <c r="N33" s="51" t="s">
        <v>113</v>
      </c>
      <c r="O33" s="51" t="s">
        <v>113</v>
      </c>
      <c r="P33" s="51" t="s">
        <v>113</v>
      </c>
      <c r="Q33" s="51" t="s">
        <v>113</v>
      </c>
      <c r="R33" s="51" t="s">
        <v>113</v>
      </c>
      <c r="S33" s="51" t="s">
        <v>113</v>
      </c>
      <c r="T33" s="51" t="s">
        <v>113</v>
      </c>
      <c r="U33" s="51">
        <v>11</v>
      </c>
      <c r="V33" s="51" t="s">
        <v>113</v>
      </c>
      <c r="W33" s="51">
        <v>2</v>
      </c>
      <c r="X33" s="51" t="s">
        <v>113</v>
      </c>
      <c r="Y33" s="51">
        <v>0</v>
      </c>
      <c r="Z33" s="51" t="s">
        <v>113</v>
      </c>
      <c r="AA33" s="51" t="s">
        <v>113</v>
      </c>
      <c r="AB33" s="51" t="s">
        <v>113</v>
      </c>
      <c r="AC33" s="51" t="s">
        <v>113</v>
      </c>
      <c r="AD33" s="51" t="s">
        <v>113</v>
      </c>
      <c r="AE33" s="51" t="s">
        <v>113</v>
      </c>
      <c r="AF33" s="51" t="s">
        <v>113</v>
      </c>
      <c r="AG33" s="51" t="s">
        <v>113</v>
      </c>
      <c r="AH33" s="51" t="s">
        <v>113</v>
      </c>
      <c r="AI33" s="51" t="s">
        <v>113</v>
      </c>
      <c r="AJ33" s="51" t="s">
        <v>113</v>
      </c>
      <c r="AK33" s="51" t="s">
        <v>113</v>
      </c>
      <c r="AL33" s="51" t="s">
        <v>113</v>
      </c>
      <c r="AM33" s="51" t="s">
        <v>113</v>
      </c>
      <c r="AN33" s="51" t="s">
        <v>113</v>
      </c>
      <c r="AO33" s="51" t="s">
        <v>113</v>
      </c>
      <c r="AP33" s="51" t="s">
        <v>113</v>
      </c>
      <c r="AQ33" s="51" t="s">
        <v>113</v>
      </c>
      <c r="AR33" s="51" t="s">
        <v>113</v>
      </c>
      <c r="AS33" s="51" t="s">
        <v>113</v>
      </c>
      <c r="AT33" s="51" t="s">
        <v>113</v>
      </c>
      <c r="AU33" s="51" t="s">
        <v>113</v>
      </c>
      <c r="AV33" s="51" t="s">
        <v>113</v>
      </c>
      <c r="AW33" s="51" t="s">
        <v>113</v>
      </c>
      <c r="AX33" s="51" t="s">
        <v>113</v>
      </c>
      <c r="AY33" s="51">
        <v>3</v>
      </c>
      <c r="AZ33" s="51" t="s">
        <v>113</v>
      </c>
      <c r="BA33" s="51">
        <v>8</v>
      </c>
      <c r="BB33" s="51" t="s">
        <v>113</v>
      </c>
      <c r="BC33" s="51" t="s">
        <v>113</v>
      </c>
      <c r="BD33" s="51" t="s">
        <v>113</v>
      </c>
      <c r="BE33" s="51">
        <v>0</v>
      </c>
      <c r="BF33" s="51" t="s">
        <v>113</v>
      </c>
      <c r="BG33" s="51" t="s">
        <v>113</v>
      </c>
      <c r="BH33" s="51" t="s">
        <v>113</v>
      </c>
      <c r="BI33" s="51" t="s">
        <v>113</v>
      </c>
      <c r="BJ33" s="51" t="s">
        <v>113</v>
      </c>
      <c r="BK33" s="51" t="s">
        <v>113</v>
      </c>
      <c r="BL33" s="51" t="s">
        <v>113</v>
      </c>
      <c r="BM33" s="51" t="s">
        <v>113</v>
      </c>
    </row>
    <row r="34" spans="1:65" ht="15" customHeight="1" x14ac:dyDescent="0.2">
      <c r="A34" s="51" t="s">
        <v>114</v>
      </c>
      <c r="B34" s="51" t="s">
        <v>113</v>
      </c>
      <c r="C34" s="51">
        <v>4</v>
      </c>
      <c r="D34" s="51" t="s">
        <v>113</v>
      </c>
      <c r="E34" s="51" t="s">
        <v>113</v>
      </c>
      <c r="F34" s="51" t="s">
        <v>113</v>
      </c>
      <c r="G34" s="51">
        <v>2</v>
      </c>
      <c r="H34" s="51" t="s">
        <v>113</v>
      </c>
      <c r="I34" s="51">
        <v>0</v>
      </c>
      <c r="J34" s="51" t="s">
        <v>113</v>
      </c>
      <c r="K34" s="51" t="s">
        <v>113</v>
      </c>
      <c r="L34" s="51" t="s">
        <v>113</v>
      </c>
      <c r="M34" s="51" t="s">
        <v>113</v>
      </c>
      <c r="N34" s="51" t="s">
        <v>113</v>
      </c>
      <c r="O34" s="51" t="s">
        <v>113</v>
      </c>
      <c r="P34" s="51" t="s">
        <v>113</v>
      </c>
      <c r="Q34" s="51" t="s">
        <v>113</v>
      </c>
      <c r="R34" s="51" t="s">
        <v>113</v>
      </c>
      <c r="S34" s="51" t="s">
        <v>113</v>
      </c>
      <c r="T34" s="51" t="s">
        <v>113</v>
      </c>
      <c r="U34" s="51">
        <v>4</v>
      </c>
      <c r="V34" s="51" t="s">
        <v>113</v>
      </c>
      <c r="W34" s="51">
        <v>0</v>
      </c>
      <c r="X34" s="51" t="s">
        <v>113</v>
      </c>
      <c r="Y34" s="51">
        <v>0</v>
      </c>
      <c r="Z34" s="51" t="s">
        <v>113</v>
      </c>
      <c r="AA34" s="51" t="s">
        <v>113</v>
      </c>
      <c r="AB34" s="51" t="s">
        <v>113</v>
      </c>
      <c r="AC34" s="51" t="s">
        <v>113</v>
      </c>
      <c r="AD34" s="51" t="s">
        <v>113</v>
      </c>
      <c r="AE34" s="51" t="s">
        <v>113</v>
      </c>
      <c r="AF34" s="51" t="s">
        <v>113</v>
      </c>
      <c r="AG34" s="51" t="s">
        <v>113</v>
      </c>
      <c r="AH34" s="51" t="s">
        <v>113</v>
      </c>
      <c r="AI34" s="51" t="s">
        <v>113</v>
      </c>
      <c r="AJ34" s="51" t="s">
        <v>113</v>
      </c>
      <c r="AK34" s="51" t="s">
        <v>113</v>
      </c>
      <c r="AL34" s="51" t="s">
        <v>113</v>
      </c>
      <c r="AM34" s="51" t="s">
        <v>113</v>
      </c>
      <c r="AN34" s="51" t="s">
        <v>113</v>
      </c>
      <c r="AO34" s="51" t="s">
        <v>113</v>
      </c>
      <c r="AP34" s="51" t="s">
        <v>113</v>
      </c>
      <c r="AQ34" s="51" t="s">
        <v>113</v>
      </c>
      <c r="AR34" s="51" t="s">
        <v>113</v>
      </c>
      <c r="AS34" s="51" t="s">
        <v>113</v>
      </c>
      <c r="AT34" s="51" t="s">
        <v>113</v>
      </c>
      <c r="AU34" s="51" t="s">
        <v>113</v>
      </c>
      <c r="AV34" s="51" t="s">
        <v>113</v>
      </c>
      <c r="AW34" s="51" t="s">
        <v>113</v>
      </c>
      <c r="AX34" s="51" t="s">
        <v>113</v>
      </c>
      <c r="AY34" s="51">
        <v>4</v>
      </c>
      <c r="AZ34" s="51" t="s">
        <v>113</v>
      </c>
      <c r="BA34" s="51">
        <v>5</v>
      </c>
      <c r="BB34" s="51" t="s">
        <v>113</v>
      </c>
      <c r="BC34" s="51" t="s">
        <v>113</v>
      </c>
      <c r="BD34" s="51" t="s">
        <v>113</v>
      </c>
      <c r="BE34" s="51">
        <v>0</v>
      </c>
      <c r="BF34" s="51" t="s">
        <v>113</v>
      </c>
      <c r="BG34" s="51" t="s">
        <v>113</v>
      </c>
      <c r="BH34" s="51" t="s">
        <v>113</v>
      </c>
      <c r="BI34" s="51" t="s">
        <v>113</v>
      </c>
      <c r="BJ34" s="51" t="s">
        <v>113</v>
      </c>
      <c r="BK34" s="51" t="s">
        <v>113</v>
      </c>
      <c r="BL34" s="51" t="s">
        <v>113</v>
      </c>
      <c r="BM34" s="51" t="s">
        <v>113</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DA986-DC19-48CA-9FC1-82DCAA741FE3}">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164</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153</v>
      </c>
      <c r="C12" s="60"/>
      <c r="D12" s="60"/>
      <c r="E12" s="60"/>
      <c r="F12" s="60"/>
      <c r="G12" s="60"/>
      <c r="H12" s="60"/>
      <c r="I12" s="61"/>
      <c r="J12" s="59" t="s">
        <v>150</v>
      </c>
      <c r="K12" s="60"/>
      <c r="L12" s="60"/>
      <c r="M12" s="60"/>
      <c r="N12" s="60"/>
      <c r="O12" s="60"/>
      <c r="P12" s="60"/>
      <c r="Q12" s="61"/>
      <c r="R12" s="59" t="s">
        <v>152</v>
      </c>
      <c r="S12" s="60"/>
      <c r="T12" s="60"/>
      <c r="U12" s="60"/>
      <c r="V12" s="60"/>
      <c r="W12" s="60"/>
      <c r="X12" s="60"/>
      <c r="Y12" s="61"/>
      <c r="Z12" s="59" t="s">
        <v>150</v>
      </c>
      <c r="AA12" s="60"/>
      <c r="AB12" s="60"/>
      <c r="AC12" s="60"/>
      <c r="AD12" s="60"/>
      <c r="AE12" s="60"/>
      <c r="AF12" s="60"/>
      <c r="AG12" s="61"/>
      <c r="AH12" s="59" t="s">
        <v>150</v>
      </c>
      <c r="AI12" s="60"/>
      <c r="AJ12" s="60"/>
      <c r="AK12" s="60"/>
      <c r="AL12" s="60"/>
      <c r="AM12" s="60"/>
      <c r="AN12" s="60"/>
      <c r="AO12" s="61"/>
      <c r="AP12" s="59" t="s">
        <v>150</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v>0</v>
      </c>
      <c r="D15" s="51" t="s">
        <v>113</v>
      </c>
      <c r="E15" s="51" t="s">
        <v>113</v>
      </c>
      <c r="F15" s="51" t="s">
        <v>113</v>
      </c>
      <c r="G15" s="51">
        <v>0</v>
      </c>
      <c r="H15" s="51" t="s">
        <v>113</v>
      </c>
      <c r="I15" s="51">
        <v>0</v>
      </c>
      <c r="J15" s="51" t="s">
        <v>113</v>
      </c>
      <c r="K15" s="51" t="s">
        <v>113</v>
      </c>
      <c r="L15" s="51" t="s">
        <v>113</v>
      </c>
      <c r="M15" s="51" t="s">
        <v>113</v>
      </c>
      <c r="N15" s="51" t="s">
        <v>113</v>
      </c>
      <c r="O15" s="51" t="s">
        <v>113</v>
      </c>
      <c r="P15" s="51" t="s">
        <v>113</v>
      </c>
      <c r="Q15" s="51" t="s">
        <v>113</v>
      </c>
      <c r="R15" s="51" t="s">
        <v>113</v>
      </c>
      <c r="S15" s="51" t="s">
        <v>113</v>
      </c>
      <c r="T15" s="51" t="s">
        <v>113</v>
      </c>
      <c r="U15" s="51">
        <v>0</v>
      </c>
      <c r="V15" s="51" t="s">
        <v>113</v>
      </c>
      <c r="W15" s="51">
        <v>0</v>
      </c>
      <c r="X15" s="51" t="s">
        <v>113</v>
      </c>
      <c r="Y15" s="51">
        <v>0</v>
      </c>
      <c r="Z15" s="51" t="s">
        <v>113</v>
      </c>
      <c r="AA15" s="51" t="s">
        <v>113</v>
      </c>
      <c r="AB15" s="51" t="s">
        <v>113</v>
      </c>
      <c r="AC15" s="51" t="s">
        <v>113</v>
      </c>
      <c r="AD15" s="51" t="s">
        <v>113</v>
      </c>
      <c r="AE15" s="51" t="s">
        <v>113</v>
      </c>
      <c r="AF15" s="51" t="s">
        <v>113</v>
      </c>
      <c r="AG15" s="51" t="s">
        <v>113</v>
      </c>
      <c r="AH15" s="51" t="s">
        <v>113</v>
      </c>
      <c r="AI15" s="51" t="s">
        <v>113</v>
      </c>
      <c r="AJ15" s="51" t="s">
        <v>113</v>
      </c>
      <c r="AK15" s="51" t="s">
        <v>113</v>
      </c>
      <c r="AL15" s="51" t="s">
        <v>113</v>
      </c>
      <c r="AM15" s="51" t="s">
        <v>113</v>
      </c>
      <c r="AN15" s="51" t="s">
        <v>113</v>
      </c>
      <c r="AO15" s="51" t="s">
        <v>113</v>
      </c>
      <c r="AP15" s="51" t="s">
        <v>113</v>
      </c>
      <c r="AQ15" s="51" t="s">
        <v>113</v>
      </c>
      <c r="AR15" s="51" t="s">
        <v>113</v>
      </c>
      <c r="AS15" s="51" t="s">
        <v>113</v>
      </c>
      <c r="AT15" s="51" t="s">
        <v>113</v>
      </c>
      <c r="AU15" s="51" t="s">
        <v>113</v>
      </c>
      <c r="AV15" s="51" t="s">
        <v>113</v>
      </c>
      <c r="AW15" s="51" t="s">
        <v>113</v>
      </c>
      <c r="AX15" s="51" t="s">
        <v>113</v>
      </c>
      <c r="AY15" s="51">
        <v>0</v>
      </c>
      <c r="AZ15" s="51" t="s">
        <v>113</v>
      </c>
      <c r="BA15" s="51">
        <v>0</v>
      </c>
      <c r="BB15" s="51" t="s">
        <v>113</v>
      </c>
      <c r="BC15" s="51" t="s">
        <v>113</v>
      </c>
      <c r="BD15" s="51" t="s">
        <v>113</v>
      </c>
      <c r="BE15" s="51">
        <v>0</v>
      </c>
      <c r="BF15" s="51" t="s">
        <v>113</v>
      </c>
      <c r="BG15" s="51" t="s">
        <v>113</v>
      </c>
      <c r="BH15" s="51" t="s">
        <v>113</v>
      </c>
      <c r="BI15" s="51" t="s">
        <v>113</v>
      </c>
      <c r="BJ15" s="51" t="s">
        <v>113</v>
      </c>
      <c r="BK15" s="51" t="s">
        <v>113</v>
      </c>
      <c r="BL15" s="51" t="s">
        <v>113</v>
      </c>
      <c r="BM15" s="51" t="s">
        <v>113</v>
      </c>
    </row>
    <row r="16" spans="1:65" ht="15" customHeight="1" x14ac:dyDescent="0.2">
      <c r="A16" s="51" t="s">
        <v>132</v>
      </c>
      <c r="B16" s="51" t="s">
        <v>113</v>
      </c>
      <c r="C16" s="51">
        <v>0</v>
      </c>
      <c r="D16" s="51" t="s">
        <v>113</v>
      </c>
      <c r="E16" s="51" t="s">
        <v>113</v>
      </c>
      <c r="F16" s="51" t="s">
        <v>113</v>
      </c>
      <c r="G16" s="51">
        <v>0</v>
      </c>
      <c r="H16" s="51" t="s">
        <v>113</v>
      </c>
      <c r="I16" s="51">
        <v>0</v>
      </c>
      <c r="J16" s="51" t="s">
        <v>113</v>
      </c>
      <c r="K16" s="51" t="s">
        <v>113</v>
      </c>
      <c r="L16" s="51" t="s">
        <v>113</v>
      </c>
      <c r="M16" s="51" t="s">
        <v>113</v>
      </c>
      <c r="N16" s="51" t="s">
        <v>113</v>
      </c>
      <c r="O16" s="51" t="s">
        <v>113</v>
      </c>
      <c r="P16" s="51" t="s">
        <v>113</v>
      </c>
      <c r="Q16" s="51" t="s">
        <v>113</v>
      </c>
      <c r="R16" s="51" t="s">
        <v>113</v>
      </c>
      <c r="S16" s="51" t="s">
        <v>113</v>
      </c>
      <c r="T16" s="51" t="s">
        <v>113</v>
      </c>
      <c r="U16" s="51">
        <v>2</v>
      </c>
      <c r="V16" s="51" t="s">
        <v>113</v>
      </c>
      <c r="W16" s="51">
        <v>1</v>
      </c>
      <c r="X16" s="51" t="s">
        <v>113</v>
      </c>
      <c r="Y16" s="51">
        <v>0</v>
      </c>
      <c r="Z16" s="51" t="s">
        <v>113</v>
      </c>
      <c r="AA16" s="51" t="s">
        <v>113</v>
      </c>
      <c r="AB16" s="51" t="s">
        <v>113</v>
      </c>
      <c r="AC16" s="51" t="s">
        <v>113</v>
      </c>
      <c r="AD16" s="51" t="s">
        <v>113</v>
      </c>
      <c r="AE16" s="51" t="s">
        <v>113</v>
      </c>
      <c r="AF16" s="51" t="s">
        <v>113</v>
      </c>
      <c r="AG16" s="51" t="s">
        <v>113</v>
      </c>
      <c r="AH16" s="51" t="s">
        <v>113</v>
      </c>
      <c r="AI16" s="51" t="s">
        <v>113</v>
      </c>
      <c r="AJ16" s="51" t="s">
        <v>113</v>
      </c>
      <c r="AK16" s="51" t="s">
        <v>113</v>
      </c>
      <c r="AL16" s="51" t="s">
        <v>113</v>
      </c>
      <c r="AM16" s="51" t="s">
        <v>113</v>
      </c>
      <c r="AN16" s="51" t="s">
        <v>113</v>
      </c>
      <c r="AO16" s="51" t="s">
        <v>113</v>
      </c>
      <c r="AP16" s="51" t="s">
        <v>113</v>
      </c>
      <c r="AQ16" s="51" t="s">
        <v>113</v>
      </c>
      <c r="AR16" s="51" t="s">
        <v>113</v>
      </c>
      <c r="AS16" s="51" t="s">
        <v>113</v>
      </c>
      <c r="AT16" s="51" t="s">
        <v>113</v>
      </c>
      <c r="AU16" s="51" t="s">
        <v>113</v>
      </c>
      <c r="AV16" s="51" t="s">
        <v>113</v>
      </c>
      <c r="AW16" s="51" t="s">
        <v>113</v>
      </c>
      <c r="AX16" s="51" t="s">
        <v>113</v>
      </c>
      <c r="AY16" s="51">
        <v>0</v>
      </c>
      <c r="AZ16" s="51" t="s">
        <v>113</v>
      </c>
      <c r="BA16" s="51">
        <v>0</v>
      </c>
      <c r="BB16" s="51" t="s">
        <v>113</v>
      </c>
      <c r="BC16" s="51" t="s">
        <v>113</v>
      </c>
      <c r="BD16" s="51" t="s">
        <v>113</v>
      </c>
      <c r="BE16" s="51">
        <v>0</v>
      </c>
      <c r="BF16" s="51" t="s">
        <v>113</v>
      </c>
      <c r="BG16" s="51" t="s">
        <v>113</v>
      </c>
      <c r="BH16" s="51" t="s">
        <v>113</v>
      </c>
      <c r="BI16" s="51" t="s">
        <v>113</v>
      </c>
      <c r="BJ16" s="51" t="s">
        <v>113</v>
      </c>
      <c r="BK16" s="51" t="s">
        <v>113</v>
      </c>
      <c r="BL16" s="51" t="s">
        <v>113</v>
      </c>
      <c r="BM16" s="51" t="s">
        <v>113</v>
      </c>
    </row>
    <row r="17" spans="1:65" ht="15" customHeight="1" x14ac:dyDescent="0.2">
      <c r="A17" s="51" t="s">
        <v>131</v>
      </c>
      <c r="B17" s="51" t="s">
        <v>113</v>
      </c>
      <c r="C17" s="51">
        <v>0</v>
      </c>
      <c r="D17" s="51" t="s">
        <v>113</v>
      </c>
      <c r="E17" s="51" t="s">
        <v>113</v>
      </c>
      <c r="F17" s="51" t="s">
        <v>113</v>
      </c>
      <c r="G17" s="51">
        <v>0</v>
      </c>
      <c r="H17" s="51" t="s">
        <v>113</v>
      </c>
      <c r="I17" s="51">
        <v>0</v>
      </c>
      <c r="J17" s="51" t="s">
        <v>113</v>
      </c>
      <c r="K17" s="51" t="s">
        <v>113</v>
      </c>
      <c r="L17" s="51" t="s">
        <v>113</v>
      </c>
      <c r="M17" s="51" t="s">
        <v>113</v>
      </c>
      <c r="N17" s="51" t="s">
        <v>113</v>
      </c>
      <c r="O17" s="51" t="s">
        <v>113</v>
      </c>
      <c r="P17" s="51" t="s">
        <v>113</v>
      </c>
      <c r="Q17" s="51" t="s">
        <v>113</v>
      </c>
      <c r="R17" s="51" t="s">
        <v>113</v>
      </c>
      <c r="S17" s="51" t="s">
        <v>113</v>
      </c>
      <c r="T17" s="51" t="s">
        <v>113</v>
      </c>
      <c r="U17" s="51">
        <v>2</v>
      </c>
      <c r="V17" s="51" t="s">
        <v>113</v>
      </c>
      <c r="W17" s="51">
        <v>0</v>
      </c>
      <c r="X17" s="51" t="s">
        <v>113</v>
      </c>
      <c r="Y17" s="51">
        <v>0</v>
      </c>
      <c r="Z17" s="51" t="s">
        <v>113</v>
      </c>
      <c r="AA17" s="51" t="s">
        <v>113</v>
      </c>
      <c r="AB17" s="51" t="s">
        <v>113</v>
      </c>
      <c r="AC17" s="51" t="s">
        <v>113</v>
      </c>
      <c r="AD17" s="51" t="s">
        <v>113</v>
      </c>
      <c r="AE17" s="51" t="s">
        <v>113</v>
      </c>
      <c r="AF17" s="51" t="s">
        <v>113</v>
      </c>
      <c r="AG17" s="51" t="s">
        <v>113</v>
      </c>
      <c r="AH17" s="51" t="s">
        <v>113</v>
      </c>
      <c r="AI17" s="51" t="s">
        <v>113</v>
      </c>
      <c r="AJ17" s="51" t="s">
        <v>113</v>
      </c>
      <c r="AK17" s="51" t="s">
        <v>113</v>
      </c>
      <c r="AL17" s="51" t="s">
        <v>113</v>
      </c>
      <c r="AM17" s="51" t="s">
        <v>113</v>
      </c>
      <c r="AN17" s="51" t="s">
        <v>113</v>
      </c>
      <c r="AO17" s="51" t="s">
        <v>113</v>
      </c>
      <c r="AP17" s="51" t="s">
        <v>113</v>
      </c>
      <c r="AQ17" s="51" t="s">
        <v>113</v>
      </c>
      <c r="AR17" s="51" t="s">
        <v>113</v>
      </c>
      <c r="AS17" s="51" t="s">
        <v>113</v>
      </c>
      <c r="AT17" s="51" t="s">
        <v>113</v>
      </c>
      <c r="AU17" s="51" t="s">
        <v>113</v>
      </c>
      <c r="AV17" s="51" t="s">
        <v>113</v>
      </c>
      <c r="AW17" s="51" t="s">
        <v>113</v>
      </c>
      <c r="AX17" s="51" t="s">
        <v>113</v>
      </c>
      <c r="AY17" s="51">
        <v>0</v>
      </c>
      <c r="AZ17" s="51" t="s">
        <v>113</v>
      </c>
      <c r="BA17" s="51">
        <v>2</v>
      </c>
      <c r="BB17" s="51" t="s">
        <v>113</v>
      </c>
      <c r="BC17" s="51" t="s">
        <v>113</v>
      </c>
      <c r="BD17" s="51" t="s">
        <v>113</v>
      </c>
      <c r="BE17" s="51">
        <v>0</v>
      </c>
      <c r="BF17" s="51" t="s">
        <v>113</v>
      </c>
      <c r="BG17" s="51" t="s">
        <v>113</v>
      </c>
      <c r="BH17" s="51" t="s">
        <v>113</v>
      </c>
      <c r="BI17" s="51" t="s">
        <v>113</v>
      </c>
      <c r="BJ17" s="51" t="s">
        <v>113</v>
      </c>
      <c r="BK17" s="51" t="s">
        <v>113</v>
      </c>
      <c r="BL17" s="51" t="s">
        <v>113</v>
      </c>
      <c r="BM17" s="51" t="s">
        <v>113</v>
      </c>
    </row>
    <row r="18" spans="1:65" ht="15" customHeight="1" x14ac:dyDescent="0.2">
      <c r="A18" s="51" t="s">
        <v>130</v>
      </c>
      <c r="B18" s="51" t="s">
        <v>113</v>
      </c>
      <c r="C18" s="51">
        <v>0</v>
      </c>
      <c r="D18" s="51" t="s">
        <v>113</v>
      </c>
      <c r="E18" s="51" t="s">
        <v>113</v>
      </c>
      <c r="F18" s="51" t="s">
        <v>113</v>
      </c>
      <c r="G18" s="51">
        <v>0</v>
      </c>
      <c r="H18" s="51" t="s">
        <v>113</v>
      </c>
      <c r="I18" s="51">
        <v>0</v>
      </c>
      <c r="J18" s="51" t="s">
        <v>113</v>
      </c>
      <c r="K18" s="51" t="s">
        <v>113</v>
      </c>
      <c r="L18" s="51" t="s">
        <v>113</v>
      </c>
      <c r="M18" s="51" t="s">
        <v>113</v>
      </c>
      <c r="N18" s="51" t="s">
        <v>113</v>
      </c>
      <c r="O18" s="51" t="s">
        <v>113</v>
      </c>
      <c r="P18" s="51" t="s">
        <v>113</v>
      </c>
      <c r="Q18" s="51" t="s">
        <v>113</v>
      </c>
      <c r="R18" s="51" t="s">
        <v>113</v>
      </c>
      <c r="S18" s="51" t="s">
        <v>113</v>
      </c>
      <c r="T18" s="51" t="s">
        <v>113</v>
      </c>
      <c r="U18" s="51">
        <v>4</v>
      </c>
      <c r="V18" s="51" t="s">
        <v>113</v>
      </c>
      <c r="W18" s="51">
        <v>0</v>
      </c>
      <c r="X18" s="51" t="s">
        <v>113</v>
      </c>
      <c r="Y18" s="51">
        <v>0</v>
      </c>
      <c r="Z18" s="51" t="s">
        <v>113</v>
      </c>
      <c r="AA18" s="51" t="s">
        <v>113</v>
      </c>
      <c r="AB18" s="51" t="s">
        <v>113</v>
      </c>
      <c r="AC18" s="51" t="s">
        <v>113</v>
      </c>
      <c r="AD18" s="51" t="s">
        <v>113</v>
      </c>
      <c r="AE18" s="51" t="s">
        <v>113</v>
      </c>
      <c r="AF18" s="51" t="s">
        <v>113</v>
      </c>
      <c r="AG18" s="51" t="s">
        <v>113</v>
      </c>
      <c r="AH18" s="51" t="s">
        <v>113</v>
      </c>
      <c r="AI18" s="51" t="s">
        <v>113</v>
      </c>
      <c r="AJ18" s="51" t="s">
        <v>113</v>
      </c>
      <c r="AK18" s="51" t="s">
        <v>113</v>
      </c>
      <c r="AL18" s="51" t="s">
        <v>113</v>
      </c>
      <c r="AM18" s="51" t="s">
        <v>113</v>
      </c>
      <c r="AN18" s="51" t="s">
        <v>113</v>
      </c>
      <c r="AO18" s="51" t="s">
        <v>113</v>
      </c>
      <c r="AP18" s="51" t="s">
        <v>113</v>
      </c>
      <c r="AQ18" s="51" t="s">
        <v>113</v>
      </c>
      <c r="AR18" s="51" t="s">
        <v>113</v>
      </c>
      <c r="AS18" s="51" t="s">
        <v>113</v>
      </c>
      <c r="AT18" s="51" t="s">
        <v>113</v>
      </c>
      <c r="AU18" s="51" t="s">
        <v>113</v>
      </c>
      <c r="AV18" s="51" t="s">
        <v>113</v>
      </c>
      <c r="AW18" s="51" t="s">
        <v>113</v>
      </c>
      <c r="AX18" s="51" t="s">
        <v>113</v>
      </c>
      <c r="AY18" s="51">
        <v>4</v>
      </c>
      <c r="AZ18" s="51" t="s">
        <v>113</v>
      </c>
      <c r="BA18" s="51">
        <v>0</v>
      </c>
      <c r="BB18" s="51" t="s">
        <v>113</v>
      </c>
      <c r="BC18" s="51" t="s">
        <v>113</v>
      </c>
      <c r="BD18" s="51" t="s">
        <v>113</v>
      </c>
      <c r="BE18" s="51">
        <v>0</v>
      </c>
      <c r="BF18" s="51" t="s">
        <v>113</v>
      </c>
      <c r="BG18" s="51" t="s">
        <v>113</v>
      </c>
      <c r="BH18" s="51" t="s">
        <v>113</v>
      </c>
      <c r="BI18" s="51" t="s">
        <v>113</v>
      </c>
      <c r="BJ18" s="51" t="s">
        <v>113</v>
      </c>
      <c r="BK18" s="51" t="s">
        <v>113</v>
      </c>
      <c r="BL18" s="51" t="s">
        <v>113</v>
      </c>
      <c r="BM18" s="51" t="s">
        <v>113</v>
      </c>
    </row>
    <row r="19" spans="1:65" ht="15" customHeight="1" x14ac:dyDescent="0.2">
      <c r="A19" s="51" t="s">
        <v>129</v>
      </c>
      <c r="B19" s="51" t="s">
        <v>113</v>
      </c>
      <c r="C19" s="51">
        <v>0</v>
      </c>
      <c r="D19" s="51" t="s">
        <v>113</v>
      </c>
      <c r="E19" s="51" t="s">
        <v>113</v>
      </c>
      <c r="F19" s="51" t="s">
        <v>113</v>
      </c>
      <c r="G19" s="51">
        <v>0</v>
      </c>
      <c r="H19" s="51" t="s">
        <v>113</v>
      </c>
      <c r="I19" s="51">
        <v>0</v>
      </c>
      <c r="J19" s="51" t="s">
        <v>113</v>
      </c>
      <c r="K19" s="51" t="s">
        <v>113</v>
      </c>
      <c r="L19" s="51" t="s">
        <v>113</v>
      </c>
      <c r="M19" s="51" t="s">
        <v>113</v>
      </c>
      <c r="N19" s="51" t="s">
        <v>113</v>
      </c>
      <c r="O19" s="51" t="s">
        <v>113</v>
      </c>
      <c r="P19" s="51" t="s">
        <v>113</v>
      </c>
      <c r="Q19" s="51" t="s">
        <v>113</v>
      </c>
      <c r="R19" s="51" t="s">
        <v>113</v>
      </c>
      <c r="S19" s="51" t="s">
        <v>113</v>
      </c>
      <c r="T19" s="51" t="s">
        <v>113</v>
      </c>
      <c r="U19" s="51">
        <v>6</v>
      </c>
      <c r="V19" s="51" t="s">
        <v>113</v>
      </c>
      <c r="W19" s="51">
        <v>0</v>
      </c>
      <c r="X19" s="51" t="s">
        <v>113</v>
      </c>
      <c r="Y19" s="51">
        <v>0</v>
      </c>
      <c r="Z19" s="51" t="s">
        <v>113</v>
      </c>
      <c r="AA19" s="51" t="s">
        <v>113</v>
      </c>
      <c r="AB19" s="51" t="s">
        <v>113</v>
      </c>
      <c r="AC19" s="51" t="s">
        <v>113</v>
      </c>
      <c r="AD19" s="51" t="s">
        <v>113</v>
      </c>
      <c r="AE19" s="51" t="s">
        <v>113</v>
      </c>
      <c r="AF19" s="51" t="s">
        <v>113</v>
      </c>
      <c r="AG19" s="51" t="s">
        <v>113</v>
      </c>
      <c r="AH19" s="51" t="s">
        <v>113</v>
      </c>
      <c r="AI19" s="51" t="s">
        <v>113</v>
      </c>
      <c r="AJ19" s="51" t="s">
        <v>113</v>
      </c>
      <c r="AK19" s="51" t="s">
        <v>113</v>
      </c>
      <c r="AL19" s="51" t="s">
        <v>113</v>
      </c>
      <c r="AM19" s="51" t="s">
        <v>113</v>
      </c>
      <c r="AN19" s="51" t="s">
        <v>113</v>
      </c>
      <c r="AO19" s="51" t="s">
        <v>113</v>
      </c>
      <c r="AP19" s="51" t="s">
        <v>113</v>
      </c>
      <c r="AQ19" s="51" t="s">
        <v>113</v>
      </c>
      <c r="AR19" s="51" t="s">
        <v>113</v>
      </c>
      <c r="AS19" s="51" t="s">
        <v>113</v>
      </c>
      <c r="AT19" s="51" t="s">
        <v>113</v>
      </c>
      <c r="AU19" s="51" t="s">
        <v>113</v>
      </c>
      <c r="AV19" s="51" t="s">
        <v>113</v>
      </c>
      <c r="AW19" s="51" t="s">
        <v>113</v>
      </c>
      <c r="AX19" s="51" t="s">
        <v>113</v>
      </c>
      <c r="AY19" s="51">
        <v>0</v>
      </c>
      <c r="AZ19" s="51" t="s">
        <v>113</v>
      </c>
      <c r="BA19" s="51">
        <v>1</v>
      </c>
      <c r="BB19" s="51" t="s">
        <v>113</v>
      </c>
      <c r="BC19" s="51" t="s">
        <v>113</v>
      </c>
      <c r="BD19" s="51" t="s">
        <v>113</v>
      </c>
      <c r="BE19" s="51">
        <v>0</v>
      </c>
      <c r="BF19" s="51" t="s">
        <v>113</v>
      </c>
      <c r="BG19" s="51" t="s">
        <v>113</v>
      </c>
      <c r="BH19" s="51" t="s">
        <v>113</v>
      </c>
      <c r="BI19" s="51" t="s">
        <v>113</v>
      </c>
      <c r="BJ19" s="51" t="s">
        <v>113</v>
      </c>
      <c r="BK19" s="51" t="s">
        <v>113</v>
      </c>
      <c r="BL19" s="51" t="s">
        <v>113</v>
      </c>
      <c r="BM19" s="51" t="s">
        <v>113</v>
      </c>
    </row>
    <row r="20" spans="1:65" ht="15" customHeight="1" x14ac:dyDescent="0.2">
      <c r="A20" s="51" t="s">
        <v>128</v>
      </c>
      <c r="B20" s="51" t="s">
        <v>113</v>
      </c>
      <c r="C20" s="51">
        <v>0</v>
      </c>
      <c r="D20" s="51" t="s">
        <v>113</v>
      </c>
      <c r="E20" s="51" t="s">
        <v>113</v>
      </c>
      <c r="F20" s="51" t="s">
        <v>113</v>
      </c>
      <c r="G20" s="51">
        <v>0</v>
      </c>
      <c r="H20" s="51" t="s">
        <v>113</v>
      </c>
      <c r="I20" s="51">
        <v>0</v>
      </c>
      <c r="J20" s="51" t="s">
        <v>113</v>
      </c>
      <c r="K20" s="51" t="s">
        <v>113</v>
      </c>
      <c r="L20" s="51" t="s">
        <v>113</v>
      </c>
      <c r="M20" s="51" t="s">
        <v>113</v>
      </c>
      <c r="N20" s="51" t="s">
        <v>113</v>
      </c>
      <c r="O20" s="51" t="s">
        <v>113</v>
      </c>
      <c r="P20" s="51" t="s">
        <v>113</v>
      </c>
      <c r="Q20" s="51" t="s">
        <v>113</v>
      </c>
      <c r="R20" s="51" t="s">
        <v>113</v>
      </c>
      <c r="S20" s="51" t="s">
        <v>113</v>
      </c>
      <c r="T20" s="51" t="s">
        <v>113</v>
      </c>
      <c r="U20" s="51">
        <v>3</v>
      </c>
      <c r="V20" s="51" t="s">
        <v>113</v>
      </c>
      <c r="W20" s="51">
        <v>0</v>
      </c>
      <c r="X20" s="51" t="s">
        <v>113</v>
      </c>
      <c r="Y20" s="51">
        <v>0</v>
      </c>
      <c r="Z20" s="51" t="s">
        <v>113</v>
      </c>
      <c r="AA20" s="51" t="s">
        <v>113</v>
      </c>
      <c r="AB20" s="51" t="s">
        <v>113</v>
      </c>
      <c r="AC20" s="51" t="s">
        <v>113</v>
      </c>
      <c r="AD20" s="51" t="s">
        <v>113</v>
      </c>
      <c r="AE20" s="51" t="s">
        <v>113</v>
      </c>
      <c r="AF20" s="51" t="s">
        <v>113</v>
      </c>
      <c r="AG20" s="51" t="s">
        <v>113</v>
      </c>
      <c r="AH20" s="51" t="s">
        <v>113</v>
      </c>
      <c r="AI20" s="51" t="s">
        <v>113</v>
      </c>
      <c r="AJ20" s="51" t="s">
        <v>113</v>
      </c>
      <c r="AK20" s="51" t="s">
        <v>113</v>
      </c>
      <c r="AL20" s="51" t="s">
        <v>113</v>
      </c>
      <c r="AM20" s="51" t="s">
        <v>113</v>
      </c>
      <c r="AN20" s="51" t="s">
        <v>113</v>
      </c>
      <c r="AO20" s="51" t="s">
        <v>113</v>
      </c>
      <c r="AP20" s="51" t="s">
        <v>113</v>
      </c>
      <c r="AQ20" s="51" t="s">
        <v>113</v>
      </c>
      <c r="AR20" s="51" t="s">
        <v>113</v>
      </c>
      <c r="AS20" s="51" t="s">
        <v>113</v>
      </c>
      <c r="AT20" s="51" t="s">
        <v>113</v>
      </c>
      <c r="AU20" s="51" t="s">
        <v>113</v>
      </c>
      <c r="AV20" s="51" t="s">
        <v>113</v>
      </c>
      <c r="AW20" s="51" t="s">
        <v>113</v>
      </c>
      <c r="AX20" s="51" t="s">
        <v>113</v>
      </c>
      <c r="AY20" s="51">
        <v>0</v>
      </c>
      <c r="AZ20" s="51" t="s">
        <v>113</v>
      </c>
      <c r="BA20" s="51">
        <v>1</v>
      </c>
      <c r="BB20" s="51" t="s">
        <v>113</v>
      </c>
      <c r="BC20" s="51" t="s">
        <v>113</v>
      </c>
      <c r="BD20" s="51" t="s">
        <v>113</v>
      </c>
      <c r="BE20" s="51">
        <v>0</v>
      </c>
      <c r="BF20" s="51" t="s">
        <v>113</v>
      </c>
      <c r="BG20" s="51" t="s">
        <v>113</v>
      </c>
      <c r="BH20" s="51" t="s">
        <v>113</v>
      </c>
      <c r="BI20" s="51" t="s">
        <v>113</v>
      </c>
      <c r="BJ20" s="51" t="s">
        <v>113</v>
      </c>
      <c r="BK20" s="51" t="s">
        <v>113</v>
      </c>
      <c r="BL20" s="51" t="s">
        <v>113</v>
      </c>
      <c r="BM20" s="51" t="s">
        <v>113</v>
      </c>
    </row>
    <row r="21" spans="1:65" ht="15" customHeight="1" x14ac:dyDescent="0.2">
      <c r="A21" s="51" t="s">
        <v>127</v>
      </c>
      <c r="B21" s="51" t="s">
        <v>113</v>
      </c>
      <c r="C21" s="51">
        <v>0</v>
      </c>
      <c r="D21" s="51" t="s">
        <v>113</v>
      </c>
      <c r="E21" s="51" t="s">
        <v>113</v>
      </c>
      <c r="F21" s="51" t="s">
        <v>113</v>
      </c>
      <c r="G21" s="51">
        <v>0</v>
      </c>
      <c r="H21" s="51" t="s">
        <v>113</v>
      </c>
      <c r="I21" s="51">
        <v>0</v>
      </c>
      <c r="J21" s="51" t="s">
        <v>113</v>
      </c>
      <c r="K21" s="51" t="s">
        <v>113</v>
      </c>
      <c r="L21" s="51" t="s">
        <v>113</v>
      </c>
      <c r="M21" s="51" t="s">
        <v>113</v>
      </c>
      <c r="N21" s="51" t="s">
        <v>113</v>
      </c>
      <c r="O21" s="51" t="s">
        <v>113</v>
      </c>
      <c r="P21" s="51" t="s">
        <v>113</v>
      </c>
      <c r="Q21" s="51" t="s">
        <v>113</v>
      </c>
      <c r="R21" s="51" t="s">
        <v>113</v>
      </c>
      <c r="S21" s="51" t="s">
        <v>113</v>
      </c>
      <c r="T21" s="51" t="s">
        <v>113</v>
      </c>
      <c r="U21" s="51">
        <v>5</v>
      </c>
      <c r="V21" s="51" t="s">
        <v>113</v>
      </c>
      <c r="W21" s="51">
        <v>1</v>
      </c>
      <c r="X21" s="51" t="s">
        <v>113</v>
      </c>
      <c r="Y21" s="51">
        <v>0</v>
      </c>
      <c r="Z21" s="51" t="s">
        <v>113</v>
      </c>
      <c r="AA21" s="51" t="s">
        <v>113</v>
      </c>
      <c r="AB21" s="51" t="s">
        <v>113</v>
      </c>
      <c r="AC21" s="51" t="s">
        <v>113</v>
      </c>
      <c r="AD21" s="51" t="s">
        <v>113</v>
      </c>
      <c r="AE21" s="51" t="s">
        <v>113</v>
      </c>
      <c r="AF21" s="51" t="s">
        <v>113</v>
      </c>
      <c r="AG21" s="51" t="s">
        <v>113</v>
      </c>
      <c r="AH21" s="51" t="s">
        <v>113</v>
      </c>
      <c r="AI21" s="51" t="s">
        <v>113</v>
      </c>
      <c r="AJ21" s="51" t="s">
        <v>113</v>
      </c>
      <c r="AK21" s="51" t="s">
        <v>113</v>
      </c>
      <c r="AL21" s="51" t="s">
        <v>113</v>
      </c>
      <c r="AM21" s="51" t="s">
        <v>113</v>
      </c>
      <c r="AN21" s="51" t="s">
        <v>113</v>
      </c>
      <c r="AO21" s="51" t="s">
        <v>113</v>
      </c>
      <c r="AP21" s="51" t="s">
        <v>113</v>
      </c>
      <c r="AQ21" s="51" t="s">
        <v>113</v>
      </c>
      <c r="AR21" s="51" t="s">
        <v>113</v>
      </c>
      <c r="AS21" s="51" t="s">
        <v>113</v>
      </c>
      <c r="AT21" s="51" t="s">
        <v>113</v>
      </c>
      <c r="AU21" s="51" t="s">
        <v>113</v>
      </c>
      <c r="AV21" s="51" t="s">
        <v>113</v>
      </c>
      <c r="AW21" s="51" t="s">
        <v>113</v>
      </c>
      <c r="AX21" s="51" t="s">
        <v>113</v>
      </c>
      <c r="AY21" s="51">
        <v>0</v>
      </c>
      <c r="AZ21" s="51" t="s">
        <v>113</v>
      </c>
      <c r="BA21" s="51">
        <v>1</v>
      </c>
      <c r="BB21" s="51" t="s">
        <v>113</v>
      </c>
      <c r="BC21" s="51" t="s">
        <v>113</v>
      </c>
      <c r="BD21" s="51" t="s">
        <v>113</v>
      </c>
      <c r="BE21" s="51">
        <v>0</v>
      </c>
      <c r="BF21" s="51" t="s">
        <v>113</v>
      </c>
      <c r="BG21" s="51" t="s">
        <v>113</v>
      </c>
      <c r="BH21" s="51" t="s">
        <v>113</v>
      </c>
      <c r="BI21" s="51" t="s">
        <v>113</v>
      </c>
      <c r="BJ21" s="51" t="s">
        <v>113</v>
      </c>
      <c r="BK21" s="51" t="s">
        <v>113</v>
      </c>
      <c r="BL21" s="51" t="s">
        <v>113</v>
      </c>
      <c r="BM21" s="51" t="s">
        <v>113</v>
      </c>
    </row>
    <row r="22" spans="1:65" ht="15" customHeight="1" x14ac:dyDescent="0.2">
      <c r="A22" s="51" t="s">
        <v>126</v>
      </c>
      <c r="B22" s="51" t="s">
        <v>113</v>
      </c>
      <c r="C22" s="51">
        <v>0</v>
      </c>
      <c r="D22" s="51" t="s">
        <v>113</v>
      </c>
      <c r="E22" s="51" t="s">
        <v>113</v>
      </c>
      <c r="F22" s="51" t="s">
        <v>113</v>
      </c>
      <c r="G22" s="51">
        <v>0</v>
      </c>
      <c r="H22" s="51" t="s">
        <v>113</v>
      </c>
      <c r="I22" s="51">
        <v>0</v>
      </c>
      <c r="J22" s="51" t="s">
        <v>113</v>
      </c>
      <c r="K22" s="51" t="s">
        <v>113</v>
      </c>
      <c r="L22" s="51" t="s">
        <v>113</v>
      </c>
      <c r="M22" s="51" t="s">
        <v>113</v>
      </c>
      <c r="N22" s="51" t="s">
        <v>113</v>
      </c>
      <c r="O22" s="51" t="s">
        <v>113</v>
      </c>
      <c r="P22" s="51" t="s">
        <v>113</v>
      </c>
      <c r="Q22" s="51" t="s">
        <v>113</v>
      </c>
      <c r="R22" s="51" t="s">
        <v>113</v>
      </c>
      <c r="S22" s="51" t="s">
        <v>113</v>
      </c>
      <c r="T22" s="51" t="s">
        <v>113</v>
      </c>
      <c r="U22" s="51">
        <v>1</v>
      </c>
      <c r="V22" s="51" t="s">
        <v>113</v>
      </c>
      <c r="W22" s="51">
        <v>0</v>
      </c>
      <c r="X22" s="51" t="s">
        <v>113</v>
      </c>
      <c r="Y22" s="51">
        <v>0</v>
      </c>
      <c r="Z22" s="51" t="s">
        <v>113</v>
      </c>
      <c r="AA22" s="51" t="s">
        <v>113</v>
      </c>
      <c r="AB22" s="51" t="s">
        <v>113</v>
      </c>
      <c r="AC22" s="51" t="s">
        <v>113</v>
      </c>
      <c r="AD22" s="51" t="s">
        <v>113</v>
      </c>
      <c r="AE22" s="51" t="s">
        <v>113</v>
      </c>
      <c r="AF22" s="51" t="s">
        <v>113</v>
      </c>
      <c r="AG22" s="51" t="s">
        <v>113</v>
      </c>
      <c r="AH22" s="51" t="s">
        <v>113</v>
      </c>
      <c r="AI22" s="51" t="s">
        <v>113</v>
      </c>
      <c r="AJ22" s="51" t="s">
        <v>113</v>
      </c>
      <c r="AK22" s="51" t="s">
        <v>113</v>
      </c>
      <c r="AL22" s="51" t="s">
        <v>113</v>
      </c>
      <c r="AM22" s="51" t="s">
        <v>113</v>
      </c>
      <c r="AN22" s="51" t="s">
        <v>113</v>
      </c>
      <c r="AO22" s="51" t="s">
        <v>113</v>
      </c>
      <c r="AP22" s="51" t="s">
        <v>113</v>
      </c>
      <c r="AQ22" s="51" t="s">
        <v>113</v>
      </c>
      <c r="AR22" s="51" t="s">
        <v>113</v>
      </c>
      <c r="AS22" s="51" t="s">
        <v>113</v>
      </c>
      <c r="AT22" s="51" t="s">
        <v>113</v>
      </c>
      <c r="AU22" s="51" t="s">
        <v>113</v>
      </c>
      <c r="AV22" s="51" t="s">
        <v>113</v>
      </c>
      <c r="AW22" s="51" t="s">
        <v>113</v>
      </c>
      <c r="AX22" s="51" t="s">
        <v>113</v>
      </c>
      <c r="AY22" s="51">
        <v>0</v>
      </c>
      <c r="AZ22" s="51" t="s">
        <v>113</v>
      </c>
      <c r="BA22" s="51">
        <v>0</v>
      </c>
      <c r="BB22" s="51" t="s">
        <v>113</v>
      </c>
      <c r="BC22" s="51" t="s">
        <v>113</v>
      </c>
      <c r="BD22" s="51" t="s">
        <v>113</v>
      </c>
      <c r="BE22" s="51">
        <v>0</v>
      </c>
      <c r="BF22" s="51" t="s">
        <v>113</v>
      </c>
      <c r="BG22" s="51" t="s">
        <v>113</v>
      </c>
      <c r="BH22" s="51" t="s">
        <v>113</v>
      </c>
      <c r="BI22" s="51" t="s">
        <v>113</v>
      </c>
      <c r="BJ22" s="51" t="s">
        <v>113</v>
      </c>
      <c r="BK22" s="51" t="s">
        <v>113</v>
      </c>
      <c r="BL22" s="51" t="s">
        <v>113</v>
      </c>
      <c r="BM22" s="51" t="s">
        <v>113</v>
      </c>
    </row>
    <row r="23" spans="1:65" ht="15" customHeight="1" x14ac:dyDescent="0.2">
      <c r="A23" s="51" t="s">
        <v>125</v>
      </c>
      <c r="B23" s="51" t="s">
        <v>113</v>
      </c>
      <c r="C23" s="51">
        <v>0</v>
      </c>
      <c r="D23" s="51" t="s">
        <v>113</v>
      </c>
      <c r="E23" s="51" t="s">
        <v>113</v>
      </c>
      <c r="F23" s="51" t="s">
        <v>113</v>
      </c>
      <c r="G23" s="51">
        <v>0</v>
      </c>
      <c r="H23" s="51" t="s">
        <v>113</v>
      </c>
      <c r="I23" s="51">
        <v>0</v>
      </c>
      <c r="J23" s="51" t="s">
        <v>113</v>
      </c>
      <c r="K23" s="51" t="s">
        <v>113</v>
      </c>
      <c r="L23" s="51" t="s">
        <v>113</v>
      </c>
      <c r="M23" s="51" t="s">
        <v>113</v>
      </c>
      <c r="N23" s="51" t="s">
        <v>113</v>
      </c>
      <c r="O23" s="51" t="s">
        <v>113</v>
      </c>
      <c r="P23" s="51" t="s">
        <v>113</v>
      </c>
      <c r="Q23" s="51" t="s">
        <v>113</v>
      </c>
      <c r="R23" s="51" t="s">
        <v>113</v>
      </c>
      <c r="S23" s="51" t="s">
        <v>113</v>
      </c>
      <c r="T23" s="51" t="s">
        <v>113</v>
      </c>
      <c r="U23" s="51">
        <v>1</v>
      </c>
      <c r="V23" s="51" t="s">
        <v>113</v>
      </c>
      <c r="W23" s="51">
        <v>0</v>
      </c>
      <c r="X23" s="51" t="s">
        <v>113</v>
      </c>
      <c r="Y23" s="51">
        <v>0</v>
      </c>
      <c r="Z23" s="51" t="s">
        <v>113</v>
      </c>
      <c r="AA23" s="51" t="s">
        <v>113</v>
      </c>
      <c r="AB23" s="51" t="s">
        <v>113</v>
      </c>
      <c r="AC23" s="51" t="s">
        <v>113</v>
      </c>
      <c r="AD23" s="51" t="s">
        <v>113</v>
      </c>
      <c r="AE23" s="51" t="s">
        <v>113</v>
      </c>
      <c r="AF23" s="51" t="s">
        <v>113</v>
      </c>
      <c r="AG23" s="51" t="s">
        <v>113</v>
      </c>
      <c r="AH23" s="51" t="s">
        <v>113</v>
      </c>
      <c r="AI23" s="51" t="s">
        <v>113</v>
      </c>
      <c r="AJ23" s="51" t="s">
        <v>113</v>
      </c>
      <c r="AK23" s="51" t="s">
        <v>113</v>
      </c>
      <c r="AL23" s="51" t="s">
        <v>113</v>
      </c>
      <c r="AM23" s="51" t="s">
        <v>113</v>
      </c>
      <c r="AN23" s="51" t="s">
        <v>113</v>
      </c>
      <c r="AO23" s="51" t="s">
        <v>113</v>
      </c>
      <c r="AP23" s="51" t="s">
        <v>113</v>
      </c>
      <c r="AQ23" s="51" t="s">
        <v>113</v>
      </c>
      <c r="AR23" s="51" t="s">
        <v>113</v>
      </c>
      <c r="AS23" s="51" t="s">
        <v>113</v>
      </c>
      <c r="AT23" s="51" t="s">
        <v>113</v>
      </c>
      <c r="AU23" s="51" t="s">
        <v>113</v>
      </c>
      <c r="AV23" s="51" t="s">
        <v>113</v>
      </c>
      <c r="AW23" s="51" t="s">
        <v>113</v>
      </c>
      <c r="AX23" s="51" t="s">
        <v>113</v>
      </c>
      <c r="AY23" s="51">
        <v>0</v>
      </c>
      <c r="AZ23" s="51" t="s">
        <v>113</v>
      </c>
      <c r="BA23" s="51">
        <v>1</v>
      </c>
      <c r="BB23" s="51" t="s">
        <v>113</v>
      </c>
      <c r="BC23" s="51" t="s">
        <v>113</v>
      </c>
      <c r="BD23" s="51" t="s">
        <v>113</v>
      </c>
      <c r="BE23" s="51">
        <v>0</v>
      </c>
      <c r="BF23" s="51" t="s">
        <v>113</v>
      </c>
      <c r="BG23" s="51" t="s">
        <v>113</v>
      </c>
      <c r="BH23" s="51" t="s">
        <v>113</v>
      </c>
      <c r="BI23" s="51" t="s">
        <v>113</v>
      </c>
      <c r="BJ23" s="51" t="s">
        <v>113</v>
      </c>
      <c r="BK23" s="51" t="s">
        <v>113</v>
      </c>
      <c r="BL23" s="51" t="s">
        <v>113</v>
      </c>
      <c r="BM23" s="51" t="s">
        <v>113</v>
      </c>
    </row>
    <row r="24" spans="1:65" ht="15" customHeight="1" x14ac:dyDescent="0.2">
      <c r="A24" s="51" t="s">
        <v>124</v>
      </c>
      <c r="B24" s="51" t="s">
        <v>113</v>
      </c>
      <c r="C24" s="51">
        <v>0</v>
      </c>
      <c r="D24" s="51" t="s">
        <v>113</v>
      </c>
      <c r="E24" s="51" t="s">
        <v>113</v>
      </c>
      <c r="F24" s="51" t="s">
        <v>113</v>
      </c>
      <c r="G24" s="51">
        <v>0</v>
      </c>
      <c r="H24" s="51" t="s">
        <v>113</v>
      </c>
      <c r="I24" s="51">
        <v>0</v>
      </c>
      <c r="J24" s="51" t="s">
        <v>113</v>
      </c>
      <c r="K24" s="51" t="s">
        <v>113</v>
      </c>
      <c r="L24" s="51" t="s">
        <v>113</v>
      </c>
      <c r="M24" s="51" t="s">
        <v>113</v>
      </c>
      <c r="N24" s="51" t="s">
        <v>113</v>
      </c>
      <c r="O24" s="51" t="s">
        <v>113</v>
      </c>
      <c r="P24" s="51" t="s">
        <v>113</v>
      </c>
      <c r="Q24" s="51" t="s">
        <v>113</v>
      </c>
      <c r="R24" s="51" t="s">
        <v>113</v>
      </c>
      <c r="S24" s="51" t="s">
        <v>113</v>
      </c>
      <c r="T24" s="51" t="s">
        <v>113</v>
      </c>
      <c r="U24" s="51">
        <v>0</v>
      </c>
      <c r="V24" s="51" t="s">
        <v>113</v>
      </c>
      <c r="W24" s="51">
        <v>0</v>
      </c>
      <c r="X24" s="51" t="s">
        <v>113</v>
      </c>
      <c r="Y24" s="51">
        <v>0</v>
      </c>
      <c r="Z24" s="51" t="s">
        <v>113</v>
      </c>
      <c r="AA24" s="51" t="s">
        <v>113</v>
      </c>
      <c r="AB24" s="51" t="s">
        <v>113</v>
      </c>
      <c r="AC24" s="51" t="s">
        <v>113</v>
      </c>
      <c r="AD24" s="51" t="s">
        <v>113</v>
      </c>
      <c r="AE24" s="51" t="s">
        <v>113</v>
      </c>
      <c r="AF24" s="51" t="s">
        <v>113</v>
      </c>
      <c r="AG24" s="51" t="s">
        <v>113</v>
      </c>
      <c r="AH24" s="51" t="s">
        <v>113</v>
      </c>
      <c r="AI24" s="51" t="s">
        <v>113</v>
      </c>
      <c r="AJ24" s="51" t="s">
        <v>113</v>
      </c>
      <c r="AK24" s="51" t="s">
        <v>113</v>
      </c>
      <c r="AL24" s="51" t="s">
        <v>113</v>
      </c>
      <c r="AM24" s="51" t="s">
        <v>113</v>
      </c>
      <c r="AN24" s="51" t="s">
        <v>113</v>
      </c>
      <c r="AO24" s="51" t="s">
        <v>113</v>
      </c>
      <c r="AP24" s="51" t="s">
        <v>113</v>
      </c>
      <c r="AQ24" s="51" t="s">
        <v>113</v>
      </c>
      <c r="AR24" s="51" t="s">
        <v>113</v>
      </c>
      <c r="AS24" s="51" t="s">
        <v>113</v>
      </c>
      <c r="AT24" s="51" t="s">
        <v>113</v>
      </c>
      <c r="AU24" s="51" t="s">
        <v>113</v>
      </c>
      <c r="AV24" s="51" t="s">
        <v>113</v>
      </c>
      <c r="AW24" s="51" t="s">
        <v>113</v>
      </c>
      <c r="AX24" s="51" t="s">
        <v>113</v>
      </c>
      <c r="AY24" s="51">
        <v>0</v>
      </c>
      <c r="AZ24" s="51" t="s">
        <v>113</v>
      </c>
      <c r="BA24" s="51">
        <v>2</v>
      </c>
      <c r="BB24" s="51" t="s">
        <v>113</v>
      </c>
      <c r="BC24" s="51" t="s">
        <v>113</v>
      </c>
      <c r="BD24" s="51" t="s">
        <v>113</v>
      </c>
      <c r="BE24" s="51">
        <v>0</v>
      </c>
      <c r="BF24" s="51" t="s">
        <v>113</v>
      </c>
      <c r="BG24" s="51" t="s">
        <v>113</v>
      </c>
      <c r="BH24" s="51" t="s">
        <v>113</v>
      </c>
      <c r="BI24" s="51" t="s">
        <v>113</v>
      </c>
      <c r="BJ24" s="51" t="s">
        <v>113</v>
      </c>
      <c r="BK24" s="51" t="s">
        <v>113</v>
      </c>
      <c r="BL24" s="51" t="s">
        <v>113</v>
      </c>
      <c r="BM24" s="51" t="s">
        <v>113</v>
      </c>
    </row>
    <row r="25" spans="1:65" ht="15" customHeight="1" x14ac:dyDescent="0.2">
      <c r="A25" s="51" t="s">
        <v>123</v>
      </c>
      <c r="B25" s="51" t="s">
        <v>113</v>
      </c>
      <c r="C25" s="51">
        <v>0</v>
      </c>
      <c r="D25" s="51" t="s">
        <v>113</v>
      </c>
      <c r="E25" s="51" t="s">
        <v>113</v>
      </c>
      <c r="F25" s="51" t="s">
        <v>113</v>
      </c>
      <c r="G25" s="51">
        <v>0</v>
      </c>
      <c r="H25" s="51" t="s">
        <v>113</v>
      </c>
      <c r="I25" s="51">
        <v>0</v>
      </c>
      <c r="J25" s="51" t="s">
        <v>113</v>
      </c>
      <c r="K25" s="51" t="s">
        <v>113</v>
      </c>
      <c r="L25" s="51" t="s">
        <v>113</v>
      </c>
      <c r="M25" s="51" t="s">
        <v>113</v>
      </c>
      <c r="N25" s="51" t="s">
        <v>113</v>
      </c>
      <c r="O25" s="51" t="s">
        <v>113</v>
      </c>
      <c r="P25" s="51" t="s">
        <v>113</v>
      </c>
      <c r="Q25" s="51" t="s">
        <v>113</v>
      </c>
      <c r="R25" s="51" t="s">
        <v>113</v>
      </c>
      <c r="S25" s="51" t="s">
        <v>113</v>
      </c>
      <c r="T25" s="51" t="s">
        <v>113</v>
      </c>
      <c r="U25" s="51">
        <v>0</v>
      </c>
      <c r="V25" s="51" t="s">
        <v>113</v>
      </c>
      <c r="W25" s="51">
        <v>0</v>
      </c>
      <c r="X25" s="51" t="s">
        <v>113</v>
      </c>
      <c r="Y25" s="51">
        <v>0</v>
      </c>
      <c r="Z25" s="51" t="s">
        <v>113</v>
      </c>
      <c r="AA25" s="51" t="s">
        <v>113</v>
      </c>
      <c r="AB25" s="51" t="s">
        <v>113</v>
      </c>
      <c r="AC25" s="51" t="s">
        <v>113</v>
      </c>
      <c r="AD25" s="51" t="s">
        <v>113</v>
      </c>
      <c r="AE25" s="51" t="s">
        <v>113</v>
      </c>
      <c r="AF25" s="51" t="s">
        <v>113</v>
      </c>
      <c r="AG25" s="51" t="s">
        <v>113</v>
      </c>
      <c r="AH25" s="51" t="s">
        <v>113</v>
      </c>
      <c r="AI25" s="51" t="s">
        <v>113</v>
      </c>
      <c r="AJ25" s="51" t="s">
        <v>113</v>
      </c>
      <c r="AK25" s="51" t="s">
        <v>113</v>
      </c>
      <c r="AL25" s="51" t="s">
        <v>113</v>
      </c>
      <c r="AM25" s="51" t="s">
        <v>113</v>
      </c>
      <c r="AN25" s="51" t="s">
        <v>113</v>
      </c>
      <c r="AO25" s="51" t="s">
        <v>113</v>
      </c>
      <c r="AP25" s="51" t="s">
        <v>113</v>
      </c>
      <c r="AQ25" s="51" t="s">
        <v>113</v>
      </c>
      <c r="AR25" s="51" t="s">
        <v>113</v>
      </c>
      <c r="AS25" s="51" t="s">
        <v>113</v>
      </c>
      <c r="AT25" s="51" t="s">
        <v>113</v>
      </c>
      <c r="AU25" s="51" t="s">
        <v>113</v>
      </c>
      <c r="AV25" s="51" t="s">
        <v>113</v>
      </c>
      <c r="AW25" s="51" t="s">
        <v>113</v>
      </c>
      <c r="AX25" s="51" t="s">
        <v>113</v>
      </c>
      <c r="AY25" s="51">
        <v>0</v>
      </c>
      <c r="AZ25" s="51" t="s">
        <v>113</v>
      </c>
      <c r="BA25" s="51">
        <v>2</v>
      </c>
      <c r="BB25" s="51" t="s">
        <v>113</v>
      </c>
      <c r="BC25" s="51" t="s">
        <v>113</v>
      </c>
      <c r="BD25" s="51" t="s">
        <v>113</v>
      </c>
      <c r="BE25" s="51">
        <v>0</v>
      </c>
      <c r="BF25" s="51" t="s">
        <v>113</v>
      </c>
      <c r="BG25" s="51" t="s">
        <v>113</v>
      </c>
      <c r="BH25" s="51" t="s">
        <v>113</v>
      </c>
      <c r="BI25" s="51" t="s">
        <v>113</v>
      </c>
      <c r="BJ25" s="51" t="s">
        <v>113</v>
      </c>
      <c r="BK25" s="51" t="s">
        <v>113</v>
      </c>
      <c r="BL25" s="51" t="s">
        <v>113</v>
      </c>
      <c r="BM25" s="51" t="s">
        <v>113</v>
      </c>
    </row>
    <row r="26" spans="1:65" ht="15" customHeight="1" x14ac:dyDescent="0.2">
      <c r="A26" s="51" t="s">
        <v>122</v>
      </c>
      <c r="B26" s="51" t="s">
        <v>113</v>
      </c>
      <c r="C26" s="51">
        <v>0</v>
      </c>
      <c r="D26" s="51" t="s">
        <v>113</v>
      </c>
      <c r="E26" s="51" t="s">
        <v>113</v>
      </c>
      <c r="F26" s="51" t="s">
        <v>113</v>
      </c>
      <c r="G26" s="51">
        <v>0</v>
      </c>
      <c r="H26" s="51" t="s">
        <v>113</v>
      </c>
      <c r="I26" s="51">
        <v>0</v>
      </c>
      <c r="J26" s="51" t="s">
        <v>113</v>
      </c>
      <c r="K26" s="51" t="s">
        <v>113</v>
      </c>
      <c r="L26" s="51" t="s">
        <v>113</v>
      </c>
      <c r="M26" s="51" t="s">
        <v>113</v>
      </c>
      <c r="N26" s="51" t="s">
        <v>113</v>
      </c>
      <c r="O26" s="51" t="s">
        <v>113</v>
      </c>
      <c r="P26" s="51" t="s">
        <v>113</v>
      </c>
      <c r="Q26" s="51" t="s">
        <v>113</v>
      </c>
      <c r="R26" s="51" t="s">
        <v>113</v>
      </c>
      <c r="S26" s="51" t="s">
        <v>113</v>
      </c>
      <c r="T26" s="51" t="s">
        <v>113</v>
      </c>
      <c r="U26" s="51">
        <v>2</v>
      </c>
      <c r="V26" s="51" t="s">
        <v>113</v>
      </c>
      <c r="W26" s="51">
        <v>0</v>
      </c>
      <c r="X26" s="51" t="s">
        <v>113</v>
      </c>
      <c r="Y26" s="51">
        <v>0</v>
      </c>
      <c r="Z26" s="51" t="s">
        <v>113</v>
      </c>
      <c r="AA26" s="51" t="s">
        <v>113</v>
      </c>
      <c r="AB26" s="51" t="s">
        <v>113</v>
      </c>
      <c r="AC26" s="51" t="s">
        <v>113</v>
      </c>
      <c r="AD26" s="51" t="s">
        <v>113</v>
      </c>
      <c r="AE26" s="51" t="s">
        <v>113</v>
      </c>
      <c r="AF26" s="51" t="s">
        <v>113</v>
      </c>
      <c r="AG26" s="51" t="s">
        <v>113</v>
      </c>
      <c r="AH26" s="51" t="s">
        <v>113</v>
      </c>
      <c r="AI26" s="51" t="s">
        <v>113</v>
      </c>
      <c r="AJ26" s="51" t="s">
        <v>113</v>
      </c>
      <c r="AK26" s="51" t="s">
        <v>113</v>
      </c>
      <c r="AL26" s="51" t="s">
        <v>113</v>
      </c>
      <c r="AM26" s="51" t="s">
        <v>113</v>
      </c>
      <c r="AN26" s="51" t="s">
        <v>113</v>
      </c>
      <c r="AO26" s="51" t="s">
        <v>113</v>
      </c>
      <c r="AP26" s="51" t="s">
        <v>113</v>
      </c>
      <c r="AQ26" s="51" t="s">
        <v>113</v>
      </c>
      <c r="AR26" s="51" t="s">
        <v>113</v>
      </c>
      <c r="AS26" s="51" t="s">
        <v>113</v>
      </c>
      <c r="AT26" s="51" t="s">
        <v>113</v>
      </c>
      <c r="AU26" s="51" t="s">
        <v>113</v>
      </c>
      <c r="AV26" s="51" t="s">
        <v>113</v>
      </c>
      <c r="AW26" s="51" t="s">
        <v>113</v>
      </c>
      <c r="AX26" s="51" t="s">
        <v>113</v>
      </c>
      <c r="AY26" s="51">
        <v>0</v>
      </c>
      <c r="AZ26" s="51" t="s">
        <v>113</v>
      </c>
      <c r="BA26" s="51">
        <v>0</v>
      </c>
      <c r="BB26" s="51" t="s">
        <v>113</v>
      </c>
      <c r="BC26" s="51" t="s">
        <v>113</v>
      </c>
      <c r="BD26" s="51" t="s">
        <v>113</v>
      </c>
      <c r="BE26" s="51">
        <v>0</v>
      </c>
      <c r="BF26" s="51" t="s">
        <v>113</v>
      </c>
      <c r="BG26" s="51" t="s">
        <v>113</v>
      </c>
      <c r="BH26" s="51" t="s">
        <v>113</v>
      </c>
      <c r="BI26" s="51" t="s">
        <v>113</v>
      </c>
      <c r="BJ26" s="51" t="s">
        <v>113</v>
      </c>
      <c r="BK26" s="51" t="s">
        <v>113</v>
      </c>
      <c r="BL26" s="51" t="s">
        <v>113</v>
      </c>
      <c r="BM26" s="51" t="s">
        <v>113</v>
      </c>
    </row>
    <row r="27" spans="1:65" ht="15" customHeight="1" x14ac:dyDescent="0.2">
      <c r="A27" s="51" t="s">
        <v>121</v>
      </c>
      <c r="B27" s="51" t="s">
        <v>113</v>
      </c>
      <c r="C27" s="51">
        <v>0</v>
      </c>
      <c r="D27" s="51" t="s">
        <v>113</v>
      </c>
      <c r="E27" s="51" t="s">
        <v>113</v>
      </c>
      <c r="F27" s="51" t="s">
        <v>113</v>
      </c>
      <c r="G27" s="51">
        <v>0</v>
      </c>
      <c r="H27" s="51" t="s">
        <v>113</v>
      </c>
      <c r="I27" s="51">
        <v>0</v>
      </c>
      <c r="J27" s="51" t="s">
        <v>113</v>
      </c>
      <c r="K27" s="51" t="s">
        <v>113</v>
      </c>
      <c r="L27" s="51" t="s">
        <v>113</v>
      </c>
      <c r="M27" s="51" t="s">
        <v>113</v>
      </c>
      <c r="N27" s="51" t="s">
        <v>113</v>
      </c>
      <c r="O27" s="51" t="s">
        <v>113</v>
      </c>
      <c r="P27" s="51" t="s">
        <v>113</v>
      </c>
      <c r="Q27" s="51" t="s">
        <v>113</v>
      </c>
      <c r="R27" s="51" t="s">
        <v>113</v>
      </c>
      <c r="S27" s="51" t="s">
        <v>113</v>
      </c>
      <c r="T27" s="51" t="s">
        <v>113</v>
      </c>
      <c r="U27" s="51">
        <v>1</v>
      </c>
      <c r="V27" s="51" t="s">
        <v>113</v>
      </c>
      <c r="W27" s="51">
        <v>0</v>
      </c>
      <c r="X27" s="51" t="s">
        <v>113</v>
      </c>
      <c r="Y27" s="51">
        <v>0</v>
      </c>
      <c r="Z27" s="51" t="s">
        <v>113</v>
      </c>
      <c r="AA27" s="51" t="s">
        <v>113</v>
      </c>
      <c r="AB27" s="51" t="s">
        <v>113</v>
      </c>
      <c r="AC27" s="51" t="s">
        <v>113</v>
      </c>
      <c r="AD27" s="51" t="s">
        <v>113</v>
      </c>
      <c r="AE27" s="51" t="s">
        <v>113</v>
      </c>
      <c r="AF27" s="51" t="s">
        <v>113</v>
      </c>
      <c r="AG27" s="51" t="s">
        <v>113</v>
      </c>
      <c r="AH27" s="51" t="s">
        <v>113</v>
      </c>
      <c r="AI27" s="51" t="s">
        <v>113</v>
      </c>
      <c r="AJ27" s="51" t="s">
        <v>113</v>
      </c>
      <c r="AK27" s="51" t="s">
        <v>113</v>
      </c>
      <c r="AL27" s="51" t="s">
        <v>113</v>
      </c>
      <c r="AM27" s="51" t="s">
        <v>113</v>
      </c>
      <c r="AN27" s="51" t="s">
        <v>113</v>
      </c>
      <c r="AO27" s="51" t="s">
        <v>113</v>
      </c>
      <c r="AP27" s="51" t="s">
        <v>113</v>
      </c>
      <c r="AQ27" s="51" t="s">
        <v>113</v>
      </c>
      <c r="AR27" s="51" t="s">
        <v>113</v>
      </c>
      <c r="AS27" s="51" t="s">
        <v>113</v>
      </c>
      <c r="AT27" s="51" t="s">
        <v>113</v>
      </c>
      <c r="AU27" s="51" t="s">
        <v>113</v>
      </c>
      <c r="AV27" s="51" t="s">
        <v>113</v>
      </c>
      <c r="AW27" s="51" t="s">
        <v>113</v>
      </c>
      <c r="AX27" s="51" t="s">
        <v>113</v>
      </c>
      <c r="AY27" s="51">
        <v>0</v>
      </c>
      <c r="AZ27" s="51" t="s">
        <v>113</v>
      </c>
      <c r="BA27" s="51">
        <v>0</v>
      </c>
      <c r="BB27" s="51" t="s">
        <v>113</v>
      </c>
      <c r="BC27" s="51" t="s">
        <v>113</v>
      </c>
      <c r="BD27" s="51" t="s">
        <v>113</v>
      </c>
      <c r="BE27" s="51">
        <v>0</v>
      </c>
      <c r="BF27" s="51" t="s">
        <v>113</v>
      </c>
      <c r="BG27" s="51" t="s">
        <v>113</v>
      </c>
      <c r="BH27" s="51" t="s">
        <v>113</v>
      </c>
      <c r="BI27" s="51" t="s">
        <v>113</v>
      </c>
      <c r="BJ27" s="51" t="s">
        <v>113</v>
      </c>
      <c r="BK27" s="51" t="s">
        <v>113</v>
      </c>
      <c r="BL27" s="51" t="s">
        <v>113</v>
      </c>
      <c r="BM27" s="51" t="s">
        <v>113</v>
      </c>
    </row>
    <row r="28" spans="1:65" ht="15" customHeight="1" x14ac:dyDescent="0.2">
      <c r="A28" s="51" t="s">
        <v>120</v>
      </c>
      <c r="B28" s="51" t="s">
        <v>113</v>
      </c>
      <c r="C28" s="51">
        <v>0</v>
      </c>
      <c r="D28" s="51" t="s">
        <v>113</v>
      </c>
      <c r="E28" s="51" t="s">
        <v>113</v>
      </c>
      <c r="F28" s="51" t="s">
        <v>113</v>
      </c>
      <c r="G28" s="51">
        <v>1</v>
      </c>
      <c r="H28" s="51" t="s">
        <v>113</v>
      </c>
      <c r="I28" s="51">
        <v>0</v>
      </c>
      <c r="J28" s="51" t="s">
        <v>113</v>
      </c>
      <c r="K28" s="51" t="s">
        <v>113</v>
      </c>
      <c r="L28" s="51" t="s">
        <v>113</v>
      </c>
      <c r="M28" s="51" t="s">
        <v>113</v>
      </c>
      <c r="N28" s="51" t="s">
        <v>113</v>
      </c>
      <c r="O28" s="51" t="s">
        <v>113</v>
      </c>
      <c r="P28" s="51" t="s">
        <v>113</v>
      </c>
      <c r="Q28" s="51" t="s">
        <v>113</v>
      </c>
      <c r="R28" s="51" t="s">
        <v>113</v>
      </c>
      <c r="S28" s="51" t="s">
        <v>113</v>
      </c>
      <c r="T28" s="51" t="s">
        <v>113</v>
      </c>
      <c r="U28" s="51">
        <v>1</v>
      </c>
      <c r="V28" s="51" t="s">
        <v>113</v>
      </c>
      <c r="W28" s="51">
        <v>0</v>
      </c>
      <c r="X28" s="51" t="s">
        <v>113</v>
      </c>
      <c r="Y28" s="51">
        <v>0</v>
      </c>
      <c r="Z28" s="51" t="s">
        <v>113</v>
      </c>
      <c r="AA28" s="51" t="s">
        <v>113</v>
      </c>
      <c r="AB28" s="51" t="s">
        <v>113</v>
      </c>
      <c r="AC28" s="51" t="s">
        <v>113</v>
      </c>
      <c r="AD28" s="51" t="s">
        <v>113</v>
      </c>
      <c r="AE28" s="51" t="s">
        <v>113</v>
      </c>
      <c r="AF28" s="51" t="s">
        <v>113</v>
      </c>
      <c r="AG28" s="51" t="s">
        <v>113</v>
      </c>
      <c r="AH28" s="51" t="s">
        <v>113</v>
      </c>
      <c r="AI28" s="51" t="s">
        <v>113</v>
      </c>
      <c r="AJ28" s="51" t="s">
        <v>113</v>
      </c>
      <c r="AK28" s="51" t="s">
        <v>113</v>
      </c>
      <c r="AL28" s="51" t="s">
        <v>113</v>
      </c>
      <c r="AM28" s="51" t="s">
        <v>113</v>
      </c>
      <c r="AN28" s="51" t="s">
        <v>113</v>
      </c>
      <c r="AO28" s="51" t="s">
        <v>113</v>
      </c>
      <c r="AP28" s="51" t="s">
        <v>113</v>
      </c>
      <c r="AQ28" s="51" t="s">
        <v>113</v>
      </c>
      <c r="AR28" s="51" t="s">
        <v>113</v>
      </c>
      <c r="AS28" s="51" t="s">
        <v>113</v>
      </c>
      <c r="AT28" s="51" t="s">
        <v>113</v>
      </c>
      <c r="AU28" s="51" t="s">
        <v>113</v>
      </c>
      <c r="AV28" s="51" t="s">
        <v>113</v>
      </c>
      <c r="AW28" s="51" t="s">
        <v>113</v>
      </c>
      <c r="AX28" s="51" t="s">
        <v>113</v>
      </c>
      <c r="AY28" s="51">
        <v>0</v>
      </c>
      <c r="AZ28" s="51" t="s">
        <v>113</v>
      </c>
      <c r="BA28" s="51">
        <v>2</v>
      </c>
      <c r="BB28" s="51" t="s">
        <v>113</v>
      </c>
      <c r="BC28" s="51" t="s">
        <v>113</v>
      </c>
      <c r="BD28" s="51" t="s">
        <v>113</v>
      </c>
      <c r="BE28" s="51">
        <v>0</v>
      </c>
      <c r="BF28" s="51" t="s">
        <v>113</v>
      </c>
      <c r="BG28" s="51" t="s">
        <v>113</v>
      </c>
      <c r="BH28" s="51" t="s">
        <v>113</v>
      </c>
      <c r="BI28" s="51" t="s">
        <v>113</v>
      </c>
      <c r="BJ28" s="51" t="s">
        <v>113</v>
      </c>
      <c r="BK28" s="51" t="s">
        <v>113</v>
      </c>
      <c r="BL28" s="51" t="s">
        <v>113</v>
      </c>
      <c r="BM28" s="51" t="s">
        <v>113</v>
      </c>
    </row>
    <row r="29" spans="1:65" ht="15" customHeight="1" x14ac:dyDescent="0.2">
      <c r="A29" s="51" t="s">
        <v>119</v>
      </c>
      <c r="B29" s="51" t="s">
        <v>113</v>
      </c>
      <c r="C29" s="51">
        <v>0</v>
      </c>
      <c r="D29" s="51" t="s">
        <v>113</v>
      </c>
      <c r="E29" s="51" t="s">
        <v>113</v>
      </c>
      <c r="F29" s="51" t="s">
        <v>113</v>
      </c>
      <c r="G29" s="51">
        <v>1</v>
      </c>
      <c r="H29" s="51" t="s">
        <v>113</v>
      </c>
      <c r="I29" s="51">
        <v>0</v>
      </c>
      <c r="J29" s="51" t="s">
        <v>113</v>
      </c>
      <c r="K29" s="51" t="s">
        <v>113</v>
      </c>
      <c r="L29" s="51" t="s">
        <v>113</v>
      </c>
      <c r="M29" s="51" t="s">
        <v>113</v>
      </c>
      <c r="N29" s="51" t="s">
        <v>113</v>
      </c>
      <c r="O29" s="51" t="s">
        <v>113</v>
      </c>
      <c r="P29" s="51" t="s">
        <v>113</v>
      </c>
      <c r="Q29" s="51" t="s">
        <v>113</v>
      </c>
      <c r="R29" s="51" t="s">
        <v>113</v>
      </c>
      <c r="S29" s="51" t="s">
        <v>113</v>
      </c>
      <c r="T29" s="51" t="s">
        <v>113</v>
      </c>
      <c r="U29" s="51">
        <v>1</v>
      </c>
      <c r="V29" s="51" t="s">
        <v>113</v>
      </c>
      <c r="W29" s="51">
        <v>1</v>
      </c>
      <c r="X29" s="51" t="s">
        <v>113</v>
      </c>
      <c r="Y29" s="51">
        <v>0</v>
      </c>
      <c r="Z29" s="51" t="s">
        <v>113</v>
      </c>
      <c r="AA29" s="51" t="s">
        <v>113</v>
      </c>
      <c r="AB29" s="51" t="s">
        <v>113</v>
      </c>
      <c r="AC29" s="51" t="s">
        <v>113</v>
      </c>
      <c r="AD29" s="51" t="s">
        <v>113</v>
      </c>
      <c r="AE29" s="51" t="s">
        <v>113</v>
      </c>
      <c r="AF29" s="51" t="s">
        <v>113</v>
      </c>
      <c r="AG29" s="51" t="s">
        <v>113</v>
      </c>
      <c r="AH29" s="51" t="s">
        <v>113</v>
      </c>
      <c r="AI29" s="51" t="s">
        <v>113</v>
      </c>
      <c r="AJ29" s="51" t="s">
        <v>113</v>
      </c>
      <c r="AK29" s="51" t="s">
        <v>113</v>
      </c>
      <c r="AL29" s="51" t="s">
        <v>113</v>
      </c>
      <c r="AM29" s="51" t="s">
        <v>113</v>
      </c>
      <c r="AN29" s="51" t="s">
        <v>113</v>
      </c>
      <c r="AO29" s="51" t="s">
        <v>113</v>
      </c>
      <c r="AP29" s="51" t="s">
        <v>113</v>
      </c>
      <c r="AQ29" s="51" t="s">
        <v>113</v>
      </c>
      <c r="AR29" s="51" t="s">
        <v>113</v>
      </c>
      <c r="AS29" s="51" t="s">
        <v>113</v>
      </c>
      <c r="AT29" s="51" t="s">
        <v>113</v>
      </c>
      <c r="AU29" s="51" t="s">
        <v>113</v>
      </c>
      <c r="AV29" s="51" t="s">
        <v>113</v>
      </c>
      <c r="AW29" s="51" t="s">
        <v>113</v>
      </c>
      <c r="AX29" s="51" t="s">
        <v>113</v>
      </c>
      <c r="AY29" s="51">
        <v>0</v>
      </c>
      <c r="AZ29" s="51" t="s">
        <v>113</v>
      </c>
      <c r="BA29" s="51">
        <v>5</v>
      </c>
      <c r="BB29" s="51" t="s">
        <v>113</v>
      </c>
      <c r="BC29" s="51" t="s">
        <v>113</v>
      </c>
      <c r="BD29" s="51" t="s">
        <v>113</v>
      </c>
      <c r="BE29" s="51">
        <v>0</v>
      </c>
      <c r="BF29" s="51" t="s">
        <v>113</v>
      </c>
      <c r="BG29" s="51" t="s">
        <v>113</v>
      </c>
      <c r="BH29" s="51" t="s">
        <v>113</v>
      </c>
      <c r="BI29" s="51" t="s">
        <v>113</v>
      </c>
      <c r="BJ29" s="51" t="s">
        <v>113</v>
      </c>
      <c r="BK29" s="51" t="s">
        <v>113</v>
      </c>
      <c r="BL29" s="51" t="s">
        <v>113</v>
      </c>
      <c r="BM29" s="51" t="s">
        <v>113</v>
      </c>
    </row>
    <row r="30" spans="1:65" ht="15" customHeight="1" x14ac:dyDescent="0.2">
      <c r="A30" s="51" t="s">
        <v>118</v>
      </c>
      <c r="B30" s="51" t="s">
        <v>113</v>
      </c>
      <c r="C30" s="51">
        <v>0</v>
      </c>
      <c r="D30" s="51" t="s">
        <v>113</v>
      </c>
      <c r="E30" s="51" t="s">
        <v>113</v>
      </c>
      <c r="F30" s="51" t="s">
        <v>113</v>
      </c>
      <c r="G30" s="51">
        <v>0</v>
      </c>
      <c r="H30" s="51" t="s">
        <v>113</v>
      </c>
      <c r="I30" s="51">
        <v>0</v>
      </c>
      <c r="J30" s="51" t="s">
        <v>113</v>
      </c>
      <c r="K30" s="51" t="s">
        <v>113</v>
      </c>
      <c r="L30" s="51" t="s">
        <v>113</v>
      </c>
      <c r="M30" s="51" t="s">
        <v>113</v>
      </c>
      <c r="N30" s="51" t="s">
        <v>113</v>
      </c>
      <c r="O30" s="51" t="s">
        <v>113</v>
      </c>
      <c r="P30" s="51" t="s">
        <v>113</v>
      </c>
      <c r="Q30" s="51" t="s">
        <v>113</v>
      </c>
      <c r="R30" s="51" t="s">
        <v>113</v>
      </c>
      <c r="S30" s="51" t="s">
        <v>113</v>
      </c>
      <c r="T30" s="51" t="s">
        <v>113</v>
      </c>
      <c r="U30" s="51">
        <v>2</v>
      </c>
      <c r="V30" s="51" t="s">
        <v>113</v>
      </c>
      <c r="W30" s="51">
        <v>0</v>
      </c>
      <c r="X30" s="51" t="s">
        <v>113</v>
      </c>
      <c r="Y30" s="51">
        <v>0</v>
      </c>
      <c r="Z30" s="51" t="s">
        <v>113</v>
      </c>
      <c r="AA30" s="51" t="s">
        <v>113</v>
      </c>
      <c r="AB30" s="51" t="s">
        <v>113</v>
      </c>
      <c r="AC30" s="51" t="s">
        <v>113</v>
      </c>
      <c r="AD30" s="51" t="s">
        <v>113</v>
      </c>
      <c r="AE30" s="51" t="s">
        <v>113</v>
      </c>
      <c r="AF30" s="51" t="s">
        <v>113</v>
      </c>
      <c r="AG30" s="51" t="s">
        <v>113</v>
      </c>
      <c r="AH30" s="51" t="s">
        <v>113</v>
      </c>
      <c r="AI30" s="51" t="s">
        <v>113</v>
      </c>
      <c r="AJ30" s="51" t="s">
        <v>113</v>
      </c>
      <c r="AK30" s="51" t="s">
        <v>113</v>
      </c>
      <c r="AL30" s="51" t="s">
        <v>113</v>
      </c>
      <c r="AM30" s="51" t="s">
        <v>113</v>
      </c>
      <c r="AN30" s="51" t="s">
        <v>113</v>
      </c>
      <c r="AO30" s="51" t="s">
        <v>113</v>
      </c>
      <c r="AP30" s="51" t="s">
        <v>113</v>
      </c>
      <c r="AQ30" s="51" t="s">
        <v>113</v>
      </c>
      <c r="AR30" s="51" t="s">
        <v>113</v>
      </c>
      <c r="AS30" s="51" t="s">
        <v>113</v>
      </c>
      <c r="AT30" s="51" t="s">
        <v>113</v>
      </c>
      <c r="AU30" s="51" t="s">
        <v>113</v>
      </c>
      <c r="AV30" s="51" t="s">
        <v>113</v>
      </c>
      <c r="AW30" s="51" t="s">
        <v>113</v>
      </c>
      <c r="AX30" s="51" t="s">
        <v>113</v>
      </c>
      <c r="AY30" s="51">
        <v>0</v>
      </c>
      <c r="AZ30" s="51" t="s">
        <v>113</v>
      </c>
      <c r="BA30" s="51">
        <v>3</v>
      </c>
      <c r="BB30" s="51" t="s">
        <v>113</v>
      </c>
      <c r="BC30" s="51" t="s">
        <v>113</v>
      </c>
      <c r="BD30" s="51" t="s">
        <v>113</v>
      </c>
      <c r="BE30" s="51">
        <v>0</v>
      </c>
      <c r="BF30" s="51" t="s">
        <v>113</v>
      </c>
      <c r="BG30" s="51" t="s">
        <v>113</v>
      </c>
      <c r="BH30" s="51" t="s">
        <v>113</v>
      </c>
      <c r="BI30" s="51" t="s">
        <v>113</v>
      </c>
      <c r="BJ30" s="51" t="s">
        <v>113</v>
      </c>
      <c r="BK30" s="51" t="s">
        <v>113</v>
      </c>
      <c r="BL30" s="51" t="s">
        <v>113</v>
      </c>
      <c r="BM30" s="51" t="s">
        <v>113</v>
      </c>
    </row>
    <row r="31" spans="1:65" ht="15" customHeight="1" x14ac:dyDescent="0.2">
      <c r="A31" s="51" t="s">
        <v>117</v>
      </c>
      <c r="B31" s="51" t="s">
        <v>113</v>
      </c>
      <c r="C31" s="51">
        <v>0</v>
      </c>
      <c r="D31" s="51" t="s">
        <v>113</v>
      </c>
      <c r="E31" s="51" t="s">
        <v>113</v>
      </c>
      <c r="F31" s="51" t="s">
        <v>113</v>
      </c>
      <c r="G31" s="51">
        <v>1</v>
      </c>
      <c r="H31" s="51" t="s">
        <v>113</v>
      </c>
      <c r="I31" s="51">
        <v>0</v>
      </c>
      <c r="J31" s="51" t="s">
        <v>113</v>
      </c>
      <c r="K31" s="51" t="s">
        <v>113</v>
      </c>
      <c r="L31" s="51" t="s">
        <v>113</v>
      </c>
      <c r="M31" s="51" t="s">
        <v>113</v>
      </c>
      <c r="N31" s="51" t="s">
        <v>113</v>
      </c>
      <c r="O31" s="51" t="s">
        <v>113</v>
      </c>
      <c r="P31" s="51" t="s">
        <v>113</v>
      </c>
      <c r="Q31" s="51" t="s">
        <v>113</v>
      </c>
      <c r="R31" s="51" t="s">
        <v>113</v>
      </c>
      <c r="S31" s="51" t="s">
        <v>113</v>
      </c>
      <c r="T31" s="51" t="s">
        <v>113</v>
      </c>
      <c r="U31" s="51">
        <v>3</v>
      </c>
      <c r="V31" s="51" t="s">
        <v>113</v>
      </c>
      <c r="W31" s="51">
        <v>1</v>
      </c>
      <c r="X31" s="51" t="s">
        <v>113</v>
      </c>
      <c r="Y31" s="51">
        <v>0</v>
      </c>
      <c r="Z31" s="51" t="s">
        <v>113</v>
      </c>
      <c r="AA31" s="51" t="s">
        <v>113</v>
      </c>
      <c r="AB31" s="51" t="s">
        <v>113</v>
      </c>
      <c r="AC31" s="51" t="s">
        <v>113</v>
      </c>
      <c r="AD31" s="51" t="s">
        <v>113</v>
      </c>
      <c r="AE31" s="51" t="s">
        <v>113</v>
      </c>
      <c r="AF31" s="51" t="s">
        <v>113</v>
      </c>
      <c r="AG31" s="51" t="s">
        <v>113</v>
      </c>
      <c r="AH31" s="51" t="s">
        <v>113</v>
      </c>
      <c r="AI31" s="51" t="s">
        <v>113</v>
      </c>
      <c r="AJ31" s="51" t="s">
        <v>113</v>
      </c>
      <c r="AK31" s="51" t="s">
        <v>113</v>
      </c>
      <c r="AL31" s="51" t="s">
        <v>113</v>
      </c>
      <c r="AM31" s="51" t="s">
        <v>113</v>
      </c>
      <c r="AN31" s="51" t="s">
        <v>113</v>
      </c>
      <c r="AO31" s="51" t="s">
        <v>113</v>
      </c>
      <c r="AP31" s="51" t="s">
        <v>113</v>
      </c>
      <c r="AQ31" s="51" t="s">
        <v>113</v>
      </c>
      <c r="AR31" s="51" t="s">
        <v>113</v>
      </c>
      <c r="AS31" s="51" t="s">
        <v>113</v>
      </c>
      <c r="AT31" s="51" t="s">
        <v>113</v>
      </c>
      <c r="AU31" s="51" t="s">
        <v>113</v>
      </c>
      <c r="AV31" s="51" t="s">
        <v>113</v>
      </c>
      <c r="AW31" s="51" t="s">
        <v>113</v>
      </c>
      <c r="AX31" s="51" t="s">
        <v>113</v>
      </c>
      <c r="AY31" s="51">
        <v>0</v>
      </c>
      <c r="AZ31" s="51" t="s">
        <v>113</v>
      </c>
      <c r="BA31" s="51">
        <v>6</v>
      </c>
      <c r="BB31" s="51" t="s">
        <v>113</v>
      </c>
      <c r="BC31" s="51" t="s">
        <v>113</v>
      </c>
      <c r="BD31" s="51" t="s">
        <v>113</v>
      </c>
      <c r="BE31" s="51">
        <v>0</v>
      </c>
      <c r="BF31" s="51" t="s">
        <v>113</v>
      </c>
      <c r="BG31" s="51" t="s">
        <v>113</v>
      </c>
      <c r="BH31" s="51" t="s">
        <v>113</v>
      </c>
      <c r="BI31" s="51" t="s">
        <v>113</v>
      </c>
      <c r="BJ31" s="51" t="s">
        <v>113</v>
      </c>
      <c r="BK31" s="51" t="s">
        <v>113</v>
      </c>
      <c r="BL31" s="51" t="s">
        <v>113</v>
      </c>
      <c r="BM31" s="51" t="s">
        <v>113</v>
      </c>
    </row>
    <row r="32" spans="1:65" ht="15" customHeight="1" x14ac:dyDescent="0.2">
      <c r="A32" s="51" t="s">
        <v>116</v>
      </c>
      <c r="B32" s="51" t="s">
        <v>113</v>
      </c>
      <c r="C32" s="51">
        <v>1</v>
      </c>
      <c r="D32" s="51" t="s">
        <v>113</v>
      </c>
      <c r="E32" s="51" t="s">
        <v>113</v>
      </c>
      <c r="F32" s="51" t="s">
        <v>113</v>
      </c>
      <c r="G32" s="51">
        <v>1</v>
      </c>
      <c r="H32" s="51" t="s">
        <v>113</v>
      </c>
      <c r="I32" s="51">
        <v>0</v>
      </c>
      <c r="J32" s="51" t="s">
        <v>113</v>
      </c>
      <c r="K32" s="51" t="s">
        <v>113</v>
      </c>
      <c r="L32" s="51" t="s">
        <v>113</v>
      </c>
      <c r="M32" s="51" t="s">
        <v>113</v>
      </c>
      <c r="N32" s="51" t="s">
        <v>113</v>
      </c>
      <c r="O32" s="51" t="s">
        <v>113</v>
      </c>
      <c r="P32" s="51" t="s">
        <v>113</v>
      </c>
      <c r="Q32" s="51" t="s">
        <v>113</v>
      </c>
      <c r="R32" s="51" t="s">
        <v>113</v>
      </c>
      <c r="S32" s="51" t="s">
        <v>113</v>
      </c>
      <c r="T32" s="51" t="s">
        <v>113</v>
      </c>
      <c r="U32" s="51">
        <v>1</v>
      </c>
      <c r="V32" s="51" t="s">
        <v>113</v>
      </c>
      <c r="W32" s="51">
        <v>0</v>
      </c>
      <c r="X32" s="51" t="s">
        <v>113</v>
      </c>
      <c r="Y32" s="51">
        <v>0</v>
      </c>
      <c r="Z32" s="51" t="s">
        <v>113</v>
      </c>
      <c r="AA32" s="51" t="s">
        <v>113</v>
      </c>
      <c r="AB32" s="51" t="s">
        <v>113</v>
      </c>
      <c r="AC32" s="51" t="s">
        <v>113</v>
      </c>
      <c r="AD32" s="51" t="s">
        <v>113</v>
      </c>
      <c r="AE32" s="51" t="s">
        <v>113</v>
      </c>
      <c r="AF32" s="51" t="s">
        <v>113</v>
      </c>
      <c r="AG32" s="51" t="s">
        <v>113</v>
      </c>
      <c r="AH32" s="51" t="s">
        <v>113</v>
      </c>
      <c r="AI32" s="51" t="s">
        <v>113</v>
      </c>
      <c r="AJ32" s="51" t="s">
        <v>113</v>
      </c>
      <c r="AK32" s="51" t="s">
        <v>113</v>
      </c>
      <c r="AL32" s="51" t="s">
        <v>113</v>
      </c>
      <c r="AM32" s="51" t="s">
        <v>113</v>
      </c>
      <c r="AN32" s="51" t="s">
        <v>113</v>
      </c>
      <c r="AO32" s="51" t="s">
        <v>113</v>
      </c>
      <c r="AP32" s="51" t="s">
        <v>113</v>
      </c>
      <c r="AQ32" s="51" t="s">
        <v>113</v>
      </c>
      <c r="AR32" s="51" t="s">
        <v>113</v>
      </c>
      <c r="AS32" s="51" t="s">
        <v>113</v>
      </c>
      <c r="AT32" s="51" t="s">
        <v>113</v>
      </c>
      <c r="AU32" s="51" t="s">
        <v>113</v>
      </c>
      <c r="AV32" s="51" t="s">
        <v>113</v>
      </c>
      <c r="AW32" s="51" t="s">
        <v>113</v>
      </c>
      <c r="AX32" s="51" t="s">
        <v>113</v>
      </c>
      <c r="AY32" s="51">
        <v>0</v>
      </c>
      <c r="AZ32" s="51" t="s">
        <v>113</v>
      </c>
      <c r="BA32" s="51">
        <v>4</v>
      </c>
      <c r="BB32" s="51" t="s">
        <v>113</v>
      </c>
      <c r="BC32" s="51" t="s">
        <v>113</v>
      </c>
      <c r="BD32" s="51" t="s">
        <v>113</v>
      </c>
      <c r="BE32" s="51">
        <v>0</v>
      </c>
      <c r="BF32" s="51" t="s">
        <v>113</v>
      </c>
      <c r="BG32" s="51" t="s">
        <v>113</v>
      </c>
      <c r="BH32" s="51" t="s">
        <v>113</v>
      </c>
      <c r="BI32" s="51" t="s">
        <v>113</v>
      </c>
      <c r="BJ32" s="51" t="s">
        <v>113</v>
      </c>
      <c r="BK32" s="51" t="s">
        <v>113</v>
      </c>
      <c r="BL32" s="51" t="s">
        <v>113</v>
      </c>
      <c r="BM32" s="51" t="s">
        <v>113</v>
      </c>
    </row>
    <row r="33" spans="1:65" ht="15" customHeight="1" x14ac:dyDescent="0.2">
      <c r="A33" s="51" t="s">
        <v>115</v>
      </c>
      <c r="B33" s="51" t="s">
        <v>113</v>
      </c>
      <c r="C33" s="51">
        <v>0</v>
      </c>
      <c r="D33" s="51" t="s">
        <v>113</v>
      </c>
      <c r="E33" s="51" t="s">
        <v>113</v>
      </c>
      <c r="F33" s="51" t="s">
        <v>113</v>
      </c>
      <c r="G33" s="51">
        <v>0</v>
      </c>
      <c r="H33" s="51" t="s">
        <v>113</v>
      </c>
      <c r="I33" s="51">
        <v>0</v>
      </c>
      <c r="J33" s="51" t="s">
        <v>113</v>
      </c>
      <c r="K33" s="51" t="s">
        <v>113</v>
      </c>
      <c r="L33" s="51" t="s">
        <v>113</v>
      </c>
      <c r="M33" s="51" t="s">
        <v>113</v>
      </c>
      <c r="N33" s="51" t="s">
        <v>113</v>
      </c>
      <c r="O33" s="51" t="s">
        <v>113</v>
      </c>
      <c r="P33" s="51" t="s">
        <v>113</v>
      </c>
      <c r="Q33" s="51" t="s">
        <v>113</v>
      </c>
      <c r="R33" s="51" t="s">
        <v>113</v>
      </c>
      <c r="S33" s="51" t="s">
        <v>113</v>
      </c>
      <c r="T33" s="51" t="s">
        <v>113</v>
      </c>
      <c r="U33" s="51">
        <v>2</v>
      </c>
      <c r="V33" s="51" t="s">
        <v>113</v>
      </c>
      <c r="W33" s="51">
        <v>0</v>
      </c>
      <c r="X33" s="51" t="s">
        <v>113</v>
      </c>
      <c r="Y33" s="51">
        <v>0</v>
      </c>
      <c r="Z33" s="51" t="s">
        <v>113</v>
      </c>
      <c r="AA33" s="51" t="s">
        <v>113</v>
      </c>
      <c r="AB33" s="51" t="s">
        <v>113</v>
      </c>
      <c r="AC33" s="51" t="s">
        <v>113</v>
      </c>
      <c r="AD33" s="51" t="s">
        <v>113</v>
      </c>
      <c r="AE33" s="51" t="s">
        <v>113</v>
      </c>
      <c r="AF33" s="51" t="s">
        <v>113</v>
      </c>
      <c r="AG33" s="51" t="s">
        <v>113</v>
      </c>
      <c r="AH33" s="51" t="s">
        <v>113</v>
      </c>
      <c r="AI33" s="51" t="s">
        <v>113</v>
      </c>
      <c r="AJ33" s="51" t="s">
        <v>113</v>
      </c>
      <c r="AK33" s="51" t="s">
        <v>113</v>
      </c>
      <c r="AL33" s="51" t="s">
        <v>113</v>
      </c>
      <c r="AM33" s="51" t="s">
        <v>113</v>
      </c>
      <c r="AN33" s="51" t="s">
        <v>113</v>
      </c>
      <c r="AO33" s="51" t="s">
        <v>113</v>
      </c>
      <c r="AP33" s="51" t="s">
        <v>113</v>
      </c>
      <c r="AQ33" s="51" t="s">
        <v>113</v>
      </c>
      <c r="AR33" s="51" t="s">
        <v>113</v>
      </c>
      <c r="AS33" s="51" t="s">
        <v>113</v>
      </c>
      <c r="AT33" s="51" t="s">
        <v>113</v>
      </c>
      <c r="AU33" s="51" t="s">
        <v>113</v>
      </c>
      <c r="AV33" s="51" t="s">
        <v>113</v>
      </c>
      <c r="AW33" s="51" t="s">
        <v>113</v>
      </c>
      <c r="AX33" s="51" t="s">
        <v>113</v>
      </c>
      <c r="AY33" s="51">
        <v>0</v>
      </c>
      <c r="AZ33" s="51" t="s">
        <v>113</v>
      </c>
      <c r="BA33" s="51">
        <v>1</v>
      </c>
      <c r="BB33" s="51" t="s">
        <v>113</v>
      </c>
      <c r="BC33" s="51" t="s">
        <v>113</v>
      </c>
      <c r="BD33" s="51" t="s">
        <v>113</v>
      </c>
      <c r="BE33" s="51">
        <v>0</v>
      </c>
      <c r="BF33" s="51" t="s">
        <v>113</v>
      </c>
      <c r="BG33" s="51" t="s">
        <v>113</v>
      </c>
      <c r="BH33" s="51" t="s">
        <v>113</v>
      </c>
      <c r="BI33" s="51" t="s">
        <v>113</v>
      </c>
      <c r="BJ33" s="51" t="s">
        <v>113</v>
      </c>
      <c r="BK33" s="51" t="s">
        <v>113</v>
      </c>
      <c r="BL33" s="51" t="s">
        <v>113</v>
      </c>
      <c r="BM33" s="51" t="s">
        <v>113</v>
      </c>
    </row>
    <row r="34" spans="1:65" ht="15" customHeight="1" x14ac:dyDescent="0.2">
      <c r="A34" s="51" t="s">
        <v>114</v>
      </c>
      <c r="B34" s="51" t="s">
        <v>113</v>
      </c>
      <c r="C34" s="51">
        <v>1</v>
      </c>
      <c r="D34" s="51" t="s">
        <v>113</v>
      </c>
      <c r="E34" s="51" t="s">
        <v>113</v>
      </c>
      <c r="F34" s="51" t="s">
        <v>113</v>
      </c>
      <c r="G34" s="51">
        <v>0</v>
      </c>
      <c r="H34" s="51" t="s">
        <v>113</v>
      </c>
      <c r="I34" s="51">
        <v>0</v>
      </c>
      <c r="J34" s="51" t="s">
        <v>113</v>
      </c>
      <c r="K34" s="51" t="s">
        <v>113</v>
      </c>
      <c r="L34" s="51" t="s">
        <v>113</v>
      </c>
      <c r="M34" s="51" t="s">
        <v>113</v>
      </c>
      <c r="N34" s="51" t="s">
        <v>113</v>
      </c>
      <c r="O34" s="51" t="s">
        <v>113</v>
      </c>
      <c r="P34" s="51" t="s">
        <v>113</v>
      </c>
      <c r="Q34" s="51" t="s">
        <v>113</v>
      </c>
      <c r="R34" s="51" t="s">
        <v>113</v>
      </c>
      <c r="S34" s="51" t="s">
        <v>113</v>
      </c>
      <c r="T34" s="51" t="s">
        <v>113</v>
      </c>
      <c r="U34" s="51">
        <v>3</v>
      </c>
      <c r="V34" s="51" t="s">
        <v>113</v>
      </c>
      <c r="W34" s="51">
        <v>0</v>
      </c>
      <c r="X34" s="51" t="s">
        <v>113</v>
      </c>
      <c r="Y34" s="51">
        <v>0</v>
      </c>
      <c r="Z34" s="51" t="s">
        <v>113</v>
      </c>
      <c r="AA34" s="51" t="s">
        <v>113</v>
      </c>
      <c r="AB34" s="51" t="s">
        <v>113</v>
      </c>
      <c r="AC34" s="51" t="s">
        <v>113</v>
      </c>
      <c r="AD34" s="51" t="s">
        <v>113</v>
      </c>
      <c r="AE34" s="51" t="s">
        <v>113</v>
      </c>
      <c r="AF34" s="51" t="s">
        <v>113</v>
      </c>
      <c r="AG34" s="51" t="s">
        <v>113</v>
      </c>
      <c r="AH34" s="51" t="s">
        <v>113</v>
      </c>
      <c r="AI34" s="51" t="s">
        <v>113</v>
      </c>
      <c r="AJ34" s="51" t="s">
        <v>113</v>
      </c>
      <c r="AK34" s="51" t="s">
        <v>113</v>
      </c>
      <c r="AL34" s="51" t="s">
        <v>113</v>
      </c>
      <c r="AM34" s="51" t="s">
        <v>113</v>
      </c>
      <c r="AN34" s="51" t="s">
        <v>113</v>
      </c>
      <c r="AO34" s="51" t="s">
        <v>113</v>
      </c>
      <c r="AP34" s="51" t="s">
        <v>113</v>
      </c>
      <c r="AQ34" s="51" t="s">
        <v>113</v>
      </c>
      <c r="AR34" s="51" t="s">
        <v>113</v>
      </c>
      <c r="AS34" s="51" t="s">
        <v>113</v>
      </c>
      <c r="AT34" s="51" t="s">
        <v>113</v>
      </c>
      <c r="AU34" s="51" t="s">
        <v>113</v>
      </c>
      <c r="AV34" s="51" t="s">
        <v>113</v>
      </c>
      <c r="AW34" s="51" t="s">
        <v>113</v>
      </c>
      <c r="AX34" s="51" t="s">
        <v>113</v>
      </c>
      <c r="AY34" s="51">
        <v>0</v>
      </c>
      <c r="AZ34" s="51" t="s">
        <v>113</v>
      </c>
      <c r="BA34" s="51">
        <v>3</v>
      </c>
      <c r="BB34" s="51" t="s">
        <v>113</v>
      </c>
      <c r="BC34" s="51" t="s">
        <v>113</v>
      </c>
      <c r="BD34" s="51" t="s">
        <v>113</v>
      </c>
      <c r="BE34" s="51">
        <v>0</v>
      </c>
      <c r="BF34" s="51" t="s">
        <v>113</v>
      </c>
      <c r="BG34" s="51" t="s">
        <v>113</v>
      </c>
      <c r="BH34" s="51" t="s">
        <v>113</v>
      </c>
      <c r="BI34" s="51" t="s">
        <v>113</v>
      </c>
      <c r="BJ34" s="51" t="s">
        <v>113</v>
      </c>
      <c r="BK34" s="51" t="s">
        <v>113</v>
      </c>
      <c r="BL34" s="51" t="s">
        <v>113</v>
      </c>
      <c r="BM34" s="51" t="s">
        <v>113</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C7F6F-D92B-4692-910C-86DC30CD83F8}">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165</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153</v>
      </c>
      <c r="C12" s="60"/>
      <c r="D12" s="60"/>
      <c r="E12" s="60"/>
      <c r="F12" s="60"/>
      <c r="G12" s="60"/>
      <c r="H12" s="60"/>
      <c r="I12" s="61"/>
      <c r="J12" s="59" t="s">
        <v>150</v>
      </c>
      <c r="K12" s="60"/>
      <c r="L12" s="60"/>
      <c r="M12" s="60"/>
      <c r="N12" s="60"/>
      <c r="O12" s="60"/>
      <c r="P12" s="60"/>
      <c r="Q12" s="61"/>
      <c r="R12" s="59" t="s">
        <v>152</v>
      </c>
      <c r="S12" s="60"/>
      <c r="T12" s="60"/>
      <c r="U12" s="60"/>
      <c r="V12" s="60"/>
      <c r="W12" s="60"/>
      <c r="X12" s="60"/>
      <c r="Y12" s="61"/>
      <c r="Z12" s="59" t="s">
        <v>150</v>
      </c>
      <c r="AA12" s="60"/>
      <c r="AB12" s="60"/>
      <c r="AC12" s="60"/>
      <c r="AD12" s="60"/>
      <c r="AE12" s="60"/>
      <c r="AF12" s="60"/>
      <c r="AG12" s="61"/>
      <c r="AH12" s="59" t="s">
        <v>150</v>
      </c>
      <c r="AI12" s="60"/>
      <c r="AJ12" s="60"/>
      <c r="AK12" s="60"/>
      <c r="AL12" s="60"/>
      <c r="AM12" s="60"/>
      <c r="AN12" s="60"/>
      <c r="AO12" s="61"/>
      <c r="AP12" s="59" t="s">
        <v>150</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v>12</v>
      </c>
      <c r="D15" s="51" t="s">
        <v>113</v>
      </c>
      <c r="E15" s="51" t="s">
        <v>113</v>
      </c>
      <c r="F15" s="51" t="s">
        <v>113</v>
      </c>
      <c r="G15" s="51">
        <v>13</v>
      </c>
      <c r="H15" s="51" t="s">
        <v>113</v>
      </c>
      <c r="I15" s="51">
        <v>0</v>
      </c>
      <c r="J15" s="51" t="s">
        <v>113</v>
      </c>
      <c r="K15" s="51" t="s">
        <v>113</v>
      </c>
      <c r="L15" s="51" t="s">
        <v>113</v>
      </c>
      <c r="M15" s="51" t="s">
        <v>113</v>
      </c>
      <c r="N15" s="51" t="s">
        <v>113</v>
      </c>
      <c r="O15" s="51" t="s">
        <v>113</v>
      </c>
      <c r="P15" s="51" t="s">
        <v>113</v>
      </c>
      <c r="Q15" s="51" t="s">
        <v>113</v>
      </c>
      <c r="R15" s="51" t="s">
        <v>113</v>
      </c>
      <c r="S15" s="51" t="s">
        <v>113</v>
      </c>
      <c r="T15" s="51" t="s">
        <v>113</v>
      </c>
      <c r="U15" s="51">
        <v>94</v>
      </c>
      <c r="V15" s="51" t="s">
        <v>113</v>
      </c>
      <c r="W15" s="51">
        <v>16</v>
      </c>
      <c r="X15" s="51" t="s">
        <v>113</v>
      </c>
      <c r="Y15" s="51">
        <v>0</v>
      </c>
      <c r="Z15" s="51" t="s">
        <v>113</v>
      </c>
      <c r="AA15" s="51" t="s">
        <v>113</v>
      </c>
      <c r="AB15" s="51" t="s">
        <v>113</v>
      </c>
      <c r="AC15" s="51" t="s">
        <v>113</v>
      </c>
      <c r="AD15" s="51" t="s">
        <v>113</v>
      </c>
      <c r="AE15" s="51" t="s">
        <v>113</v>
      </c>
      <c r="AF15" s="51" t="s">
        <v>113</v>
      </c>
      <c r="AG15" s="51" t="s">
        <v>113</v>
      </c>
      <c r="AH15" s="51" t="s">
        <v>113</v>
      </c>
      <c r="AI15" s="51" t="s">
        <v>113</v>
      </c>
      <c r="AJ15" s="51" t="s">
        <v>113</v>
      </c>
      <c r="AK15" s="51" t="s">
        <v>113</v>
      </c>
      <c r="AL15" s="51" t="s">
        <v>113</v>
      </c>
      <c r="AM15" s="51" t="s">
        <v>113</v>
      </c>
      <c r="AN15" s="51" t="s">
        <v>113</v>
      </c>
      <c r="AO15" s="51" t="s">
        <v>113</v>
      </c>
      <c r="AP15" s="51" t="s">
        <v>113</v>
      </c>
      <c r="AQ15" s="51" t="s">
        <v>113</v>
      </c>
      <c r="AR15" s="51" t="s">
        <v>113</v>
      </c>
      <c r="AS15" s="51" t="s">
        <v>113</v>
      </c>
      <c r="AT15" s="51" t="s">
        <v>113</v>
      </c>
      <c r="AU15" s="51" t="s">
        <v>113</v>
      </c>
      <c r="AV15" s="51" t="s">
        <v>113</v>
      </c>
      <c r="AW15" s="51" t="s">
        <v>113</v>
      </c>
      <c r="AX15" s="51" t="s">
        <v>113</v>
      </c>
      <c r="AY15" s="51">
        <v>30</v>
      </c>
      <c r="AZ15" s="51" t="s">
        <v>113</v>
      </c>
      <c r="BA15" s="51">
        <v>44</v>
      </c>
      <c r="BB15" s="51" t="s">
        <v>113</v>
      </c>
      <c r="BC15" s="51" t="s">
        <v>113</v>
      </c>
      <c r="BD15" s="51" t="s">
        <v>113</v>
      </c>
      <c r="BE15" s="51">
        <v>0</v>
      </c>
      <c r="BF15" s="51" t="s">
        <v>113</v>
      </c>
      <c r="BG15" s="51" t="s">
        <v>113</v>
      </c>
      <c r="BH15" s="51" t="s">
        <v>113</v>
      </c>
      <c r="BI15" s="51" t="s">
        <v>113</v>
      </c>
      <c r="BJ15" s="51" t="s">
        <v>113</v>
      </c>
      <c r="BK15" s="51" t="s">
        <v>113</v>
      </c>
      <c r="BL15" s="51" t="s">
        <v>113</v>
      </c>
      <c r="BM15" s="51" t="s">
        <v>113</v>
      </c>
    </row>
    <row r="16" spans="1:65" ht="15" customHeight="1" x14ac:dyDescent="0.2">
      <c r="A16" s="51" t="s">
        <v>132</v>
      </c>
      <c r="B16" s="51" t="s">
        <v>113</v>
      </c>
      <c r="C16" s="51">
        <v>15</v>
      </c>
      <c r="D16" s="51" t="s">
        <v>113</v>
      </c>
      <c r="E16" s="51" t="s">
        <v>113</v>
      </c>
      <c r="F16" s="51" t="s">
        <v>113</v>
      </c>
      <c r="G16" s="51">
        <v>9</v>
      </c>
      <c r="H16" s="51" t="s">
        <v>113</v>
      </c>
      <c r="I16" s="51">
        <v>0</v>
      </c>
      <c r="J16" s="51" t="s">
        <v>113</v>
      </c>
      <c r="K16" s="51" t="s">
        <v>113</v>
      </c>
      <c r="L16" s="51" t="s">
        <v>113</v>
      </c>
      <c r="M16" s="51" t="s">
        <v>113</v>
      </c>
      <c r="N16" s="51" t="s">
        <v>113</v>
      </c>
      <c r="O16" s="51" t="s">
        <v>113</v>
      </c>
      <c r="P16" s="51" t="s">
        <v>113</v>
      </c>
      <c r="Q16" s="51" t="s">
        <v>113</v>
      </c>
      <c r="R16" s="51" t="s">
        <v>113</v>
      </c>
      <c r="S16" s="51" t="s">
        <v>113</v>
      </c>
      <c r="T16" s="51" t="s">
        <v>113</v>
      </c>
      <c r="U16" s="51">
        <v>108</v>
      </c>
      <c r="V16" s="51" t="s">
        <v>113</v>
      </c>
      <c r="W16" s="51">
        <v>30</v>
      </c>
      <c r="X16" s="51" t="s">
        <v>113</v>
      </c>
      <c r="Y16" s="51">
        <v>0</v>
      </c>
      <c r="Z16" s="51" t="s">
        <v>113</v>
      </c>
      <c r="AA16" s="51" t="s">
        <v>113</v>
      </c>
      <c r="AB16" s="51" t="s">
        <v>113</v>
      </c>
      <c r="AC16" s="51" t="s">
        <v>113</v>
      </c>
      <c r="AD16" s="51" t="s">
        <v>113</v>
      </c>
      <c r="AE16" s="51" t="s">
        <v>113</v>
      </c>
      <c r="AF16" s="51" t="s">
        <v>113</v>
      </c>
      <c r="AG16" s="51" t="s">
        <v>113</v>
      </c>
      <c r="AH16" s="51" t="s">
        <v>113</v>
      </c>
      <c r="AI16" s="51" t="s">
        <v>113</v>
      </c>
      <c r="AJ16" s="51" t="s">
        <v>113</v>
      </c>
      <c r="AK16" s="51" t="s">
        <v>113</v>
      </c>
      <c r="AL16" s="51" t="s">
        <v>113</v>
      </c>
      <c r="AM16" s="51" t="s">
        <v>113</v>
      </c>
      <c r="AN16" s="51" t="s">
        <v>113</v>
      </c>
      <c r="AO16" s="51" t="s">
        <v>113</v>
      </c>
      <c r="AP16" s="51" t="s">
        <v>113</v>
      </c>
      <c r="AQ16" s="51" t="s">
        <v>113</v>
      </c>
      <c r="AR16" s="51" t="s">
        <v>113</v>
      </c>
      <c r="AS16" s="51" t="s">
        <v>113</v>
      </c>
      <c r="AT16" s="51" t="s">
        <v>113</v>
      </c>
      <c r="AU16" s="51" t="s">
        <v>113</v>
      </c>
      <c r="AV16" s="51" t="s">
        <v>113</v>
      </c>
      <c r="AW16" s="51" t="s">
        <v>113</v>
      </c>
      <c r="AX16" s="51" t="s">
        <v>113</v>
      </c>
      <c r="AY16" s="51">
        <v>56</v>
      </c>
      <c r="AZ16" s="51" t="s">
        <v>113</v>
      </c>
      <c r="BA16" s="51">
        <v>66</v>
      </c>
      <c r="BB16" s="51" t="s">
        <v>113</v>
      </c>
      <c r="BC16" s="51" t="s">
        <v>113</v>
      </c>
      <c r="BD16" s="51" t="s">
        <v>113</v>
      </c>
      <c r="BE16" s="51">
        <v>0</v>
      </c>
      <c r="BF16" s="51" t="s">
        <v>113</v>
      </c>
      <c r="BG16" s="51" t="s">
        <v>113</v>
      </c>
      <c r="BH16" s="51" t="s">
        <v>113</v>
      </c>
      <c r="BI16" s="51" t="s">
        <v>113</v>
      </c>
      <c r="BJ16" s="51" t="s">
        <v>113</v>
      </c>
      <c r="BK16" s="51" t="s">
        <v>113</v>
      </c>
      <c r="BL16" s="51" t="s">
        <v>113</v>
      </c>
      <c r="BM16" s="51" t="s">
        <v>113</v>
      </c>
    </row>
    <row r="17" spans="1:65" ht="15" customHeight="1" x14ac:dyDescent="0.2">
      <c r="A17" s="51" t="s">
        <v>131</v>
      </c>
      <c r="B17" s="51" t="s">
        <v>113</v>
      </c>
      <c r="C17" s="51">
        <v>17</v>
      </c>
      <c r="D17" s="51" t="s">
        <v>113</v>
      </c>
      <c r="E17" s="51" t="s">
        <v>113</v>
      </c>
      <c r="F17" s="51" t="s">
        <v>113</v>
      </c>
      <c r="G17" s="51">
        <v>5</v>
      </c>
      <c r="H17" s="51" t="s">
        <v>113</v>
      </c>
      <c r="I17" s="51">
        <v>0</v>
      </c>
      <c r="J17" s="51" t="s">
        <v>113</v>
      </c>
      <c r="K17" s="51" t="s">
        <v>113</v>
      </c>
      <c r="L17" s="51" t="s">
        <v>113</v>
      </c>
      <c r="M17" s="51" t="s">
        <v>113</v>
      </c>
      <c r="N17" s="51" t="s">
        <v>113</v>
      </c>
      <c r="O17" s="51" t="s">
        <v>113</v>
      </c>
      <c r="P17" s="51" t="s">
        <v>113</v>
      </c>
      <c r="Q17" s="51" t="s">
        <v>113</v>
      </c>
      <c r="R17" s="51" t="s">
        <v>113</v>
      </c>
      <c r="S17" s="51" t="s">
        <v>113</v>
      </c>
      <c r="T17" s="51" t="s">
        <v>113</v>
      </c>
      <c r="U17" s="51">
        <v>154</v>
      </c>
      <c r="V17" s="51" t="s">
        <v>113</v>
      </c>
      <c r="W17" s="51">
        <v>23</v>
      </c>
      <c r="X17" s="51" t="s">
        <v>113</v>
      </c>
      <c r="Y17" s="51">
        <v>0</v>
      </c>
      <c r="Z17" s="51" t="s">
        <v>113</v>
      </c>
      <c r="AA17" s="51" t="s">
        <v>113</v>
      </c>
      <c r="AB17" s="51" t="s">
        <v>113</v>
      </c>
      <c r="AC17" s="51" t="s">
        <v>113</v>
      </c>
      <c r="AD17" s="51" t="s">
        <v>113</v>
      </c>
      <c r="AE17" s="51" t="s">
        <v>113</v>
      </c>
      <c r="AF17" s="51" t="s">
        <v>113</v>
      </c>
      <c r="AG17" s="51" t="s">
        <v>113</v>
      </c>
      <c r="AH17" s="51" t="s">
        <v>113</v>
      </c>
      <c r="AI17" s="51" t="s">
        <v>113</v>
      </c>
      <c r="AJ17" s="51" t="s">
        <v>113</v>
      </c>
      <c r="AK17" s="51" t="s">
        <v>113</v>
      </c>
      <c r="AL17" s="51" t="s">
        <v>113</v>
      </c>
      <c r="AM17" s="51" t="s">
        <v>113</v>
      </c>
      <c r="AN17" s="51" t="s">
        <v>113</v>
      </c>
      <c r="AO17" s="51" t="s">
        <v>113</v>
      </c>
      <c r="AP17" s="51" t="s">
        <v>113</v>
      </c>
      <c r="AQ17" s="51" t="s">
        <v>113</v>
      </c>
      <c r="AR17" s="51" t="s">
        <v>113</v>
      </c>
      <c r="AS17" s="51" t="s">
        <v>113</v>
      </c>
      <c r="AT17" s="51" t="s">
        <v>113</v>
      </c>
      <c r="AU17" s="51" t="s">
        <v>113</v>
      </c>
      <c r="AV17" s="51" t="s">
        <v>113</v>
      </c>
      <c r="AW17" s="51" t="s">
        <v>113</v>
      </c>
      <c r="AX17" s="51" t="s">
        <v>113</v>
      </c>
      <c r="AY17" s="51">
        <v>37</v>
      </c>
      <c r="AZ17" s="51" t="s">
        <v>113</v>
      </c>
      <c r="BA17" s="51">
        <v>60</v>
      </c>
      <c r="BB17" s="51" t="s">
        <v>113</v>
      </c>
      <c r="BC17" s="51" t="s">
        <v>113</v>
      </c>
      <c r="BD17" s="51" t="s">
        <v>113</v>
      </c>
      <c r="BE17" s="51">
        <v>0</v>
      </c>
      <c r="BF17" s="51" t="s">
        <v>113</v>
      </c>
      <c r="BG17" s="51" t="s">
        <v>113</v>
      </c>
      <c r="BH17" s="51" t="s">
        <v>113</v>
      </c>
      <c r="BI17" s="51" t="s">
        <v>113</v>
      </c>
      <c r="BJ17" s="51" t="s">
        <v>113</v>
      </c>
      <c r="BK17" s="51" t="s">
        <v>113</v>
      </c>
      <c r="BL17" s="51" t="s">
        <v>113</v>
      </c>
      <c r="BM17" s="51" t="s">
        <v>113</v>
      </c>
    </row>
    <row r="18" spans="1:65" ht="15" customHeight="1" x14ac:dyDescent="0.2">
      <c r="A18" s="51" t="s">
        <v>130</v>
      </c>
      <c r="B18" s="51" t="s">
        <v>113</v>
      </c>
      <c r="C18" s="51">
        <v>18</v>
      </c>
      <c r="D18" s="51" t="s">
        <v>113</v>
      </c>
      <c r="E18" s="51" t="s">
        <v>113</v>
      </c>
      <c r="F18" s="51" t="s">
        <v>113</v>
      </c>
      <c r="G18" s="51">
        <v>5</v>
      </c>
      <c r="H18" s="51" t="s">
        <v>113</v>
      </c>
      <c r="I18" s="51">
        <v>0</v>
      </c>
      <c r="J18" s="51" t="s">
        <v>113</v>
      </c>
      <c r="K18" s="51" t="s">
        <v>113</v>
      </c>
      <c r="L18" s="51" t="s">
        <v>113</v>
      </c>
      <c r="M18" s="51" t="s">
        <v>113</v>
      </c>
      <c r="N18" s="51" t="s">
        <v>113</v>
      </c>
      <c r="O18" s="51" t="s">
        <v>113</v>
      </c>
      <c r="P18" s="51" t="s">
        <v>113</v>
      </c>
      <c r="Q18" s="51" t="s">
        <v>113</v>
      </c>
      <c r="R18" s="51" t="s">
        <v>113</v>
      </c>
      <c r="S18" s="51" t="s">
        <v>113</v>
      </c>
      <c r="T18" s="51" t="s">
        <v>113</v>
      </c>
      <c r="U18" s="51">
        <v>162</v>
      </c>
      <c r="V18" s="51" t="s">
        <v>113</v>
      </c>
      <c r="W18" s="51">
        <v>45</v>
      </c>
      <c r="X18" s="51" t="s">
        <v>113</v>
      </c>
      <c r="Y18" s="51">
        <v>0</v>
      </c>
      <c r="Z18" s="51" t="s">
        <v>113</v>
      </c>
      <c r="AA18" s="51" t="s">
        <v>113</v>
      </c>
      <c r="AB18" s="51" t="s">
        <v>113</v>
      </c>
      <c r="AC18" s="51" t="s">
        <v>113</v>
      </c>
      <c r="AD18" s="51" t="s">
        <v>113</v>
      </c>
      <c r="AE18" s="51" t="s">
        <v>113</v>
      </c>
      <c r="AF18" s="51" t="s">
        <v>113</v>
      </c>
      <c r="AG18" s="51" t="s">
        <v>113</v>
      </c>
      <c r="AH18" s="51" t="s">
        <v>113</v>
      </c>
      <c r="AI18" s="51" t="s">
        <v>113</v>
      </c>
      <c r="AJ18" s="51" t="s">
        <v>113</v>
      </c>
      <c r="AK18" s="51" t="s">
        <v>113</v>
      </c>
      <c r="AL18" s="51" t="s">
        <v>113</v>
      </c>
      <c r="AM18" s="51" t="s">
        <v>113</v>
      </c>
      <c r="AN18" s="51" t="s">
        <v>113</v>
      </c>
      <c r="AO18" s="51" t="s">
        <v>113</v>
      </c>
      <c r="AP18" s="51" t="s">
        <v>113</v>
      </c>
      <c r="AQ18" s="51" t="s">
        <v>113</v>
      </c>
      <c r="AR18" s="51" t="s">
        <v>113</v>
      </c>
      <c r="AS18" s="51" t="s">
        <v>113</v>
      </c>
      <c r="AT18" s="51" t="s">
        <v>113</v>
      </c>
      <c r="AU18" s="51" t="s">
        <v>113</v>
      </c>
      <c r="AV18" s="51" t="s">
        <v>113</v>
      </c>
      <c r="AW18" s="51" t="s">
        <v>113</v>
      </c>
      <c r="AX18" s="51" t="s">
        <v>113</v>
      </c>
      <c r="AY18" s="51">
        <v>54</v>
      </c>
      <c r="AZ18" s="51" t="s">
        <v>113</v>
      </c>
      <c r="BA18" s="51">
        <v>73</v>
      </c>
      <c r="BB18" s="51" t="s">
        <v>113</v>
      </c>
      <c r="BC18" s="51" t="s">
        <v>113</v>
      </c>
      <c r="BD18" s="51" t="s">
        <v>113</v>
      </c>
      <c r="BE18" s="51">
        <v>0</v>
      </c>
      <c r="BF18" s="51" t="s">
        <v>113</v>
      </c>
      <c r="BG18" s="51" t="s">
        <v>113</v>
      </c>
      <c r="BH18" s="51" t="s">
        <v>113</v>
      </c>
      <c r="BI18" s="51" t="s">
        <v>113</v>
      </c>
      <c r="BJ18" s="51" t="s">
        <v>113</v>
      </c>
      <c r="BK18" s="51" t="s">
        <v>113</v>
      </c>
      <c r="BL18" s="51" t="s">
        <v>113</v>
      </c>
      <c r="BM18" s="51" t="s">
        <v>113</v>
      </c>
    </row>
    <row r="19" spans="1:65" ht="15" customHeight="1" x14ac:dyDescent="0.2">
      <c r="A19" s="51" t="s">
        <v>129</v>
      </c>
      <c r="B19" s="51" t="s">
        <v>113</v>
      </c>
      <c r="C19" s="51">
        <v>20</v>
      </c>
      <c r="D19" s="51" t="s">
        <v>113</v>
      </c>
      <c r="E19" s="51" t="s">
        <v>113</v>
      </c>
      <c r="F19" s="51" t="s">
        <v>113</v>
      </c>
      <c r="G19" s="51">
        <v>21</v>
      </c>
      <c r="H19" s="51" t="s">
        <v>113</v>
      </c>
      <c r="I19" s="51">
        <v>0</v>
      </c>
      <c r="J19" s="51" t="s">
        <v>113</v>
      </c>
      <c r="K19" s="51" t="s">
        <v>113</v>
      </c>
      <c r="L19" s="51" t="s">
        <v>113</v>
      </c>
      <c r="M19" s="51" t="s">
        <v>113</v>
      </c>
      <c r="N19" s="51" t="s">
        <v>113</v>
      </c>
      <c r="O19" s="51" t="s">
        <v>113</v>
      </c>
      <c r="P19" s="51" t="s">
        <v>113</v>
      </c>
      <c r="Q19" s="51" t="s">
        <v>113</v>
      </c>
      <c r="R19" s="51" t="s">
        <v>113</v>
      </c>
      <c r="S19" s="51" t="s">
        <v>113</v>
      </c>
      <c r="T19" s="51" t="s">
        <v>113</v>
      </c>
      <c r="U19" s="51">
        <v>165</v>
      </c>
      <c r="V19" s="51" t="s">
        <v>113</v>
      </c>
      <c r="W19" s="51">
        <v>20</v>
      </c>
      <c r="X19" s="51" t="s">
        <v>113</v>
      </c>
      <c r="Y19" s="51">
        <v>0</v>
      </c>
      <c r="Z19" s="51" t="s">
        <v>113</v>
      </c>
      <c r="AA19" s="51" t="s">
        <v>113</v>
      </c>
      <c r="AB19" s="51" t="s">
        <v>113</v>
      </c>
      <c r="AC19" s="51" t="s">
        <v>113</v>
      </c>
      <c r="AD19" s="51" t="s">
        <v>113</v>
      </c>
      <c r="AE19" s="51" t="s">
        <v>113</v>
      </c>
      <c r="AF19" s="51" t="s">
        <v>113</v>
      </c>
      <c r="AG19" s="51" t="s">
        <v>113</v>
      </c>
      <c r="AH19" s="51" t="s">
        <v>113</v>
      </c>
      <c r="AI19" s="51" t="s">
        <v>113</v>
      </c>
      <c r="AJ19" s="51" t="s">
        <v>113</v>
      </c>
      <c r="AK19" s="51" t="s">
        <v>113</v>
      </c>
      <c r="AL19" s="51" t="s">
        <v>113</v>
      </c>
      <c r="AM19" s="51" t="s">
        <v>113</v>
      </c>
      <c r="AN19" s="51" t="s">
        <v>113</v>
      </c>
      <c r="AO19" s="51" t="s">
        <v>113</v>
      </c>
      <c r="AP19" s="51" t="s">
        <v>113</v>
      </c>
      <c r="AQ19" s="51" t="s">
        <v>113</v>
      </c>
      <c r="AR19" s="51" t="s">
        <v>113</v>
      </c>
      <c r="AS19" s="51" t="s">
        <v>113</v>
      </c>
      <c r="AT19" s="51" t="s">
        <v>113</v>
      </c>
      <c r="AU19" s="51" t="s">
        <v>113</v>
      </c>
      <c r="AV19" s="51" t="s">
        <v>113</v>
      </c>
      <c r="AW19" s="51" t="s">
        <v>113</v>
      </c>
      <c r="AX19" s="51" t="s">
        <v>113</v>
      </c>
      <c r="AY19" s="51">
        <v>43</v>
      </c>
      <c r="AZ19" s="51" t="s">
        <v>113</v>
      </c>
      <c r="BA19" s="51">
        <v>58</v>
      </c>
      <c r="BB19" s="51" t="s">
        <v>113</v>
      </c>
      <c r="BC19" s="51" t="s">
        <v>113</v>
      </c>
      <c r="BD19" s="51" t="s">
        <v>113</v>
      </c>
      <c r="BE19" s="51">
        <v>0</v>
      </c>
      <c r="BF19" s="51" t="s">
        <v>113</v>
      </c>
      <c r="BG19" s="51" t="s">
        <v>113</v>
      </c>
      <c r="BH19" s="51" t="s">
        <v>113</v>
      </c>
      <c r="BI19" s="51" t="s">
        <v>113</v>
      </c>
      <c r="BJ19" s="51" t="s">
        <v>113</v>
      </c>
      <c r="BK19" s="51" t="s">
        <v>113</v>
      </c>
      <c r="BL19" s="51" t="s">
        <v>113</v>
      </c>
      <c r="BM19" s="51" t="s">
        <v>113</v>
      </c>
    </row>
    <row r="20" spans="1:65" ht="15" customHeight="1" x14ac:dyDescent="0.2">
      <c r="A20" s="51" t="s">
        <v>128</v>
      </c>
      <c r="B20" s="51" t="s">
        <v>113</v>
      </c>
      <c r="C20" s="51">
        <v>18</v>
      </c>
      <c r="D20" s="51" t="s">
        <v>113</v>
      </c>
      <c r="E20" s="51" t="s">
        <v>113</v>
      </c>
      <c r="F20" s="51" t="s">
        <v>113</v>
      </c>
      <c r="G20" s="51">
        <v>11</v>
      </c>
      <c r="H20" s="51" t="s">
        <v>113</v>
      </c>
      <c r="I20" s="51">
        <v>0</v>
      </c>
      <c r="J20" s="51" t="s">
        <v>113</v>
      </c>
      <c r="K20" s="51" t="s">
        <v>113</v>
      </c>
      <c r="L20" s="51" t="s">
        <v>113</v>
      </c>
      <c r="M20" s="51" t="s">
        <v>113</v>
      </c>
      <c r="N20" s="51" t="s">
        <v>113</v>
      </c>
      <c r="O20" s="51" t="s">
        <v>113</v>
      </c>
      <c r="P20" s="51" t="s">
        <v>113</v>
      </c>
      <c r="Q20" s="51" t="s">
        <v>113</v>
      </c>
      <c r="R20" s="51" t="s">
        <v>113</v>
      </c>
      <c r="S20" s="51" t="s">
        <v>113</v>
      </c>
      <c r="T20" s="51" t="s">
        <v>113</v>
      </c>
      <c r="U20" s="51">
        <v>153</v>
      </c>
      <c r="V20" s="51" t="s">
        <v>113</v>
      </c>
      <c r="W20" s="51">
        <v>37</v>
      </c>
      <c r="X20" s="51" t="s">
        <v>113</v>
      </c>
      <c r="Y20" s="51">
        <v>0</v>
      </c>
      <c r="Z20" s="51" t="s">
        <v>113</v>
      </c>
      <c r="AA20" s="51" t="s">
        <v>113</v>
      </c>
      <c r="AB20" s="51" t="s">
        <v>113</v>
      </c>
      <c r="AC20" s="51" t="s">
        <v>113</v>
      </c>
      <c r="AD20" s="51" t="s">
        <v>113</v>
      </c>
      <c r="AE20" s="51" t="s">
        <v>113</v>
      </c>
      <c r="AF20" s="51" t="s">
        <v>113</v>
      </c>
      <c r="AG20" s="51" t="s">
        <v>113</v>
      </c>
      <c r="AH20" s="51" t="s">
        <v>113</v>
      </c>
      <c r="AI20" s="51" t="s">
        <v>113</v>
      </c>
      <c r="AJ20" s="51" t="s">
        <v>113</v>
      </c>
      <c r="AK20" s="51" t="s">
        <v>113</v>
      </c>
      <c r="AL20" s="51" t="s">
        <v>113</v>
      </c>
      <c r="AM20" s="51" t="s">
        <v>113</v>
      </c>
      <c r="AN20" s="51" t="s">
        <v>113</v>
      </c>
      <c r="AO20" s="51" t="s">
        <v>113</v>
      </c>
      <c r="AP20" s="51" t="s">
        <v>113</v>
      </c>
      <c r="AQ20" s="51" t="s">
        <v>113</v>
      </c>
      <c r="AR20" s="51" t="s">
        <v>113</v>
      </c>
      <c r="AS20" s="51" t="s">
        <v>113</v>
      </c>
      <c r="AT20" s="51" t="s">
        <v>113</v>
      </c>
      <c r="AU20" s="51" t="s">
        <v>113</v>
      </c>
      <c r="AV20" s="51" t="s">
        <v>113</v>
      </c>
      <c r="AW20" s="51" t="s">
        <v>113</v>
      </c>
      <c r="AX20" s="51" t="s">
        <v>113</v>
      </c>
      <c r="AY20" s="51">
        <v>50</v>
      </c>
      <c r="AZ20" s="51" t="s">
        <v>113</v>
      </c>
      <c r="BA20" s="51">
        <v>73</v>
      </c>
      <c r="BB20" s="51" t="s">
        <v>113</v>
      </c>
      <c r="BC20" s="51" t="s">
        <v>113</v>
      </c>
      <c r="BD20" s="51" t="s">
        <v>113</v>
      </c>
      <c r="BE20" s="51">
        <v>0</v>
      </c>
      <c r="BF20" s="51" t="s">
        <v>113</v>
      </c>
      <c r="BG20" s="51" t="s">
        <v>113</v>
      </c>
      <c r="BH20" s="51" t="s">
        <v>113</v>
      </c>
      <c r="BI20" s="51" t="s">
        <v>113</v>
      </c>
      <c r="BJ20" s="51" t="s">
        <v>113</v>
      </c>
      <c r="BK20" s="51" t="s">
        <v>113</v>
      </c>
      <c r="BL20" s="51" t="s">
        <v>113</v>
      </c>
      <c r="BM20" s="51" t="s">
        <v>113</v>
      </c>
    </row>
    <row r="21" spans="1:65" ht="15" customHeight="1" x14ac:dyDescent="0.2">
      <c r="A21" s="51" t="s">
        <v>127</v>
      </c>
      <c r="B21" s="51" t="s">
        <v>113</v>
      </c>
      <c r="C21" s="51">
        <v>18</v>
      </c>
      <c r="D21" s="51" t="s">
        <v>113</v>
      </c>
      <c r="E21" s="51" t="s">
        <v>113</v>
      </c>
      <c r="F21" s="51" t="s">
        <v>113</v>
      </c>
      <c r="G21" s="51">
        <v>14</v>
      </c>
      <c r="H21" s="51" t="s">
        <v>113</v>
      </c>
      <c r="I21" s="51">
        <v>0</v>
      </c>
      <c r="J21" s="51" t="s">
        <v>113</v>
      </c>
      <c r="K21" s="51" t="s">
        <v>113</v>
      </c>
      <c r="L21" s="51" t="s">
        <v>113</v>
      </c>
      <c r="M21" s="51" t="s">
        <v>113</v>
      </c>
      <c r="N21" s="51" t="s">
        <v>113</v>
      </c>
      <c r="O21" s="51" t="s">
        <v>113</v>
      </c>
      <c r="P21" s="51" t="s">
        <v>113</v>
      </c>
      <c r="Q21" s="51" t="s">
        <v>113</v>
      </c>
      <c r="R21" s="51" t="s">
        <v>113</v>
      </c>
      <c r="S21" s="51" t="s">
        <v>113</v>
      </c>
      <c r="T21" s="51" t="s">
        <v>113</v>
      </c>
      <c r="U21" s="51">
        <v>150</v>
      </c>
      <c r="V21" s="51" t="s">
        <v>113</v>
      </c>
      <c r="W21" s="51">
        <v>31</v>
      </c>
      <c r="X21" s="51" t="s">
        <v>113</v>
      </c>
      <c r="Y21" s="51">
        <v>0</v>
      </c>
      <c r="Z21" s="51" t="s">
        <v>113</v>
      </c>
      <c r="AA21" s="51" t="s">
        <v>113</v>
      </c>
      <c r="AB21" s="51" t="s">
        <v>113</v>
      </c>
      <c r="AC21" s="51" t="s">
        <v>113</v>
      </c>
      <c r="AD21" s="51" t="s">
        <v>113</v>
      </c>
      <c r="AE21" s="51" t="s">
        <v>113</v>
      </c>
      <c r="AF21" s="51" t="s">
        <v>113</v>
      </c>
      <c r="AG21" s="51" t="s">
        <v>113</v>
      </c>
      <c r="AH21" s="51" t="s">
        <v>113</v>
      </c>
      <c r="AI21" s="51" t="s">
        <v>113</v>
      </c>
      <c r="AJ21" s="51" t="s">
        <v>113</v>
      </c>
      <c r="AK21" s="51" t="s">
        <v>113</v>
      </c>
      <c r="AL21" s="51" t="s">
        <v>113</v>
      </c>
      <c r="AM21" s="51" t="s">
        <v>113</v>
      </c>
      <c r="AN21" s="51" t="s">
        <v>113</v>
      </c>
      <c r="AO21" s="51" t="s">
        <v>113</v>
      </c>
      <c r="AP21" s="51" t="s">
        <v>113</v>
      </c>
      <c r="AQ21" s="51" t="s">
        <v>113</v>
      </c>
      <c r="AR21" s="51" t="s">
        <v>113</v>
      </c>
      <c r="AS21" s="51" t="s">
        <v>113</v>
      </c>
      <c r="AT21" s="51" t="s">
        <v>113</v>
      </c>
      <c r="AU21" s="51" t="s">
        <v>113</v>
      </c>
      <c r="AV21" s="51" t="s">
        <v>113</v>
      </c>
      <c r="AW21" s="51" t="s">
        <v>113</v>
      </c>
      <c r="AX21" s="51" t="s">
        <v>113</v>
      </c>
      <c r="AY21" s="51">
        <v>34</v>
      </c>
      <c r="AZ21" s="51" t="s">
        <v>113</v>
      </c>
      <c r="BA21" s="51">
        <v>89</v>
      </c>
      <c r="BB21" s="51" t="s">
        <v>113</v>
      </c>
      <c r="BC21" s="51" t="s">
        <v>113</v>
      </c>
      <c r="BD21" s="51" t="s">
        <v>113</v>
      </c>
      <c r="BE21" s="51">
        <v>0</v>
      </c>
      <c r="BF21" s="51" t="s">
        <v>113</v>
      </c>
      <c r="BG21" s="51" t="s">
        <v>113</v>
      </c>
      <c r="BH21" s="51" t="s">
        <v>113</v>
      </c>
      <c r="BI21" s="51" t="s">
        <v>113</v>
      </c>
      <c r="BJ21" s="51" t="s">
        <v>113</v>
      </c>
      <c r="BK21" s="51" t="s">
        <v>113</v>
      </c>
      <c r="BL21" s="51" t="s">
        <v>113</v>
      </c>
      <c r="BM21" s="51" t="s">
        <v>113</v>
      </c>
    </row>
    <row r="22" spans="1:65" ht="15" customHeight="1" x14ac:dyDescent="0.2">
      <c r="A22" s="51" t="s">
        <v>126</v>
      </c>
      <c r="B22" s="51" t="s">
        <v>113</v>
      </c>
      <c r="C22" s="51">
        <v>19</v>
      </c>
      <c r="D22" s="51" t="s">
        <v>113</v>
      </c>
      <c r="E22" s="51" t="s">
        <v>113</v>
      </c>
      <c r="F22" s="51" t="s">
        <v>113</v>
      </c>
      <c r="G22" s="51">
        <v>12</v>
      </c>
      <c r="H22" s="51" t="s">
        <v>113</v>
      </c>
      <c r="I22" s="51">
        <v>0</v>
      </c>
      <c r="J22" s="51" t="s">
        <v>113</v>
      </c>
      <c r="K22" s="51" t="s">
        <v>113</v>
      </c>
      <c r="L22" s="51" t="s">
        <v>113</v>
      </c>
      <c r="M22" s="51" t="s">
        <v>113</v>
      </c>
      <c r="N22" s="51" t="s">
        <v>113</v>
      </c>
      <c r="O22" s="51" t="s">
        <v>113</v>
      </c>
      <c r="P22" s="51" t="s">
        <v>113</v>
      </c>
      <c r="Q22" s="51" t="s">
        <v>113</v>
      </c>
      <c r="R22" s="51" t="s">
        <v>113</v>
      </c>
      <c r="S22" s="51" t="s">
        <v>113</v>
      </c>
      <c r="T22" s="51" t="s">
        <v>113</v>
      </c>
      <c r="U22" s="51">
        <v>107</v>
      </c>
      <c r="V22" s="51" t="s">
        <v>113</v>
      </c>
      <c r="W22" s="51">
        <v>24</v>
      </c>
      <c r="X22" s="51" t="s">
        <v>113</v>
      </c>
      <c r="Y22" s="51">
        <v>0</v>
      </c>
      <c r="Z22" s="51" t="s">
        <v>113</v>
      </c>
      <c r="AA22" s="51" t="s">
        <v>113</v>
      </c>
      <c r="AB22" s="51" t="s">
        <v>113</v>
      </c>
      <c r="AC22" s="51" t="s">
        <v>113</v>
      </c>
      <c r="AD22" s="51" t="s">
        <v>113</v>
      </c>
      <c r="AE22" s="51" t="s">
        <v>113</v>
      </c>
      <c r="AF22" s="51" t="s">
        <v>113</v>
      </c>
      <c r="AG22" s="51" t="s">
        <v>113</v>
      </c>
      <c r="AH22" s="51" t="s">
        <v>113</v>
      </c>
      <c r="AI22" s="51" t="s">
        <v>113</v>
      </c>
      <c r="AJ22" s="51" t="s">
        <v>113</v>
      </c>
      <c r="AK22" s="51" t="s">
        <v>113</v>
      </c>
      <c r="AL22" s="51" t="s">
        <v>113</v>
      </c>
      <c r="AM22" s="51" t="s">
        <v>113</v>
      </c>
      <c r="AN22" s="51" t="s">
        <v>113</v>
      </c>
      <c r="AO22" s="51" t="s">
        <v>113</v>
      </c>
      <c r="AP22" s="51" t="s">
        <v>113</v>
      </c>
      <c r="AQ22" s="51" t="s">
        <v>113</v>
      </c>
      <c r="AR22" s="51" t="s">
        <v>113</v>
      </c>
      <c r="AS22" s="51" t="s">
        <v>113</v>
      </c>
      <c r="AT22" s="51" t="s">
        <v>113</v>
      </c>
      <c r="AU22" s="51" t="s">
        <v>113</v>
      </c>
      <c r="AV22" s="51" t="s">
        <v>113</v>
      </c>
      <c r="AW22" s="51" t="s">
        <v>113</v>
      </c>
      <c r="AX22" s="51" t="s">
        <v>113</v>
      </c>
      <c r="AY22" s="51">
        <v>31</v>
      </c>
      <c r="AZ22" s="51" t="s">
        <v>113</v>
      </c>
      <c r="BA22" s="51">
        <v>100</v>
      </c>
      <c r="BB22" s="51" t="s">
        <v>113</v>
      </c>
      <c r="BC22" s="51" t="s">
        <v>113</v>
      </c>
      <c r="BD22" s="51" t="s">
        <v>113</v>
      </c>
      <c r="BE22" s="51">
        <v>0</v>
      </c>
      <c r="BF22" s="51" t="s">
        <v>113</v>
      </c>
      <c r="BG22" s="51" t="s">
        <v>113</v>
      </c>
      <c r="BH22" s="51" t="s">
        <v>113</v>
      </c>
      <c r="BI22" s="51" t="s">
        <v>113</v>
      </c>
      <c r="BJ22" s="51" t="s">
        <v>113</v>
      </c>
      <c r="BK22" s="51" t="s">
        <v>113</v>
      </c>
      <c r="BL22" s="51" t="s">
        <v>113</v>
      </c>
      <c r="BM22" s="51" t="s">
        <v>113</v>
      </c>
    </row>
    <row r="23" spans="1:65" ht="15" customHeight="1" x14ac:dyDescent="0.2">
      <c r="A23" s="51" t="s">
        <v>125</v>
      </c>
      <c r="B23" s="51" t="s">
        <v>113</v>
      </c>
      <c r="C23" s="51">
        <v>41</v>
      </c>
      <c r="D23" s="51" t="s">
        <v>113</v>
      </c>
      <c r="E23" s="51" t="s">
        <v>113</v>
      </c>
      <c r="F23" s="51" t="s">
        <v>113</v>
      </c>
      <c r="G23" s="51">
        <v>22</v>
      </c>
      <c r="H23" s="51" t="s">
        <v>113</v>
      </c>
      <c r="I23" s="51">
        <v>0</v>
      </c>
      <c r="J23" s="51" t="s">
        <v>113</v>
      </c>
      <c r="K23" s="51" t="s">
        <v>113</v>
      </c>
      <c r="L23" s="51" t="s">
        <v>113</v>
      </c>
      <c r="M23" s="51" t="s">
        <v>113</v>
      </c>
      <c r="N23" s="51" t="s">
        <v>113</v>
      </c>
      <c r="O23" s="51" t="s">
        <v>113</v>
      </c>
      <c r="P23" s="51" t="s">
        <v>113</v>
      </c>
      <c r="Q23" s="51" t="s">
        <v>113</v>
      </c>
      <c r="R23" s="51" t="s">
        <v>113</v>
      </c>
      <c r="S23" s="51" t="s">
        <v>113</v>
      </c>
      <c r="T23" s="51" t="s">
        <v>113</v>
      </c>
      <c r="U23" s="51">
        <v>108</v>
      </c>
      <c r="V23" s="51" t="s">
        <v>113</v>
      </c>
      <c r="W23" s="51">
        <v>28</v>
      </c>
      <c r="X23" s="51" t="s">
        <v>113</v>
      </c>
      <c r="Y23" s="51">
        <v>0</v>
      </c>
      <c r="Z23" s="51" t="s">
        <v>113</v>
      </c>
      <c r="AA23" s="51" t="s">
        <v>113</v>
      </c>
      <c r="AB23" s="51" t="s">
        <v>113</v>
      </c>
      <c r="AC23" s="51" t="s">
        <v>113</v>
      </c>
      <c r="AD23" s="51" t="s">
        <v>113</v>
      </c>
      <c r="AE23" s="51" t="s">
        <v>113</v>
      </c>
      <c r="AF23" s="51" t="s">
        <v>113</v>
      </c>
      <c r="AG23" s="51" t="s">
        <v>113</v>
      </c>
      <c r="AH23" s="51" t="s">
        <v>113</v>
      </c>
      <c r="AI23" s="51" t="s">
        <v>113</v>
      </c>
      <c r="AJ23" s="51" t="s">
        <v>113</v>
      </c>
      <c r="AK23" s="51" t="s">
        <v>113</v>
      </c>
      <c r="AL23" s="51" t="s">
        <v>113</v>
      </c>
      <c r="AM23" s="51" t="s">
        <v>113</v>
      </c>
      <c r="AN23" s="51" t="s">
        <v>113</v>
      </c>
      <c r="AO23" s="51" t="s">
        <v>113</v>
      </c>
      <c r="AP23" s="51" t="s">
        <v>113</v>
      </c>
      <c r="AQ23" s="51" t="s">
        <v>113</v>
      </c>
      <c r="AR23" s="51" t="s">
        <v>113</v>
      </c>
      <c r="AS23" s="51" t="s">
        <v>113</v>
      </c>
      <c r="AT23" s="51" t="s">
        <v>113</v>
      </c>
      <c r="AU23" s="51" t="s">
        <v>113</v>
      </c>
      <c r="AV23" s="51" t="s">
        <v>113</v>
      </c>
      <c r="AW23" s="51" t="s">
        <v>113</v>
      </c>
      <c r="AX23" s="51" t="s">
        <v>113</v>
      </c>
      <c r="AY23" s="51">
        <v>25</v>
      </c>
      <c r="AZ23" s="51" t="s">
        <v>113</v>
      </c>
      <c r="BA23" s="51">
        <v>81</v>
      </c>
      <c r="BB23" s="51" t="s">
        <v>113</v>
      </c>
      <c r="BC23" s="51" t="s">
        <v>113</v>
      </c>
      <c r="BD23" s="51" t="s">
        <v>113</v>
      </c>
      <c r="BE23" s="51">
        <v>0</v>
      </c>
      <c r="BF23" s="51" t="s">
        <v>113</v>
      </c>
      <c r="BG23" s="51" t="s">
        <v>113</v>
      </c>
      <c r="BH23" s="51" t="s">
        <v>113</v>
      </c>
      <c r="BI23" s="51" t="s">
        <v>113</v>
      </c>
      <c r="BJ23" s="51" t="s">
        <v>113</v>
      </c>
      <c r="BK23" s="51" t="s">
        <v>113</v>
      </c>
      <c r="BL23" s="51" t="s">
        <v>113</v>
      </c>
      <c r="BM23" s="51" t="s">
        <v>113</v>
      </c>
    </row>
    <row r="24" spans="1:65" ht="15" customHeight="1" x14ac:dyDescent="0.2">
      <c r="A24" s="51" t="s">
        <v>124</v>
      </c>
      <c r="B24" s="51" t="s">
        <v>113</v>
      </c>
      <c r="C24" s="51">
        <v>25</v>
      </c>
      <c r="D24" s="51" t="s">
        <v>113</v>
      </c>
      <c r="E24" s="51" t="s">
        <v>113</v>
      </c>
      <c r="F24" s="51" t="s">
        <v>113</v>
      </c>
      <c r="G24" s="51">
        <v>20</v>
      </c>
      <c r="H24" s="51" t="s">
        <v>113</v>
      </c>
      <c r="I24" s="51">
        <v>0</v>
      </c>
      <c r="J24" s="51" t="s">
        <v>113</v>
      </c>
      <c r="K24" s="51" t="s">
        <v>113</v>
      </c>
      <c r="L24" s="51" t="s">
        <v>113</v>
      </c>
      <c r="M24" s="51" t="s">
        <v>113</v>
      </c>
      <c r="N24" s="51" t="s">
        <v>113</v>
      </c>
      <c r="O24" s="51" t="s">
        <v>113</v>
      </c>
      <c r="P24" s="51" t="s">
        <v>113</v>
      </c>
      <c r="Q24" s="51" t="s">
        <v>113</v>
      </c>
      <c r="R24" s="51" t="s">
        <v>113</v>
      </c>
      <c r="S24" s="51" t="s">
        <v>113</v>
      </c>
      <c r="T24" s="51" t="s">
        <v>113</v>
      </c>
      <c r="U24" s="51">
        <v>70</v>
      </c>
      <c r="V24" s="51" t="s">
        <v>113</v>
      </c>
      <c r="W24" s="51">
        <v>22</v>
      </c>
      <c r="X24" s="51" t="s">
        <v>113</v>
      </c>
      <c r="Y24" s="51">
        <v>0</v>
      </c>
      <c r="Z24" s="51" t="s">
        <v>113</v>
      </c>
      <c r="AA24" s="51" t="s">
        <v>113</v>
      </c>
      <c r="AB24" s="51" t="s">
        <v>113</v>
      </c>
      <c r="AC24" s="51" t="s">
        <v>113</v>
      </c>
      <c r="AD24" s="51" t="s">
        <v>113</v>
      </c>
      <c r="AE24" s="51" t="s">
        <v>113</v>
      </c>
      <c r="AF24" s="51" t="s">
        <v>113</v>
      </c>
      <c r="AG24" s="51" t="s">
        <v>113</v>
      </c>
      <c r="AH24" s="51" t="s">
        <v>113</v>
      </c>
      <c r="AI24" s="51" t="s">
        <v>113</v>
      </c>
      <c r="AJ24" s="51" t="s">
        <v>113</v>
      </c>
      <c r="AK24" s="51" t="s">
        <v>113</v>
      </c>
      <c r="AL24" s="51" t="s">
        <v>113</v>
      </c>
      <c r="AM24" s="51" t="s">
        <v>113</v>
      </c>
      <c r="AN24" s="51" t="s">
        <v>113</v>
      </c>
      <c r="AO24" s="51" t="s">
        <v>113</v>
      </c>
      <c r="AP24" s="51" t="s">
        <v>113</v>
      </c>
      <c r="AQ24" s="51" t="s">
        <v>113</v>
      </c>
      <c r="AR24" s="51" t="s">
        <v>113</v>
      </c>
      <c r="AS24" s="51" t="s">
        <v>113</v>
      </c>
      <c r="AT24" s="51" t="s">
        <v>113</v>
      </c>
      <c r="AU24" s="51" t="s">
        <v>113</v>
      </c>
      <c r="AV24" s="51" t="s">
        <v>113</v>
      </c>
      <c r="AW24" s="51" t="s">
        <v>113</v>
      </c>
      <c r="AX24" s="51" t="s">
        <v>113</v>
      </c>
      <c r="AY24" s="51">
        <v>26</v>
      </c>
      <c r="AZ24" s="51" t="s">
        <v>113</v>
      </c>
      <c r="BA24" s="51">
        <v>80</v>
      </c>
      <c r="BB24" s="51" t="s">
        <v>113</v>
      </c>
      <c r="BC24" s="51" t="s">
        <v>113</v>
      </c>
      <c r="BD24" s="51" t="s">
        <v>113</v>
      </c>
      <c r="BE24" s="51">
        <v>0</v>
      </c>
      <c r="BF24" s="51" t="s">
        <v>113</v>
      </c>
      <c r="BG24" s="51" t="s">
        <v>113</v>
      </c>
      <c r="BH24" s="51" t="s">
        <v>113</v>
      </c>
      <c r="BI24" s="51" t="s">
        <v>113</v>
      </c>
      <c r="BJ24" s="51" t="s">
        <v>113</v>
      </c>
      <c r="BK24" s="51" t="s">
        <v>113</v>
      </c>
      <c r="BL24" s="51" t="s">
        <v>113</v>
      </c>
      <c r="BM24" s="51" t="s">
        <v>113</v>
      </c>
    </row>
    <row r="25" spans="1:65" ht="15" customHeight="1" x14ac:dyDescent="0.2">
      <c r="A25" s="51" t="s">
        <v>123</v>
      </c>
      <c r="B25" s="51" t="s">
        <v>113</v>
      </c>
      <c r="C25" s="51">
        <v>25</v>
      </c>
      <c r="D25" s="51" t="s">
        <v>113</v>
      </c>
      <c r="E25" s="51" t="s">
        <v>113</v>
      </c>
      <c r="F25" s="51" t="s">
        <v>113</v>
      </c>
      <c r="G25" s="51">
        <v>29</v>
      </c>
      <c r="H25" s="51" t="s">
        <v>113</v>
      </c>
      <c r="I25" s="51">
        <v>0</v>
      </c>
      <c r="J25" s="51" t="s">
        <v>113</v>
      </c>
      <c r="K25" s="51" t="s">
        <v>113</v>
      </c>
      <c r="L25" s="51" t="s">
        <v>113</v>
      </c>
      <c r="M25" s="51" t="s">
        <v>113</v>
      </c>
      <c r="N25" s="51" t="s">
        <v>113</v>
      </c>
      <c r="O25" s="51" t="s">
        <v>113</v>
      </c>
      <c r="P25" s="51" t="s">
        <v>113</v>
      </c>
      <c r="Q25" s="51" t="s">
        <v>113</v>
      </c>
      <c r="R25" s="51" t="s">
        <v>113</v>
      </c>
      <c r="S25" s="51" t="s">
        <v>113</v>
      </c>
      <c r="T25" s="51" t="s">
        <v>113</v>
      </c>
      <c r="U25" s="51">
        <v>77</v>
      </c>
      <c r="V25" s="51" t="s">
        <v>113</v>
      </c>
      <c r="W25" s="51">
        <v>24</v>
      </c>
      <c r="X25" s="51" t="s">
        <v>113</v>
      </c>
      <c r="Y25" s="51">
        <v>0</v>
      </c>
      <c r="Z25" s="51" t="s">
        <v>113</v>
      </c>
      <c r="AA25" s="51" t="s">
        <v>113</v>
      </c>
      <c r="AB25" s="51" t="s">
        <v>113</v>
      </c>
      <c r="AC25" s="51" t="s">
        <v>113</v>
      </c>
      <c r="AD25" s="51" t="s">
        <v>113</v>
      </c>
      <c r="AE25" s="51" t="s">
        <v>113</v>
      </c>
      <c r="AF25" s="51" t="s">
        <v>113</v>
      </c>
      <c r="AG25" s="51" t="s">
        <v>113</v>
      </c>
      <c r="AH25" s="51" t="s">
        <v>113</v>
      </c>
      <c r="AI25" s="51" t="s">
        <v>113</v>
      </c>
      <c r="AJ25" s="51" t="s">
        <v>113</v>
      </c>
      <c r="AK25" s="51" t="s">
        <v>113</v>
      </c>
      <c r="AL25" s="51" t="s">
        <v>113</v>
      </c>
      <c r="AM25" s="51" t="s">
        <v>113</v>
      </c>
      <c r="AN25" s="51" t="s">
        <v>113</v>
      </c>
      <c r="AO25" s="51" t="s">
        <v>113</v>
      </c>
      <c r="AP25" s="51" t="s">
        <v>113</v>
      </c>
      <c r="AQ25" s="51" t="s">
        <v>113</v>
      </c>
      <c r="AR25" s="51" t="s">
        <v>113</v>
      </c>
      <c r="AS25" s="51" t="s">
        <v>113</v>
      </c>
      <c r="AT25" s="51" t="s">
        <v>113</v>
      </c>
      <c r="AU25" s="51" t="s">
        <v>113</v>
      </c>
      <c r="AV25" s="51" t="s">
        <v>113</v>
      </c>
      <c r="AW25" s="51" t="s">
        <v>113</v>
      </c>
      <c r="AX25" s="51" t="s">
        <v>113</v>
      </c>
      <c r="AY25" s="51">
        <v>24</v>
      </c>
      <c r="AZ25" s="51" t="s">
        <v>113</v>
      </c>
      <c r="BA25" s="51">
        <v>93</v>
      </c>
      <c r="BB25" s="51" t="s">
        <v>113</v>
      </c>
      <c r="BC25" s="51" t="s">
        <v>113</v>
      </c>
      <c r="BD25" s="51" t="s">
        <v>113</v>
      </c>
      <c r="BE25" s="51">
        <v>0</v>
      </c>
      <c r="BF25" s="51" t="s">
        <v>113</v>
      </c>
      <c r="BG25" s="51" t="s">
        <v>113</v>
      </c>
      <c r="BH25" s="51" t="s">
        <v>113</v>
      </c>
      <c r="BI25" s="51" t="s">
        <v>113</v>
      </c>
      <c r="BJ25" s="51" t="s">
        <v>113</v>
      </c>
      <c r="BK25" s="51" t="s">
        <v>113</v>
      </c>
      <c r="BL25" s="51" t="s">
        <v>113</v>
      </c>
      <c r="BM25" s="51" t="s">
        <v>113</v>
      </c>
    </row>
    <row r="26" spans="1:65" ht="15" customHeight="1" x14ac:dyDescent="0.2">
      <c r="A26" s="51" t="s">
        <v>122</v>
      </c>
      <c r="B26" s="51" t="s">
        <v>113</v>
      </c>
      <c r="C26" s="51">
        <v>27</v>
      </c>
      <c r="D26" s="51" t="s">
        <v>113</v>
      </c>
      <c r="E26" s="51" t="s">
        <v>113</v>
      </c>
      <c r="F26" s="51" t="s">
        <v>113</v>
      </c>
      <c r="G26" s="51">
        <v>13</v>
      </c>
      <c r="H26" s="51" t="s">
        <v>113</v>
      </c>
      <c r="I26" s="51">
        <v>0</v>
      </c>
      <c r="J26" s="51" t="s">
        <v>113</v>
      </c>
      <c r="K26" s="51" t="s">
        <v>113</v>
      </c>
      <c r="L26" s="51" t="s">
        <v>113</v>
      </c>
      <c r="M26" s="51" t="s">
        <v>113</v>
      </c>
      <c r="N26" s="51" t="s">
        <v>113</v>
      </c>
      <c r="O26" s="51" t="s">
        <v>113</v>
      </c>
      <c r="P26" s="51" t="s">
        <v>113</v>
      </c>
      <c r="Q26" s="51" t="s">
        <v>113</v>
      </c>
      <c r="R26" s="51" t="s">
        <v>113</v>
      </c>
      <c r="S26" s="51" t="s">
        <v>113</v>
      </c>
      <c r="T26" s="51" t="s">
        <v>113</v>
      </c>
      <c r="U26" s="51">
        <v>96</v>
      </c>
      <c r="V26" s="51" t="s">
        <v>113</v>
      </c>
      <c r="W26" s="51">
        <v>17</v>
      </c>
      <c r="X26" s="51" t="s">
        <v>113</v>
      </c>
      <c r="Y26" s="51">
        <v>0</v>
      </c>
      <c r="Z26" s="51" t="s">
        <v>113</v>
      </c>
      <c r="AA26" s="51" t="s">
        <v>113</v>
      </c>
      <c r="AB26" s="51" t="s">
        <v>113</v>
      </c>
      <c r="AC26" s="51" t="s">
        <v>113</v>
      </c>
      <c r="AD26" s="51" t="s">
        <v>113</v>
      </c>
      <c r="AE26" s="51" t="s">
        <v>113</v>
      </c>
      <c r="AF26" s="51" t="s">
        <v>113</v>
      </c>
      <c r="AG26" s="51" t="s">
        <v>113</v>
      </c>
      <c r="AH26" s="51" t="s">
        <v>113</v>
      </c>
      <c r="AI26" s="51" t="s">
        <v>113</v>
      </c>
      <c r="AJ26" s="51" t="s">
        <v>113</v>
      </c>
      <c r="AK26" s="51" t="s">
        <v>113</v>
      </c>
      <c r="AL26" s="51" t="s">
        <v>113</v>
      </c>
      <c r="AM26" s="51" t="s">
        <v>113</v>
      </c>
      <c r="AN26" s="51" t="s">
        <v>113</v>
      </c>
      <c r="AO26" s="51" t="s">
        <v>113</v>
      </c>
      <c r="AP26" s="51" t="s">
        <v>113</v>
      </c>
      <c r="AQ26" s="51" t="s">
        <v>113</v>
      </c>
      <c r="AR26" s="51" t="s">
        <v>113</v>
      </c>
      <c r="AS26" s="51" t="s">
        <v>113</v>
      </c>
      <c r="AT26" s="51" t="s">
        <v>113</v>
      </c>
      <c r="AU26" s="51" t="s">
        <v>113</v>
      </c>
      <c r="AV26" s="51" t="s">
        <v>113</v>
      </c>
      <c r="AW26" s="51" t="s">
        <v>113</v>
      </c>
      <c r="AX26" s="51" t="s">
        <v>113</v>
      </c>
      <c r="AY26" s="51">
        <v>32</v>
      </c>
      <c r="AZ26" s="51" t="s">
        <v>113</v>
      </c>
      <c r="BA26" s="51">
        <v>91</v>
      </c>
      <c r="BB26" s="51" t="s">
        <v>113</v>
      </c>
      <c r="BC26" s="51" t="s">
        <v>113</v>
      </c>
      <c r="BD26" s="51" t="s">
        <v>113</v>
      </c>
      <c r="BE26" s="51">
        <v>0</v>
      </c>
      <c r="BF26" s="51" t="s">
        <v>113</v>
      </c>
      <c r="BG26" s="51" t="s">
        <v>113</v>
      </c>
      <c r="BH26" s="51" t="s">
        <v>113</v>
      </c>
      <c r="BI26" s="51" t="s">
        <v>113</v>
      </c>
      <c r="BJ26" s="51" t="s">
        <v>113</v>
      </c>
      <c r="BK26" s="51" t="s">
        <v>113</v>
      </c>
      <c r="BL26" s="51" t="s">
        <v>113</v>
      </c>
      <c r="BM26" s="51" t="s">
        <v>113</v>
      </c>
    </row>
    <row r="27" spans="1:65" ht="15" customHeight="1" x14ac:dyDescent="0.2">
      <c r="A27" s="51" t="s">
        <v>121</v>
      </c>
      <c r="B27" s="51" t="s">
        <v>113</v>
      </c>
      <c r="C27" s="51">
        <v>46</v>
      </c>
      <c r="D27" s="51" t="s">
        <v>113</v>
      </c>
      <c r="E27" s="51" t="s">
        <v>113</v>
      </c>
      <c r="F27" s="51" t="s">
        <v>113</v>
      </c>
      <c r="G27" s="51">
        <v>52</v>
      </c>
      <c r="H27" s="51" t="s">
        <v>113</v>
      </c>
      <c r="I27" s="51">
        <v>0</v>
      </c>
      <c r="J27" s="51" t="s">
        <v>113</v>
      </c>
      <c r="K27" s="51" t="s">
        <v>113</v>
      </c>
      <c r="L27" s="51" t="s">
        <v>113</v>
      </c>
      <c r="M27" s="51" t="s">
        <v>113</v>
      </c>
      <c r="N27" s="51" t="s">
        <v>113</v>
      </c>
      <c r="O27" s="51" t="s">
        <v>113</v>
      </c>
      <c r="P27" s="51" t="s">
        <v>113</v>
      </c>
      <c r="Q27" s="51" t="s">
        <v>113</v>
      </c>
      <c r="R27" s="51" t="s">
        <v>113</v>
      </c>
      <c r="S27" s="51" t="s">
        <v>113</v>
      </c>
      <c r="T27" s="51" t="s">
        <v>113</v>
      </c>
      <c r="U27" s="51">
        <v>87</v>
      </c>
      <c r="V27" s="51" t="s">
        <v>113</v>
      </c>
      <c r="W27" s="51">
        <v>9</v>
      </c>
      <c r="X27" s="51" t="s">
        <v>113</v>
      </c>
      <c r="Y27" s="51">
        <v>0</v>
      </c>
      <c r="Z27" s="51" t="s">
        <v>113</v>
      </c>
      <c r="AA27" s="51" t="s">
        <v>113</v>
      </c>
      <c r="AB27" s="51" t="s">
        <v>113</v>
      </c>
      <c r="AC27" s="51" t="s">
        <v>113</v>
      </c>
      <c r="AD27" s="51" t="s">
        <v>113</v>
      </c>
      <c r="AE27" s="51" t="s">
        <v>113</v>
      </c>
      <c r="AF27" s="51" t="s">
        <v>113</v>
      </c>
      <c r="AG27" s="51" t="s">
        <v>113</v>
      </c>
      <c r="AH27" s="51" t="s">
        <v>113</v>
      </c>
      <c r="AI27" s="51" t="s">
        <v>113</v>
      </c>
      <c r="AJ27" s="51" t="s">
        <v>113</v>
      </c>
      <c r="AK27" s="51" t="s">
        <v>113</v>
      </c>
      <c r="AL27" s="51" t="s">
        <v>113</v>
      </c>
      <c r="AM27" s="51" t="s">
        <v>113</v>
      </c>
      <c r="AN27" s="51" t="s">
        <v>113</v>
      </c>
      <c r="AO27" s="51" t="s">
        <v>113</v>
      </c>
      <c r="AP27" s="51" t="s">
        <v>113</v>
      </c>
      <c r="AQ27" s="51" t="s">
        <v>113</v>
      </c>
      <c r="AR27" s="51" t="s">
        <v>113</v>
      </c>
      <c r="AS27" s="51" t="s">
        <v>113</v>
      </c>
      <c r="AT27" s="51" t="s">
        <v>113</v>
      </c>
      <c r="AU27" s="51" t="s">
        <v>113</v>
      </c>
      <c r="AV27" s="51" t="s">
        <v>113</v>
      </c>
      <c r="AW27" s="51" t="s">
        <v>113</v>
      </c>
      <c r="AX27" s="51" t="s">
        <v>113</v>
      </c>
      <c r="AY27" s="51">
        <v>26</v>
      </c>
      <c r="AZ27" s="51" t="s">
        <v>113</v>
      </c>
      <c r="BA27" s="51">
        <v>131</v>
      </c>
      <c r="BB27" s="51" t="s">
        <v>113</v>
      </c>
      <c r="BC27" s="51" t="s">
        <v>113</v>
      </c>
      <c r="BD27" s="51" t="s">
        <v>113</v>
      </c>
      <c r="BE27" s="51">
        <v>0</v>
      </c>
      <c r="BF27" s="51" t="s">
        <v>113</v>
      </c>
      <c r="BG27" s="51" t="s">
        <v>113</v>
      </c>
      <c r="BH27" s="51" t="s">
        <v>113</v>
      </c>
      <c r="BI27" s="51" t="s">
        <v>113</v>
      </c>
      <c r="BJ27" s="51" t="s">
        <v>113</v>
      </c>
      <c r="BK27" s="51" t="s">
        <v>113</v>
      </c>
      <c r="BL27" s="51" t="s">
        <v>113</v>
      </c>
      <c r="BM27" s="51" t="s">
        <v>113</v>
      </c>
    </row>
    <row r="28" spans="1:65" ht="15" customHeight="1" x14ac:dyDescent="0.2">
      <c r="A28" s="51" t="s">
        <v>120</v>
      </c>
      <c r="B28" s="51" t="s">
        <v>113</v>
      </c>
      <c r="C28" s="51">
        <v>36</v>
      </c>
      <c r="D28" s="51" t="s">
        <v>113</v>
      </c>
      <c r="E28" s="51" t="s">
        <v>113</v>
      </c>
      <c r="F28" s="51" t="s">
        <v>113</v>
      </c>
      <c r="G28" s="51">
        <v>23</v>
      </c>
      <c r="H28" s="51" t="s">
        <v>113</v>
      </c>
      <c r="I28" s="51">
        <v>0</v>
      </c>
      <c r="J28" s="51" t="s">
        <v>113</v>
      </c>
      <c r="K28" s="51" t="s">
        <v>113</v>
      </c>
      <c r="L28" s="51" t="s">
        <v>113</v>
      </c>
      <c r="M28" s="51" t="s">
        <v>113</v>
      </c>
      <c r="N28" s="51" t="s">
        <v>113</v>
      </c>
      <c r="O28" s="51" t="s">
        <v>113</v>
      </c>
      <c r="P28" s="51" t="s">
        <v>113</v>
      </c>
      <c r="Q28" s="51" t="s">
        <v>113</v>
      </c>
      <c r="R28" s="51" t="s">
        <v>113</v>
      </c>
      <c r="S28" s="51" t="s">
        <v>113</v>
      </c>
      <c r="T28" s="51" t="s">
        <v>113</v>
      </c>
      <c r="U28" s="51">
        <v>87</v>
      </c>
      <c r="V28" s="51" t="s">
        <v>113</v>
      </c>
      <c r="W28" s="51">
        <v>13</v>
      </c>
      <c r="X28" s="51" t="s">
        <v>113</v>
      </c>
      <c r="Y28" s="51">
        <v>0</v>
      </c>
      <c r="Z28" s="51" t="s">
        <v>113</v>
      </c>
      <c r="AA28" s="51" t="s">
        <v>113</v>
      </c>
      <c r="AB28" s="51" t="s">
        <v>113</v>
      </c>
      <c r="AC28" s="51" t="s">
        <v>113</v>
      </c>
      <c r="AD28" s="51" t="s">
        <v>113</v>
      </c>
      <c r="AE28" s="51" t="s">
        <v>113</v>
      </c>
      <c r="AF28" s="51" t="s">
        <v>113</v>
      </c>
      <c r="AG28" s="51" t="s">
        <v>113</v>
      </c>
      <c r="AH28" s="51" t="s">
        <v>113</v>
      </c>
      <c r="AI28" s="51" t="s">
        <v>113</v>
      </c>
      <c r="AJ28" s="51" t="s">
        <v>113</v>
      </c>
      <c r="AK28" s="51" t="s">
        <v>113</v>
      </c>
      <c r="AL28" s="51" t="s">
        <v>113</v>
      </c>
      <c r="AM28" s="51" t="s">
        <v>113</v>
      </c>
      <c r="AN28" s="51" t="s">
        <v>113</v>
      </c>
      <c r="AO28" s="51" t="s">
        <v>113</v>
      </c>
      <c r="AP28" s="51" t="s">
        <v>113</v>
      </c>
      <c r="AQ28" s="51" t="s">
        <v>113</v>
      </c>
      <c r="AR28" s="51" t="s">
        <v>113</v>
      </c>
      <c r="AS28" s="51" t="s">
        <v>113</v>
      </c>
      <c r="AT28" s="51" t="s">
        <v>113</v>
      </c>
      <c r="AU28" s="51" t="s">
        <v>113</v>
      </c>
      <c r="AV28" s="51" t="s">
        <v>113</v>
      </c>
      <c r="AW28" s="51" t="s">
        <v>113</v>
      </c>
      <c r="AX28" s="51" t="s">
        <v>113</v>
      </c>
      <c r="AY28" s="51">
        <v>20</v>
      </c>
      <c r="AZ28" s="51" t="s">
        <v>113</v>
      </c>
      <c r="BA28" s="51">
        <v>149</v>
      </c>
      <c r="BB28" s="51" t="s">
        <v>113</v>
      </c>
      <c r="BC28" s="51" t="s">
        <v>113</v>
      </c>
      <c r="BD28" s="51" t="s">
        <v>113</v>
      </c>
      <c r="BE28" s="51">
        <v>0</v>
      </c>
      <c r="BF28" s="51" t="s">
        <v>113</v>
      </c>
      <c r="BG28" s="51" t="s">
        <v>113</v>
      </c>
      <c r="BH28" s="51" t="s">
        <v>113</v>
      </c>
      <c r="BI28" s="51" t="s">
        <v>113</v>
      </c>
      <c r="BJ28" s="51" t="s">
        <v>113</v>
      </c>
      <c r="BK28" s="51" t="s">
        <v>113</v>
      </c>
      <c r="BL28" s="51" t="s">
        <v>113</v>
      </c>
      <c r="BM28" s="51" t="s">
        <v>113</v>
      </c>
    </row>
    <row r="29" spans="1:65" ht="15" customHeight="1" x14ac:dyDescent="0.2">
      <c r="A29" s="51" t="s">
        <v>119</v>
      </c>
      <c r="B29" s="51" t="s">
        <v>113</v>
      </c>
      <c r="C29" s="51">
        <v>62</v>
      </c>
      <c r="D29" s="51" t="s">
        <v>113</v>
      </c>
      <c r="E29" s="51" t="s">
        <v>113</v>
      </c>
      <c r="F29" s="51" t="s">
        <v>113</v>
      </c>
      <c r="G29" s="51">
        <v>40</v>
      </c>
      <c r="H29" s="51" t="s">
        <v>113</v>
      </c>
      <c r="I29" s="51">
        <v>0</v>
      </c>
      <c r="J29" s="51" t="s">
        <v>113</v>
      </c>
      <c r="K29" s="51" t="s">
        <v>113</v>
      </c>
      <c r="L29" s="51" t="s">
        <v>113</v>
      </c>
      <c r="M29" s="51" t="s">
        <v>113</v>
      </c>
      <c r="N29" s="51" t="s">
        <v>113</v>
      </c>
      <c r="O29" s="51" t="s">
        <v>113</v>
      </c>
      <c r="P29" s="51" t="s">
        <v>113</v>
      </c>
      <c r="Q29" s="51" t="s">
        <v>113</v>
      </c>
      <c r="R29" s="51" t="s">
        <v>113</v>
      </c>
      <c r="S29" s="51" t="s">
        <v>113</v>
      </c>
      <c r="T29" s="51" t="s">
        <v>113</v>
      </c>
      <c r="U29" s="51">
        <v>130</v>
      </c>
      <c r="V29" s="51" t="s">
        <v>113</v>
      </c>
      <c r="W29" s="51">
        <v>12</v>
      </c>
      <c r="X29" s="51" t="s">
        <v>113</v>
      </c>
      <c r="Y29" s="51">
        <v>0</v>
      </c>
      <c r="Z29" s="51" t="s">
        <v>113</v>
      </c>
      <c r="AA29" s="51" t="s">
        <v>113</v>
      </c>
      <c r="AB29" s="51" t="s">
        <v>113</v>
      </c>
      <c r="AC29" s="51" t="s">
        <v>113</v>
      </c>
      <c r="AD29" s="51" t="s">
        <v>113</v>
      </c>
      <c r="AE29" s="51" t="s">
        <v>113</v>
      </c>
      <c r="AF29" s="51" t="s">
        <v>113</v>
      </c>
      <c r="AG29" s="51" t="s">
        <v>113</v>
      </c>
      <c r="AH29" s="51" t="s">
        <v>113</v>
      </c>
      <c r="AI29" s="51" t="s">
        <v>113</v>
      </c>
      <c r="AJ29" s="51" t="s">
        <v>113</v>
      </c>
      <c r="AK29" s="51" t="s">
        <v>113</v>
      </c>
      <c r="AL29" s="51" t="s">
        <v>113</v>
      </c>
      <c r="AM29" s="51" t="s">
        <v>113</v>
      </c>
      <c r="AN29" s="51" t="s">
        <v>113</v>
      </c>
      <c r="AO29" s="51" t="s">
        <v>113</v>
      </c>
      <c r="AP29" s="51" t="s">
        <v>113</v>
      </c>
      <c r="AQ29" s="51" t="s">
        <v>113</v>
      </c>
      <c r="AR29" s="51" t="s">
        <v>113</v>
      </c>
      <c r="AS29" s="51" t="s">
        <v>113</v>
      </c>
      <c r="AT29" s="51" t="s">
        <v>113</v>
      </c>
      <c r="AU29" s="51" t="s">
        <v>113</v>
      </c>
      <c r="AV29" s="51" t="s">
        <v>113</v>
      </c>
      <c r="AW29" s="51" t="s">
        <v>113</v>
      </c>
      <c r="AX29" s="51" t="s">
        <v>113</v>
      </c>
      <c r="AY29" s="51">
        <v>11</v>
      </c>
      <c r="AZ29" s="51" t="s">
        <v>113</v>
      </c>
      <c r="BA29" s="51">
        <v>168</v>
      </c>
      <c r="BB29" s="51" t="s">
        <v>113</v>
      </c>
      <c r="BC29" s="51" t="s">
        <v>113</v>
      </c>
      <c r="BD29" s="51" t="s">
        <v>113</v>
      </c>
      <c r="BE29" s="51">
        <v>0</v>
      </c>
      <c r="BF29" s="51" t="s">
        <v>113</v>
      </c>
      <c r="BG29" s="51" t="s">
        <v>113</v>
      </c>
      <c r="BH29" s="51" t="s">
        <v>113</v>
      </c>
      <c r="BI29" s="51" t="s">
        <v>113</v>
      </c>
      <c r="BJ29" s="51" t="s">
        <v>113</v>
      </c>
      <c r="BK29" s="51" t="s">
        <v>113</v>
      </c>
      <c r="BL29" s="51" t="s">
        <v>113</v>
      </c>
      <c r="BM29" s="51" t="s">
        <v>113</v>
      </c>
    </row>
    <row r="30" spans="1:65" ht="15" customHeight="1" x14ac:dyDescent="0.2">
      <c r="A30" s="51" t="s">
        <v>118</v>
      </c>
      <c r="B30" s="51" t="s">
        <v>113</v>
      </c>
      <c r="C30" s="51">
        <v>51</v>
      </c>
      <c r="D30" s="51" t="s">
        <v>113</v>
      </c>
      <c r="E30" s="51" t="s">
        <v>113</v>
      </c>
      <c r="F30" s="51" t="s">
        <v>113</v>
      </c>
      <c r="G30" s="51">
        <v>27</v>
      </c>
      <c r="H30" s="51" t="s">
        <v>113</v>
      </c>
      <c r="I30" s="51">
        <v>0</v>
      </c>
      <c r="J30" s="51" t="s">
        <v>113</v>
      </c>
      <c r="K30" s="51" t="s">
        <v>113</v>
      </c>
      <c r="L30" s="51" t="s">
        <v>113</v>
      </c>
      <c r="M30" s="51" t="s">
        <v>113</v>
      </c>
      <c r="N30" s="51" t="s">
        <v>113</v>
      </c>
      <c r="O30" s="51" t="s">
        <v>113</v>
      </c>
      <c r="P30" s="51" t="s">
        <v>113</v>
      </c>
      <c r="Q30" s="51" t="s">
        <v>113</v>
      </c>
      <c r="R30" s="51" t="s">
        <v>113</v>
      </c>
      <c r="S30" s="51" t="s">
        <v>113</v>
      </c>
      <c r="T30" s="51" t="s">
        <v>113</v>
      </c>
      <c r="U30" s="51">
        <v>106</v>
      </c>
      <c r="V30" s="51" t="s">
        <v>113</v>
      </c>
      <c r="W30" s="51">
        <v>10</v>
      </c>
      <c r="X30" s="51" t="s">
        <v>113</v>
      </c>
      <c r="Y30" s="51">
        <v>0</v>
      </c>
      <c r="Z30" s="51" t="s">
        <v>113</v>
      </c>
      <c r="AA30" s="51" t="s">
        <v>113</v>
      </c>
      <c r="AB30" s="51" t="s">
        <v>113</v>
      </c>
      <c r="AC30" s="51" t="s">
        <v>113</v>
      </c>
      <c r="AD30" s="51" t="s">
        <v>113</v>
      </c>
      <c r="AE30" s="51" t="s">
        <v>113</v>
      </c>
      <c r="AF30" s="51" t="s">
        <v>113</v>
      </c>
      <c r="AG30" s="51" t="s">
        <v>113</v>
      </c>
      <c r="AH30" s="51" t="s">
        <v>113</v>
      </c>
      <c r="AI30" s="51" t="s">
        <v>113</v>
      </c>
      <c r="AJ30" s="51" t="s">
        <v>113</v>
      </c>
      <c r="AK30" s="51" t="s">
        <v>113</v>
      </c>
      <c r="AL30" s="51" t="s">
        <v>113</v>
      </c>
      <c r="AM30" s="51" t="s">
        <v>113</v>
      </c>
      <c r="AN30" s="51" t="s">
        <v>113</v>
      </c>
      <c r="AO30" s="51" t="s">
        <v>113</v>
      </c>
      <c r="AP30" s="51" t="s">
        <v>113</v>
      </c>
      <c r="AQ30" s="51" t="s">
        <v>113</v>
      </c>
      <c r="AR30" s="51" t="s">
        <v>113</v>
      </c>
      <c r="AS30" s="51" t="s">
        <v>113</v>
      </c>
      <c r="AT30" s="51" t="s">
        <v>113</v>
      </c>
      <c r="AU30" s="51" t="s">
        <v>113</v>
      </c>
      <c r="AV30" s="51" t="s">
        <v>113</v>
      </c>
      <c r="AW30" s="51" t="s">
        <v>113</v>
      </c>
      <c r="AX30" s="51" t="s">
        <v>113</v>
      </c>
      <c r="AY30" s="51">
        <v>15</v>
      </c>
      <c r="AZ30" s="51" t="s">
        <v>113</v>
      </c>
      <c r="BA30" s="51">
        <v>199</v>
      </c>
      <c r="BB30" s="51" t="s">
        <v>113</v>
      </c>
      <c r="BC30" s="51" t="s">
        <v>113</v>
      </c>
      <c r="BD30" s="51" t="s">
        <v>113</v>
      </c>
      <c r="BE30" s="51">
        <v>0</v>
      </c>
      <c r="BF30" s="51" t="s">
        <v>113</v>
      </c>
      <c r="BG30" s="51" t="s">
        <v>113</v>
      </c>
      <c r="BH30" s="51" t="s">
        <v>113</v>
      </c>
      <c r="BI30" s="51" t="s">
        <v>113</v>
      </c>
      <c r="BJ30" s="51" t="s">
        <v>113</v>
      </c>
      <c r="BK30" s="51" t="s">
        <v>113</v>
      </c>
      <c r="BL30" s="51" t="s">
        <v>113</v>
      </c>
      <c r="BM30" s="51" t="s">
        <v>113</v>
      </c>
    </row>
    <row r="31" spans="1:65" ht="15" customHeight="1" x14ac:dyDescent="0.2">
      <c r="A31" s="51" t="s">
        <v>117</v>
      </c>
      <c r="B31" s="51" t="s">
        <v>113</v>
      </c>
      <c r="C31" s="51">
        <v>82</v>
      </c>
      <c r="D31" s="51" t="s">
        <v>113</v>
      </c>
      <c r="E31" s="51" t="s">
        <v>113</v>
      </c>
      <c r="F31" s="51" t="s">
        <v>113</v>
      </c>
      <c r="G31" s="51">
        <v>51</v>
      </c>
      <c r="H31" s="51" t="s">
        <v>113</v>
      </c>
      <c r="I31" s="51">
        <v>0</v>
      </c>
      <c r="J31" s="51" t="s">
        <v>113</v>
      </c>
      <c r="K31" s="51" t="s">
        <v>113</v>
      </c>
      <c r="L31" s="51" t="s">
        <v>113</v>
      </c>
      <c r="M31" s="51" t="s">
        <v>113</v>
      </c>
      <c r="N31" s="51" t="s">
        <v>113</v>
      </c>
      <c r="O31" s="51" t="s">
        <v>113</v>
      </c>
      <c r="P31" s="51" t="s">
        <v>113</v>
      </c>
      <c r="Q31" s="51" t="s">
        <v>113</v>
      </c>
      <c r="R31" s="51" t="s">
        <v>113</v>
      </c>
      <c r="S31" s="51" t="s">
        <v>113</v>
      </c>
      <c r="T31" s="51" t="s">
        <v>113</v>
      </c>
      <c r="U31" s="51">
        <v>100</v>
      </c>
      <c r="V31" s="51" t="s">
        <v>113</v>
      </c>
      <c r="W31" s="51">
        <v>7</v>
      </c>
      <c r="X31" s="51" t="s">
        <v>113</v>
      </c>
      <c r="Y31" s="51">
        <v>0</v>
      </c>
      <c r="Z31" s="51" t="s">
        <v>113</v>
      </c>
      <c r="AA31" s="51" t="s">
        <v>113</v>
      </c>
      <c r="AB31" s="51" t="s">
        <v>113</v>
      </c>
      <c r="AC31" s="51" t="s">
        <v>113</v>
      </c>
      <c r="AD31" s="51" t="s">
        <v>113</v>
      </c>
      <c r="AE31" s="51" t="s">
        <v>113</v>
      </c>
      <c r="AF31" s="51" t="s">
        <v>113</v>
      </c>
      <c r="AG31" s="51" t="s">
        <v>113</v>
      </c>
      <c r="AH31" s="51" t="s">
        <v>113</v>
      </c>
      <c r="AI31" s="51" t="s">
        <v>113</v>
      </c>
      <c r="AJ31" s="51" t="s">
        <v>113</v>
      </c>
      <c r="AK31" s="51" t="s">
        <v>113</v>
      </c>
      <c r="AL31" s="51" t="s">
        <v>113</v>
      </c>
      <c r="AM31" s="51" t="s">
        <v>113</v>
      </c>
      <c r="AN31" s="51" t="s">
        <v>113</v>
      </c>
      <c r="AO31" s="51" t="s">
        <v>113</v>
      </c>
      <c r="AP31" s="51" t="s">
        <v>113</v>
      </c>
      <c r="AQ31" s="51" t="s">
        <v>113</v>
      </c>
      <c r="AR31" s="51" t="s">
        <v>113</v>
      </c>
      <c r="AS31" s="51" t="s">
        <v>113</v>
      </c>
      <c r="AT31" s="51" t="s">
        <v>113</v>
      </c>
      <c r="AU31" s="51" t="s">
        <v>113</v>
      </c>
      <c r="AV31" s="51" t="s">
        <v>113</v>
      </c>
      <c r="AW31" s="51" t="s">
        <v>113</v>
      </c>
      <c r="AX31" s="51" t="s">
        <v>113</v>
      </c>
      <c r="AY31" s="51">
        <v>3</v>
      </c>
      <c r="AZ31" s="51" t="s">
        <v>113</v>
      </c>
      <c r="BA31" s="51">
        <v>166</v>
      </c>
      <c r="BB31" s="51" t="s">
        <v>113</v>
      </c>
      <c r="BC31" s="51" t="s">
        <v>113</v>
      </c>
      <c r="BD31" s="51" t="s">
        <v>113</v>
      </c>
      <c r="BE31" s="51">
        <v>0</v>
      </c>
      <c r="BF31" s="51" t="s">
        <v>113</v>
      </c>
      <c r="BG31" s="51" t="s">
        <v>113</v>
      </c>
      <c r="BH31" s="51" t="s">
        <v>113</v>
      </c>
      <c r="BI31" s="51" t="s">
        <v>113</v>
      </c>
      <c r="BJ31" s="51" t="s">
        <v>113</v>
      </c>
      <c r="BK31" s="51" t="s">
        <v>113</v>
      </c>
      <c r="BL31" s="51" t="s">
        <v>113</v>
      </c>
      <c r="BM31" s="51" t="s">
        <v>113</v>
      </c>
    </row>
    <row r="32" spans="1:65" ht="15" customHeight="1" x14ac:dyDescent="0.2">
      <c r="A32" s="51" t="s">
        <v>116</v>
      </c>
      <c r="B32" s="51" t="s">
        <v>113</v>
      </c>
      <c r="C32" s="51">
        <v>31</v>
      </c>
      <c r="D32" s="51" t="s">
        <v>113</v>
      </c>
      <c r="E32" s="51" t="s">
        <v>113</v>
      </c>
      <c r="F32" s="51" t="s">
        <v>113</v>
      </c>
      <c r="G32" s="51">
        <v>28</v>
      </c>
      <c r="H32" s="51" t="s">
        <v>113</v>
      </c>
      <c r="I32" s="51">
        <v>0</v>
      </c>
      <c r="J32" s="51" t="s">
        <v>113</v>
      </c>
      <c r="K32" s="51" t="s">
        <v>113</v>
      </c>
      <c r="L32" s="51" t="s">
        <v>113</v>
      </c>
      <c r="M32" s="51" t="s">
        <v>113</v>
      </c>
      <c r="N32" s="51" t="s">
        <v>113</v>
      </c>
      <c r="O32" s="51" t="s">
        <v>113</v>
      </c>
      <c r="P32" s="51" t="s">
        <v>113</v>
      </c>
      <c r="Q32" s="51" t="s">
        <v>113</v>
      </c>
      <c r="R32" s="51" t="s">
        <v>113</v>
      </c>
      <c r="S32" s="51" t="s">
        <v>113</v>
      </c>
      <c r="T32" s="51" t="s">
        <v>113</v>
      </c>
      <c r="U32" s="51">
        <v>73</v>
      </c>
      <c r="V32" s="51" t="s">
        <v>113</v>
      </c>
      <c r="W32" s="51">
        <v>8</v>
      </c>
      <c r="X32" s="51" t="s">
        <v>113</v>
      </c>
      <c r="Y32" s="51">
        <v>0</v>
      </c>
      <c r="Z32" s="51" t="s">
        <v>113</v>
      </c>
      <c r="AA32" s="51" t="s">
        <v>113</v>
      </c>
      <c r="AB32" s="51" t="s">
        <v>113</v>
      </c>
      <c r="AC32" s="51" t="s">
        <v>113</v>
      </c>
      <c r="AD32" s="51" t="s">
        <v>113</v>
      </c>
      <c r="AE32" s="51" t="s">
        <v>113</v>
      </c>
      <c r="AF32" s="51" t="s">
        <v>113</v>
      </c>
      <c r="AG32" s="51" t="s">
        <v>113</v>
      </c>
      <c r="AH32" s="51" t="s">
        <v>113</v>
      </c>
      <c r="AI32" s="51" t="s">
        <v>113</v>
      </c>
      <c r="AJ32" s="51" t="s">
        <v>113</v>
      </c>
      <c r="AK32" s="51" t="s">
        <v>113</v>
      </c>
      <c r="AL32" s="51" t="s">
        <v>113</v>
      </c>
      <c r="AM32" s="51" t="s">
        <v>113</v>
      </c>
      <c r="AN32" s="51" t="s">
        <v>113</v>
      </c>
      <c r="AO32" s="51" t="s">
        <v>113</v>
      </c>
      <c r="AP32" s="51" t="s">
        <v>113</v>
      </c>
      <c r="AQ32" s="51" t="s">
        <v>113</v>
      </c>
      <c r="AR32" s="51" t="s">
        <v>113</v>
      </c>
      <c r="AS32" s="51" t="s">
        <v>113</v>
      </c>
      <c r="AT32" s="51" t="s">
        <v>113</v>
      </c>
      <c r="AU32" s="51" t="s">
        <v>113</v>
      </c>
      <c r="AV32" s="51" t="s">
        <v>113</v>
      </c>
      <c r="AW32" s="51" t="s">
        <v>113</v>
      </c>
      <c r="AX32" s="51" t="s">
        <v>113</v>
      </c>
      <c r="AY32" s="51">
        <v>8</v>
      </c>
      <c r="AZ32" s="51" t="s">
        <v>113</v>
      </c>
      <c r="BA32" s="51">
        <v>188</v>
      </c>
      <c r="BB32" s="51" t="s">
        <v>113</v>
      </c>
      <c r="BC32" s="51" t="s">
        <v>113</v>
      </c>
      <c r="BD32" s="51" t="s">
        <v>113</v>
      </c>
      <c r="BE32" s="51">
        <v>0</v>
      </c>
      <c r="BF32" s="51" t="s">
        <v>113</v>
      </c>
      <c r="BG32" s="51" t="s">
        <v>113</v>
      </c>
      <c r="BH32" s="51" t="s">
        <v>113</v>
      </c>
      <c r="BI32" s="51" t="s">
        <v>113</v>
      </c>
      <c r="BJ32" s="51" t="s">
        <v>113</v>
      </c>
      <c r="BK32" s="51" t="s">
        <v>113</v>
      </c>
      <c r="BL32" s="51" t="s">
        <v>113</v>
      </c>
      <c r="BM32" s="51" t="s">
        <v>113</v>
      </c>
    </row>
    <row r="33" spans="1:65" ht="15" customHeight="1" x14ac:dyDescent="0.2">
      <c r="A33" s="51" t="s">
        <v>115</v>
      </c>
      <c r="B33" s="51" t="s">
        <v>113</v>
      </c>
      <c r="C33" s="51">
        <v>25</v>
      </c>
      <c r="D33" s="51" t="s">
        <v>113</v>
      </c>
      <c r="E33" s="51" t="s">
        <v>113</v>
      </c>
      <c r="F33" s="51" t="s">
        <v>113</v>
      </c>
      <c r="G33" s="51">
        <v>24</v>
      </c>
      <c r="H33" s="51" t="s">
        <v>113</v>
      </c>
      <c r="I33" s="51">
        <v>0</v>
      </c>
      <c r="J33" s="51" t="s">
        <v>113</v>
      </c>
      <c r="K33" s="51" t="s">
        <v>113</v>
      </c>
      <c r="L33" s="51" t="s">
        <v>113</v>
      </c>
      <c r="M33" s="51" t="s">
        <v>113</v>
      </c>
      <c r="N33" s="51" t="s">
        <v>113</v>
      </c>
      <c r="O33" s="51" t="s">
        <v>113</v>
      </c>
      <c r="P33" s="51" t="s">
        <v>113</v>
      </c>
      <c r="Q33" s="51" t="s">
        <v>113</v>
      </c>
      <c r="R33" s="51" t="s">
        <v>113</v>
      </c>
      <c r="S33" s="51" t="s">
        <v>113</v>
      </c>
      <c r="T33" s="51" t="s">
        <v>113</v>
      </c>
      <c r="U33" s="51">
        <v>88</v>
      </c>
      <c r="V33" s="51" t="s">
        <v>113</v>
      </c>
      <c r="W33" s="51">
        <v>9</v>
      </c>
      <c r="X33" s="51" t="s">
        <v>113</v>
      </c>
      <c r="Y33" s="51">
        <v>0</v>
      </c>
      <c r="Z33" s="51" t="s">
        <v>113</v>
      </c>
      <c r="AA33" s="51" t="s">
        <v>113</v>
      </c>
      <c r="AB33" s="51" t="s">
        <v>113</v>
      </c>
      <c r="AC33" s="51" t="s">
        <v>113</v>
      </c>
      <c r="AD33" s="51" t="s">
        <v>113</v>
      </c>
      <c r="AE33" s="51" t="s">
        <v>113</v>
      </c>
      <c r="AF33" s="51" t="s">
        <v>113</v>
      </c>
      <c r="AG33" s="51" t="s">
        <v>113</v>
      </c>
      <c r="AH33" s="51" t="s">
        <v>113</v>
      </c>
      <c r="AI33" s="51" t="s">
        <v>113</v>
      </c>
      <c r="AJ33" s="51" t="s">
        <v>113</v>
      </c>
      <c r="AK33" s="51" t="s">
        <v>113</v>
      </c>
      <c r="AL33" s="51" t="s">
        <v>113</v>
      </c>
      <c r="AM33" s="51" t="s">
        <v>113</v>
      </c>
      <c r="AN33" s="51" t="s">
        <v>113</v>
      </c>
      <c r="AO33" s="51" t="s">
        <v>113</v>
      </c>
      <c r="AP33" s="51" t="s">
        <v>113</v>
      </c>
      <c r="AQ33" s="51" t="s">
        <v>113</v>
      </c>
      <c r="AR33" s="51" t="s">
        <v>113</v>
      </c>
      <c r="AS33" s="51" t="s">
        <v>113</v>
      </c>
      <c r="AT33" s="51" t="s">
        <v>113</v>
      </c>
      <c r="AU33" s="51" t="s">
        <v>113</v>
      </c>
      <c r="AV33" s="51" t="s">
        <v>113</v>
      </c>
      <c r="AW33" s="51" t="s">
        <v>113</v>
      </c>
      <c r="AX33" s="51" t="s">
        <v>113</v>
      </c>
      <c r="AY33" s="51">
        <v>8</v>
      </c>
      <c r="AZ33" s="51" t="s">
        <v>113</v>
      </c>
      <c r="BA33" s="51">
        <v>156</v>
      </c>
      <c r="BB33" s="51" t="s">
        <v>113</v>
      </c>
      <c r="BC33" s="51" t="s">
        <v>113</v>
      </c>
      <c r="BD33" s="51" t="s">
        <v>113</v>
      </c>
      <c r="BE33" s="51">
        <v>0</v>
      </c>
      <c r="BF33" s="51" t="s">
        <v>113</v>
      </c>
      <c r="BG33" s="51" t="s">
        <v>113</v>
      </c>
      <c r="BH33" s="51" t="s">
        <v>113</v>
      </c>
      <c r="BI33" s="51" t="s">
        <v>113</v>
      </c>
      <c r="BJ33" s="51" t="s">
        <v>113</v>
      </c>
      <c r="BK33" s="51" t="s">
        <v>113</v>
      </c>
      <c r="BL33" s="51" t="s">
        <v>113</v>
      </c>
      <c r="BM33" s="51" t="s">
        <v>113</v>
      </c>
    </row>
    <row r="34" spans="1:65" ht="15" customHeight="1" x14ac:dyDescent="0.2">
      <c r="A34" s="51" t="s">
        <v>114</v>
      </c>
      <c r="B34" s="51" t="s">
        <v>113</v>
      </c>
      <c r="C34" s="51">
        <v>30</v>
      </c>
      <c r="D34" s="51" t="s">
        <v>113</v>
      </c>
      <c r="E34" s="51" t="s">
        <v>113</v>
      </c>
      <c r="F34" s="51" t="s">
        <v>113</v>
      </c>
      <c r="G34" s="51">
        <v>11</v>
      </c>
      <c r="H34" s="51" t="s">
        <v>113</v>
      </c>
      <c r="I34" s="51">
        <v>0</v>
      </c>
      <c r="J34" s="51" t="s">
        <v>113</v>
      </c>
      <c r="K34" s="51" t="s">
        <v>113</v>
      </c>
      <c r="L34" s="51" t="s">
        <v>113</v>
      </c>
      <c r="M34" s="51" t="s">
        <v>113</v>
      </c>
      <c r="N34" s="51" t="s">
        <v>113</v>
      </c>
      <c r="O34" s="51" t="s">
        <v>113</v>
      </c>
      <c r="P34" s="51" t="s">
        <v>113</v>
      </c>
      <c r="Q34" s="51" t="s">
        <v>113</v>
      </c>
      <c r="R34" s="51" t="s">
        <v>113</v>
      </c>
      <c r="S34" s="51" t="s">
        <v>113</v>
      </c>
      <c r="T34" s="51" t="s">
        <v>113</v>
      </c>
      <c r="U34" s="51">
        <v>70</v>
      </c>
      <c r="V34" s="51" t="s">
        <v>113</v>
      </c>
      <c r="W34" s="51">
        <v>4</v>
      </c>
      <c r="X34" s="51" t="s">
        <v>113</v>
      </c>
      <c r="Y34" s="51">
        <v>0</v>
      </c>
      <c r="Z34" s="51" t="s">
        <v>113</v>
      </c>
      <c r="AA34" s="51" t="s">
        <v>113</v>
      </c>
      <c r="AB34" s="51" t="s">
        <v>113</v>
      </c>
      <c r="AC34" s="51" t="s">
        <v>113</v>
      </c>
      <c r="AD34" s="51" t="s">
        <v>113</v>
      </c>
      <c r="AE34" s="51" t="s">
        <v>113</v>
      </c>
      <c r="AF34" s="51" t="s">
        <v>113</v>
      </c>
      <c r="AG34" s="51" t="s">
        <v>113</v>
      </c>
      <c r="AH34" s="51" t="s">
        <v>113</v>
      </c>
      <c r="AI34" s="51" t="s">
        <v>113</v>
      </c>
      <c r="AJ34" s="51" t="s">
        <v>113</v>
      </c>
      <c r="AK34" s="51" t="s">
        <v>113</v>
      </c>
      <c r="AL34" s="51" t="s">
        <v>113</v>
      </c>
      <c r="AM34" s="51" t="s">
        <v>113</v>
      </c>
      <c r="AN34" s="51" t="s">
        <v>113</v>
      </c>
      <c r="AO34" s="51" t="s">
        <v>113</v>
      </c>
      <c r="AP34" s="51" t="s">
        <v>113</v>
      </c>
      <c r="AQ34" s="51" t="s">
        <v>113</v>
      </c>
      <c r="AR34" s="51" t="s">
        <v>113</v>
      </c>
      <c r="AS34" s="51" t="s">
        <v>113</v>
      </c>
      <c r="AT34" s="51" t="s">
        <v>113</v>
      </c>
      <c r="AU34" s="51" t="s">
        <v>113</v>
      </c>
      <c r="AV34" s="51" t="s">
        <v>113</v>
      </c>
      <c r="AW34" s="51" t="s">
        <v>113</v>
      </c>
      <c r="AX34" s="51" t="s">
        <v>113</v>
      </c>
      <c r="AY34" s="51">
        <v>10</v>
      </c>
      <c r="AZ34" s="51" t="s">
        <v>113</v>
      </c>
      <c r="BA34" s="51">
        <v>156</v>
      </c>
      <c r="BB34" s="51" t="s">
        <v>113</v>
      </c>
      <c r="BC34" s="51" t="s">
        <v>113</v>
      </c>
      <c r="BD34" s="51" t="s">
        <v>113</v>
      </c>
      <c r="BE34" s="51">
        <v>0</v>
      </c>
      <c r="BF34" s="51" t="s">
        <v>113</v>
      </c>
      <c r="BG34" s="51" t="s">
        <v>113</v>
      </c>
      <c r="BH34" s="51" t="s">
        <v>113</v>
      </c>
      <c r="BI34" s="51" t="s">
        <v>113</v>
      </c>
      <c r="BJ34" s="51" t="s">
        <v>113</v>
      </c>
      <c r="BK34" s="51" t="s">
        <v>113</v>
      </c>
      <c r="BL34" s="51" t="s">
        <v>113</v>
      </c>
      <c r="BM34" s="51" t="s">
        <v>113</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2020-11-17T00:11:40Z</dcterms:modified>
</cp:coreProperties>
</file>