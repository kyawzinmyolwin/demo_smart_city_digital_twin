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6C53D0BF-A84A-42D6-A5CF-D8E573AD219A}"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173" i="6"/>
  <c r="Q117" i="6"/>
  <c r="Q109" i="6"/>
  <c r="Q53" i="6"/>
  <c r="Q243" i="6"/>
  <c r="Q227" i="6"/>
  <c r="Q219" i="6"/>
  <c r="Q203" i="6"/>
  <c r="Q187" i="6"/>
  <c r="Q163" i="6"/>
  <c r="Q155" i="6"/>
  <c r="Q139" i="6"/>
  <c r="Q107" i="6"/>
  <c r="Q75" i="6"/>
  <c r="Q282" i="6"/>
  <c r="Q250" i="6"/>
  <c r="Q202" i="6"/>
  <c r="Q162" i="6"/>
  <c r="Q106" i="6"/>
  <c r="Q50" i="6"/>
  <c r="Q280" i="6"/>
  <c r="Q268" i="6"/>
  <c r="Q216" i="6"/>
  <c r="Q177" i="6"/>
  <c r="Q140" i="6"/>
  <c r="Q76" i="6"/>
  <c r="Q41" i="6"/>
  <c r="Q276" i="6"/>
  <c r="Q110" i="6"/>
  <c r="Q71" i="6"/>
  <c r="Q300" i="6"/>
  <c r="Q137"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33" i="6"/>
  <c r="Q183" i="6"/>
  <c r="Q132" i="6"/>
  <c r="Q105" i="6"/>
  <c r="Q286" i="6"/>
  <c r="Q256" i="6"/>
  <c r="Q196" i="6"/>
  <c r="Q94" i="6"/>
  <c r="Q168" i="6"/>
  <c r="Q118" i="6"/>
  <c r="Q246" i="6"/>
  <c r="Q116" i="6"/>
  <c r="Q64" i="6"/>
  <c r="Q95" i="6"/>
  <c r="Q223" i="6"/>
  <c r="Q296" i="6"/>
  <c r="Q78"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50" i="4"/>
  <c r="I130" i="4"/>
  <c r="I210" i="4"/>
  <c r="I290" i="4"/>
  <c r="I350" i="4"/>
  <c r="I70" i="4"/>
  <c r="I150" i="4"/>
  <c r="I230" i="4"/>
  <c r="I310" i="4"/>
  <c r="I10" i="4"/>
  <c r="I90" i="4"/>
  <c r="I170" i="4"/>
  <c r="I250" i="4"/>
  <c r="I330" i="4"/>
  <c r="I30" i="4"/>
  <c r="I110" i="4"/>
  <c r="I190" i="4"/>
  <c r="I270" i="4"/>
  <c r="I47" i="4"/>
  <c r="I127" i="4"/>
  <c r="I207" i="4"/>
  <c r="I287" i="4"/>
  <c r="I67" i="4"/>
  <c r="I147" i="4"/>
  <c r="I227" i="4"/>
  <c r="I307" i="4"/>
  <c r="I7" i="4"/>
  <c r="I87" i="4"/>
  <c r="I167" i="4"/>
  <c r="I247" i="4"/>
  <c r="I27" i="4"/>
  <c r="I107" i="4"/>
  <c r="I187" i="4"/>
  <c r="I267" i="4"/>
  <c r="I327" i="4"/>
  <c r="I347" i="4"/>
  <c r="I60" i="4"/>
  <c r="I140" i="4"/>
  <c r="I220" i="4"/>
  <c r="I300" i="4"/>
  <c r="I80" i="4"/>
  <c r="I160" i="4"/>
  <c r="I240" i="4"/>
  <c r="I320" i="4"/>
  <c r="I20" i="4"/>
  <c r="I100" i="4"/>
  <c r="I180" i="4"/>
  <c r="I260" i="4"/>
  <c r="I40" i="4"/>
  <c r="I120" i="4"/>
  <c r="I200" i="4"/>
  <c r="I28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354" i="4"/>
  <c r="I74" i="4"/>
  <c r="I154" i="4"/>
  <c r="I234" i="4"/>
  <c r="I314" i="4"/>
  <c r="I14" i="4"/>
  <c r="I94" i="4"/>
  <c r="I174" i="4"/>
  <c r="I254" i="4"/>
  <c r="I334" i="4"/>
  <c r="I31" i="4"/>
  <c r="I111" i="4"/>
  <c r="I191" i="4"/>
  <c r="I271" i="4"/>
  <c r="I51" i="4"/>
  <c r="I131" i="4"/>
  <c r="I211" i="4"/>
  <c r="I291" i="4"/>
  <c r="I71" i="4"/>
  <c r="I151" i="4"/>
  <c r="I231" i="4"/>
  <c r="I311" i="4"/>
  <c r="I11" i="4"/>
  <c r="I91" i="4"/>
  <c r="I171" i="4"/>
  <c r="I251" i="4"/>
  <c r="I331" i="4"/>
  <c r="I351" i="4"/>
  <c r="I28" i="4"/>
  <c r="I108" i="4"/>
  <c r="I188" i="4"/>
  <c r="I268" i="4"/>
  <c r="I328" i="4"/>
  <c r="I48" i="4"/>
  <c r="I128" i="4"/>
  <c r="I208" i="4"/>
  <c r="I288" i="4"/>
  <c r="I68" i="4"/>
  <c r="I148" i="4"/>
  <c r="I228" i="4"/>
  <c r="I308" i="4"/>
  <c r="I8" i="4"/>
  <c r="I88" i="4"/>
  <c r="I168" i="4"/>
  <c r="I248" i="4"/>
  <c r="I348" i="4"/>
  <c r="I44" i="4"/>
  <c r="I124" i="4"/>
  <c r="I204" i="4"/>
  <c r="I284" i="4"/>
  <c r="I64" i="4"/>
  <c r="I144" i="4"/>
  <c r="I224" i="4"/>
  <c r="I304" i="4"/>
  <c r="I4" i="4"/>
  <c r="I84" i="4"/>
  <c r="I164" i="4"/>
  <c r="I244" i="4"/>
  <c r="I324" i="4"/>
  <c r="I24" i="4"/>
  <c r="I104" i="4"/>
  <c r="I184" i="4"/>
  <c r="I264" i="4"/>
  <c r="I344" i="4"/>
  <c r="I12" i="4"/>
  <c r="I92" i="4"/>
  <c r="I172" i="4"/>
  <c r="I252" i="4"/>
  <c r="I32" i="4"/>
  <c r="I112" i="4"/>
  <c r="I192" i="4"/>
  <c r="I272" i="4"/>
  <c r="I52" i="4"/>
  <c r="I132" i="4"/>
  <c r="I212" i="4"/>
  <c r="I292" i="4"/>
  <c r="I72" i="4"/>
  <c r="I152" i="4"/>
  <c r="I232" i="4"/>
  <c r="I312" i="4"/>
  <c r="I332" i="4"/>
  <c r="I352" i="4"/>
  <c r="I15" i="4"/>
  <c r="I95" i="4"/>
  <c r="I175" i="4"/>
  <c r="I255" i="4"/>
  <c r="I35" i="4"/>
  <c r="I115" i="4"/>
  <c r="I195" i="4"/>
  <c r="I275" i="4"/>
  <c r="I55" i="4"/>
  <c r="I135" i="4"/>
  <c r="I215" i="4"/>
  <c r="I295" i="4"/>
  <c r="I75" i="4"/>
  <c r="I155" i="4"/>
  <c r="I235" i="4"/>
  <c r="I315" i="4"/>
  <c r="I355" i="4"/>
  <c r="I33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81" i="4"/>
  <c r="I161" i="4"/>
  <c r="I241" i="4"/>
  <c r="I21" i="4"/>
  <c r="I101" i="4"/>
  <c r="I181" i="4"/>
  <c r="I261" i="4"/>
  <c r="I321" i="4"/>
  <c r="I341" i="4"/>
  <c r="I361" i="4"/>
  <c r="I57" i="4"/>
  <c r="I137" i="4"/>
  <c r="I217" i="4"/>
  <c r="I297" i="4"/>
  <c r="I77" i="4"/>
  <c r="I157" i="4"/>
  <c r="I237" i="4"/>
  <c r="I317" i="4"/>
  <c r="I17" i="4"/>
  <c r="I97" i="4"/>
  <c r="I177" i="4"/>
  <c r="I257" i="4"/>
  <c r="I37" i="4"/>
  <c r="I117" i="4"/>
  <c r="I197" i="4"/>
  <c r="I277" i="4"/>
  <c r="I337" i="4"/>
  <c r="I357" i="4"/>
  <c r="I76" i="4"/>
  <c r="I156" i="4"/>
  <c r="I236" i="4"/>
  <c r="I316" i="4"/>
  <c r="I16" i="4"/>
  <c r="I96" i="4"/>
  <c r="I176" i="4"/>
  <c r="I256" i="4"/>
  <c r="I336" i="4"/>
  <c r="I36" i="4"/>
  <c r="I116" i="4"/>
  <c r="I196" i="4"/>
  <c r="I276" i="4"/>
  <c r="I56" i="4"/>
  <c r="I136" i="4"/>
  <c r="I216" i="4"/>
  <c r="I296" i="4"/>
  <c r="I35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<sst xmlns="http://schemas.openxmlformats.org/spreadsheetml/2006/main" count="7047" uniqueCount="166">
  <si>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</si>
  <si>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</si>
  <si>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</si>
  <si>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</si>
  <si>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</si>
  <si>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</si>
  <si>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</si>
  <si>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</si>
  <si>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</si>
  <si>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</si>
  <si>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</si>
  <si>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</si>
  <si>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</si>
  <si>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</si>
  <si>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</si>
  <si>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</si>
  <si>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</si>
  <si>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</si>
  <si>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</si>
  <si>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</si>
  <si>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</si>
  <si>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</si>
  <si>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</si>
  <si>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</si>
  <si>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</si>
  <si>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</si>
  <si>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</si>
  <si>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</si>
  <si>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</si>
  <si>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</si>
  <si>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</si>
  <si>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</si>
  <si>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</si>
  <si>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</si>
  <si>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</si>
  <si>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</si>
  <si>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</si>
  <si>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</si>
  <si>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</si>
  <si>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</si>
  <si>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</si>
  <si>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</si>
  <si>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</si>
  <si>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</si>
  <si>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</si>
  <si>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</si>
  <si>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</si>
  <si>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</si>
  <si>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</si>
  <si>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</si>
  <si>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</si>
  <si>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</si>
  <si>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</si>
  <si>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</si>
  <si>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</si>
  <si>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</si>
  <si>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</si>
  <si>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</si>
  <si>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</si>
  <si>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</si>
  <si>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</si>
  <si>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</si>
  <si>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</si>
  <si>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</si>
  <si>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</si>
  <si>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</si>
  <si>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</si>
  <si>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</si>
  <si>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</si>
  <si>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</si>
  <si>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</si>
  <si>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</si>
  <si>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</si>
  <si>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</si>
  <si>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</si>
  <si>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</si>
  <si>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</si>
  <si>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</si>
  <si>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</si>
  <si>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</si>
  <si>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</si>
  <si>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</si>
  <si>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</si>
  <si>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</si>
  <si>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</si>
  <si>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</si>
  <si>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</si>
  <si>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</si>
  <si>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</si>
  <si>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</si>
  <si>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</si>
  <si>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</si>
  <si>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Dyers Road_Palinurus Road_Intersection</t>
  </si>
  <si>
    <t>Dyers Road North</t>
  </si>
  <si>
    <t>Dyers Road South</t>
  </si>
  <si>
    <t>Palinirus Road West</t>
  </si>
  <si>
    <t>Thru to Dyers Road South</t>
  </si>
  <si>
    <t>Right into Palinirus Road West</t>
  </si>
  <si>
    <t>Left into Palinirus Road West</t>
  </si>
  <si>
    <t>Thru to Dyers Road North</t>
  </si>
  <si>
    <t>Left into Dyers Road North</t>
  </si>
  <si>
    <t>Right into Dyers Road South</t>
  </si>
  <si>
    <t>Dyers Road_Palinurus Road_Intersection      Fine      4/11/2020</t>
  </si>
  <si>
    <t>Dyers Road North Total</t>
  </si>
  <si>
    <t>Dyers Road South Total</t>
  </si>
  <si>
    <t>Palinirus Road West Total</t>
  </si>
  <si>
    <t>Thru to Dyers Road South Total</t>
  </si>
  <si>
    <t>Right into Palinirus Road West Total</t>
  </si>
  <si>
    <t>Left into Palinirus Road West Total</t>
  </si>
  <si>
    <t>Thru to Dyers Road North Total</t>
  </si>
  <si>
    <t>Left into Dyers Road North Total</t>
  </si>
  <si>
    <t>Right into Dyers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</si>
  <si>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</si>
  <si>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</si>
  <si>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</si>
  <si>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</si>
  <si>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</si>
  <si>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</si>
  <si>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</si>
  <si>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</si>
  <si>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</si>
  <si>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</si>
  <si>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</si>
  <si>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</si>
  <si>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</si>
  <si>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</si>
  <si>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</si>
  <si>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</si>
  <si>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</si>
  <si>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</si>
  <si>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</si>
  <si>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</si>
  <si>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</si>
  <si>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</si>
  <si>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</si>
  <si>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</si>
  <si>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</si>
  <si>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</si>
  <si>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</si>
  <si>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</si>
  <si>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</si>
  <si>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</si>
  <si>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</si>
  <si>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</si>
  <si>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</si>
  <si>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</si>
  <si>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</si>
  <si>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</si>
  <si>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</si>
  <si>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</si>
  <si>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</si>
  <si>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Palinirus Rd</t>
  </si>
  <si>
    <t>Dyers Rd Northbound</t>
  </si>
  <si>
    <t>Dyers Rd Southbound</t>
  </si>
  <si>
    <t>Lights</t>
  </si>
  <si>
    <t>Classification</t>
  </si>
  <si>
    <t>Road</t>
  </si>
  <si>
    <t>Type</t>
  </si>
  <si>
    <t>Project</t>
  </si>
  <si>
    <t>Site Code</t>
  </si>
  <si>
    <t>11/04/2020</t>
  </si>
  <si>
    <t>Start Date</t>
  </si>
  <si>
    <t>CCC I-4612 Dyers - Palinurus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</si>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</sst>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782FF882-78FF-4C3A-A29E-A095326519A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[I-4612_Dyers Road_Palinurus Road_Intersection_11-04-2020.xlsx]Graphs!pvtGraphApproach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150</c:v>
                </c:pt>
                <c:pt idx="1">
                  <c:v>247</c:v>
                </c:pt>
                <c:pt idx="2">
                  <c:v>228</c:v>
                </c:pt>
                <c:pt idx="3">
                  <c:v>218</c:v>
                </c:pt>
                <c:pt idx="4">
                  <c:v>198</c:v>
                </c:pt>
                <c:pt idx="5">
                  <c:v>189</c:v>
                </c:pt>
                <c:pt idx="6">
                  <c:v>214</c:v>
                </c:pt>
                <c:pt idx="7">
                  <c:v>144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49</c:v>
                </c:pt>
                <c:pt idx="2">
                  <c:v>55</c:v>
                </c:pt>
                <c:pt idx="3">
                  <c:v>56</c:v>
                </c:pt>
                <c:pt idx="4">
                  <c:v>68</c:v>
                </c:pt>
                <c:pt idx="5">
                  <c:v>49</c:v>
                </c:pt>
                <c:pt idx="6">
                  <c:v>50</c:v>
                </c:pt>
                <c:pt idx="7">
                  <c:v>44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Palinirus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61</c:v>
                </c:pt>
                <c:pt idx="2">
                  <c:v>55</c:v>
                </c:pt>
                <c:pt idx="3">
                  <c:v>59</c:v>
                </c:pt>
                <c:pt idx="4">
                  <c:v>45</c:v>
                </c:pt>
                <c:pt idx="5">
                  <c:v>71</c:v>
                </c:pt>
                <c:pt idx="6">
                  <c:v>69</c:v>
                </c:pt>
                <c:pt idx="7">
                  <c:v>56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[I-4612_Dyers Road_Palinurus Road_Intersection_11-04-2020.xlsx]Graphs!pvtGraphExit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88</c:v>
                </c:pt>
                <c:pt idx="1">
                  <c:v>110</c:v>
                </c:pt>
                <c:pt idx="2">
                  <c:v>110</c:v>
                </c:pt>
                <c:pt idx="3">
                  <c:v>115</c:v>
                </c:pt>
                <c:pt idx="4">
                  <c:v>113</c:v>
                </c:pt>
                <c:pt idx="5">
                  <c:v>120</c:v>
                </c:pt>
                <c:pt idx="6">
                  <c:v>119</c:v>
                </c:pt>
                <c:pt idx="7">
                  <c:v>99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89</c:v>
                </c:pt>
                <c:pt idx="2">
                  <c:v>71</c:v>
                </c:pt>
                <c:pt idx="3">
                  <c:v>89</c:v>
                </c:pt>
                <c:pt idx="4">
                  <c:v>68</c:v>
                </c:pt>
                <c:pt idx="5">
                  <c:v>70</c:v>
                </c:pt>
                <c:pt idx="6">
                  <c:v>83</c:v>
                </c:pt>
                <c:pt idx="7">
                  <c:v>63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Palinirus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158</c:v>
                </c:pt>
                <c:pt idx="2">
                  <c:v>157</c:v>
                </c:pt>
                <c:pt idx="3">
                  <c:v>129</c:v>
                </c:pt>
                <c:pt idx="4">
                  <c:v>130</c:v>
                </c:pt>
                <c:pt idx="5">
                  <c:v>119</c:v>
                </c:pt>
                <c:pt idx="6">
                  <c:v>131</c:v>
                </c:pt>
                <c:pt idx="7">
                  <c:v>82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[I-4612_Dyers Road_Palinurus Road_Intersection_11-04-2020.xlsx]GraphData!PivotTable2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239</c:v>
                </c:pt>
                <c:pt idx="1">
                  <c:v>357</c:v>
                </c:pt>
                <c:pt idx="2">
                  <c:v>338</c:v>
                </c:pt>
                <c:pt idx="3">
                  <c:v>333</c:v>
                </c:pt>
                <c:pt idx="4">
                  <c:v>311</c:v>
                </c:pt>
                <c:pt idx="5">
                  <c:v>309</c:v>
                </c:pt>
                <c:pt idx="6">
                  <c:v>333</c:v>
                </c:pt>
                <c:pt idx="7">
                  <c:v>244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[I-4612_Dyers Road_Palinurus Road_Intersection_11-04-2020.xlsx]PeakCalc!pvtPeak2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239</c:v>
                </c:pt>
                <c:pt idx="1">
                  <c:v>357</c:v>
                </c:pt>
                <c:pt idx="2">
                  <c:v>338</c:v>
                </c:pt>
                <c:pt idx="3">
                  <c:v>333</c:v>
                </c:pt>
                <c:pt idx="4">
                  <c:v>311</c:v>
                </c:pt>
                <c:pt idx="5">
                  <c:v>309</c:v>
                </c:pt>
                <c:pt idx="6">
                  <c:v>333</c:v>
                </c:pt>
                <c:pt idx="7">
                  <c:v>244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357</c:v>
                </c:pt>
                <c:pt idx="2">
                  <c:v>338</c:v>
                </c:pt>
                <c:pt idx="3">
                  <c:v>333</c:v>
                </c:pt>
                <c:pt idx="4">
                  <c:v>311</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369409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484717</xdr:colOff>
      <xdr:row>5</xdr:row>
      <xdr:rowOff>3175</xdr:rowOff>
    </xdr:from>
    <xdr:to>
      <xdr:col>21</xdr:col>
      <xdr:colOff>621292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90766898147"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3"/>
    </cacheField>
    <cacheField name="Peak" numFmtId="0">
      <sharedItems containsSemiMixedTypes="0" containsString="0" containsNumber="1" containsInteger="1" minValue="0" maxValue="4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90887962966" createdVersion="5" refreshedVersion="6" minRefreshableVersion="3" recordCount="360" xr:uid="{00000000-000A-0000-FFFF-FFFF01000000}">
  <cacheSource type="worksheet">
    <worksheetSource name="tblPivotData"/>
  </cacheSource>
  <cacheFields count="9">
    <cacheField name="Approach" numFmtId="0">
      <sharedItems count="6">
        <s v="Dyers Road North"/>
        <s v="Dyers Road South"/>
        <s v="Palinirus Road West"/>
        <s v="Great south Rd (North)" u="1"/>
        <s v="Great south Rd (South)" u="1"/>
        <s v="Grange Rd" u="1"/>
      </sharedItems>
    </cacheField>
    <cacheField name="Movement" numFmtId="0">
      <sharedItems count="14">
        <s v="Thru to Dyers Road South"/>
        <s v="Right into Palinirus Road West"/>
        <s v="Left into Palinirus Road West"/>
        <s v="Thru to Dyers Road North"/>
        <s v="Left into Dyers Road North"/>
        <s v="Right into Dyer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Dyers Road South"/>
        <s v="Palinirus Road West"/>
        <s v="Dyer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9"/>
    <n v="0"/>
  </r>
  <r>
    <x v="0"/>
    <x v="1"/>
    <n v="357"/>
    <n v="357"/>
  </r>
  <r>
    <x v="0"/>
    <x v="2"/>
    <n v="338"/>
    <n v="338"/>
  </r>
  <r>
    <x v="0"/>
    <x v="3"/>
    <n v="333"/>
    <n v="333"/>
  </r>
  <r>
    <x v="0"/>
    <x v="4"/>
    <n v="311"/>
    <n v="311"/>
  </r>
  <r>
    <x v="0"/>
    <x v="5"/>
    <n v="309"/>
    <n v="0"/>
  </r>
  <r>
    <x v="0"/>
    <x v="6"/>
    <n v="333"/>
    <n v="0"/>
  </r>
  <r>
    <x v="0"/>
    <x v="7"/>
    <n v="244"/>
    <n v="0"/>
  </r>
  <r>
    <x v="1"/>
    <x v="8"/>
    <n v="266"/>
    <n v="266"/>
  </r>
  <r>
    <x v="1"/>
    <x v="9"/>
    <n v="236"/>
    <n v="236"/>
  </r>
  <r>
    <x v="1"/>
    <x v="10"/>
    <n v="261"/>
    <n v="261"/>
  </r>
  <r>
    <x v="1"/>
    <x v="11"/>
    <n v="248"/>
    <n v="248"/>
  </r>
  <r>
    <x v="2"/>
    <x v="12"/>
    <n v="384"/>
    <n v="0"/>
  </r>
  <r>
    <x v="2"/>
    <x v="13"/>
    <n v="321"/>
    <n v="0"/>
  </r>
  <r>
    <x v="2"/>
    <x v="14"/>
    <n v="423"/>
    <n v="423"/>
  </r>
  <r>
    <x v="2"/>
    <x v="15"/>
    <n v="360"/>
    <n v="360"/>
  </r>
  <r>
    <x v="2"/>
    <x v="16"/>
    <n v="412"/>
    <n v="412"/>
  </r>
  <r>
    <x v="2"/>
    <x v="17"/>
    <n v="346"/>
    <n v="346"/>
  </r>
  <r>
    <x v="2"/>
    <x v="18"/>
    <n v="290"/>
    <n v="0"/>
  </r>
  <r>
    <x v="2"/>
    <x v="19"/>
    <n v="2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4"/>
    <x v="0"/>
    <x v="0"/>
  </r>
  <r>
    <x v="0"/>
    <x v="0"/>
    <x v="0"/>
    <x v="0"/>
    <x v="0"/>
    <x v="1"/>
    <n v="88"/>
    <x v="1"/>
    <x v="1"/>
  </r>
  <r>
    <x v="0"/>
    <x v="0"/>
    <x v="0"/>
    <x v="0"/>
    <x v="0"/>
    <x v="2"/>
    <n v="68"/>
    <x v="2"/>
    <x v="1"/>
  </r>
  <r>
    <x v="0"/>
    <x v="0"/>
    <x v="0"/>
    <x v="0"/>
    <x v="0"/>
    <x v="3"/>
    <n v="82"/>
    <x v="3"/>
    <x v="1"/>
  </r>
  <r>
    <x v="0"/>
    <x v="0"/>
    <x v="0"/>
    <x v="0"/>
    <x v="0"/>
    <x v="4"/>
    <n v="63"/>
    <x v="4"/>
    <x v="1"/>
  </r>
  <r>
    <x v="0"/>
    <x v="0"/>
    <x v="0"/>
    <x v="0"/>
    <x v="0"/>
    <x v="5"/>
    <n v="68"/>
    <x v="5"/>
    <x v="0"/>
  </r>
  <r>
    <x v="0"/>
    <x v="0"/>
    <x v="0"/>
    <x v="0"/>
    <x v="0"/>
    <x v="6"/>
    <n v="81"/>
    <x v="6"/>
    <x v="0"/>
  </r>
  <r>
    <x v="0"/>
    <x v="0"/>
    <x v="0"/>
    <x v="0"/>
    <x v="0"/>
    <x v="7"/>
    <n v="55"/>
    <x v="7"/>
    <x v="0"/>
  </r>
  <r>
    <x v="0"/>
    <x v="0"/>
    <x v="0"/>
    <x v="0"/>
    <x v="1"/>
    <x v="8"/>
    <n v="46"/>
    <x v="8"/>
    <x v="1"/>
  </r>
  <r>
    <x v="0"/>
    <x v="0"/>
    <x v="0"/>
    <x v="0"/>
    <x v="1"/>
    <x v="9"/>
    <n v="54"/>
    <x v="9"/>
    <x v="1"/>
  </r>
  <r>
    <x v="0"/>
    <x v="0"/>
    <x v="0"/>
    <x v="0"/>
    <x v="1"/>
    <x v="10"/>
    <n v="47"/>
    <x v="10"/>
    <x v="1"/>
  </r>
  <r>
    <x v="0"/>
    <x v="0"/>
    <x v="0"/>
    <x v="0"/>
    <x v="1"/>
    <x v="11"/>
    <n v="41"/>
    <x v="11"/>
    <x v="1"/>
  </r>
  <r>
    <x v="0"/>
    <x v="0"/>
    <x v="0"/>
    <x v="0"/>
    <x v="2"/>
    <x v="12"/>
    <n v="58"/>
    <x v="12"/>
    <x v="0"/>
  </r>
  <r>
    <x v="0"/>
    <x v="0"/>
    <x v="0"/>
    <x v="0"/>
    <x v="2"/>
    <x v="13"/>
    <n v="54"/>
    <x v="13"/>
    <x v="0"/>
  </r>
  <r>
    <x v="0"/>
    <x v="0"/>
    <x v="0"/>
    <x v="0"/>
    <x v="2"/>
    <x v="14"/>
    <n v="66"/>
    <x v="14"/>
    <x v="1"/>
  </r>
  <r>
    <x v="0"/>
    <x v="0"/>
    <x v="0"/>
    <x v="0"/>
    <x v="2"/>
    <x v="15"/>
    <n v="65"/>
    <x v="15"/>
    <x v="1"/>
  </r>
  <r>
    <x v="0"/>
    <x v="0"/>
    <x v="0"/>
    <x v="0"/>
    <x v="2"/>
    <x v="16"/>
    <n v="65"/>
    <x v="16"/>
    <x v="1"/>
  </r>
  <r>
    <x v="0"/>
    <x v="0"/>
    <x v="0"/>
    <x v="0"/>
    <x v="2"/>
    <x v="17"/>
    <n v="85"/>
    <x v="17"/>
    <x v="1"/>
  </r>
  <r>
    <x v="0"/>
    <x v="0"/>
    <x v="0"/>
    <x v="0"/>
    <x v="2"/>
    <x v="18"/>
    <n v="61"/>
    <x v="18"/>
    <x v="0"/>
  </r>
  <r>
    <x v="0"/>
    <x v="0"/>
    <x v="0"/>
    <x v="0"/>
    <x v="2"/>
    <x v="19"/>
    <n v="56"/>
    <x v="19"/>
    <x v="0"/>
  </r>
  <r>
    <x v="0"/>
    <x v="0"/>
    <x v="0"/>
    <x v="1"/>
    <x v="0"/>
    <x v="0"/>
    <n v="4"/>
    <x v="0"/>
    <x v="0"/>
  </r>
  <r>
    <x v="0"/>
    <x v="0"/>
    <x v="0"/>
    <x v="1"/>
    <x v="0"/>
    <x v="1"/>
    <n v="1"/>
    <x v="1"/>
    <x v="1"/>
  </r>
  <r>
    <x v="0"/>
    <x v="0"/>
    <x v="0"/>
    <x v="1"/>
    <x v="0"/>
    <x v="2"/>
    <n v="3"/>
    <x v="2"/>
    <x v="1"/>
  </r>
  <r>
    <x v="0"/>
    <x v="0"/>
    <x v="0"/>
    <x v="1"/>
    <x v="0"/>
    <x v="3"/>
    <n v="7"/>
    <x v="3"/>
    <x v="1"/>
  </r>
  <r>
    <x v="0"/>
    <x v="0"/>
    <x v="0"/>
    <x v="1"/>
    <x v="0"/>
    <x v="4"/>
    <n v="5"/>
    <x v="4"/>
    <x v="1"/>
  </r>
  <r>
    <x v="0"/>
    <x v="0"/>
    <x v="0"/>
    <x v="1"/>
    <x v="0"/>
    <x v="5"/>
    <n v="2"/>
    <x v="5"/>
    <x v="0"/>
  </r>
  <r>
    <x v="0"/>
    <x v="0"/>
    <x v="0"/>
    <x v="1"/>
    <x v="0"/>
    <x v="6"/>
    <n v="2"/>
    <x v="6"/>
    <x v="0"/>
  </r>
  <r>
    <x v="0"/>
    <x v="0"/>
    <x v="0"/>
    <x v="1"/>
    <x v="0"/>
    <x v="7"/>
    <n v="7"/>
    <x v="7"/>
    <x v="0"/>
  </r>
  <r>
    <x v="0"/>
    <x v="0"/>
    <x v="0"/>
    <x v="1"/>
    <x v="1"/>
    <x v="8"/>
    <n v="4"/>
    <x v="8"/>
    <x v="1"/>
  </r>
  <r>
    <x v="0"/>
    <x v="0"/>
    <x v="0"/>
    <x v="1"/>
    <x v="1"/>
    <x v="9"/>
    <n v="8"/>
    <x v="9"/>
    <x v="1"/>
  </r>
  <r>
    <x v="0"/>
    <x v="0"/>
    <x v="0"/>
    <x v="1"/>
    <x v="1"/>
    <x v="10"/>
    <n v="7"/>
    <x v="10"/>
    <x v="1"/>
  </r>
  <r>
    <x v="0"/>
    <x v="0"/>
    <x v="0"/>
    <x v="1"/>
    <x v="1"/>
    <x v="11"/>
    <n v="4"/>
    <x v="11"/>
    <x v="1"/>
  </r>
  <r>
    <x v="0"/>
    <x v="0"/>
    <x v="0"/>
    <x v="1"/>
    <x v="2"/>
    <x v="12"/>
    <n v="5"/>
    <x v="12"/>
    <x v="0"/>
  </r>
  <r>
    <x v="0"/>
    <x v="0"/>
    <x v="0"/>
    <x v="1"/>
    <x v="2"/>
    <x v="13"/>
    <n v="3"/>
    <x v="13"/>
    <x v="0"/>
  </r>
  <r>
    <x v="0"/>
    <x v="0"/>
    <x v="0"/>
    <x v="1"/>
    <x v="2"/>
    <x v="14"/>
    <n v="5"/>
    <x v="14"/>
    <x v="1"/>
  </r>
  <r>
    <x v="0"/>
    <x v="0"/>
    <x v="0"/>
    <x v="1"/>
    <x v="2"/>
    <x v="15"/>
    <n v="1"/>
    <x v="15"/>
    <x v="1"/>
  </r>
  <r>
    <x v="0"/>
    <x v="0"/>
    <x v="0"/>
    <x v="1"/>
    <x v="2"/>
    <x v="16"/>
    <n v="1"/>
    <x v="16"/>
    <x v="1"/>
  </r>
  <r>
    <x v="0"/>
    <x v="0"/>
    <x v="0"/>
    <x v="1"/>
    <x v="2"/>
    <x v="17"/>
    <n v="1"/>
    <x v="17"/>
    <x v="1"/>
  </r>
  <r>
    <x v="0"/>
    <x v="0"/>
    <x v="0"/>
    <x v="1"/>
    <x v="2"/>
    <x v="18"/>
    <n v="0"/>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2"/>
    <x v="12"/>
    <x v="0"/>
  </r>
  <r>
    <x v="0"/>
    <x v="0"/>
    <x v="0"/>
    <x v="2"/>
    <x v="2"/>
    <x v="13"/>
    <n v="1"/>
    <x v="13"/>
    <x v="0"/>
  </r>
  <r>
    <x v="0"/>
    <x v="0"/>
    <x v="0"/>
    <x v="2"/>
    <x v="2"/>
    <x v="14"/>
    <n v="0"/>
    <x v="14"/>
    <x v="1"/>
  </r>
  <r>
    <x v="0"/>
    <x v="0"/>
    <x v="0"/>
    <x v="2"/>
    <x v="2"/>
    <x v="15"/>
    <n v="1"/>
    <x v="15"/>
    <x v="1"/>
  </r>
  <r>
    <x v="0"/>
    <x v="0"/>
    <x v="0"/>
    <x v="2"/>
    <x v="2"/>
    <x v="16"/>
    <n v="0"/>
    <x v="16"/>
    <x v="1"/>
  </r>
  <r>
    <x v="0"/>
    <x v="0"/>
    <x v="0"/>
    <x v="2"/>
    <x v="2"/>
    <x v="17"/>
    <n v="1"/>
    <x v="17"/>
    <x v="1"/>
  </r>
  <r>
    <x v="0"/>
    <x v="0"/>
    <x v="0"/>
    <x v="2"/>
    <x v="2"/>
    <x v="18"/>
    <n v="0"/>
    <x v="18"/>
    <x v="0"/>
  </r>
  <r>
    <x v="0"/>
    <x v="0"/>
    <x v="0"/>
    <x v="2"/>
    <x v="2"/>
    <x v="19"/>
    <n v="1"/>
    <x v="19"/>
    <x v="0"/>
  </r>
  <r>
    <x v="0"/>
    <x v="1"/>
    <x v="1"/>
    <x v="0"/>
    <x v="0"/>
    <x v="0"/>
    <n v="96"/>
    <x v="0"/>
    <x v="0"/>
  </r>
  <r>
    <x v="0"/>
    <x v="1"/>
    <x v="1"/>
    <x v="0"/>
    <x v="0"/>
    <x v="1"/>
    <n v="148"/>
    <x v="1"/>
    <x v="1"/>
  </r>
  <r>
    <x v="0"/>
    <x v="1"/>
    <x v="1"/>
    <x v="0"/>
    <x v="0"/>
    <x v="2"/>
    <n v="142"/>
    <x v="2"/>
    <x v="1"/>
  </r>
  <r>
    <x v="0"/>
    <x v="1"/>
    <x v="1"/>
    <x v="0"/>
    <x v="0"/>
    <x v="3"/>
    <n v="121"/>
    <x v="3"/>
    <x v="1"/>
  </r>
  <r>
    <x v="0"/>
    <x v="1"/>
    <x v="1"/>
    <x v="0"/>
    <x v="0"/>
    <x v="4"/>
    <n v="123"/>
    <x v="4"/>
    <x v="1"/>
  </r>
  <r>
    <x v="0"/>
    <x v="1"/>
    <x v="1"/>
    <x v="0"/>
    <x v="0"/>
    <x v="5"/>
    <n v="112"/>
    <x v="5"/>
    <x v="0"/>
  </r>
  <r>
    <x v="0"/>
    <x v="1"/>
    <x v="1"/>
    <x v="0"/>
    <x v="0"/>
    <x v="6"/>
    <n v="121"/>
    <x v="6"/>
    <x v="0"/>
  </r>
  <r>
    <x v="0"/>
    <x v="1"/>
    <x v="1"/>
    <x v="0"/>
    <x v="0"/>
    <x v="7"/>
    <n v="75"/>
    <x v="7"/>
    <x v="0"/>
  </r>
  <r>
    <x v="0"/>
    <x v="1"/>
    <x v="1"/>
    <x v="0"/>
    <x v="1"/>
    <x v="8"/>
    <n v="73"/>
    <x v="8"/>
    <x v="1"/>
  </r>
  <r>
    <x v="0"/>
    <x v="1"/>
    <x v="1"/>
    <x v="0"/>
    <x v="1"/>
    <x v="9"/>
    <n v="65"/>
    <x v="9"/>
    <x v="1"/>
  </r>
  <r>
    <x v="0"/>
    <x v="1"/>
    <x v="1"/>
    <x v="0"/>
    <x v="1"/>
    <x v="10"/>
    <n v="60"/>
    <x v="10"/>
    <x v="1"/>
  </r>
  <r>
    <x v="0"/>
    <x v="1"/>
    <x v="1"/>
    <x v="0"/>
    <x v="1"/>
    <x v="11"/>
    <n v="53"/>
    <x v="11"/>
    <x v="1"/>
  </r>
  <r>
    <x v="0"/>
    <x v="1"/>
    <x v="1"/>
    <x v="0"/>
    <x v="2"/>
    <x v="12"/>
    <n v="67"/>
    <x v="12"/>
    <x v="0"/>
  </r>
  <r>
    <x v="0"/>
    <x v="1"/>
    <x v="1"/>
    <x v="0"/>
    <x v="2"/>
    <x v="13"/>
    <n v="56"/>
    <x v="13"/>
    <x v="0"/>
  </r>
  <r>
    <x v="0"/>
    <x v="1"/>
    <x v="1"/>
    <x v="0"/>
    <x v="2"/>
    <x v="14"/>
    <n v="87"/>
    <x v="14"/>
    <x v="1"/>
  </r>
  <r>
    <x v="0"/>
    <x v="1"/>
    <x v="1"/>
    <x v="0"/>
    <x v="2"/>
    <x v="15"/>
    <n v="73"/>
    <x v="15"/>
    <x v="1"/>
  </r>
  <r>
    <x v="0"/>
    <x v="1"/>
    <x v="1"/>
    <x v="0"/>
    <x v="2"/>
    <x v="16"/>
    <n v="71"/>
    <x v="16"/>
    <x v="1"/>
  </r>
  <r>
    <x v="0"/>
    <x v="1"/>
    <x v="1"/>
    <x v="0"/>
    <x v="2"/>
    <x v="17"/>
    <n v="75"/>
    <x v="17"/>
    <x v="1"/>
  </r>
  <r>
    <x v="0"/>
    <x v="1"/>
    <x v="1"/>
    <x v="0"/>
    <x v="2"/>
    <x v="18"/>
    <n v="66"/>
    <x v="18"/>
    <x v="0"/>
  </r>
  <r>
    <x v="0"/>
    <x v="1"/>
    <x v="1"/>
    <x v="0"/>
    <x v="2"/>
    <x v="19"/>
    <n v="47"/>
    <x v="19"/>
    <x v="0"/>
  </r>
  <r>
    <x v="0"/>
    <x v="1"/>
    <x v="1"/>
    <x v="1"/>
    <x v="0"/>
    <x v="0"/>
    <n v="5"/>
    <x v="0"/>
    <x v="0"/>
  </r>
  <r>
    <x v="0"/>
    <x v="1"/>
    <x v="1"/>
    <x v="1"/>
    <x v="0"/>
    <x v="1"/>
    <n v="8"/>
    <x v="1"/>
    <x v="1"/>
  </r>
  <r>
    <x v="0"/>
    <x v="1"/>
    <x v="1"/>
    <x v="1"/>
    <x v="0"/>
    <x v="2"/>
    <n v="13"/>
    <x v="2"/>
    <x v="1"/>
  </r>
  <r>
    <x v="0"/>
    <x v="1"/>
    <x v="1"/>
    <x v="1"/>
    <x v="0"/>
    <x v="3"/>
    <n v="7"/>
    <x v="3"/>
    <x v="1"/>
  </r>
  <r>
    <x v="0"/>
    <x v="1"/>
    <x v="1"/>
    <x v="1"/>
    <x v="0"/>
    <x v="4"/>
    <n v="6"/>
    <x v="4"/>
    <x v="1"/>
  </r>
  <r>
    <x v="0"/>
    <x v="1"/>
    <x v="1"/>
    <x v="1"/>
    <x v="0"/>
    <x v="5"/>
    <n v="6"/>
    <x v="5"/>
    <x v="0"/>
  </r>
  <r>
    <x v="0"/>
    <x v="1"/>
    <x v="1"/>
    <x v="1"/>
    <x v="0"/>
    <x v="6"/>
    <n v="10"/>
    <x v="6"/>
    <x v="0"/>
  </r>
  <r>
    <x v="0"/>
    <x v="1"/>
    <x v="1"/>
    <x v="1"/>
    <x v="0"/>
    <x v="7"/>
    <n v="7"/>
    <x v="7"/>
    <x v="0"/>
  </r>
  <r>
    <x v="0"/>
    <x v="1"/>
    <x v="1"/>
    <x v="1"/>
    <x v="1"/>
    <x v="8"/>
    <n v="15"/>
    <x v="8"/>
    <x v="1"/>
  </r>
  <r>
    <x v="0"/>
    <x v="1"/>
    <x v="1"/>
    <x v="1"/>
    <x v="1"/>
    <x v="9"/>
    <n v="7"/>
    <x v="9"/>
    <x v="1"/>
  </r>
  <r>
    <x v="0"/>
    <x v="1"/>
    <x v="1"/>
    <x v="1"/>
    <x v="1"/>
    <x v="10"/>
    <n v="10"/>
    <x v="10"/>
    <x v="1"/>
  </r>
  <r>
    <x v="0"/>
    <x v="1"/>
    <x v="1"/>
    <x v="1"/>
    <x v="1"/>
    <x v="11"/>
    <n v="11"/>
    <x v="11"/>
    <x v="1"/>
  </r>
  <r>
    <x v="0"/>
    <x v="1"/>
    <x v="1"/>
    <x v="1"/>
    <x v="2"/>
    <x v="12"/>
    <n v="15"/>
    <x v="12"/>
    <x v="0"/>
  </r>
  <r>
    <x v="0"/>
    <x v="1"/>
    <x v="1"/>
    <x v="1"/>
    <x v="2"/>
    <x v="13"/>
    <n v="4"/>
    <x v="13"/>
    <x v="0"/>
  </r>
  <r>
    <x v="0"/>
    <x v="1"/>
    <x v="1"/>
    <x v="1"/>
    <x v="2"/>
    <x v="14"/>
    <n v="10"/>
    <x v="14"/>
    <x v="1"/>
  </r>
  <r>
    <x v="0"/>
    <x v="1"/>
    <x v="1"/>
    <x v="1"/>
    <x v="2"/>
    <x v="15"/>
    <n v="0"/>
    <x v="15"/>
    <x v="1"/>
  </r>
  <r>
    <x v="0"/>
    <x v="1"/>
    <x v="1"/>
    <x v="1"/>
    <x v="2"/>
    <x v="16"/>
    <n v="6"/>
    <x v="16"/>
    <x v="1"/>
  </r>
  <r>
    <x v="0"/>
    <x v="1"/>
    <x v="1"/>
    <x v="1"/>
    <x v="2"/>
    <x v="17"/>
    <n v="8"/>
    <x v="17"/>
    <x v="1"/>
  </r>
  <r>
    <x v="0"/>
    <x v="1"/>
    <x v="1"/>
    <x v="1"/>
    <x v="2"/>
    <x v="18"/>
    <n v="3"/>
    <x v="18"/>
    <x v="0"/>
  </r>
  <r>
    <x v="0"/>
    <x v="1"/>
    <x v="1"/>
    <x v="1"/>
    <x v="2"/>
    <x v="19"/>
    <n v="2"/>
    <x v="19"/>
    <x v="0"/>
  </r>
  <r>
    <x v="0"/>
    <x v="1"/>
    <x v="1"/>
    <x v="2"/>
    <x v="0"/>
    <x v="0"/>
    <n v="1"/>
    <x v="0"/>
    <x v="0"/>
  </r>
  <r>
    <x v="0"/>
    <x v="1"/>
    <x v="1"/>
    <x v="2"/>
    <x v="0"/>
    <x v="1"/>
    <n v="2"/>
    <x v="1"/>
    <x v="1"/>
  </r>
  <r>
    <x v="0"/>
    <x v="1"/>
    <x v="1"/>
    <x v="2"/>
    <x v="0"/>
    <x v="2"/>
    <n v="2"/>
    <x v="2"/>
    <x v="1"/>
  </r>
  <r>
    <x v="0"/>
    <x v="1"/>
    <x v="1"/>
    <x v="2"/>
    <x v="0"/>
    <x v="3"/>
    <n v="1"/>
    <x v="3"/>
    <x v="1"/>
  </r>
  <r>
    <x v="0"/>
    <x v="1"/>
    <x v="1"/>
    <x v="2"/>
    <x v="0"/>
    <x v="4"/>
    <n v="1"/>
    <x v="4"/>
    <x v="1"/>
  </r>
  <r>
    <x v="0"/>
    <x v="1"/>
    <x v="1"/>
    <x v="2"/>
    <x v="0"/>
    <x v="5"/>
    <n v="1"/>
    <x v="5"/>
    <x v="0"/>
  </r>
  <r>
    <x v="0"/>
    <x v="1"/>
    <x v="1"/>
    <x v="2"/>
    <x v="0"/>
    <x v="6"/>
    <n v="0"/>
    <x v="6"/>
    <x v="0"/>
  </r>
  <r>
    <x v="0"/>
    <x v="1"/>
    <x v="1"/>
    <x v="2"/>
    <x v="0"/>
    <x v="7"/>
    <n v="0"/>
    <x v="7"/>
    <x v="0"/>
  </r>
  <r>
    <x v="0"/>
    <x v="1"/>
    <x v="1"/>
    <x v="2"/>
    <x v="1"/>
    <x v="8"/>
    <n v="2"/>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1"/>
    <x v="17"/>
    <x v="1"/>
  </r>
  <r>
    <x v="0"/>
    <x v="1"/>
    <x v="1"/>
    <x v="2"/>
    <x v="2"/>
    <x v="18"/>
    <n v="0"/>
    <x v="18"/>
    <x v="0"/>
  </r>
  <r>
    <x v="0"/>
    <x v="1"/>
    <x v="1"/>
    <x v="2"/>
    <x v="2"/>
    <x v="19"/>
    <n v="0"/>
    <x v="19"/>
    <x v="0"/>
  </r>
  <r>
    <x v="1"/>
    <x v="2"/>
    <x v="1"/>
    <x v="0"/>
    <x v="0"/>
    <x v="0"/>
    <n v="0"/>
    <x v="0"/>
    <x v="0"/>
  </r>
  <r>
    <x v="1"/>
    <x v="2"/>
    <x v="1"/>
    <x v="0"/>
    <x v="0"/>
    <x v="1"/>
    <n v="0"/>
    <x v="1"/>
    <x v="1"/>
  </r>
  <r>
    <x v="1"/>
    <x v="2"/>
    <x v="1"/>
    <x v="0"/>
    <x v="0"/>
    <x v="2"/>
    <n v="0"/>
    <x v="2"/>
    <x v="1"/>
  </r>
  <r>
    <x v="1"/>
    <x v="2"/>
    <x v="1"/>
    <x v="0"/>
    <x v="0"/>
    <x v="3"/>
    <n v="0"/>
    <x v="3"/>
    <x v="1"/>
  </r>
  <r>
    <x v="1"/>
    <x v="2"/>
    <x v="1"/>
    <x v="0"/>
    <x v="0"/>
    <x v="4"/>
    <n v="0"/>
    <x v="4"/>
    <x v="1"/>
  </r>
  <r>
    <x v="1"/>
    <x v="2"/>
    <x v="1"/>
    <x v="0"/>
    <x v="0"/>
    <x v="5"/>
    <n v="0"/>
    <x v="5"/>
    <x v="0"/>
  </r>
  <r>
    <x v="1"/>
    <x v="2"/>
    <x v="1"/>
    <x v="0"/>
    <x v="0"/>
    <x v="6"/>
    <n v="0"/>
    <x v="6"/>
    <x v="0"/>
  </r>
  <r>
    <x v="1"/>
    <x v="2"/>
    <x v="1"/>
    <x v="0"/>
    <x v="0"/>
    <x v="7"/>
    <n v="0"/>
    <x v="7"/>
    <x v="0"/>
  </r>
  <r>
    <x v="1"/>
    <x v="2"/>
    <x v="1"/>
    <x v="0"/>
    <x v="1"/>
    <x v="8"/>
    <n v="0"/>
    <x v="8"/>
    <x v="1"/>
  </r>
  <r>
    <x v="1"/>
    <x v="2"/>
    <x v="1"/>
    <x v="0"/>
    <x v="1"/>
    <x v="9"/>
    <n v="1"/>
    <x v="9"/>
    <x v="1"/>
  </r>
  <r>
    <x v="1"/>
    <x v="2"/>
    <x v="1"/>
    <x v="0"/>
    <x v="1"/>
    <x v="10"/>
    <n v="0"/>
    <x v="10"/>
    <x v="1"/>
  </r>
  <r>
    <x v="1"/>
    <x v="2"/>
    <x v="1"/>
    <x v="0"/>
    <x v="1"/>
    <x v="11"/>
    <n v="1"/>
    <x v="11"/>
    <x v="1"/>
  </r>
  <r>
    <x v="1"/>
    <x v="2"/>
    <x v="1"/>
    <x v="0"/>
    <x v="2"/>
    <x v="12"/>
    <n v="0"/>
    <x v="12"/>
    <x v="0"/>
  </r>
  <r>
    <x v="1"/>
    <x v="2"/>
    <x v="1"/>
    <x v="0"/>
    <x v="2"/>
    <x v="13"/>
    <n v="0"/>
    <x v="13"/>
    <x v="0"/>
  </r>
  <r>
    <x v="1"/>
    <x v="2"/>
    <x v="1"/>
    <x v="0"/>
    <x v="2"/>
    <x v="14"/>
    <n v="0"/>
    <x v="14"/>
    <x v="1"/>
  </r>
  <r>
    <x v="1"/>
    <x v="2"/>
    <x v="1"/>
    <x v="0"/>
    <x v="2"/>
    <x v="15"/>
    <n v="1"/>
    <x v="15"/>
    <x v="1"/>
  </r>
  <r>
    <x v="1"/>
    <x v="2"/>
    <x v="1"/>
    <x v="0"/>
    <x v="2"/>
    <x v="16"/>
    <n v="0"/>
    <x v="16"/>
    <x v="1"/>
  </r>
  <r>
    <x v="1"/>
    <x v="2"/>
    <x v="1"/>
    <x v="0"/>
    <x v="2"/>
    <x v="17"/>
    <n v="1"/>
    <x v="17"/>
    <x v="1"/>
  </r>
  <r>
    <x v="1"/>
    <x v="2"/>
    <x v="1"/>
    <x v="0"/>
    <x v="2"/>
    <x v="18"/>
    <n v="0"/>
    <x v="18"/>
    <x v="0"/>
  </r>
  <r>
    <x v="1"/>
    <x v="2"/>
    <x v="1"/>
    <x v="0"/>
    <x v="2"/>
    <x v="19"/>
    <n v="0"/>
    <x v="19"/>
    <x v="0"/>
  </r>
  <r>
    <x v="1"/>
    <x v="2"/>
    <x v="1"/>
    <x v="1"/>
    <x v="0"/>
    <x v="0"/>
    <n v="0"/>
    <x v="0"/>
    <x v="0"/>
  </r>
  <r>
    <x v="1"/>
    <x v="2"/>
    <x v="1"/>
    <x v="1"/>
    <x v="0"/>
    <x v="1"/>
    <n v="0"/>
    <x v="1"/>
    <x v="1"/>
  </r>
  <r>
    <x v="1"/>
    <x v="2"/>
    <x v="1"/>
    <x v="1"/>
    <x v="0"/>
    <x v="2"/>
    <n v="0"/>
    <x v="2"/>
    <x v="1"/>
  </r>
  <r>
    <x v="1"/>
    <x v="2"/>
    <x v="1"/>
    <x v="1"/>
    <x v="0"/>
    <x v="3"/>
    <n v="0"/>
    <x v="3"/>
    <x v="1"/>
  </r>
  <r>
    <x v="1"/>
    <x v="2"/>
    <x v="1"/>
    <x v="1"/>
    <x v="0"/>
    <x v="4"/>
    <n v="0"/>
    <x v="4"/>
    <x v="1"/>
  </r>
  <r>
    <x v="1"/>
    <x v="2"/>
    <x v="1"/>
    <x v="1"/>
    <x v="0"/>
    <x v="5"/>
    <n v="0"/>
    <x v="5"/>
    <x v="0"/>
  </r>
  <r>
    <x v="1"/>
    <x v="2"/>
    <x v="1"/>
    <x v="1"/>
    <x v="0"/>
    <x v="6"/>
    <n v="0"/>
    <x v="6"/>
    <x v="0"/>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1"/>
    <x v="16"/>
    <x v="1"/>
  </r>
  <r>
    <x v="1"/>
    <x v="2"/>
    <x v="1"/>
    <x v="1"/>
    <x v="2"/>
    <x v="17"/>
    <n v="0"/>
    <x v="17"/>
    <x v="1"/>
  </r>
  <r>
    <x v="1"/>
    <x v="2"/>
    <x v="1"/>
    <x v="1"/>
    <x v="2"/>
    <x v="18"/>
    <n v="0"/>
    <x v="18"/>
    <x v="0"/>
  </r>
  <r>
    <x v="1"/>
    <x v="2"/>
    <x v="1"/>
    <x v="1"/>
    <x v="2"/>
    <x v="19"/>
    <n v="0"/>
    <x v="19"/>
    <x v="0"/>
  </r>
  <r>
    <x v="1"/>
    <x v="2"/>
    <x v="1"/>
    <x v="2"/>
    <x v="0"/>
    <x v="0"/>
    <n v="1"/>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34"/>
    <x v="0"/>
    <x v="0"/>
  </r>
  <r>
    <x v="1"/>
    <x v="3"/>
    <x v="2"/>
    <x v="0"/>
    <x v="0"/>
    <x v="1"/>
    <n v="35"/>
    <x v="1"/>
    <x v="1"/>
  </r>
  <r>
    <x v="1"/>
    <x v="3"/>
    <x v="2"/>
    <x v="0"/>
    <x v="0"/>
    <x v="2"/>
    <n v="49"/>
    <x v="2"/>
    <x v="1"/>
  </r>
  <r>
    <x v="1"/>
    <x v="3"/>
    <x v="2"/>
    <x v="0"/>
    <x v="0"/>
    <x v="3"/>
    <n v="51"/>
    <x v="3"/>
    <x v="1"/>
  </r>
  <r>
    <x v="1"/>
    <x v="3"/>
    <x v="2"/>
    <x v="0"/>
    <x v="0"/>
    <x v="4"/>
    <n v="65"/>
    <x v="4"/>
    <x v="1"/>
  </r>
  <r>
    <x v="1"/>
    <x v="3"/>
    <x v="2"/>
    <x v="0"/>
    <x v="0"/>
    <x v="5"/>
    <n v="44"/>
    <x v="5"/>
    <x v="0"/>
  </r>
  <r>
    <x v="1"/>
    <x v="3"/>
    <x v="2"/>
    <x v="0"/>
    <x v="0"/>
    <x v="6"/>
    <n v="44"/>
    <x v="6"/>
    <x v="0"/>
  </r>
  <r>
    <x v="1"/>
    <x v="3"/>
    <x v="2"/>
    <x v="0"/>
    <x v="0"/>
    <x v="7"/>
    <n v="39"/>
    <x v="7"/>
    <x v="0"/>
  </r>
  <r>
    <x v="1"/>
    <x v="3"/>
    <x v="2"/>
    <x v="0"/>
    <x v="1"/>
    <x v="8"/>
    <n v="49"/>
    <x v="8"/>
    <x v="1"/>
  </r>
  <r>
    <x v="1"/>
    <x v="3"/>
    <x v="2"/>
    <x v="0"/>
    <x v="1"/>
    <x v="9"/>
    <n v="44"/>
    <x v="9"/>
    <x v="1"/>
  </r>
  <r>
    <x v="1"/>
    <x v="3"/>
    <x v="2"/>
    <x v="0"/>
    <x v="1"/>
    <x v="10"/>
    <n v="55"/>
    <x v="10"/>
    <x v="1"/>
  </r>
  <r>
    <x v="1"/>
    <x v="3"/>
    <x v="2"/>
    <x v="0"/>
    <x v="1"/>
    <x v="11"/>
    <n v="59"/>
    <x v="11"/>
    <x v="1"/>
  </r>
  <r>
    <x v="1"/>
    <x v="3"/>
    <x v="2"/>
    <x v="0"/>
    <x v="2"/>
    <x v="12"/>
    <n v="98"/>
    <x v="12"/>
    <x v="0"/>
  </r>
  <r>
    <x v="1"/>
    <x v="3"/>
    <x v="2"/>
    <x v="0"/>
    <x v="2"/>
    <x v="13"/>
    <n v="74"/>
    <x v="13"/>
    <x v="0"/>
  </r>
  <r>
    <x v="1"/>
    <x v="3"/>
    <x v="2"/>
    <x v="0"/>
    <x v="2"/>
    <x v="14"/>
    <n v="115"/>
    <x v="14"/>
    <x v="1"/>
  </r>
  <r>
    <x v="1"/>
    <x v="3"/>
    <x v="2"/>
    <x v="0"/>
    <x v="2"/>
    <x v="15"/>
    <n v="102"/>
    <x v="15"/>
    <x v="1"/>
  </r>
  <r>
    <x v="1"/>
    <x v="3"/>
    <x v="2"/>
    <x v="0"/>
    <x v="2"/>
    <x v="16"/>
    <n v="127"/>
    <x v="16"/>
    <x v="1"/>
  </r>
  <r>
    <x v="1"/>
    <x v="3"/>
    <x v="2"/>
    <x v="0"/>
    <x v="2"/>
    <x v="17"/>
    <n v="72"/>
    <x v="17"/>
    <x v="1"/>
  </r>
  <r>
    <x v="1"/>
    <x v="3"/>
    <x v="2"/>
    <x v="0"/>
    <x v="2"/>
    <x v="18"/>
    <n v="55"/>
    <x v="18"/>
    <x v="0"/>
  </r>
  <r>
    <x v="1"/>
    <x v="3"/>
    <x v="2"/>
    <x v="0"/>
    <x v="2"/>
    <x v="19"/>
    <n v="63"/>
    <x v="19"/>
    <x v="0"/>
  </r>
  <r>
    <x v="1"/>
    <x v="3"/>
    <x v="2"/>
    <x v="1"/>
    <x v="0"/>
    <x v="0"/>
    <n v="8"/>
    <x v="0"/>
    <x v="0"/>
  </r>
  <r>
    <x v="1"/>
    <x v="3"/>
    <x v="2"/>
    <x v="1"/>
    <x v="0"/>
    <x v="1"/>
    <n v="14"/>
    <x v="1"/>
    <x v="1"/>
  </r>
  <r>
    <x v="1"/>
    <x v="3"/>
    <x v="2"/>
    <x v="1"/>
    <x v="0"/>
    <x v="2"/>
    <n v="6"/>
    <x v="2"/>
    <x v="1"/>
  </r>
  <r>
    <x v="1"/>
    <x v="3"/>
    <x v="2"/>
    <x v="1"/>
    <x v="0"/>
    <x v="3"/>
    <n v="5"/>
    <x v="3"/>
    <x v="1"/>
  </r>
  <r>
    <x v="1"/>
    <x v="3"/>
    <x v="2"/>
    <x v="1"/>
    <x v="0"/>
    <x v="4"/>
    <n v="3"/>
    <x v="4"/>
    <x v="1"/>
  </r>
  <r>
    <x v="1"/>
    <x v="3"/>
    <x v="2"/>
    <x v="1"/>
    <x v="0"/>
    <x v="5"/>
    <n v="5"/>
    <x v="5"/>
    <x v="0"/>
  </r>
  <r>
    <x v="1"/>
    <x v="3"/>
    <x v="2"/>
    <x v="1"/>
    <x v="0"/>
    <x v="6"/>
    <n v="6"/>
    <x v="6"/>
    <x v="0"/>
  </r>
  <r>
    <x v="1"/>
    <x v="3"/>
    <x v="2"/>
    <x v="1"/>
    <x v="0"/>
    <x v="7"/>
    <n v="5"/>
    <x v="7"/>
    <x v="0"/>
  </r>
  <r>
    <x v="1"/>
    <x v="3"/>
    <x v="2"/>
    <x v="1"/>
    <x v="1"/>
    <x v="8"/>
    <n v="5"/>
    <x v="8"/>
    <x v="1"/>
  </r>
  <r>
    <x v="1"/>
    <x v="3"/>
    <x v="2"/>
    <x v="1"/>
    <x v="1"/>
    <x v="9"/>
    <n v="2"/>
    <x v="9"/>
    <x v="1"/>
  </r>
  <r>
    <x v="1"/>
    <x v="3"/>
    <x v="2"/>
    <x v="1"/>
    <x v="1"/>
    <x v="10"/>
    <n v="10"/>
    <x v="10"/>
    <x v="1"/>
  </r>
  <r>
    <x v="1"/>
    <x v="3"/>
    <x v="2"/>
    <x v="1"/>
    <x v="1"/>
    <x v="11"/>
    <n v="5"/>
    <x v="11"/>
    <x v="1"/>
  </r>
  <r>
    <x v="1"/>
    <x v="3"/>
    <x v="2"/>
    <x v="1"/>
    <x v="2"/>
    <x v="12"/>
    <n v="7"/>
    <x v="12"/>
    <x v="0"/>
  </r>
  <r>
    <x v="1"/>
    <x v="3"/>
    <x v="2"/>
    <x v="1"/>
    <x v="2"/>
    <x v="13"/>
    <n v="4"/>
    <x v="13"/>
    <x v="0"/>
  </r>
  <r>
    <x v="1"/>
    <x v="3"/>
    <x v="2"/>
    <x v="1"/>
    <x v="2"/>
    <x v="14"/>
    <n v="4"/>
    <x v="14"/>
    <x v="1"/>
  </r>
  <r>
    <x v="1"/>
    <x v="3"/>
    <x v="2"/>
    <x v="1"/>
    <x v="2"/>
    <x v="15"/>
    <n v="6"/>
    <x v="15"/>
    <x v="1"/>
  </r>
  <r>
    <x v="1"/>
    <x v="3"/>
    <x v="2"/>
    <x v="1"/>
    <x v="2"/>
    <x v="16"/>
    <n v="11"/>
    <x v="16"/>
    <x v="1"/>
  </r>
  <r>
    <x v="1"/>
    <x v="3"/>
    <x v="2"/>
    <x v="1"/>
    <x v="2"/>
    <x v="17"/>
    <n v="2"/>
    <x v="17"/>
    <x v="1"/>
  </r>
  <r>
    <x v="1"/>
    <x v="3"/>
    <x v="2"/>
    <x v="1"/>
    <x v="2"/>
    <x v="18"/>
    <n v="5"/>
    <x v="18"/>
    <x v="0"/>
  </r>
  <r>
    <x v="1"/>
    <x v="3"/>
    <x v="2"/>
    <x v="1"/>
    <x v="2"/>
    <x v="19"/>
    <n v="4"/>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1"/>
    <x v="17"/>
    <x v="1"/>
  </r>
  <r>
    <x v="1"/>
    <x v="3"/>
    <x v="2"/>
    <x v="2"/>
    <x v="2"/>
    <x v="18"/>
    <n v="0"/>
    <x v="18"/>
    <x v="0"/>
  </r>
  <r>
    <x v="1"/>
    <x v="3"/>
    <x v="2"/>
    <x v="2"/>
    <x v="2"/>
    <x v="19"/>
    <n v="0"/>
    <x v="19"/>
    <x v="0"/>
  </r>
  <r>
    <x v="2"/>
    <x v="4"/>
    <x v="2"/>
    <x v="0"/>
    <x v="0"/>
    <x v="0"/>
    <n v="40"/>
    <x v="0"/>
    <x v="0"/>
  </r>
  <r>
    <x v="2"/>
    <x v="4"/>
    <x v="2"/>
    <x v="0"/>
    <x v="0"/>
    <x v="1"/>
    <n v="53"/>
    <x v="1"/>
    <x v="1"/>
  </r>
  <r>
    <x v="2"/>
    <x v="4"/>
    <x v="2"/>
    <x v="0"/>
    <x v="0"/>
    <x v="2"/>
    <n v="49"/>
    <x v="2"/>
    <x v="1"/>
  </r>
  <r>
    <x v="2"/>
    <x v="4"/>
    <x v="2"/>
    <x v="0"/>
    <x v="0"/>
    <x v="3"/>
    <n v="47"/>
    <x v="3"/>
    <x v="1"/>
  </r>
  <r>
    <x v="2"/>
    <x v="4"/>
    <x v="2"/>
    <x v="0"/>
    <x v="0"/>
    <x v="4"/>
    <n v="39"/>
    <x v="4"/>
    <x v="1"/>
  </r>
  <r>
    <x v="2"/>
    <x v="4"/>
    <x v="2"/>
    <x v="0"/>
    <x v="0"/>
    <x v="5"/>
    <n v="63"/>
    <x v="5"/>
    <x v="0"/>
  </r>
  <r>
    <x v="2"/>
    <x v="4"/>
    <x v="2"/>
    <x v="0"/>
    <x v="0"/>
    <x v="6"/>
    <n v="61"/>
    <x v="6"/>
    <x v="0"/>
  </r>
  <r>
    <x v="2"/>
    <x v="4"/>
    <x v="2"/>
    <x v="0"/>
    <x v="0"/>
    <x v="7"/>
    <n v="50"/>
    <x v="7"/>
    <x v="0"/>
  </r>
  <r>
    <x v="2"/>
    <x v="4"/>
    <x v="2"/>
    <x v="0"/>
    <x v="1"/>
    <x v="8"/>
    <n v="59"/>
    <x v="8"/>
    <x v="1"/>
  </r>
  <r>
    <x v="2"/>
    <x v="4"/>
    <x v="2"/>
    <x v="0"/>
    <x v="1"/>
    <x v="9"/>
    <n v="49"/>
    <x v="9"/>
    <x v="1"/>
  </r>
  <r>
    <x v="2"/>
    <x v="4"/>
    <x v="2"/>
    <x v="0"/>
    <x v="1"/>
    <x v="10"/>
    <n v="62"/>
    <x v="10"/>
    <x v="1"/>
  </r>
  <r>
    <x v="2"/>
    <x v="4"/>
    <x v="2"/>
    <x v="0"/>
    <x v="1"/>
    <x v="11"/>
    <n v="62"/>
    <x v="11"/>
    <x v="1"/>
  </r>
  <r>
    <x v="2"/>
    <x v="4"/>
    <x v="2"/>
    <x v="0"/>
    <x v="2"/>
    <x v="12"/>
    <n v="126"/>
    <x v="12"/>
    <x v="0"/>
  </r>
  <r>
    <x v="2"/>
    <x v="4"/>
    <x v="2"/>
    <x v="0"/>
    <x v="2"/>
    <x v="13"/>
    <n v="113"/>
    <x v="13"/>
    <x v="0"/>
  </r>
  <r>
    <x v="2"/>
    <x v="4"/>
    <x v="2"/>
    <x v="0"/>
    <x v="2"/>
    <x v="14"/>
    <n v="129"/>
    <x v="14"/>
    <x v="1"/>
  </r>
  <r>
    <x v="2"/>
    <x v="4"/>
    <x v="2"/>
    <x v="0"/>
    <x v="2"/>
    <x v="15"/>
    <n v="107"/>
    <x v="15"/>
    <x v="1"/>
  </r>
  <r>
    <x v="2"/>
    <x v="4"/>
    <x v="2"/>
    <x v="0"/>
    <x v="2"/>
    <x v="16"/>
    <n v="128"/>
    <x v="16"/>
    <x v="1"/>
  </r>
  <r>
    <x v="2"/>
    <x v="4"/>
    <x v="2"/>
    <x v="0"/>
    <x v="2"/>
    <x v="17"/>
    <n v="91"/>
    <x v="17"/>
    <x v="1"/>
  </r>
  <r>
    <x v="2"/>
    <x v="4"/>
    <x v="2"/>
    <x v="0"/>
    <x v="2"/>
    <x v="18"/>
    <n v="91"/>
    <x v="18"/>
    <x v="0"/>
  </r>
  <r>
    <x v="2"/>
    <x v="4"/>
    <x v="2"/>
    <x v="0"/>
    <x v="2"/>
    <x v="19"/>
    <n v="107"/>
    <x v="19"/>
    <x v="0"/>
  </r>
  <r>
    <x v="2"/>
    <x v="4"/>
    <x v="2"/>
    <x v="1"/>
    <x v="0"/>
    <x v="0"/>
    <n v="6"/>
    <x v="0"/>
    <x v="0"/>
  </r>
  <r>
    <x v="2"/>
    <x v="4"/>
    <x v="2"/>
    <x v="1"/>
    <x v="0"/>
    <x v="1"/>
    <n v="7"/>
    <x v="1"/>
    <x v="1"/>
  </r>
  <r>
    <x v="2"/>
    <x v="4"/>
    <x v="2"/>
    <x v="1"/>
    <x v="0"/>
    <x v="2"/>
    <n v="6"/>
    <x v="2"/>
    <x v="1"/>
  </r>
  <r>
    <x v="2"/>
    <x v="4"/>
    <x v="2"/>
    <x v="1"/>
    <x v="0"/>
    <x v="3"/>
    <n v="12"/>
    <x v="3"/>
    <x v="1"/>
  </r>
  <r>
    <x v="2"/>
    <x v="4"/>
    <x v="2"/>
    <x v="1"/>
    <x v="0"/>
    <x v="4"/>
    <n v="6"/>
    <x v="4"/>
    <x v="1"/>
  </r>
  <r>
    <x v="2"/>
    <x v="4"/>
    <x v="2"/>
    <x v="1"/>
    <x v="0"/>
    <x v="5"/>
    <n v="8"/>
    <x v="5"/>
    <x v="0"/>
  </r>
  <r>
    <x v="2"/>
    <x v="4"/>
    <x v="2"/>
    <x v="1"/>
    <x v="0"/>
    <x v="6"/>
    <n v="8"/>
    <x v="6"/>
    <x v="0"/>
  </r>
  <r>
    <x v="2"/>
    <x v="4"/>
    <x v="2"/>
    <x v="1"/>
    <x v="0"/>
    <x v="7"/>
    <n v="5"/>
    <x v="7"/>
    <x v="0"/>
  </r>
  <r>
    <x v="2"/>
    <x v="4"/>
    <x v="2"/>
    <x v="1"/>
    <x v="1"/>
    <x v="8"/>
    <n v="12"/>
    <x v="8"/>
    <x v="1"/>
  </r>
  <r>
    <x v="2"/>
    <x v="4"/>
    <x v="2"/>
    <x v="1"/>
    <x v="1"/>
    <x v="9"/>
    <n v="5"/>
    <x v="9"/>
    <x v="1"/>
  </r>
  <r>
    <x v="2"/>
    <x v="4"/>
    <x v="2"/>
    <x v="1"/>
    <x v="1"/>
    <x v="10"/>
    <n v="10"/>
    <x v="10"/>
    <x v="1"/>
  </r>
  <r>
    <x v="2"/>
    <x v="4"/>
    <x v="2"/>
    <x v="1"/>
    <x v="1"/>
    <x v="11"/>
    <n v="11"/>
    <x v="11"/>
    <x v="1"/>
  </r>
  <r>
    <x v="2"/>
    <x v="4"/>
    <x v="2"/>
    <x v="1"/>
    <x v="2"/>
    <x v="12"/>
    <n v="5"/>
    <x v="12"/>
    <x v="0"/>
  </r>
  <r>
    <x v="2"/>
    <x v="4"/>
    <x v="2"/>
    <x v="1"/>
    <x v="2"/>
    <x v="13"/>
    <n v="8"/>
    <x v="13"/>
    <x v="0"/>
  </r>
  <r>
    <x v="2"/>
    <x v="4"/>
    <x v="2"/>
    <x v="1"/>
    <x v="2"/>
    <x v="14"/>
    <n v="5"/>
    <x v="14"/>
    <x v="1"/>
  </r>
  <r>
    <x v="2"/>
    <x v="4"/>
    <x v="2"/>
    <x v="1"/>
    <x v="2"/>
    <x v="15"/>
    <n v="4"/>
    <x v="15"/>
    <x v="1"/>
  </r>
  <r>
    <x v="2"/>
    <x v="4"/>
    <x v="2"/>
    <x v="1"/>
    <x v="2"/>
    <x v="16"/>
    <n v="2"/>
    <x v="16"/>
    <x v="1"/>
  </r>
  <r>
    <x v="2"/>
    <x v="4"/>
    <x v="2"/>
    <x v="1"/>
    <x v="2"/>
    <x v="17"/>
    <n v="5"/>
    <x v="17"/>
    <x v="1"/>
  </r>
  <r>
    <x v="2"/>
    <x v="4"/>
    <x v="2"/>
    <x v="1"/>
    <x v="2"/>
    <x v="18"/>
    <n v="6"/>
    <x v="18"/>
    <x v="0"/>
  </r>
  <r>
    <x v="2"/>
    <x v="4"/>
    <x v="2"/>
    <x v="1"/>
    <x v="2"/>
    <x v="19"/>
    <n v="5"/>
    <x v="19"/>
    <x v="0"/>
  </r>
  <r>
    <x v="2"/>
    <x v="4"/>
    <x v="2"/>
    <x v="2"/>
    <x v="0"/>
    <x v="0"/>
    <n v="0"/>
    <x v="0"/>
    <x v="0"/>
  </r>
  <r>
    <x v="2"/>
    <x v="4"/>
    <x v="2"/>
    <x v="2"/>
    <x v="0"/>
    <x v="1"/>
    <n v="1"/>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1"/>
    <x v="8"/>
    <x v="1"/>
  </r>
  <r>
    <x v="2"/>
    <x v="4"/>
    <x v="2"/>
    <x v="2"/>
    <x v="1"/>
    <x v="9"/>
    <n v="0"/>
    <x v="9"/>
    <x v="1"/>
  </r>
  <r>
    <x v="2"/>
    <x v="4"/>
    <x v="2"/>
    <x v="2"/>
    <x v="1"/>
    <x v="10"/>
    <n v="0"/>
    <x v="10"/>
    <x v="1"/>
  </r>
  <r>
    <x v="2"/>
    <x v="4"/>
    <x v="2"/>
    <x v="2"/>
    <x v="1"/>
    <x v="11"/>
    <n v="1"/>
    <x v="11"/>
    <x v="1"/>
  </r>
  <r>
    <x v="2"/>
    <x v="4"/>
    <x v="2"/>
    <x v="2"/>
    <x v="2"/>
    <x v="12"/>
    <n v="1"/>
    <x v="12"/>
    <x v="0"/>
  </r>
  <r>
    <x v="2"/>
    <x v="4"/>
    <x v="2"/>
    <x v="2"/>
    <x v="2"/>
    <x v="13"/>
    <n v="1"/>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0"/>
    <x v="0"/>
    <x v="0"/>
  </r>
  <r>
    <x v="2"/>
    <x v="5"/>
    <x v="0"/>
    <x v="0"/>
    <x v="0"/>
    <x v="1"/>
    <n v="0"/>
    <x v="1"/>
    <x v="1"/>
  </r>
  <r>
    <x v="2"/>
    <x v="5"/>
    <x v="0"/>
    <x v="0"/>
    <x v="0"/>
    <x v="2"/>
    <n v="0"/>
    <x v="2"/>
    <x v="1"/>
  </r>
  <r>
    <x v="2"/>
    <x v="5"/>
    <x v="0"/>
    <x v="0"/>
    <x v="0"/>
    <x v="3"/>
    <n v="0"/>
    <x v="3"/>
    <x v="1"/>
  </r>
  <r>
    <x v="2"/>
    <x v="5"/>
    <x v="0"/>
    <x v="0"/>
    <x v="0"/>
    <x v="4"/>
    <n v="0"/>
    <x v="4"/>
    <x v="1"/>
  </r>
  <r>
    <x v="2"/>
    <x v="5"/>
    <x v="0"/>
    <x v="0"/>
    <x v="0"/>
    <x v="5"/>
    <n v="0"/>
    <x v="5"/>
    <x v="0"/>
  </r>
  <r>
    <x v="2"/>
    <x v="5"/>
    <x v="0"/>
    <x v="0"/>
    <x v="0"/>
    <x v="6"/>
    <n v="0"/>
    <x v="6"/>
    <x v="0"/>
  </r>
  <r>
    <x v="2"/>
    <x v="5"/>
    <x v="0"/>
    <x v="0"/>
    <x v="0"/>
    <x v="7"/>
    <n v="1"/>
    <x v="7"/>
    <x v="0"/>
  </r>
  <r>
    <x v="2"/>
    <x v="5"/>
    <x v="0"/>
    <x v="0"/>
    <x v="1"/>
    <x v="8"/>
    <n v="0"/>
    <x v="8"/>
    <x v="1"/>
  </r>
  <r>
    <x v="2"/>
    <x v="5"/>
    <x v="0"/>
    <x v="0"/>
    <x v="1"/>
    <x v="9"/>
    <n v="1"/>
    <x v="9"/>
    <x v="1"/>
  </r>
  <r>
    <x v="2"/>
    <x v="5"/>
    <x v="0"/>
    <x v="0"/>
    <x v="1"/>
    <x v="10"/>
    <n v="0"/>
    <x v="10"/>
    <x v="1"/>
  </r>
  <r>
    <x v="2"/>
    <x v="5"/>
    <x v="0"/>
    <x v="0"/>
    <x v="1"/>
    <x v="11"/>
    <n v="0"/>
    <x v="11"/>
    <x v="1"/>
  </r>
  <r>
    <x v="2"/>
    <x v="5"/>
    <x v="0"/>
    <x v="0"/>
    <x v="2"/>
    <x v="12"/>
    <n v="0"/>
    <x v="12"/>
    <x v="0"/>
  </r>
  <r>
    <x v="2"/>
    <x v="5"/>
    <x v="0"/>
    <x v="0"/>
    <x v="2"/>
    <x v="13"/>
    <n v="2"/>
    <x v="13"/>
    <x v="0"/>
  </r>
  <r>
    <x v="2"/>
    <x v="5"/>
    <x v="0"/>
    <x v="0"/>
    <x v="2"/>
    <x v="14"/>
    <n v="2"/>
    <x v="14"/>
    <x v="1"/>
  </r>
  <r>
    <x v="2"/>
    <x v="5"/>
    <x v="0"/>
    <x v="0"/>
    <x v="2"/>
    <x v="15"/>
    <n v="0"/>
    <x v="15"/>
    <x v="1"/>
  </r>
  <r>
    <x v="2"/>
    <x v="5"/>
    <x v="0"/>
    <x v="0"/>
    <x v="2"/>
    <x v="16"/>
    <n v="0"/>
    <x v="16"/>
    <x v="1"/>
  </r>
  <r>
    <x v="2"/>
    <x v="5"/>
    <x v="0"/>
    <x v="0"/>
    <x v="2"/>
    <x v="17"/>
    <n v="3"/>
    <x v="17"/>
    <x v="1"/>
  </r>
  <r>
    <x v="2"/>
    <x v="5"/>
    <x v="0"/>
    <x v="0"/>
    <x v="2"/>
    <x v="18"/>
    <n v="3"/>
    <x v="18"/>
    <x v="0"/>
  </r>
  <r>
    <x v="2"/>
    <x v="5"/>
    <x v="0"/>
    <x v="0"/>
    <x v="2"/>
    <x v="19"/>
    <n v="1"/>
    <x v="19"/>
    <x v="0"/>
  </r>
  <r>
    <x v="2"/>
    <x v="5"/>
    <x v="0"/>
    <x v="1"/>
    <x v="0"/>
    <x v="0"/>
    <n v="0"/>
    <x v="0"/>
    <x v="0"/>
  </r>
  <r>
    <x v="2"/>
    <x v="5"/>
    <x v="0"/>
    <x v="1"/>
    <x v="0"/>
    <x v="1"/>
    <n v="0"/>
    <x v="1"/>
    <x v="1"/>
  </r>
  <r>
    <x v="2"/>
    <x v="5"/>
    <x v="0"/>
    <x v="1"/>
    <x v="0"/>
    <x v="2"/>
    <n v="0"/>
    <x v="2"/>
    <x v="1"/>
  </r>
  <r>
    <x v="2"/>
    <x v="5"/>
    <x v="0"/>
    <x v="1"/>
    <x v="0"/>
    <x v="3"/>
    <n v="0"/>
    <x v="3"/>
    <x v="1"/>
  </r>
  <r>
    <x v="2"/>
    <x v="5"/>
    <x v="0"/>
    <x v="1"/>
    <x v="0"/>
    <x v="4"/>
    <n v="0"/>
    <x v="4"/>
    <x v="1"/>
  </r>
  <r>
    <x v="2"/>
    <x v="5"/>
    <x v="0"/>
    <x v="1"/>
    <x v="0"/>
    <x v="5"/>
    <n v="0"/>
    <x v="5"/>
    <x v="0"/>
  </r>
  <r>
    <x v="2"/>
    <x v="5"/>
    <x v="0"/>
    <x v="1"/>
    <x v="0"/>
    <x v="6"/>
    <n v="0"/>
    <x v="6"/>
    <x v="0"/>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6"/>
        <item m="1" x="3"/>
        <item m="1" x="5"/>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F40" sqref="F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44139</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Dyers Road North</v>
      </c>
      <c r="C4" s="1" t="str">
        <f>Input!C31</f>
        <v>Dyers Road South</v>
      </c>
      <c r="D4" s="1" t="str">
        <f>Input!C42</f>
        <v>Palinirus Road West</v>
      </c>
      <c r="E4" s="1">
        <f>Input!C53</f>
        <v>0</v>
      </c>
      <c r="F4" s="1">
        <f>Input!C64</f>
        <v>0</v>
      </c>
      <c r="G4" s="1">
        <f>Input!C75</f>
        <v>0</v>
      </c>
      <c r="H4" s="1">
        <f>Input!C86</f>
        <v>0</v>
      </c>
    </row>
    <row r="6" spans="2:8" x14ac:dyDescent="0.25">
      <c r="B6" t="s">
        <v>18</v>
      </c>
    </row>
    <row r="8" spans="2:8" x14ac:dyDescent="0.25">
      <c r="B8" s="1" t="str">
        <f>Input!C22</f>
        <v>Thru to Dyers Road South</v>
      </c>
      <c r="C8" s="1" t="str">
        <f>Input!C33</f>
        <v>Left into Palinirus Road West</v>
      </c>
      <c r="D8" s="1" t="str">
        <f>Input!C44</f>
        <v>Left into Dyers Road North</v>
      </c>
      <c r="E8" s="1">
        <f>Input!C55</f>
        <v>0</v>
      </c>
      <c r="F8" s="1">
        <f>Input!C66</f>
        <v>0</v>
      </c>
      <c r="G8" s="1">
        <f>Input!C77</f>
        <v>0</v>
      </c>
      <c r="H8" s="1">
        <f>Input!C88</f>
        <v>0</v>
      </c>
    </row>
    <row r="9" spans="2:8" x14ac:dyDescent="0.25">
      <c r="B9" s="1" t="str">
        <f>Input!C23</f>
        <v>Right into Palinirus Road West</v>
      </c>
      <c r="C9" s="1" t="str">
        <f>Input!C34</f>
        <v>Thru to Dyers Road North</v>
      </c>
      <c r="D9" s="1" t="str">
        <f>Input!C45</f>
        <v>Right into Dyers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Dyers Road South</v>
      </c>
      <c r="C18" s="1" t="str">
        <f>Input!E33</f>
        <v>Palinirus Road West</v>
      </c>
      <c r="D18" s="1" t="str">
        <f>Input!E44</f>
        <v>Dyers Road North</v>
      </c>
      <c r="E18" s="1">
        <f>Input!E55</f>
        <v>0</v>
      </c>
      <c r="F18" s="1">
        <f>Input!E66</f>
        <v>0</v>
      </c>
      <c r="G18" s="1">
        <f>Input!E77</f>
        <v>0</v>
      </c>
      <c r="H18" s="1">
        <f>Input!E88</f>
        <v>0</v>
      </c>
    </row>
    <row r="19" spans="2:8" x14ac:dyDescent="0.25">
      <c r="B19" s="1" t="str">
        <f>Input!E23</f>
        <v>Palinirus Road West</v>
      </c>
      <c r="C19" s="1" t="str">
        <f>Input!E34</f>
        <v>Dyers Road North</v>
      </c>
      <c r="D19" s="1" t="str">
        <f>Input!E45</f>
        <v>Dyers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44</v>
      </c>
      <c r="D8">
        <v>4</v>
      </c>
      <c r="E8">
        <v>0</v>
      </c>
      <c r="F8" s="28">
        <v>96</v>
      </c>
      <c r="G8">
        <v>5</v>
      </c>
      <c r="H8">
        <v>1</v>
      </c>
      <c r="I8" s="31">
        <v>0</v>
      </c>
      <c r="J8">
        <v>0</v>
      </c>
      <c r="K8">
        <v>1</v>
      </c>
      <c r="L8" s="28">
        <v>34</v>
      </c>
      <c r="M8">
        <v>8</v>
      </c>
      <c r="N8">
        <v>0</v>
      </c>
      <c r="O8" s="31">
        <v>40</v>
      </c>
      <c r="P8">
        <v>6</v>
      </c>
      <c r="Q8">
        <v>0</v>
      </c>
      <c r="R8" s="28">
        <v>0</v>
      </c>
      <c r="S8">
        <v>0</v>
      </c>
      <c r="T8" s="34">
        <v>0</v>
      </c>
    </row>
    <row r="9" spans="1:20" x14ac:dyDescent="0.25">
      <c r="A9" s="2" t="s">
        <v>43</v>
      </c>
      <c r="B9" s="7">
        <v>0.30208333333333331</v>
      </c>
      <c r="C9" s="31">
        <v>88</v>
      </c>
      <c r="D9">
        <v>1</v>
      </c>
      <c r="E9">
        <v>0</v>
      </c>
      <c r="F9" s="28">
        <v>148</v>
      </c>
      <c r="G9">
        <v>8</v>
      </c>
      <c r="H9">
        <v>2</v>
      </c>
      <c r="I9" s="31">
        <v>0</v>
      </c>
      <c r="J9">
        <v>0</v>
      </c>
      <c r="K9">
        <v>0</v>
      </c>
      <c r="L9" s="28">
        <v>35</v>
      </c>
      <c r="M9">
        <v>14</v>
      </c>
      <c r="N9">
        <v>0</v>
      </c>
      <c r="O9" s="31">
        <v>53</v>
      </c>
      <c r="P9">
        <v>7</v>
      </c>
      <c r="Q9">
        <v>1</v>
      </c>
      <c r="R9" s="28">
        <v>0</v>
      </c>
      <c r="S9">
        <v>0</v>
      </c>
      <c r="T9" s="34">
        <v>0</v>
      </c>
    </row>
    <row r="10" spans="1:20" x14ac:dyDescent="0.25">
      <c r="A10" s="2" t="s">
        <v>43</v>
      </c>
      <c r="B10" s="7">
        <v>0.3125</v>
      </c>
      <c r="C10" s="31">
        <v>68</v>
      </c>
      <c r="D10">
        <v>3</v>
      </c>
      <c r="E10">
        <v>0</v>
      </c>
      <c r="F10" s="28">
        <v>142</v>
      </c>
      <c r="G10">
        <v>13</v>
      </c>
      <c r="H10">
        <v>2</v>
      </c>
      <c r="I10" s="31">
        <v>0</v>
      </c>
      <c r="J10">
        <v>0</v>
      </c>
      <c r="K10">
        <v>0</v>
      </c>
      <c r="L10" s="28">
        <v>49</v>
      </c>
      <c r="M10">
        <v>6</v>
      </c>
      <c r="N10">
        <v>0</v>
      </c>
      <c r="O10" s="31">
        <v>49</v>
      </c>
      <c r="P10">
        <v>6</v>
      </c>
      <c r="Q10">
        <v>0</v>
      </c>
      <c r="R10" s="28">
        <v>0</v>
      </c>
      <c r="S10">
        <v>0</v>
      </c>
      <c r="T10" s="34">
        <v>0</v>
      </c>
    </row>
    <row r="11" spans="1:20" x14ac:dyDescent="0.25">
      <c r="A11" s="2" t="s">
        <v>43</v>
      </c>
      <c r="B11" s="7">
        <v>0.32291666666666669</v>
      </c>
      <c r="C11" s="31">
        <v>82</v>
      </c>
      <c r="D11">
        <v>7</v>
      </c>
      <c r="E11">
        <v>0</v>
      </c>
      <c r="F11" s="28">
        <v>121</v>
      </c>
      <c r="G11">
        <v>7</v>
      </c>
      <c r="H11">
        <v>1</v>
      </c>
      <c r="I11" s="31">
        <v>0</v>
      </c>
      <c r="J11">
        <v>0</v>
      </c>
      <c r="K11">
        <v>0</v>
      </c>
      <c r="L11" s="28">
        <v>51</v>
      </c>
      <c r="M11">
        <v>5</v>
      </c>
      <c r="N11">
        <v>0</v>
      </c>
      <c r="O11" s="31">
        <v>47</v>
      </c>
      <c r="P11">
        <v>12</v>
      </c>
      <c r="Q11">
        <v>0</v>
      </c>
      <c r="R11" s="28">
        <v>0</v>
      </c>
      <c r="S11">
        <v>0</v>
      </c>
      <c r="T11" s="34">
        <v>0</v>
      </c>
    </row>
    <row r="12" spans="1:20" x14ac:dyDescent="0.25">
      <c r="A12" s="2" t="s">
        <v>43</v>
      </c>
      <c r="B12" s="7">
        <v>0.33333333333333331</v>
      </c>
      <c r="C12" s="31">
        <v>63</v>
      </c>
      <c r="D12">
        <v>5</v>
      </c>
      <c r="E12">
        <v>0</v>
      </c>
      <c r="F12" s="28">
        <v>123</v>
      </c>
      <c r="G12">
        <v>6</v>
      </c>
      <c r="H12">
        <v>1</v>
      </c>
      <c r="I12" s="31">
        <v>0</v>
      </c>
      <c r="J12">
        <v>0</v>
      </c>
      <c r="K12">
        <v>0</v>
      </c>
      <c r="L12" s="28">
        <v>65</v>
      </c>
      <c r="M12">
        <v>3</v>
      </c>
      <c r="N12">
        <v>0</v>
      </c>
      <c r="O12" s="31">
        <v>39</v>
      </c>
      <c r="P12">
        <v>6</v>
      </c>
      <c r="Q12">
        <v>0</v>
      </c>
      <c r="R12" s="28">
        <v>0</v>
      </c>
      <c r="S12">
        <v>0</v>
      </c>
      <c r="T12" s="34">
        <v>0</v>
      </c>
    </row>
    <row r="13" spans="1:20" x14ac:dyDescent="0.25">
      <c r="A13" s="2" t="s">
        <v>43</v>
      </c>
      <c r="B13" s="7">
        <v>0.34375</v>
      </c>
      <c r="C13" s="31">
        <v>68</v>
      </c>
      <c r="D13">
        <v>2</v>
      </c>
      <c r="E13">
        <v>0</v>
      </c>
      <c r="F13" s="28">
        <v>112</v>
      </c>
      <c r="G13">
        <v>6</v>
      </c>
      <c r="H13">
        <v>1</v>
      </c>
      <c r="I13" s="31">
        <v>0</v>
      </c>
      <c r="J13">
        <v>0</v>
      </c>
      <c r="K13">
        <v>0</v>
      </c>
      <c r="L13" s="28">
        <v>44</v>
      </c>
      <c r="M13">
        <v>5</v>
      </c>
      <c r="N13">
        <v>0</v>
      </c>
      <c r="O13" s="31">
        <v>63</v>
      </c>
      <c r="P13">
        <v>8</v>
      </c>
      <c r="Q13">
        <v>0</v>
      </c>
      <c r="R13" s="28">
        <v>0</v>
      </c>
      <c r="S13">
        <v>0</v>
      </c>
      <c r="T13" s="34">
        <v>0</v>
      </c>
    </row>
    <row r="14" spans="1:20" x14ac:dyDescent="0.25">
      <c r="A14" s="2" t="s">
        <v>43</v>
      </c>
      <c r="B14" s="7">
        <v>0.35416666666666669</v>
      </c>
      <c r="C14" s="31">
        <v>81</v>
      </c>
      <c r="D14">
        <v>2</v>
      </c>
      <c r="E14">
        <v>0</v>
      </c>
      <c r="F14" s="28">
        <v>121</v>
      </c>
      <c r="G14">
        <v>10</v>
      </c>
      <c r="H14">
        <v>0</v>
      </c>
      <c r="I14" s="31">
        <v>0</v>
      </c>
      <c r="J14">
        <v>0</v>
      </c>
      <c r="K14">
        <v>0</v>
      </c>
      <c r="L14" s="28">
        <v>44</v>
      </c>
      <c r="M14">
        <v>6</v>
      </c>
      <c r="N14">
        <v>0</v>
      </c>
      <c r="O14" s="31">
        <v>61</v>
      </c>
      <c r="P14">
        <v>8</v>
      </c>
      <c r="Q14">
        <v>0</v>
      </c>
      <c r="R14" s="28">
        <v>0</v>
      </c>
      <c r="S14">
        <v>0</v>
      </c>
      <c r="T14" s="34">
        <v>0</v>
      </c>
    </row>
    <row r="15" spans="1:20" ht="15.75" thickBot="1" x14ac:dyDescent="0.3">
      <c r="A15" s="2" t="s">
        <v>43</v>
      </c>
      <c r="B15" s="7">
        <v>0.36458333333333331</v>
      </c>
      <c r="C15" s="31">
        <v>55</v>
      </c>
      <c r="D15">
        <v>7</v>
      </c>
      <c r="E15">
        <v>0</v>
      </c>
      <c r="F15" s="28">
        <v>75</v>
      </c>
      <c r="G15">
        <v>7</v>
      </c>
      <c r="H15">
        <v>0</v>
      </c>
      <c r="I15" s="31">
        <v>0</v>
      </c>
      <c r="J15">
        <v>0</v>
      </c>
      <c r="K15">
        <v>0</v>
      </c>
      <c r="L15" s="28">
        <v>39</v>
      </c>
      <c r="M15">
        <v>5</v>
      </c>
      <c r="N15">
        <v>0</v>
      </c>
      <c r="O15" s="31">
        <v>50</v>
      </c>
      <c r="P15">
        <v>5</v>
      </c>
      <c r="Q15">
        <v>0</v>
      </c>
      <c r="R15" s="28">
        <v>1</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46</v>
      </c>
      <c r="D17">
        <v>4</v>
      </c>
      <c r="E17">
        <v>0</v>
      </c>
      <c r="F17" s="28">
        <v>73</v>
      </c>
      <c r="G17">
        <v>15</v>
      </c>
      <c r="H17">
        <v>2</v>
      </c>
      <c r="I17" s="31">
        <v>0</v>
      </c>
      <c r="J17">
        <v>0</v>
      </c>
      <c r="K17">
        <v>0</v>
      </c>
      <c r="L17" s="28">
        <v>49</v>
      </c>
      <c r="M17">
        <v>5</v>
      </c>
      <c r="N17">
        <v>0</v>
      </c>
      <c r="O17" s="31">
        <v>59</v>
      </c>
      <c r="P17">
        <v>12</v>
      </c>
      <c r="Q17">
        <v>1</v>
      </c>
      <c r="R17" s="28">
        <v>0</v>
      </c>
      <c r="S17">
        <v>0</v>
      </c>
      <c r="T17" s="34">
        <v>0</v>
      </c>
    </row>
    <row r="18" spans="1:20" x14ac:dyDescent="0.25">
      <c r="A18" s="2" t="s">
        <v>91</v>
      </c>
      <c r="B18" s="7">
        <v>0.55208333333333337</v>
      </c>
      <c r="C18" s="31">
        <v>54</v>
      </c>
      <c r="D18">
        <v>8</v>
      </c>
      <c r="E18">
        <v>0</v>
      </c>
      <c r="F18" s="28">
        <v>65</v>
      </c>
      <c r="G18">
        <v>7</v>
      </c>
      <c r="H18">
        <v>0</v>
      </c>
      <c r="I18" s="31">
        <v>1</v>
      </c>
      <c r="J18">
        <v>0</v>
      </c>
      <c r="K18">
        <v>0</v>
      </c>
      <c r="L18" s="28">
        <v>44</v>
      </c>
      <c r="M18">
        <v>2</v>
      </c>
      <c r="N18">
        <v>0</v>
      </c>
      <c r="O18" s="31">
        <v>49</v>
      </c>
      <c r="P18">
        <v>5</v>
      </c>
      <c r="Q18">
        <v>0</v>
      </c>
      <c r="R18" s="28">
        <v>1</v>
      </c>
      <c r="S18">
        <v>0</v>
      </c>
      <c r="T18" s="34">
        <v>0</v>
      </c>
    </row>
    <row r="19" spans="1:20" x14ac:dyDescent="0.25">
      <c r="A19" s="2" t="s">
        <v>91</v>
      </c>
      <c r="B19" s="7">
        <v>0.5625</v>
      </c>
      <c r="C19" s="31">
        <v>47</v>
      </c>
      <c r="D19">
        <v>7</v>
      </c>
      <c r="E19">
        <v>0</v>
      </c>
      <c r="F19" s="28">
        <v>60</v>
      </c>
      <c r="G19">
        <v>10</v>
      </c>
      <c r="H19">
        <v>0</v>
      </c>
      <c r="I19" s="31">
        <v>0</v>
      </c>
      <c r="J19">
        <v>0</v>
      </c>
      <c r="K19">
        <v>0</v>
      </c>
      <c r="L19" s="28">
        <v>55</v>
      </c>
      <c r="M19">
        <v>10</v>
      </c>
      <c r="N19">
        <v>0</v>
      </c>
      <c r="O19" s="31">
        <v>62</v>
      </c>
      <c r="P19">
        <v>10</v>
      </c>
      <c r="Q19">
        <v>0</v>
      </c>
      <c r="R19" s="28">
        <v>0</v>
      </c>
      <c r="S19">
        <v>0</v>
      </c>
      <c r="T19" s="34">
        <v>0</v>
      </c>
    </row>
    <row r="20" spans="1:20" ht="15.75" thickBot="1" x14ac:dyDescent="0.3">
      <c r="A20" s="2" t="s">
        <v>91</v>
      </c>
      <c r="B20" s="7">
        <v>0.57291666666666663</v>
      </c>
      <c r="C20" s="31">
        <v>41</v>
      </c>
      <c r="D20">
        <v>4</v>
      </c>
      <c r="E20">
        <v>0</v>
      </c>
      <c r="F20" s="28">
        <v>53</v>
      </c>
      <c r="G20">
        <v>11</v>
      </c>
      <c r="H20">
        <v>0</v>
      </c>
      <c r="I20" s="31">
        <v>1</v>
      </c>
      <c r="J20">
        <v>0</v>
      </c>
      <c r="K20">
        <v>0</v>
      </c>
      <c r="L20" s="28">
        <v>59</v>
      </c>
      <c r="M20">
        <v>5</v>
      </c>
      <c r="N20">
        <v>0</v>
      </c>
      <c r="O20" s="31">
        <v>62</v>
      </c>
      <c r="P20">
        <v>11</v>
      </c>
      <c r="Q20">
        <v>1</v>
      </c>
      <c r="R20" s="28">
        <v>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58</v>
      </c>
      <c r="D22">
        <v>5</v>
      </c>
      <c r="E22">
        <v>2</v>
      </c>
      <c r="F22" s="28">
        <v>67</v>
      </c>
      <c r="G22">
        <v>15</v>
      </c>
      <c r="H22">
        <v>0</v>
      </c>
      <c r="I22" s="31">
        <v>0</v>
      </c>
      <c r="J22">
        <v>0</v>
      </c>
      <c r="K22">
        <v>0</v>
      </c>
      <c r="L22" s="28">
        <v>98</v>
      </c>
      <c r="M22">
        <v>7</v>
      </c>
      <c r="N22">
        <v>0</v>
      </c>
      <c r="O22" s="31">
        <v>126</v>
      </c>
      <c r="P22">
        <v>5</v>
      </c>
      <c r="Q22">
        <v>1</v>
      </c>
      <c r="R22" s="28">
        <v>0</v>
      </c>
      <c r="S22">
        <v>0</v>
      </c>
      <c r="T22" s="34">
        <v>0</v>
      </c>
    </row>
    <row r="23" spans="1:20" x14ac:dyDescent="0.25">
      <c r="A23" s="2" t="s">
        <v>44</v>
      </c>
      <c r="B23" s="7">
        <v>0.67708333333333337</v>
      </c>
      <c r="C23" s="31">
        <v>54</v>
      </c>
      <c r="D23">
        <v>3</v>
      </c>
      <c r="E23">
        <v>1</v>
      </c>
      <c r="F23" s="28">
        <v>56</v>
      </c>
      <c r="G23">
        <v>4</v>
      </c>
      <c r="H23">
        <v>1</v>
      </c>
      <c r="I23" s="31">
        <v>0</v>
      </c>
      <c r="J23">
        <v>0</v>
      </c>
      <c r="K23">
        <v>0</v>
      </c>
      <c r="L23" s="28">
        <v>74</v>
      </c>
      <c r="M23">
        <v>4</v>
      </c>
      <c r="N23">
        <v>0</v>
      </c>
      <c r="O23" s="31">
        <v>113</v>
      </c>
      <c r="P23">
        <v>8</v>
      </c>
      <c r="Q23">
        <v>1</v>
      </c>
      <c r="R23" s="28">
        <v>2</v>
      </c>
      <c r="S23">
        <v>0</v>
      </c>
      <c r="T23" s="34">
        <v>0</v>
      </c>
    </row>
    <row r="24" spans="1:20" x14ac:dyDescent="0.25">
      <c r="A24" s="2" t="s">
        <v>44</v>
      </c>
      <c r="B24" s="7">
        <v>0.6875</v>
      </c>
      <c r="C24" s="31">
        <v>66</v>
      </c>
      <c r="D24">
        <v>5</v>
      </c>
      <c r="E24">
        <v>0</v>
      </c>
      <c r="F24" s="28">
        <v>87</v>
      </c>
      <c r="G24">
        <v>10</v>
      </c>
      <c r="H24">
        <v>0</v>
      </c>
      <c r="I24" s="31">
        <v>0</v>
      </c>
      <c r="J24">
        <v>0</v>
      </c>
      <c r="K24">
        <v>0</v>
      </c>
      <c r="L24" s="28">
        <v>115</v>
      </c>
      <c r="M24">
        <v>4</v>
      </c>
      <c r="N24">
        <v>0</v>
      </c>
      <c r="O24" s="31">
        <v>129</v>
      </c>
      <c r="P24">
        <v>5</v>
      </c>
      <c r="Q24">
        <v>0</v>
      </c>
      <c r="R24" s="28">
        <v>2</v>
      </c>
      <c r="S24">
        <v>0</v>
      </c>
      <c r="T24" s="34">
        <v>0</v>
      </c>
    </row>
    <row r="25" spans="1:20" x14ac:dyDescent="0.25">
      <c r="A25" s="2" t="s">
        <v>44</v>
      </c>
      <c r="B25" s="7">
        <v>0.69791666666666663</v>
      </c>
      <c r="C25" s="31">
        <v>65</v>
      </c>
      <c r="D25">
        <v>1</v>
      </c>
      <c r="E25">
        <v>1</v>
      </c>
      <c r="F25" s="28">
        <v>73</v>
      </c>
      <c r="G25">
        <v>0</v>
      </c>
      <c r="H25">
        <v>0</v>
      </c>
      <c r="I25" s="31">
        <v>1</v>
      </c>
      <c r="J25">
        <v>0</v>
      </c>
      <c r="K25">
        <v>0</v>
      </c>
      <c r="L25" s="28">
        <v>102</v>
      </c>
      <c r="M25">
        <v>6</v>
      </c>
      <c r="N25">
        <v>0</v>
      </c>
      <c r="O25" s="31">
        <v>107</v>
      </c>
      <c r="P25">
        <v>4</v>
      </c>
      <c r="Q25">
        <v>0</v>
      </c>
      <c r="R25" s="28">
        <v>0</v>
      </c>
      <c r="S25">
        <v>0</v>
      </c>
      <c r="T25" s="34">
        <v>0</v>
      </c>
    </row>
    <row r="26" spans="1:20" x14ac:dyDescent="0.25">
      <c r="A26" s="2" t="s">
        <v>44</v>
      </c>
      <c r="B26" s="7">
        <v>0.70833333333333337</v>
      </c>
      <c r="C26" s="31">
        <v>65</v>
      </c>
      <c r="D26">
        <v>1</v>
      </c>
      <c r="E26">
        <v>0</v>
      </c>
      <c r="F26" s="28">
        <v>71</v>
      </c>
      <c r="G26">
        <v>6</v>
      </c>
      <c r="H26">
        <v>0</v>
      </c>
      <c r="I26" s="31">
        <v>0</v>
      </c>
      <c r="J26">
        <v>1</v>
      </c>
      <c r="K26">
        <v>0</v>
      </c>
      <c r="L26" s="28">
        <v>127</v>
      </c>
      <c r="M26">
        <v>11</v>
      </c>
      <c r="N26">
        <v>0</v>
      </c>
      <c r="O26" s="31">
        <v>128</v>
      </c>
      <c r="P26">
        <v>2</v>
      </c>
      <c r="Q26">
        <v>0</v>
      </c>
      <c r="R26" s="28">
        <v>0</v>
      </c>
      <c r="S26">
        <v>0</v>
      </c>
      <c r="T26" s="34">
        <v>0</v>
      </c>
    </row>
    <row r="27" spans="1:20" x14ac:dyDescent="0.25">
      <c r="A27" s="2" t="s">
        <v>44</v>
      </c>
      <c r="B27" s="7">
        <v>0.71875</v>
      </c>
      <c r="C27" s="31">
        <v>85</v>
      </c>
      <c r="D27">
        <v>1</v>
      </c>
      <c r="E27">
        <v>1</v>
      </c>
      <c r="F27" s="28">
        <v>75</v>
      </c>
      <c r="G27">
        <v>8</v>
      </c>
      <c r="H27">
        <v>1</v>
      </c>
      <c r="I27" s="31">
        <v>1</v>
      </c>
      <c r="J27">
        <v>0</v>
      </c>
      <c r="K27">
        <v>0</v>
      </c>
      <c r="L27" s="28">
        <v>72</v>
      </c>
      <c r="M27">
        <v>2</v>
      </c>
      <c r="N27">
        <v>1</v>
      </c>
      <c r="O27" s="31">
        <v>91</v>
      </c>
      <c r="P27">
        <v>5</v>
      </c>
      <c r="Q27">
        <v>0</v>
      </c>
      <c r="R27" s="28">
        <v>3</v>
      </c>
      <c r="S27">
        <v>0</v>
      </c>
      <c r="T27" s="34">
        <v>0</v>
      </c>
    </row>
    <row r="28" spans="1:20" x14ac:dyDescent="0.25">
      <c r="A28" s="2" t="s">
        <v>44</v>
      </c>
      <c r="B28" s="7">
        <v>0.72916666666666663</v>
      </c>
      <c r="C28" s="31">
        <v>61</v>
      </c>
      <c r="D28">
        <v>0</v>
      </c>
      <c r="E28">
        <v>0</v>
      </c>
      <c r="F28" s="28">
        <v>66</v>
      </c>
      <c r="G28">
        <v>3</v>
      </c>
      <c r="H28">
        <v>0</v>
      </c>
      <c r="I28" s="31">
        <v>0</v>
      </c>
      <c r="J28">
        <v>0</v>
      </c>
      <c r="K28">
        <v>0</v>
      </c>
      <c r="L28" s="28">
        <v>55</v>
      </c>
      <c r="M28">
        <v>5</v>
      </c>
      <c r="N28">
        <v>0</v>
      </c>
      <c r="O28" s="31">
        <v>91</v>
      </c>
      <c r="P28">
        <v>6</v>
      </c>
      <c r="Q28">
        <v>0</v>
      </c>
      <c r="R28" s="28">
        <v>3</v>
      </c>
      <c r="S28">
        <v>0</v>
      </c>
      <c r="T28" s="34">
        <v>0</v>
      </c>
    </row>
    <row r="29" spans="1:20" ht="15.75" thickBot="1" x14ac:dyDescent="0.3">
      <c r="A29" s="21" t="s">
        <v>44</v>
      </c>
      <c r="B29" s="48">
        <v>0.73958333333333337</v>
      </c>
      <c r="C29" s="39">
        <v>56</v>
      </c>
      <c r="D29" s="38">
        <v>1</v>
      </c>
      <c r="E29" s="38">
        <v>1</v>
      </c>
      <c r="F29" s="40">
        <v>47</v>
      </c>
      <c r="G29" s="38">
        <v>2</v>
      </c>
      <c r="H29" s="38">
        <v>0</v>
      </c>
      <c r="I29" s="39">
        <v>0</v>
      </c>
      <c r="J29" s="38">
        <v>0</v>
      </c>
      <c r="K29" s="38">
        <v>0</v>
      </c>
      <c r="L29" s="40">
        <v>63</v>
      </c>
      <c r="M29" s="38">
        <v>4</v>
      </c>
      <c r="N29" s="38">
        <v>0</v>
      </c>
      <c r="O29" s="39">
        <v>107</v>
      </c>
      <c r="P29" s="38">
        <v>5</v>
      </c>
      <c r="Q29" s="38">
        <v>0</v>
      </c>
      <c r="R29" s="40">
        <v>1</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88</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68</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82</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63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68</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81</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55</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46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54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47</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41</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58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54</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66</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65</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65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85</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61</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56</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1</v>
      </c>
      <c r="H23" s="6">
        <f>FLOOR(tblPivotData[[#This Row],[Time]],Summary!$B$6/1440)</f>
        <v>0.30208333333333331</v>
      </c>
      <c r="I23" s="49">
        <f>INDEX(PeakCalc!$L$10:$L$303,MATCH(tblPivotData[[#This Row],[Time]],PeakCalc!$G$10:$G$303,0))</f>
        <v>1</v>
      </c>
    </row>
    <row r="24" spans="1:9" x14ac:dyDescent="0.25">
      <c r="A24" t="s">
        <v>93</v>
      </c>
      <c r="B24" t="s">
        <v>96</v>
      </c>
      <c r="C24" t="s">
        <v>94</v>
      </c>
      <c r="D24" t="s">
        <v>90</v>
      </c>
      <c r="E24" t="s">
        <v>43</v>
      </c>
      <c r="F24" s="6">
        <v>0.3125</v>
      </c>
      <c r="G24">
        <v>3</v>
      </c>
      <c r="H24" s="6">
        <f>FLOOR(tblPivotData[[#This Row],[Time]],Summary!$B$6/1440)</f>
        <v>0.3125</v>
      </c>
      <c r="I24" s="49">
        <f>INDEX(PeakCalc!$L$10:$L$303,MATCH(tblPivotData[[#This Row],[Time]],PeakCalc!$G$10:$G$303,0))</f>
        <v>1</v>
      </c>
    </row>
    <row r="25" spans="1:9" x14ac:dyDescent="0.25">
      <c r="A25" t="s">
        <v>93</v>
      </c>
      <c r="B25" t="s">
        <v>96</v>
      </c>
      <c r="C25" t="s">
        <v>94</v>
      </c>
      <c r="D25" t="s">
        <v>90</v>
      </c>
      <c r="E25" t="s">
        <v>43</v>
      </c>
      <c r="F25" s="6">
        <v>0.32291666666666669</v>
      </c>
      <c r="G25">
        <v>7</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2</v>
      </c>
      <c r="H27" s="6">
        <f>FLOOR(tblPivotData[[#This Row],[Time]],Summary!$B$6/1440)</f>
        <v>0.34375</v>
      </c>
      <c r="I27" s="49">
        <f>INDEX(PeakCalc!$L$10:$L$303,MATCH(tblPivotData[[#This Row],[Time]],PeakCalc!$G$10:$G$303,0))</f>
        <v>0</v>
      </c>
    </row>
    <row r="28" spans="1:9" x14ac:dyDescent="0.25">
      <c r="A28" t="s">
        <v>93</v>
      </c>
      <c r="B28" t="s">
        <v>96</v>
      </c>
      <c r="C28" t="s">
        <v>94</v>
      </c>
      <c r="D28" t="s">
        <v>90</v>
      </c>
      <c r="E28" t="s">
        <v>43</v>
      </c>
      <c r="F28" s="6">
        <v>0.35416666666666669</v>
      </c>
      <c r="G28">
        <v>2</v>
      </c>
      <c r="H28" s="6">
        <f>FLOOR(tblPivotData[[#This Row],[Time]],Summary!$B$6/1440)</f>
        <v>0.35416666666666663</v>
      </c>
      <c r="I28" s="49">
        <f>INDEX(PeakCalc!$L$10:$L$303,MATCH(tblPivotData[[#This Row],[Time]],PeakCalc!$G$10:$G$303,0))</f>
        <v>0</v>
      </c>
    </row>
    <row r="29" spans="1:9" x14ac:dyDescent="0.25">
      <c r="A29" t="s">
        <v>93</v>
      </c>
      <c r="B29" t="s">
        <v>96</v>
      </c>
      <c r="C29" t="s">
        <v>94</v>
      </c>
      <c r="D29" t="s">
        <v>90</v>
      </c>
      <c r="E29" t="s">
        <v>43</v>
      </c>
      <c r="F29" s="6">
        <v>0.36458333333333331</v>
      </c>
      <c r="G29">
        <v>7</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8</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7</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4</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5</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3</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5</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0</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96</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148</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142</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121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123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112</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121</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75</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73</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65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60</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53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67</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56</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87</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73</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71</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75</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66</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47</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8</v>
      </c>
      <c r="H83" s="6">
        <f>FLOOR(tblPivotData[[#This Row],[Time]],Summary!$B$6/1440)</f>
        <v>0.30208333333333331</v>
      </c>
      <c r="I83" s="49">
        <f>INDEX(PeakCalc!$L$10:$L$303,MATCH(tblPivotData[[#This Row],[Time]],PeakCalc!$G$10:$G$303,0))</f>
        <v>1</v>
      </c>
    </row>
    <row r="84" spans="1:9" x14ac:dyDescent="0.25">
      <c r="A84" t="s">
        <v>93</v>
      </c>
      <c r="B84" t="s">
        <v>97</v>
      </c>
      <c r="C84" t="s">
        <v>95</v>
      </c>
      <c r="D84" t="s">
        <v>90</v>
      </c>
      <c r="E84" t="s">
        <v>43</v>
      </c>
      <c r="F84" s="6">
        <v>0.3125</v>
      </c>
      <c r="G84">
        <v>13</v>
      </c>
      <c r="H84" s="6">
        <f>FLOOR(tblPivotData[[#This Row],[Time]],Summary!$B$6/1440)</f>
        <v>0.3125</v>
      </c>
      <c r="I84" s="49">
        <f>INDEX(PeakCalc!$L$10:$L$303,MATCH(tblPivotData[[#This Row],[Time]],PeakCalc!$G$10:$G$303,0))</f>
        <v>1</v>
      </c>
    </row>
    <row r="85" spans="1:9" x14ac:dyDescent="0.25">
      <c r="A85" t="s">
        <v>93</v>
      </c>
      <c r="B85" t="s">
        <v>97</v>
      </c>
      <c r="C85" t="s">
        <v>95</v>
      </c>
      <c r="D85" t="s">
        <v>90</v>
      </c>
      <c r="E85" t="s">
        <v>43</v>
      </c>
      <c r="F85" s="6">
        <v>0.32291666666666669</v>
      </c>
      <c r="G85">
        <v>7</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6</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6</v>
      </c>
      <c r="H87" s="6">
        <f>FLOOR(tblPivotData[[#This Row],[Time]],Summary!$B$6/1440)</f>
        <v>0.34375</v>
      </c>
      <c r="I87" s="49">
        <f>INDEX(PeakCalc!$L$10:$L$303,MATCH(tblPivotData[[#This Row],[Time]],PeakCalc!$G$10:$G$303,0))</f>
        <v>0</v>
      </c>
    </row>
    <row r="88" spans="1:9" x14ac:dyDescent="0.25">
      <c r="A88" t="s">
        <v>93</v>
      </c>
      <c r="B88" t="s">
        <v>97</v>
      </c>
      <c r="C88" t="s">
        <v>95</v>
      </c>
      <c r="D88" t="s">
        <v>90</v>
      </c>
      <c r="E88" t="s">
        <v>43</v>
      </c>
      <c r="F88" s="6">
        <v>0.35416666666666669</v>
      </c>
      <c r="G88">
        <v>10</v>
      </c>
      <c r="H88" s="6">
        <f>FLOOR(tblPivotData[[#This Row],[Time]],Summary!$B$6/1440)</f>
        <v>0.35416666666666663</v>
      </c>
      <c r="I88" s="49">
        <f>INDEX(PeakCalc!$L$10:$L$303,MATCH(tblPivotData[[#This Row],[Time]],PeakCalc!$G$10:$G$303,0))</f>
        <v>0</v>
      </c>
    </row>
    <row r="89" spans="1:9" x14ac:dyDescent="0.25">
      <c r="A89" t="s">
        <v>93</v>
      </c>
      <c r="B89" t="s">
        <v>97</v>
      </c>
      <c r="C89" t="s">
        <v>95</v>
      </c>
      <c r="D89" t="s">
        <v>90</v>
      </c>
      <c r="E89" t="s">
        <v>43</v>
      </c>
      <c r="F89" s="6">
        <v>0.36458333333333331</v>
      </c>
      <c r="G89">
        <v>7</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15</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7</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10</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11</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15</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10</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6</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8</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2</v>
      </c>
      <c r="H103" s="6">
        <f>FLOOR(tblPivotData[[#This Row],[Time]],Summary!$B$6/1440)</f>
        <v>0.30208333333333331</v>
      </c>
      <c r="I103" s="49">
        <f>INDEX(PeakCalc!$L$10:$L$303,MATCH(tblPivotData[[#This Row],[Time]],PeakCalc!$G$10:$G$303,0))</f>
        <v>1</v>
      </c>
    </row>
    <row r="104" spans="1:9" x14ac:dyDescent="0.25">
      <c r="A104" t="s">
        <v>93</v>
      </c>
      <c r="B104" t="s">
        <v>97</v>
      </c>
      <c r="C104" t="s">
        <v>95</v>
      </c>
      <c r="D104" t="s">
        <v>88</v>
      </c>
      <c r="E104" t="s">
        <v>43</v>
      </c>
      <c r="F104" s="6">
        <v>0.3125</v>
      </c>
      <c r="G104">
        <v>2</v>
      </c>
      <c r="H104" s="6">
        <f>FLOOR(tblPivotData[[#This Row],[Time]],Summary!$B$6/1440)</f>
        <v>0.3125</v>
      </c>
      <c r="I104" s="49">
        <f>INDEX(PeakCalc!$L$10:$L$303,MATCH(tblPivotData[[#This Row],[Time]],PeakCalc!$G$10:$G$303,0))</f>
        <v>1</v>
      </c>
    </row>
    <row r="105" spans="1:9" x14ac:dyDescent="0.25">
      <c r="A105" t="s">
        <v>93</v>
      </c>
      <c r="B105" t="s">
        <v>97</v>
      </c>
      <c r="C105" t="s">
        <v>95</v>
      </c>
      <c r="D105" t="s">
        <v>88</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1</v>
      </c>
      <c r="H107" s="6">
        <f>FLOOR(tblPivotData[[#This Row],[Time]],Summary!$B$6/1440)</f>
        <v>0.34375</v>
      </c>
      <c r="I107" s="49">
        <f>INDEX(PeakCalc!$L$10:$L$303,MATCH(tblPivotData[[#This Row],[Time]],PeakCalc!$G$10:$G$303,0))</f>
        <v>0</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0</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0</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0</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0</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0</v>
      </c>
      <c r="H143" s="6">
        <f>FLOOR(tblPivotData[[#This Row],[Time]],Summary!$B$6/1440)</f>
        <v>0.30208333333333331</v>
      </c>
      <c r="I143" s="49">
        <f>INDEX(PeakCalc!$L$10:$L$303,MATCH(tblPivotData[[#This Row],[Time]],PeakCalc!$G$10:$G$303,0))</f>
        <v>1</v>
      </c>
    </row>
    <row r="144" spans="1:9" x14ac:dyDescent="0.25">
      <c r="A144" t="s">
        <v>94</v>
      </c>
      <c r="B144" t="s">
        <v>98</v>
      </c>
      <c r="C144" t="s">
        <v>95</v>
      </c>
      <c r="D144" t="s">
        <v>90</v>
      </c>
      <c r="E144" t="s">
        <v>43</v>
      </c>
      <c r="F144" s="6">
        <v>0.3125</v>
      </c>
      <c r="G144">
        <v>0</v>
      </c>
      <c r="H144" s="6">
        <f>FLOOR(tblPivotData[[#This Row],[Time]],Summary!$B$6/1440)</f>
        <v>0.3125</v>
      </c>
      <c r="I144" s="49">
        <f>INDEX(PeakCalc!$L$10:$L$303,MATCH(tblPivotData[[#This Row],[Time]],PeakCalc!$G$10:$G$303,0))</f>
        <v>1</v>
      </c>
    </row>
    <row r="145" spans="1:9" x14ac:dyDescent="0.25">
      <c r="A145" t="s">
        <v>94</v>
      </c>
      <c r="B145" t="s">
        <v>98</v>
      </c>
      <c r="C145" t="s">
        <v>95</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0</v>
      </c>
      <c r="H147" s="6">
        <f>FLOOR(tblPivotData[[#This Row],[Time]],Summary!$B$6/1440)</f>
        <v>0.34375</v>
      </c>
      <c r="I147" s="49">
        <f>INDEX(PeakCalc!$L$10:$L$303,MATCH(tblPivotData[[#This Row],[Time]],PeakCalc!$G$10:$G$303,0))</f>
        <v>0</v>
      </c>
    </row>
    <row r="148" spans="1:9" x14ac:dyDescent="0.25">
      <c r="A148" t="s">
        <v>94</v>
      </c>
      <c r="B148" t="s">
        <v>98</v>
      </c>
      <c r="C148" t="s">
        <v>95</v>
      </c>
      <c r="D148" t="s">
        <v>90</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94</v>
      </c>
      <c r="B149" t="s">
        <v>98</v>
      </c>
      <c r="C149" t="s">
        <v>95</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0</v>
      </c>
      <c r="H167" s="6">
        <f>FLOOR(tblPivotData[[#This Row],[Time]],Summary!$B$6/1440)</f>
        <v>0.34375</v>
      </c>
      <c r="I167" s="49">
        <f>INDEX(PeakCalc!$L$10:$L$303,MATCH(tblPivotData[[#This Row],[Time]],PeakCalc!$G$10:$G$303,0))</f>
        <v>0</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34</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35</v>
      </c>
      <c r="H183" s="6">
        <f>FLOOR(tblPivotData[[#This Row],[Time]],Summary!$B$6/1440)</f>
        <v>0.30208333333333331</v>
      </c>
      <c r="I183" s="49">
        <f>INDEX(PeakCalc!$L$10:$L$303,MATCH(tblPivotData[[#This Row],[Time]],PeakCalc!$G$10:$G$303,0))</f>
        <v>1</v>
      </c>
    </row>
    <row r="184" spans="1:9" x14ac:dyDescent="0.25">
      <c r="A184" t="s">
        <v>94</v>
      </c>
      <c r="B184" t="s">
        <v>99</v>
      </c>
      <c r="C184" t="s">
        <v>93</v>
      </c>
      <c r="D184" t="s">
        <v>79</v>
      </c>
      <c r="E184" t="s">
        <v>43</v>
      </c>
      <c r="F184" s="6">
        <v>0.3125</v>
      </c>
      <c r="G184">
        <v>49</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51</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65</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44</v>
      </c>
      <c r="H187" s="6">
        <f>FLOOR(tblPivotData[[#This Row],[Time]],Summary!$B$6/1440)</f>
        <v>0.34375</v>
      </c>
      <c r="I187" s="49">
        <f>INDEX(PeakCalc!$L$10:$L$303,MATCH(tblPivotData[[#This Row],[Time]],PeakCalc!$G$10:$G$303,0))</f>
        <v>0</v>
      </c>
    </row>
    <row r="188" spans="1:9" x14ac:dyDescent="0.25">
      <c r="A188" t="s">
        <v>94</v>
      </c>
      <c r="B188" t="s">
        <v>99</v>
      </c>
      <c r="C188" t="s">
        <v>93</v>
      </c>
      <c r="D188" t="s">
        <v>79</v>
      </c>
      <c r="E188" t="s">
        <v>43</v>
      </c>
      <c r="F188" s="6">
        <v>0.35416666666666669</v>
      </c>
      <c r="G188">
        <v>44</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39</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49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44</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55</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59</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98</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74</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115</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102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127</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72</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55</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63</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8</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14</v>
      </c>
      <c r="H203" s="6">
        <f>FLOOR(tblPivotData[[#This Row],[Time]],Summary!$B$6/1440)</f>
        <v>0.30208333333333331</v>
      </c>
      <c r="I203" s="49">
        <f>INDEX(PeakCalc!$L$10:$L$303,MATCH(tblPivotData[[#This Row],[Time]],PeakCalc!$G$10:$G$303,0))</f>
        <v>1</v>
      </c>
    </row>
    <row r="204" spans="1:9" x14ac:dyDescent="0.25">
      <c r="A204" t="s">
        <v>94</v>
      </c>
      <c r="B204" t="s">
        <v>99</v>
      </c>
      <c r="C204" t="s">
        <v>93</v>
      </c>
      <c r="D204" t="s">
        <v>90</v>
      </c>
      <c r="E204" t="s">
        <v>43</v>
      </c>
      <c r="F204" s="6">
        <v>0.3125</v>
      </c>
      <c r="G204">
        <v>6</v>
      </c>
      <c r="H204" s="6">
        <f>FLOOR(tblPivotData[[#This Row],[Time]],Summary!$B$6/1440)</f>
        <v>0.3125</v>
      </c>
      <c r="I204" s="49">
        <f>INDEX(PeakCalc!$L$10:$L$303,MATCH(tblPivotData[[#This Row],[Time]],PeakCalc!$G$10:$G$303,0))</f>
        <v>1</v>
      </c>
    </row>
    <row r="205" spans="1:9" x14ac:dyDescent="0.25">
      <c r="A205" t="s">
        <v>94</v>
      </c>
      <c r="B205" t="s">
        <v>99</v>
      </c>
      <c r="C205" t="s">
        <v>93</v>
      </c>
      <c r="D205" t="s">
        <v>90</v>
      </c>
      <c r="E205" t="s">
        <v>43</v>
      </c>
      <c r="F205" s="6">
        <v>0.32291666666666669</v>
      </c>
      <c r="G205">
        <v>5</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5</v>
      </c>
      <c r="H207" s="6">
        <f>FLOOR(tblPivotData[[#This Row],[Time]],Summary!$B$6/1440)</f>
        <v>0.34375</v>
      </c>
      <c r="I207" s="49">
        <f>INDEX(PeakCalc!$L$10:$L$303,MATCH(tblPivotData[[#This Row],[Time]],PeakCalc!$G$10:$G$303,0))</f>
        <v>0</v>
      </c>
    </row>
    <row r="208" spans="1:9" x14ac:dyDescent="0.25">
      <c r="A208" t="s">
        <v>94</v>
      </c>
      <c r="B208" t="s">
        <v>99</v>
      </c>
      <c r="C208" t="s">
        <v>93</v>
      </c>
      <c r="D208" t="s">
        <v>90</v>
      </c>
      <c r="E208" t="s">
        <v>43</v>
      </c>
      <c r="F208" s="6">
        <v>0.35416666666666669</v>
      </c>
      <c r="G208">
        <v>6</v>
      </c>
      <c r="H208" s="6">
        <f>FLOOR(tblPivotData[[#This Row],[Time]],Summary!$B$6/1440)</f>
        <v>0.35416666666666663</v>
      </c>
      <c r="I208" s="49">
        <f>INDEX(PeakCalc!$L$10:$L$303,MATCH(tblPivotData[[#This Row],[Time]],PeakCalc!$G$10:$G$303,0))</f>
        <v>0</v>
      </c>
    </row>
    <row r="209" spans="1:9" x14ac:dyDescent="0.25">
      <c r="A209" t="s">
        <v>94</v>
      </c>
      <c r="B209" t="s">
        <v>99</v>
      </c>
      <c r="C209" t="s">
        <v>93</v>
      </c>
      <c r="D209" t="s">
        <v>90</v>
      </c>
      <c r="E209" t="s">
        <v>43</v>
      </c>
      <c r="F209" s="6">
        <v>0.36458333333333331</v>
      </c>
      <c r="G209">
        <v>5</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5</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10</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5</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7</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4</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4</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6</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11</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5</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4</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40</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53</v>
      </c>
      <c r="H243" s="6">
        <f>FLOOR(tblPivotData[[#This Row],[Time]],Summary!$B$6/1440)</f>
        <v>0.30208333333333331</v>
      </c>
      <c r="I243" s="49">
        <f>INDEX(PeakCalc!$L$10:$L$303,MATCH(tblPivotData[[#This Row],[Time]],PeakCalc!$G$10:$G$303,0))</f>
        <v>1</v>
      </c>
    </row>
    <row r="244" spans="1:9" x14ac:dyDescent="0.25">
      <c r="A244" t="s">
        <v>95</v>
      </c>
      <c r="B244" t="s">
        <v>100</v>
      </c>
      <c r="C244" t="s">
        <v>93</v>
      </c>
      <c r="D244" t="s">
        <v>79</v>
      </c>
      <c r="E244" t="s">
        <v>43</v>
      </c>
      <c r="F244" s="6">
        <v>0.3125</v>
      </c>
      <c r="G244">
        <v>49</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47</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39</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63</v>
      </c>
      <c r="H247" s="6">
        <f>FLOOR(tblPivotData[[#This Row],[Time]],Summary!$B$6/1440)</f>
        <v>0.34375</v>
      </c>
      <c r="I247" s="49">
        <f>INDEX(PeakCalc!$L$10:$L$303,MATCH(tblPivotData[[#This Row],[Time]],PeakCalc!$G$10:$G$303,0))</f>
        <v>0</v>
      </c>
    </row>
    <row r="248" spans="1:9" x14ac:dyDescent="0.25">
      <c r="A248" t="s">
        <v>95</v>
      </c>
      <c r="B248" t="s">
        <v>100</v>
      </c>
      <c r="C248" t="s">
        <v>93</v>
      </c>
      <c r="D248" t="s">
        <v>79</v>
      </c>
      <c r="E248" t="s">
        <v>43</v>
      </c>
      <c r="F248" s="6">
        <v>0.35416666666666669</v>
      </c>
      <c r="G248">
        <v>61</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50</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59</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49</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62</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62</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126</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113</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129</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107</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128</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91</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91</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107</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7</v>
      </c>
      <c r="H263" s="6">
        <f>FLOOR(tblPivotData[[#This Row],[Time]],Summary!$B$6/1440)</f>
        <v>0.30208333333333331</v>
      </c>
      <c r="I263" s="49">
        <f>INDEX(PeakCalc!$L$10:$L$303,MATCH(tblPivotData[[#This Row],[Time]],PeakCalc!$G$10:$G$303,0))</f>
        <v>1</v>
      </c>
    </row>
    <row r="264" spans="1:9" x14ac:dyDescent="0.25">
      <c r="A264" t="s">
        <v>95</v>
      </c>
      <c r="B264" t="s">
        <v>100</v>
      </c>
      <c r="C264" t="s">
        <v>93</v>
      </c>
      <c r="D264" t="s">
        <v>90</v>
      </c>
      <c r="E264" t="s">
        <v>43</v>
      </c>
      <c r="F264" s="6">
        <v>0.3125</v>
      </c>
      <c r="G264">
        <v>6</v>
      </c>
      <c r="H264" s="6">
        <f>FLOOR(tblPivotData[[#This Row],[Time]],Summary!$B$6/1440)</f>
        <v>0.3125</v>
      </c>
      <c r="I264" s="49">
        <f>INDEX(PeakCalc!$L$10:$L$303,MATCH(tblPivotData[[#This Row],[Time]],PeakCalc!$G$10:$G$303,0))</f>
        <v>1</v>
      </c>
    </row>
    <row r="265" spans="1:9" x14ac:dyDescent="0.25">
      <c r="A265" t="s">
        <v>95</v>
      </c>
      <c r="B265" t="s">
        <v>100</v>
      </c>
      <c r="C265" t="s">
        <v>93</v>
      </c>
      <c r="D265" t="s">
        <v>90</v>
      </c>
      <c r="E265" t="s">
        <v>43</v>
      </c>
      <c r="F265" s="6">
        <v>0.32291666666666669</v>
      </c>
      <c r="G265">
        <v>12</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6</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8</v>
      </c>
      <c r="H267" s="6">
        <f>FLOOR(tblPivotData[[#This Row],[Time]],Summary!$B$6/1440)</f>
        <v>0.34375</v>
      </c>
      <c r="I267" s="49">
        <f>INDEX(PeakCalc!$L$10:$L$303,MATCH(tblPivotData[[#This Row],[Time]],PeakCalc!$G$10:$G$303,0))</f>
        <v>0</v>
      </c>
    </row>
    <row r="268" spans="1:9" x14ac:dyDescent="0.25">
      <c r="A268" t="s">
        <v>95</v>
      </c>
      <c r="B268" t="s">
        <v>100</v>
      </c>
      <c r="C268" t="s">
        <v>93</v>
      </c>
      <c r="D268" t="s">
        <v>90</v>
      </c>
      <c r="E268" t="s">
        <v>43</v>
      </c>
      <c r="F268" s="6">
        <v>0.35416666666666669</v>
      </c>
      <c r="G268">
        <v>8</v>
      </c>
      <c r="H268" s="6">
        <f>FLOOR(tblPivotData[[#This Row],[Time]],Summary!$B$6/1440)</f>
        <v>0.35416666666666663</v>
      </c>
      <c r="I268" s="49">
        <f>INDEX(PeakCalc!$L$10:$L$303,MATCH(tblPivotData[[#This Row],[Time]],PeakCalc!$G$10:$G$303,0))</f>
        <v>0</v>
      </c>
    </row>
    <row r="269" spans="1:9" x14ac:dyDescent="0.25">
      <c r="A269" t="s">
        <v>95</v>
      </c>
      <c r="B269" t="s">
        <v>100</v>
      </c>
      <c r="C269" t="s">
        <v>93</v>
      </c>
      <c r="D269" t="s">
        <v>90</v>
      </c>
      <c r="E269" t="s">
        <v>43</v>
      </c>
      <c r="F269" s="6">
        <v>0.36458333333333331</v>
      </c>
      <c r="G269">
        <v>5</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12</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10</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11</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5</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8</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5</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5</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6</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5</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1</v>
      </c>
      <c r="H283" s="6">
        <f>FLOOR(tblPivotData[[#This Row],[Time]],Summary!$B$6/1440)</f>
        <v>0.30208333333333331</v>
      </c>
      <c r="I283" s="49">
        <f>INDEX(PeakCalc!$L$10:$L$303,MATCH(tblPivotData[[#This Row],[Time]],PeakCalc!$G$10:$G$303,0))</f>
        <v>1</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100</v>
      </c>
      <c r="C288" t="s">
        <v>93</v>
      </c>
      <c r="D288" t="s">
        <v>88</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0</v>
      </c>
      <c r="H303" s="6">
        <f>FLOOR(tblPivotData[[#This Row],[Time]],Summary!$B$6/1440)</f>
        <v>0.30208333333333331</v>
      </c>
      <c r="I303" s="49">
        <f>INDEX(PeakCalc!$L$10:$L$303,MATCH(tblPivotData[[#This Row],[Time]],PeakCalc!$G$10:$G$303,0))</f>
        <v>1</v>
      </c>
    </row>
    <row r="304" spans="1:9" x14ac:dyDescent="0.25">
      <c r="A304" t="s">
        <v>95</v>
      </c>
      <c r="B304" t="s">
        <v>101</v>
      </c>
      <c r="C304" t="s">
        <v>94</v>
      </c>
      <c r="D304" t="s">
        <v>79</v>
      </c>
      <c r="E304" t="s">
        <v>43</v>
      </c>
      <c r="F304" s="6">
        <v>0.3125</v>
      </c>
      <c r="G304">
        <v>0</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0</v>
      </c>
      <c r="H307" s="6">
        <f>FLOOR(tblPivotData[[#This Row],[Time]],Summary!$B$6/1440)</f>
        <v>0.34375</v>
      </c>
      <c r="I307" s="49">
        <f>INDEX(PeakCalc!$L$10:$L$303,MATCH(tblPivotData[[#This Row],[Time]],PeakCalc!$G$10:$G$303,0))</f>
        <v>0</v>
      </c>
    </row>
    <row r="308" spans="1:9" x14ac:dyDescent="0.25">
      <c r="A308" t="s">
        <v>95</v>
      </c>
      <c r="B308" t="s">
        <v>101</v>
      </c>
      <c r="C308" t="s">
        <v>94</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1</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0</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3</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95</v>
      </c>
      <c r="B324" t="s">
        <v>101</v>
      </c>
      <c r="C324" t="s">
        <v>94</v>
      </c>
      <c r="D324" t="s">
        <v>90</v>
      </c>
      <c r="E324" t="s">
        <v>43</v>
      </c>
      <c r="F324" s="6">
        <v>0.3125</v>
      </c>
      <c r="G324">
        <v>0</v>
      </c>
      <c r="H324" s="6">
        <f>FLOOR(tblPivotData[[#This Row],[Time]],Summary!$B$6/1440)</f>
        <v>0.3125</v>
      </c>
      <c r="I324" s="49">
        <f>INDEX(PeakCalc!$L$10:$L$303,MATCH(tblPivotData[[#This Row],[Time]],PeakCalc!$G$10:$G$303,0))</f>
        <v>1</v>
      </c>
    </row>
    <row r="325" spans="1:9" x14ac:dyDescent="0.25">
      <c r="A325" t="s">
        <v>95</v>
      </c>
      <c r="B325" t="s">
        <v>101</v>
      </c>
      <c r="C325" t="s">
        <v>94</v>
      </c>
      <c r="D325" t="s">
        <v>90</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0</v>
      </c>
      <c r="H327" s="6">
        <f>FLOOR(tblPivotData[[#This Row],[Time]],Summary!$B$6/1440)</f>
        <v>0.34375</v>
      </c>
      <c r="I327" s="49">
        <f>INDEX(PeakCalc!$L$10:$L$303,MATCH(tblPivotData[[#This Row],[Time]],PeakCalc!$G$10:$G$303,0))</f>
        <v>0</v>
      </c>
    </row>
    <row r="328" spans="1:9" x14ac:dyDescent="0.25">
      <c r="A328" t="s">
        <v>95</v>
      </c>
      <c r="B328" t="s">
        <v>101</v>
      </c>
      <c r="C328" t="s">
        <v>94</v>
      </c>
      <c r="D328" t="s">
        <v>90</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95</v>
      </c>
      <c r="B329" t="s">
        <v>101</v>
      </c>
      <c r="C329" t="s">
        <v>94</v>
      </c>
      <c r="D329" t="s">
        <v>90</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101</v>
      </c>
      <c r="C344" t="s">
        <v>94</v>
      </c>
      <c r="D344" t="s">
        <v>88</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549</v>
      </c>
      <c r="D14" s="49">
        <v>31</v>
      </c>
      <c r="E14" s="49">
        <v>0</v>
      </c>
      <c r="F14" s="49">
        <v>580</v>
      </c>
      <c r="G14" s="49">
        <v>938</v>
      </c>
      <c r="H14" s="49">
        <v>62</v>
      </c>
      <c r="I14" s="49">
        <v>8</v>
      </c>
      <c r="J14" s="49">
        <v>1008</v>
      </c>
      <c r="K14" s="49">
        <v>1588</v>
      </c>
      <c r="L14" s="49">
        <v>0</v>
      </c>
      <c r="M14" s="49">
        <v>0</v>
      </c>
      <c r="N14" s="49">
        <v>1</v>
      </c>
      <c r="O14" s="49">
        <v>1</v>
      </c>
      <c r="P14" s="49">
        <v>361</v>
      </c>
      <c r="Q14" s="49">
        <v>52</v>
      </c>
      <c r="R14" s="49">
        <v>0</v>
      </c>
      <c r="S14" s="49">
        <v>413</v>
      </c>
      <c r="T14" s="49">
        <v>414</v>
      </c>
      <c r="U14" s="49">
        <v>402</v>
      </c>
      <c r="V14" s="49">
        <v>58</v>
      </c>
      <c r="W14" s="49">
        <v>1</v>
      </c>
      <c r="X14" s="49">
        <v>461</v>
      </c>
      <c r="Y14" s="49">
        <v>1</v>
      </c>
      <c r="Z14" s="49">
        <v>0</v>
      </c>
      <c r="AA14" s="49">
        <v>0</v>
      </c>
      <c r="AB14" s="49">
        <v>1</v>
      </c>
      <c r="AC14" s="49">
        <v>462</v>
      </c>
      <c r="AD14" s="49">
        <v>2464</v>
      </c>
    </row>
    <row r="15" spans="2:30" x14ac:dyDescent="0.25">
      <c r="B15" s="11">
        <v>0.29166666666666669</v>
      </c>
      <c r="C15" s="49">
        <v>44</v>
      </c>
      <c r="D15" s="49">
        <v>4</v>
      </c>
      <c r="E15" s="49">
        <v>0</v>
      </c>
      <c r="F15" s="49">
        <v>48</v>
      </c>
      <c r="G15" s="49">
        <v>96</v>
      </c>
      <c r="H15" s="49">
        <v>5</v>
      </c>
      <c r="I15" s="49">
        <v>1</v>
      </c>
      <c r="J15" s="49">
        <v>102</v>
      </c>
      <c r="K15" s="49">
        <v>150</v>
      </c>
      <c r="L15" s="49">
        <v>0</v>
      </c>
      <c r="M15" s="49">
        <v>0</v>
      </c>
      <c r="N15" s="49">
        <v>1</v>
      </c>
      <c r="O15" s="49">
        <v>1</v>
      </c>
      <c r="P15" s="49">
        <v>34</v>
      </c>
      <c r="Q15" s="49">
        <v>8</v>
      </c>
      <c r="R15" s="49">
        <v>0</v>
      </c>
      <c r="S15" s="49">
        <v>42</v>
      </c>
      <c r="T15" s="49">
        <v>43</v>
      </c>
      <c r="U15" s="49">
        <v>40</v>
      </c>
      <c r="V15" s="49">
        <v>6</v>
      </c>
      <c r="W15" s="49">
        <v>0</v>
      </c>
      <c r="X15" s="49">
        <v>46</v>
      </c>
      <c r="Y15" s="49">
        <v>0</v>
      </c>
      <c r="Z15" s="49">
        <v>0</v>
      </c>
      <c r="AA15" s="49">
        <v>0</v>
      </c>
      <c r="AB15" s="49">
        <v>0</v>
      </c>
      <c r="AC15" s="49">
        <v>46</v>
      </c>
      <c r="AD15" s="49">
        <v>239</v>
      </c>
    </row>
    <row r="16" spans="2:30" x14ac:dyDescent="0.25">
      <c r="B16" s="11">
        <v>0.30208333333333331</v>
      </c>
      <c r="C16" s="49">
        <v>88</v>
      </c>
      <c r="D16" s="49">
        <v>1</v>
      </c>
      <c r="E16" s="49">
        <v>0</v>
      </c>
      <c r="F16" s="49">
        <v>89</v>
      </c>
      <c r="G16" s="49">
        <v>148</v>
      </c>
      <c r="H16" s="49">
        <v>8</v>
      </c>
      <c r="I16" s="49">
        <v>2</v>
      </c>
      <c r="J16" s="49">
        <v>158</v>
      </c>
      <c r="K16" s="49">
        <v>247</v>
      </c>
      <c r="L16" s="49">
        <v>0</v>
      </c>
      <c r="M16" s="49">
        <v>0</v>
      </c>
      <c r="N16" s="49">
        <v>0</v>
      </c>
      <c r="O16" s="49">
        <v>0</v>
      </c>
      <c r="P16" s="49">
        <v>35</v>
      </c>
      <c r="Q16" s="49">
        <v>14</v>
      </c>
      <c r="R16" s="49">
        <v>0</v>
      </c>
      <c r="S16" s="49">
        <v>49</v>
      </c>
      <c r="T16" s="49">
        <v>49</v>
      </c>
      <c r="U16" s="49">
        <v>53</v>
      </c>
      <c r="V16" s="49">
        <v>7</v>
      </c>
      <c r="W16" s="49">
        <v>1</v>
      </c>
      <c r="X16" s="49">
        <v>61</v>
      </c>
      <c r="Y16" s="49">
        <v>0</v>
      </c>
      <c r="Z16" s="49">
        <v>0</v>
      </c>
      <c r="AA16" s="49">
        <v>0</v>
      </c>
      <c r="AB16" s="49">
        <v>0</v>
      </c>
      <c r="AC16" s="49">
        <v>61</v>
      </c>
      <c r="AD16" s="49">
        <v>357</v>
      </c>
    </row>
    <row r="17" spans="2:30" x14ac:dyDescent="0.25">
      <c r="B17" s="11">
        <v>0.3125</v>
      </c>
      <c r="C17" s="49">
        <v>68</v>
      </c>
      <c r="D17" s="49">
        <v>3</v>
      </c>
      <c r="E17" s="49">
        <v>0</v>
      </c>
      <c r="F17" s="49">
        <v>71</v>
      </c>
      <c r="G17" s="49">
        <v>142</v>
      </c>
      <c r="H17" s="49">
        <v>13</v>
      </c>
      <c r="I17" s="49">
        <v>2</v>
      </c>
      <c r="J17" s="49">
        <v>157</v>
      </c>
      <c r="K17" s="49">
        <v>228</v>
      </c>
      <c r="L17" s="49">
        <v>0</v>
      </c>
      <c r="M17" s="49">
        <v>0</v>
      </c>
      <c r="N17" s="49">
        <v>0</v>
      </c>
      <c r="O17" s="49">
        <v>0</v>
      </c>
      <c r="P17" s="49">
        <v>49</v>
      </c>
      <c r="Q17" s="49">
        <v>6</v>
      </c>
      <c r="R17" s="49">
        <v>0</v>
      </c>
      <c r="S17" s="49">
        <v>55</v>
      </c>
      <c r="T17" s="49">
        <v>55</v>
      </c>
      <c r="U17" s="49">
        <v>49</v>
      </c>
      <c r="V17" s="49">
        <v>6</v>
      </c>
      <c r="W17" s="49">
        <v>0</v>
      </c>
      <c r="X17" s="49">
        <v>55</v>
      </c>
      <c r="Y17" s="49">
        <v>0</v>
      </c>
      <c r="Z17" s="49">
        <v>0</v>
      </c>
      <c r="AA17" s="49">
        <v>0</v>
      </c>
      <c r="AB17" s="49">
        <v>0</v>
      </c>
      <c r="AC17" s="49">
        <v>55</v>
      </c>
      <c r="AD17" s="49">
        <v>338</v>
      </c>
    </row>
    <row r="18" spans="2:30" x14ac:dyDescent="0.25">
      <c r="B18" s="11">
        <v>0.32291666666666669</v>
      </c>
      <c r="C18" s="49">
        <v>82</v>
      </c>
      <c r="D18" s="49">
        <v>7</v>
      </c>
      <c r="E18" s="49">
        <v>0</v>
      </c>
      <c r="F18" s="49">
        <v>89</v>
      </c>
      <c r="G18" s="49">
        <v>121</v>
      </c>
      <c r="H18" s="49">
        <v>7</v>
      </c>
      <c r="I18" s="49">
        <v>1</v>
      </c>
      <c r="J18" s="49">
        <v>129</v>
      </c>
      <c r="K18" s="49">
        <v>218</v>
      </c>
      <c r="L18" s="49">
        <v>0</v>
      </c>
      <c r="M18" s="49">
        <v>0</v>
      </c>
      <c r="N18" s="49">
        <v>0</v>
      </c>
      <c r="O18" s="49">
        <v>0</v>
      </c>
      <c r="P18" s="49">
        <v>51</v>
      </c>
      <c r="Q18" s="49">
        <v>5</v>
      </c>
      <c r="R18" s="49">
        <v>0</v>
      </c>
      <c r="S18" s="49">
        <v>56</v>
      </c>
      <c r="T18" s="49">
        <v>56</v>
      </c>
      <c r="U18" s="49">
        <v>47</v>
      </c>
      <c r="V18" s="49">
        <v>12</v>
      </c>
      <c r="W18" s="49">
        <v>0</v>
      </c>
      <c r="X18" s="49">
        <v>59</v>
      </c>
      <c r="Y18" s="49">
        <v>0</v>
      </c>
      <c r="Z18" s="49">
        <v>0</v>
      </c>
      <c r="AA18" s="49">
        <v>0</v>
      </c>
      <c r="AB18" s="49">
        <v>0</v>
      </c>
      <c r="AC18" s="49">
        <v>59</v>
      </c>
      <c r="AD18" s="49">
        <v>333</v>
      </c>
    </row>
    <row r="19" spans="2:30" x14ac:dyDescent="0.25">
      <c r="B19" s="11">
        <v>0.33333333333333331</v>
      </c>
      <c r="C19" s="49">
        <v>63</v>
      </c>
      <c r="D19" s="49">
        <v>5</v>
      </c>
      <c r="E19" s="49">
        <v>0</v>
      </c>
      <c r="F19" s="49">
        <v>68</v>
      </c>
      <c r="G19" s="49">
        <v>123</v>
      </c>
      <c r="H19" s="49">
        <v>6</v>
      </c>
      <c r="I19" s="49">
        <v>1</v>
      </c>
      <c r="J19" s="49">
        <v>130</v>
      </c>
      <c r="K19" s="49">
        <v>198</v>
      </c>
      <c r="L19" s="49">
        <v>0</v>
      </c>
      <c r="M19" s="49">
        <v>0</v>
      </c>
      <c r="N19" s="49">
        <v>0</v>
      </c>
      <c r="O19" s="49">
        <v>0</v>
      </c>
      <c r="P19" s="49">
        <v>65</v>
      </c>
      <c r="Q19" s="49">
        <v>3</v>
      </c>
      <c r="R19" s="49">
        <v>0</v>
      </c>
      <c r="S19" s="49">
        <v>68</v>
      </c>
      <c r="T19" s="49">
        <v>68</v>
      </c>
      <c r="U19" s="49">
        <v>39</v>
      </c>
      <c r="V19" s="49">
        <v>6</v>
      </c>
      <c r="W19" s="49">
        <v>0</v>
      </c>
      <c r="X19" s="49">
        <v>45</v>
      </c>
      <c r="Y19" s="49">
        <v>0</v>
      </c>
      <c r="Z19" s="49">
        <v>0</v>
      </c>
      <c r="AA19" s="49">
        <v>0</v>
      </c>
      <c r="AB19" s="49">
        <v>0</v>
      </c>
      <c r="AC19" s="49">
        <v>45</v>
      </c>
      <c r="AD19" s="49">
        <v>311</v>
      </c>
    </row>
    <row r="20" spans="2:30" x14ac:dyDescent="0.25">
      <c r="B20" s="11">
        <v>0.34375</v>
      </c>
      <c r="C20" s="49">
        <v>68</v>
      </c>
      <c r="D20" s="49">
        <v>2</v>
      </c>
      <c r="E20" s="49">
        <v>0</v>
      </c>
      <c r="F20" s="49">
        <v>70</v>
      </c>
      <c r="G20" s="49">
        <v>112</v>
      </c>
      <c r="H20" s="49">
        <v>6</v>
      </c>
      <c r="I20" s="49">
        <v>1</v>
      </c>
      <c r="J20" s="49">
        <v>119</v>
      </c>
      <c r="K20" s="49">
        <v>189</v>
      </c>
      <c r="L20" s="49">
        <v>0</v>
      </c>
      <c r="M20" s="49">
        <v>0</v>
      </c>
      <c r="N20" s="49">
        <v>0</v>
      </c>
      <c r="O20" s="49">
        <v>0</v>
      </c>
      <c r="P20" s="49">
        <v>44</v>
      </c>
      <c r="Q20" s="49">
        <v>5</v>
      </c>
      <c r="R20" s="49">
        <v>0</v>
      </c>
      <c r="S20" s="49">
        <v>49</v>
      </c>
      <c r="T20" s="49">
        <v>49</v>
      </c>
      <c r="U20" s="49">
        <v>63</v>
      </c>
      <c r="V20" s="49">
        <v>8</v>
      </c>
      <c r="W20" s="49">
        <v>0</v>
      </c>
      <c r="X20" s="49">
        <v>71</v>
      </c>
      <c r="Y20" s="49">
        <v>0</v>
      </c>
      <c r="Z20" s="49">
        <v>0</v>
      </c>
      <c r="AA20" s="49">
        <v>0</v>
      </c>
      <c r="AB20" s="49">
        <v>0</v>
      </c>
      <c r="AC20" s="49">
        <v>71</v>
      </c>
      <c r="AD20" s="49">
        <v>309</v>
      </c>
    </row>
    <row r="21" spans="2:30" x14ac:dyDescent="0.25">
      <c r="B21" s="11">
        <v>0.35416666666666669</v>
      </c>
      <c r="C21" s="49">
        <v>81</v>
      </c>
      <c r="D21" s="49">
        <v>2</v>
      </c>
      <c r="E21" s="49">
        <v>0</v>
      </c>
      <c r="F21" s="49">
        <v>83</v>
      </c>
      <c r="G21" s="49">
        <v>121</v>
      </c>
      <c r="H21" s="49">
        <v>10</v>
      </c>
      <c r="I21" s="49">
        <v>0</v>
      </c>
      <c r="J21" s="49">
        <v>131</v>
      </c>
      <c r="K21" s="49">
        <v>214</v>
      </c>
      <c r="L21" s="49">
        <v>0</v>
      </c>
      <c r="M21" s="49">
        <v>0</v>
      </c>
      <c r="N21" s="49">
        <v>0</v>
      </c>
      <c r="O21" s="49">
        <v>0</v>
      </c>
      <c r="P21" s="49">
        <v>44</v>
      </c>
      <c r="Q21" s="49">
        <v>6</v>
      </c>
      <c r="R21" s="49">
        <v>0</v>
      </c>
      <c r="S21" s="49">
        <v>50</v>
      </c>
      <c r="T21" s="49">
        <v>50</v>
      </c>
      <c r="U21" s="49">
        <v>61</v>
      </c>
      <c r="V21" s="49">
        <v>8</v>
      </c>
      <c r="W21" s="49">
        <v>0</v>
      </c>
      <c r="X21" s="49">
        <v>69</v>
      </c>
      <c r="Y21" s="49">
        <v>0</v>
      </c>
      <c r="Z21" s="49">
        <v>0</v>
      </c>
      <c r="AA21" s="49">
        <v>0</v>
      </c>
      <c r="AB21" s="49">
        <v>0</v>
      </c>
      <c r="AC21" s="49">
        <v>69</v>
      </c>
      <c r="AD21" s="49">
        <v>333</v>
      </c>
    </row>
    <row r="22" spans="2:30" x14ac:dyDescent="0.25">
      <c r="B22" s="11">
        <v>0.36458333333333331</v>
      </c>
      <c r="C22" s="49">
        <v>55</v>
      </c>
      <c r="D22" s="49">
        <v>7</v>
      </c>
      <c r="E22" s="49">
        <v>0</v>
      </c>
      <c r="F22" s="49">
        <v>62</v>
      </c>
      <c r="G22" s="49">
        <v>75</v>
      </c>
      <c r="H22" s="49">
        <v>7</v>
      </c>
      <c r="I22" s="49">
        <v>0</v>
      </c>
      <c r="J22" s="49">
        <v>82</v>
      </c>
      <c r="K22" s="49">
        <v>144</v>
      </c>
      <c r="L22" s="49">
        <v>0</v>
      </c>
      <c r="M22" s="49">
        <v>0</v>
      </c>
      <c r="N22" s="49">
        <v>0</v>
      </c>
      <c r="O22" s="49">
        <v>0</v>
      </c>
      <c r="P22" s="49">
        <v>39</v>
      </c>
      <c r="Q22" s="49">
        <v>5</v>
      </c>
      <c r="R22" s="49">
        <v>0</v>
      </c>
      <c r="S22" s="49">
        <v>44</v>
      </c>
      <c r="T22" s="49">
        <v>44</v>
      </c>
      <c r="U22" s="49">
        <v>50</v>
      </c>
      <c r="V22" s="49">
        <v>5</v>
      </c>
      <c r="W22" s="49">
        <v>0</v>
      </c>
      <c r="X22" s="49">
        <v>55</v>
      </c>
      <c r="Y22" s="49">
        <v>1</v>
      </c>
      <c r="Z22" s="49">
        <v>0</v>
      </c>
      <c r="AA22" s="49">
        <v>0</v>
      </c>
      <c r="AB22" s="49">
        <v>1</v>
      </c>
      <c r="AC22" s="49">
        <v>56</v>
      </c>
      <c r="AD22" s="49">
        <v>244</v>
      </c>
    </row>
    <row r="23" spans="2:30" x14ac:dyDescent="0.25">
      <c r="B23" s="10" t="s">
        <v>44</v>
      </c>
      <c r="C23" s="49">
        <v>510</v>
      </c>
      <c r="D23" s="49">
        <v>17</v>
      </c>
      <c r="E23" s="49">
        <v>6</v>
      </c>
      <c r="F23" s="49">
        <v>533</v>
      </c>
      <c r="G23" s="49">
        <v>542</v>
      </c>
      <c r="H23" s="49">
        <v>48</v>
      </c>
      <c r="I23" s="49">
        <v>2</v>
      </c>
      <c r="J23" s="49">
        <v>592</v>
      </c>
      <c r="K23" s="49">
        <v>1125</v>
      </c>
      <c r="L23" s="49">
        <v>2</v>
      </c>
      <c r="M23" s="49">
        <v>1</v>
      </c>
      <c r="N23" s="49">
        <v>0</v>
      </c>
      <c r="O23" s="49">
        <v>3</v>
      </c>
      <c r="P23" s="49">
        <v>706</v>
      </c>
      <c r="Q23" s="49">
        <v>43</v>
      </c>
      <c r="R23" s="49">
        <v>1</v>
      </c>
      <c r="S23" s="49">
        <v>750</v>
      </c>
      <c r="T23" s="49">
        <v>753</v>
      </c>
      <c r="U23" s="49">
        <v>892</v>
      </c>
      <c r="V23" s="49">
        <v>40</v>
      </c>
      <c r="W23" s="49">
        <v>2</v>
      </c>
      <c r="X23" s="49">
        <v>934</v>
      </c>
      <c r="Y23" s="49">
        <v>11</v>
      </c>
      <c r="Z23" s="49">
        <v>0</v>
      </c>
      <c r="AA23" s="49">
        <v>0</v>
      </c>
      <c r="AB23" s="49">
        <v>11</v>
      </c>
      <c r="AC23" s="49">
        <v>945</v>
      </c>
      <c r="AD23" s="49">
        <v>2823</v>
      </c>
    </row>
    <row r="24" spans="2:30" x14ac:dyDescent="0.25">
      <c r="B24" s="11">
        <v>0.66666666666666663</v>
      </c>
      <c r="C24" s="49">
        <v>58</v>
      </c>
      <c r="D24" s="49">
        <v>5</v>
      </c>
      <c r="E24" s="49">
        <v>2</v>
      </c>
      <c r="F24" s="49">
        <v>65</v>
      </c>
      <c r="G24" s="49">
        <v>67</v>
      </c>
      <c r="H24" s="49">
        <v>15</v>
      </c>
      <c r="I24" s="49">
        <v>0</v>
      </c>
      <c r="J24" s="49">
        <v>82</v>
      </c>
      <c r="K24" s="49">
        <v>147</v>
      </c>
      <c r="L24" s="49">
        <v>0</v>
      </c>
      <c r="M24" s="49">
        <v>0</v>
      </c>
      <c r="N24" s="49">
        <v>0</v>
      </c>
      <c r="O24" s="49">
        <v>0</v>
      </c>
      <c r="P24" s="49">
        <v>98</v>
      </c>
      <c r="Q24" s="49">
        <v>7</v>
      </c>
      <c r="R24" s="49">
        <v>0</v>
      </c>
      <c r="S24" s="49">
        <v>105</v>
      </c>
      <c r="T24" s="49">
        <v>105</v>
      </c>
      <c r="U24" s="49">
        <v>126</v>
      </c>
      <c r="V24" s="49">
        <v>5</v>
      </c>
      <c r="W24" s="49">
        <v>1</v>
      </c>
      <c r="X24" s="49">
        <v>132</v>
      </c>
      <c r="Y24" s="49">
        <v>0</v>
      </c>
      <c r="Z24" s="49">
        <v>0</v>
      </c>
      <c r="AA24" s="49">
        <v>0</v>
      </c>
      <c r="AB24" s="49">
        <v>0</v>
      </c>
      <c r="AC24" s="49">
        <v>132</v>
      </c>
      <c r="AD24" s="49">
        <v>384</v>
      </c>
    </row>
    <row r="25" spans="2:30" x14ac:dyDescent="0.25">
      <c r="B25" s="11">
        <v>0.67708333333333337</v>
      </c>
      <c r="C25" s="49">
        <v>54</v>
      </c>
      <c r="D25" s="49">
        <v>3</v>
      </c>
      <c r="E25" s="49">
        <v>1</v>
      </c>
      <c r="F25" s="49">
        <v>58</v>
      </c>
      <c r="G25" s="49">
        <v>56</v>
      </c>
      <c r="H25" s="49">
        <v>4</v>
      </c>
      <c r="I25" s="49">
        <v>1</v>
      </c>
      <c r="J25" s="49">
        <v>61</v>
      </c>
      <c r="K25" s="49">
        <v>119</v>
      </c>
      <c r="L25" s="49">
        <v>0</v>
      </c>
      <c r="M25" s="49">
        <v>0</v>
      </c>
      <c r="N25" s="49">
        <v>0</v>
      </c>
      <c r="O25" s="49">
        <v>0</v>
      </c>
      <c r="P25" s="49">
        <v>74</v>
      </c>
      <c r="Q25" s="49">
        <v>4</v>
      </c>
      <c r="R25" s="49">
        <v>0</v>
      </c>
      <c r="S25" s="49">
        <v>78</v>
      </c>
      <c r="T25" s="49">
        <v>78</v>
      </c>
      <c r="U25" s="49">
        <v>113</v>
      </c>
      <c r="V25" s="49">
        <v>8</v>
      </c>
      <c r="W25" s="49">
        <v>1</v>
      </c>
      <c r="X25" s="49">
        <v>122</v>
      </c>
      <c r="Y25" s="49">
        <v>2</v>
      </c>
      <c r="Z25" s="49">
        <v>0</v>
      </c>
      <c r="AA25" s="49">
        <v>0</v>
      </c>
      <c r="AB25" s="49">
        <v>2</v>
      </c>
      <c r="AC25" s="49">
        <v>124</v>
      </c>
      <c r="AD25" s="49">
        <v>321</v>
      </c>
    </row>
    <row r="26" spans="2:30" x14ac:dyDescent="0.25">
      <c r="B26" s="11">
        <v>0.6875</v>
      </c>
      <c r="C26" s="49">
        <v>66</v>
      </c>
      <c r="D26" s="49">
        <v>5</v>
      </c>
      <c r="E26" s="49">
        <v>0</v>
      </c>
      <c r="F26" s="49">
        <v>71</v>
      </c>
      <c r="G26" s="49">
        <v>87</v>
      </c>
      <c r="H26" s="49">
        <v>10</v>
      </c>
      <c r="I26" s="49">
        <v>0</v>
      </c>
      <c r="J26" s="49">
        <v>97</v>
      </c>
      <c r="K26" s="49">
        <v>168</v>
      </c>
      <c r="L26" s="49">
        <v>0</v>
      </c>
      <c r="M26" s="49">
        <v>0</v>
      </c>
      <c r="N26" s="49">
        <v>0</v>
      </c>
      <c r="O26" s="49">
        <v>0</v>
      </c>
      <c r="P26" s="49">
        <v>115</v>
      </c>
      <c r="Q26" s="49">
        <v>4</v>
      </c>
      <c r="R26" s="49">
        <v>0</v>
      </c>
      <c r="S26" s="49">
        <v>119</v>
      </c>
      <c r="T26" s="49">
        <v>119</v>
      </c>
      <c r="U26" s="49">
        <v>129</v>
      </c>
      <c r="V26" s="49">
        <v>5</v>
      </c>
      <c r="W26" s="49">
        <v>0</v>
      </c>
      <c r="X26" s="49">
        <v>134</v>
      </c>
      <c r="Y26" s="49">
        <v>2</v>
      </c>
      <c r="Z26" s="49">
        <v>0</v>
      </c>
      <c r="AA26" s="49">
        <v>0</v>
      </c>
      <c r="AB26" s="49">
        <v>2</v>
      </c>
      <c r="AC26" s="49">
        <v>136</v>
      </c>
      <c r="AD26" s="49">
        <v>423</v>
      </c>
    </row>
    <row r="27" spans="2:30" x14ac:dyDescent="0.25">
      <c r="B27" s="11">
        <v>0.69791666666666663</v>
      </c>
      <c r="C27" s="49">
        <v>65</v>
      </c>
      <c r="D27" s="49">
        <v>1</v>
      </c>
      <c r="E27" s="49">
        <v>1</v>
      </c>
      <c r="F27" s="49">
        <v>67</v>
      </c>
      <c r="G27" s="49">
        <v>73</v>
      </c>
      <c r="H27" s="49">
        <v>0</v>
      </c>
      <c r="I27" s="49">
        <v>0</v>
      </c>
      <c r="J27" s="49">
        <v>73</v>
      </c>
      <c r="K27" s="49">
        <v>140</v>
      </c>
      <c r="L27" s="49">
        <v>1</v>
      </c>
      <c r="M27" s="49">
        <v>0</v>
      </c>
      <c r="N27" s="49">
        <v>0</v>
      </c>
      <c r="O27" s="49">
        <v>1</v>
      </c>
      <c r="P27" s="49">
        <v>102</v>
      </c>
      <c r="Q27" s="49">
        <v>6</v>
      </c>
      <c r="R27" s="49">
        <v>0</v>
      </c>
      <c r="S27" s="49">
        <v>108</v>
      </c>
      <c r="T27" s="49">
        <v>109</v>
      </c>
      <c r="U27" s="49">
        <v>107</v>
      </c>
      <c r="V27" s="49">
        <v>4</v>
      </c>
      <c r="W27" s="49">
        <v>0</v>
      </c>
      <c r="X27" s="49">
        <v>111</v>
      </c>
      <c r="Y27" s="49">
        <v>0</v>
      </c>
      <c r="Z27" s="49">
        <v>0</v>
      </c>
      <c r="AA27" s="49">
        <v>0</v>
      </c>
      <c r="AB27" s="49">
        <v>0</v>
      </c>
      <c r="AC27" s="49">
        <v>111</v>
      </c>
      <c r="AD27" s="49">
        <v>360</v>
      </c>
    </row>
    <row r="28" spans="2:30" x14ac:dyDescent="0.25">
      <c r="B28" s="11">
        <v>0.70833333333333337</v>
      </c>
      <c r="C28" s="49">
        <v>65</v>
      </c>
      <c r="D28" s="49">
        <v>1</v>
      </c>
      <c r="E28" s="49">
        <v>0</v>
      </c>
      <c r="F28" s="49">
        <v>66</v>
      </c>
      <c r="G28" s="49">
        <v>71</v>
      </c>
      <c r="H28" s="49">
        <v>6</v>
      </c>
      <c r="I28" s="49">
        <v>0</v>
      </c>
      <c r="J28" s="49">
        <v>77</v>
      </c>
      <c r="K28" s="49">
        <v>143</v>
      </c>
      <c r="L28" s="49">
        <v>0</v>
      </c>
      <c r="M28" s="49">
        <v>1</v>
      </c>
      <c r="N28" s="49">
        <v>0</v>
      </c>
      <c r="O28" s="49">
        <v>1</v>
      </c>
      <c r="P28" s="49">
        <v>127</v>
      </c>
      <c r="Q28" s="49">
        <v>11</v>
      </c>
      <c r="R28" s="49">
        <v>0</v>
      </c>
      <c r="S28" s="49">
        <v>138</v>
      </c>
      <c r="T28" s="49">
        <v>139</v>
      </c>
      <c r="U28" s="49">
        <v>128</v>
      </c>
      <c r="V28" s="49">
        <v>2</v>
      </c>
      <c r="W28" s="49">
        <v>0</v>
      </c>
      <c r="X28" s="49">
        <v>130</v>
      </c>
      <c r="Y28" s="49">
        <v>0</v>
      </c>
      <c r="Z28" s="49">
        <v>0</v>
      </c>
      <c r="AA28" s="49">
        <v>0</v>
      </c>
      <c r="AB28" s="49">
        <v>0</v>
      </c>
      <c r="AC28" s="49">
        <v>130</v>
      </c>
      <c r="AD28" s="49">
        <v>412</v>
      </c>
    </row>
    <row r="29" spans="2:30" x14ac:dyDescent="0.25">
      <c r="B29" s="11">
        <v>0.71875</v>
      </c>
      <c r="C29" s="49">
        <v>85</v>
      </c>
      <c r="D29" s="49">
        <v>1</v>
      </c>
      <c r="E29" s="49">
        <v>1</v>
      </c>
      <c r="F29" s="49">
        <v>87</v>
      </c>
      <c r="G29" s="49">
        <v>75</v>
      </c>
      <c r="H29" s="49">
        <v>8</v>
      </c>
      <c r="I29" s="49">
        <v>1</v>
      </c>
      <c r="J29" s="49">
        <v>84</v>
      </c>
      <c r="K29" s="49">
        <v>171</v>
      </c>
      <c r="L29" s="49">
        <v>1</v>
      </c>
      <c r="M29" s="49">
        <v>0</v>
      </c>
      <c r="N29" s="49">
        <v>0</v>
      </c>
      <c r="O29" s="49">
        <v>1</v>
      </c>
      <c r="P29" s="49">
        <v>72</v>
      </c>
      <c r="Q29" s="49">
        <v>2</v>
      </c>
      <c r="R29" s="49">
        <v>1</v>
      </c>
      <c r="S29" s="49">
        <v>75</v>
      </c>
      <c r="T29" s="49">
        <v>76</v>
      </c>
      <c r="U29" s="49">
        <v>91</v>
      </c>
      <c r="V29" s="49">
        <v>5</v>
      </c>
      <c r="W29" s="49">
        <v>0</v>
      </c>
      <c r="X29" s="49">
        <v>96</v>
      </c>
      <c r="Y29" s="49">
        <v>3</v>
      </c>
      <c r="Z29" s="49">
        <v>0</v>
      </c>
      <c r="AA29" s="49">
        <v>0</v>
      </c>
      <c r="AB29" s="49">
        <v>3</v>
      </c>
      <c r="AC29" s="49">
        <v>99</v>
      </c>
      <c r="AD29" s="49">
        <v>346</v>
      </c>
    </row>
    <row r="30" spans="2:30" x14ac:dyDescent="0.25">
      <c r="B30" s="11">
        <v>0.72916666666666663</v>
      </c>
      <c r="C30" s="49">
        <v>61</v>
      </c>
      <c r="D30" s="49">
        <v>0</v>
      </c>
      <c r="E30" s="49">
        <v>0</v>
      </c>
      <c r="F30" s="49">
        <v>61</v>
      </c>
      <c r="G30" s="49">
        <v>66</v>
      </c>
      <c r="H30" s="49">
        <v>3</v>
      </c>
      <c r="I30" s="49">
        <v>0</v>
      </c>
      <c r="J30" s="49">
        <v>69</v>
      </c>
      <c r="K30" s="49">
        <v>130</v>
      </c>
      <c r="L30" s="49">
        <v>0</v>
      </c>
      <c r="M30" s="49">
        <v>0</v>
      </c>
      <c r="N30" s="49">
        <v>0</v>
      </c>
      <c r="O30" s="49">
        <v>0</v>
      </c>
      <c r="P30" s="49">
        <v>55</v>
      </c>
      <c r="Q30" s="49">
        <v>5</v>
      </c>
      <c r="R30" s="49">
        <v>0</v>
      </c>
      <c r="S30" s="49">
        <v>60</v>
      </c>
      <c r="T30" s="49">
        <v>60</v>
      </c>
      <c r="U30" s="49">
        <v>91</v>
      </c>
      <c r="V30" s="49">
        <v>6</v>
      </c>
      <c r="W30" s="49">
        <v>0</v>
      </c>
      <c r="X30" s="49">
        <v>97</v>
      </c>
      <c r="Y30" s="49">
        <v>3</v>
      </c>
      <c r="Z30" s="49">
        <v>0</v>
      </c>
      <c r="AA30" s="49">
        <v>0</v>
      </c>
      <c r="AB30" s="49">
        <v>3</v>
      </c>
      <c r="AC30" s="49">
        <v>100</v>
      </c>
      <c r="AD30" s="49">
        <v>290</v>
      </c>
    </row>
    <row r="31" spans="2:30" x14ac:dyDescent="0.25">
      <c r="B31" s="11">
        <v>0.73958333333333337</v>
      </c>
      <c r="C31" s="49">
        <v>56</v>
      </c>
      <c r="D31" s="49">
        <v>1</v>
      </c>
      <c r="E31" s="49">
        <v>1</v>
      </c>
      <c r="F31" s="49">
        <v>58</v>
      </c>
      <c r="G31" s="49">
        <v>47</v>
      </c>
      <c r="H31" s="49">
        <v>2</v>
      </c>
      <c r="I31" s="49">
        <v>0</v>
      </c>
      <c r="J31" s="49">
        <v>49</v>
      </c>
      <c r="K31" s="49">
        <v>107</v>
      </c>
      <c r="L31" s="49">
        <v>0</v>
      </c>
      <c r="M31" s="49">
        <v>0</v>
      </c>
      <c r="N31" s="49">
        <v>0</v>
      </c>
      <c r="O31" s="49">
        <v>0</v>
      </c>
      <c r="P31" s="49">
        <v>63</v>
      </c>
      <c r="Q31" s="49">
        <v>4</v>
      </c>
      <c r="R31" s="49">
        <v>0</v>
      </c>
      <c r="S31" s="49">
        <v>67</v>
      </c>
      <c r="T31" s="49">
        <v>67</v>
      </c>
      <c r="U31" s="49">
        <v>107</v>
      </c>
      <c r="V31" s="49">
        <v>5</v>
      </c>
      <c r="W31" s="49">
        <v>0</v>
      </c>
      <c r="X31" s="49">
        <v>112</v>
      </c>
      <c r="Y31" s="49">
        <v>1</v>
      </c>
      <c r="Z31" s="49">
        <v>0</v>
      </c>
      <c r="AA31" s="49">
        <v>0</v>
      </c>
      <c r="AB31" s="49">
        <v>1</v>
      </c>
      <c r="AC31" s="49">
        <v>113</v>
      </c>
      <c r="AD31" s="49">
        <v>287</v>
      </c>
    </row>
    <row r="32" spans="2:30" x14ac:dyDescent="0.25">
      <c r="B32" s="10" t="s">
        <v>91</v>
      </c>
      <c r="C32" s="49">
        <v>188</v>
      </c>
      <c r="D32" s="49">
        <v>23</v>
      </c>
      <c r="E32" s="49">
        <v>0</v>
      </c>
      <c r="F32" s="49">
        <v>211</v>
      </c>
      <c r="G32" s="49">
        <v>251</v>
      </c>
      <c r="H32" s="49">
        <v>43</v>
      </c>
      <c r="I32" s="49">
        <v>2</v>
      </c>
      <c r="J32" s="49">
        <v>296</v>
      </c>
      <c r="K32" s="49">
        <v>507</v>
      </c>
      <c r="L32" s="49">
        <v>2</v>
      </c>
      <c r="M32" s="49">
        <v>0</v>
      </c>
      <c r="N32" s="49">
        <v>0</v>
      </c>
      <c r="O32" s="49">
        <v>2</v>
      </c>
      <c r="P32" s="49">
        <v>207</v>
      </c>
      <c r="Q32" s="49">
        <v>22</v>
      </c>
      <c r="R32" s="49">
        <v>0</v>
      </c>
      <c r="S32" s="49">
        <v>229</v>
      </c>
      <c r="T32" s="49">
        <v>231</v>
      </c>
      <c r="U32" s="49">
        <v>232</v>
      </c>
      <c r="V32" s="49">
        <v>38</v>
      </c>
      <c r="W32" s="49">
        <v>2</v>
      </c>
      <c r="X32" s="49">
        <v>272</v>
      </c>
      <c r="Y32" s="49">
        <v>1</v>
      </c>
      <c r="Z32" s="49">
        <v>0</v>
      </c>
      <c r="AA32" s="49">
        <v>0</v>
      </c>
      <c r="AB32" s="49">
        <v>1</v>
      </c>
      <c r="AC32" s="49">
        <v>273</v>
      </c>
      <c r="AD32" s="49">
        <v>1011</v>
      </c>
    </row>
    <row r="33" spans="2:30" x14ac:dyDescent="0.25">
      <c r="B33" s="11">
        <v>0.54166666666666663</v>
      </c>
      <c r="C33" s="49">
        <v>46</v>
      </c>
      <c r="D33" s="49">
        <v>4</v>
      </c>
      <c r="E33" s="49">
        <v>0</v>
      </c>
      <c r="F33" s="49">
        <v>50</v>
      </c>
      <c r="G33" s="49">
        <v>73</v>
      </c>
      <c r="H33" s="49">
        <v>15</v>
      </c>
      <c r="I33" s="49">
        <v>2</v>
      </c>
      <c r="J33" s="49">
        <v>90</v>
      </c>
      <c r="K33" s="49">
        <v>140</v>
      </c>
      <c r="L33" s="49">
        <v>0</v>
      </c>
      <c r="M33" s="49">
        <v>0</v>
      </c>
      <c r="N33" s="49">
        <v>0</v>
      </c>
      <c r="O33" s="49">
        <v>0</v>
      </c>
      <c r="P33" s="49">
        <v>49</v>
      </c>
      <c r="Q33" s="49">
        <v>5</v>
      </c>
      <c r="R33" s="49">
        <v>0</v>
      </c>
      <c r="S33" s="49">
        <v>54</v>
      </c>
      <c r="T33" s="49">
        <v>54</v>
      </c>
      <c r="U33" s="49">
        <v>59</v>
      </c>
      <c r="V33" s="49">
        <v>12</v>
      </c>
      <c r="W33" s="49">
        <v>1</v>
      </c>
      <c r="X33" s="49">
        <v>72</v>
      </c>
      <c r="Y33" s="49">
        <v>0</v>
      </c>
      <c r="Z33" s="49">
        <v>0</v>
      </c>
      <c r="AA33" s="49">
        <v>0</v>
      </c>
      <c r="AB33" s="49">
        <v>0</v>
      </c>
      <c r="AC33" s="49">
        <v>72</v>
      </c>
      <c r="AD33" s="49">
        <v>266</v>
      </c>
    </row>
    <row r="34" spans="2:30" x14ac:dyDescent="0.25">
      <c r="B34" s="11">
        <v>0.55208333333333337</v>
      </c>
      <c r="C34" s="49">
        <v>54</v>
      </c>
      <c r="D34" s="49">
        <v>8</v>
      </c>
      <c r="E34" s="49">
        <v>0</v>
      </c>
      <c r="F34" s="49">
        <v>62</v>
      </c>
      <c r="G34" s="49">
        <v>65</v>
      </c>
      <c r="H34" s="49">
        <v>7</v>
      </c>
      <c r="I34" s="49">
        <v>0</v>
      </c>
      <c r="J34" s="49">
        <v>72</v>
      </c>
      <c r="K34" s="49">
        <v>134</v>
      </c>
      <c r="L34" s="49">
        <v>1</v>
      </c>
      <c r="M34" s="49">
        <v>0</v>
      </c>
      <c r="N34" s="49">
        <v>0</v>
      </c>
      <c r="O34" s="49">
        <v>1</v>
      </c>
      <c r="P34" s="49">
        <v>44</v>
      </c>
      <c r="Q34" s="49">
        <v>2</v>
      </c>
      <c r="R34" s="49">
        <v>0</v>
      </c>
      <c r="S34" s="49">
        <v>46</v>
      </c>
      <c r="T34" s="49">
        <v>47</v>
      </c>
      <c r="U34" s="49">
        <v>49</v>
      </c>
      <c r="V34" s="49">
        <v>5</v>
      </c>
      <c r="W34" s="49">
        <v>0</v>
      </c>
      <c r="X34" s="49">
        <v>54</v>
      </c>
      <c r="Y34" s="49">
        <v>1</v>
      </c>
      <c r="Z34" s="49">
        <v>0</v>
      </c>
      <c r="AA34" s="49">
        <v>0</v>
      </c>
      <c r="AB34" s="49">
        <v>1</v>
      </c>
      <c r="AC34" s="49">
        <v>55</v>
      </c>
      <c r="AD34" s="49">
        <v>236</v>
      </c>
    </row>
    <row r="35" spans="2:30" x14ac:dyDescent="0.25">
      <c r="B35" s="11">
        <v>0.5625</v>
      </c>
      <c r="C35" s="49">
        <v>47</v>
      </c>
      <c r="D35" s="49">
        <v>7</v>
      </c>
      <c r="E35" s="49">
        <v>0</v>
      </c>
      <c r="F35" s="49">
        <v>54</v>
      </c>
      <c r="G35" s="49">
        <v>60</v>
      </c>
      <c r="H35" s="49">
        <v>10</v>
      </c>
      <c r="I35" s="49">
        <v>0</v>
      </c>
      <c r="J35" s="49">
        <v>70</v>
      </c>
      <c r="K35" s="49">
        <v>124</v>
      </c>
      <c r="L35" s="49">
        <v>0</v>
      </c>
      <c r="M35" s="49">
        <v>0</v>
      </c>
      <c r="N35" s="49">
        <v>0</v>
      </c>
      <c r="O35" s="49">
        <v>0</v>
      </c>
      <c r="P35" s="49">
        <v>55</v>
      </c>
      <c r="Q35" s="49">
        <v>10</v>
      </c>
      <c r="R35" s="49">
        <v>0</v>
      </c>
      <c r="S35" s="49">
        <v>65</v>
      </c>
      <c r="T35" s="49">
        <v>65</v>
      </c>
      <c r="U35" s="49">
        <v>62</v>
      </c>
      <c r="V35" s="49">
        <v>10</v>
      </c>
      <c r="W35" s="49">
        <v>0</v>
      </c>
      <c r="X35" s="49">
        <v>72</v>
      </c>
      <c r="Y35" s="49">
        <v>0</v>
      </c>
      <c r="Z35" s="49">
        <v>0</v>
      </c>
      <c r="AA35" s="49">
        <v>0</v>
      </c>
      <c r="AB35" s="49">
        <v>0</v>
      </c>
      <c r="AC35" s="49">
        <v>72</v>
      </c>
      <c r="AD35" s="49">
        <v>261</v>
      </c>
    </row>
    <row r="36" spans="2:30" x14ac:dyDescent="0.25">
      <c r="B36" s="11">
        <v>0.57291666666666663</v>
      </c>
      <c r="C36" s="49">
        <v>41</v>
      </c>
      <c r="D36" s="49">
        <v>4</v>
      </c>
      <c r="E36" s="49">
        <v>0</v>
      </c>
      <c r="F36" s="49">
        <v>45</v>
      </c>
      <c r="G36" s="49">
        <v>53</v>
      </c>
      <c r="H36" s="49">
        <v>11</v>
      </c>
      <c r="I36" s="49">
        <v>0</v>
      </c>
      <c r="J36" s="49">
        <v>64</v>
      </c>
      <c r="K36" s="49">
        <v>109</v>
      </c>
      <c r="L36" s="49">
        <v>1</v>
      </c>
      <c r="M36" s="49">
        <v>0</v>
      </c>
      <c r="N36" s="49">
        <v>0</v>
      </c>
      <c r="O36" s="49">
        <v>1</v>
      </c>
      <c r="P36" s="49">
        <v>59</v>
      </c>
      <c r="Q36" s="49">
        <v>5</v>
      </c>
      <c r="R36" s="49">
        <v>0</v>
      </c>
      <c r="S36" s="49">
        <v>64</v>
      </c>
      <c r="T36" s="49">
        <v>65</v>
      </c>
      <c r="U36" s="49">
        <v>62</v>
      </c>
      <c r="V36" s="49">
        <v>11</v>
      </c>
      <c r="W36" s="49">
        <v>1</v>
      </c>
      <c r="X36" s="49">
        <v>74</v>
      </c>
      <c r="Y36" s="49">
        <v>0</v>
      </c>
      <c r="Z36" s="49">
        <v>0</v>
      </c>
      <c r="AA36" s="49">
        <v>0</v>
      </c>
      <c r="AB36" s="49">
        <v>0</v>
      </c>
      <c r="AC36" s="49">
        <v>74</v>
      </c>
      <c r="AD36" s="49">
        <v>248</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1339</v>
      </c>
      <c r="I5">
        <f>MAX(I11:I303)</f>
        <v>1011</v>
      </c>
      <c r="J5">
        <f>MAX(J11:J303)</f>
        <v>1541</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1339 vehicles between 07:15 and 08:15</v>
      </c>
      <c r="I8" s="6" t="str">
        <f>IF(I5=0,"","The peak hour for " &amp;I10&amp;" is "&amp;I5&amp;" vehicles between " &amp; TEXT(I6, "hh:mm")&amp; " and " &amp;TEXT(I7,"hh:mm"))</f>
        <v>The peak hour for INT is 1011 vehicles between 13:00 and 14:00</v>
      </c>
      <c r="J8" s="6" t="str">
        <f>IF(J5=0,"","The peak hour for " &amp;J10&amp;" is "&amp;J5&amp;" vehicles between " &amp; TEXT(J6, "hh:mm")&amp; " and " &amp;TEXT(J7,"hh:mm"))</f>
        <v>The peak hour for PM is 1541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239</v>
      </c>
      <c r="C11" s="49"/>
      <c r="D11" s="49"/>
      <c r="G11" s="7">
        <f>A11</f>
        <v>0.29166666666666669</v>
      </c>
      <c r="H11">
        <f>IF(B11&lt;&gt;0,SUMIF($G$11:$G11,"&gt;"&amp;$G11-1/24,B$11:B11),0)</f>
        <v>239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239</v>
      </c>
      <c r="Q11">
        <f>P11*L11</f>
        <v>0</v>
      </c>
      <c r="S11" s="9">
        <v>0.29166666666666669</v>
      </c>
      <c r="T11" s="49">
        <v>239</v>
      </c>
      <c r="U11" s="49">
        <v>0</v>
      </c>
    </row>
    <row r="12" spans="1:21" x14ac:dyDescent="0.25">
      <c r="A12" s="9">
        <v>0.30208333333333331</v>
      </c>
      <c r="B12" s="49">
        <v>357</v>
      </c>
      <c r="C12" s="49"/>
      <c r="D12" s="49"/>
      <c r="G12" s="7">
        <f t="shared" ref="G12:G26" si="3">A12</f>
        <v>0.30208333333333331</v>
      </c>
      <c r="H12">
        <f>IF(B12&lt;&gt;0,SUMIF($G$11:$G12,"&gt;"&amp;$G12-1/24,B$11:B12),0)</f>
        <v>596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357</v>
      </c>
      <c r="Q12">
        <f t="shared" ref="Q12:Q75" si="7">P12*L12</f>
        <v>357</v>
      </c>
      <c r="S12" s="9">
        <v>0.30208333333333331</v>
      </c>
      <c r="T12" s="49">
        <v>357</v>
      </c>
      <c r="U12" s="49">
        <v>357</v>
      </c>
    </row>
    <row r="13" spans="1:21" x14ac:dyDescent="0.25">
      <c r="A13" s="9">
        <v>0.3125</v>
      </c>
      <c r="B13" s="49">
        <v>338</v>
      </c>
      <c r="C13" s="49"/>
      <c r="D13" s="49"/>
      <c r="G13" s="7">
        <f t="shared" si="3"/>
        <v>0.3125</v>
      </c>
      <c r="H13">
        <f>IF(B13&lt;&gt;0,SUMIF($G$11:$G13,"&gt;"&amp;$G13-1/24,B$11:B13),0)</f>
        <v>934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338</v>
      </c>
      <c r="Q13">
        <f t="shared" si="7"/>
        <v>338</v>
      </c>
      <c r="S13" s="9">
        <v>0.3125</v>
      </c>
      <c r="T13" s="49">
        <v>338</v>
      </c>
      <c r="U13" s="49">
        <v>338</v>
      </c>
    </row>
    <row r="14" spans="1:21" x14ac:dyDescent="0.25">
      <c r="A14" s="9">
        <v>0.32291666666666669</v>
      </c>
      <c r="B14" s="49">
        <v>333</v>
      </c>
      <c r="C14" s="49"/>
      <c r="D14" s="49"/>
      <c r="G14" s="7">
        <f t="shared" si="3"/>
        <v>0.32291666666666669</v>
      </c>
      <c r="H14">
        <f>IF(B14&lt;&gt;0,SUMIF($G$11:$G14,"&gt;"&amp;$G14-1/24,B$11:B14),0)</f>
        <v>1267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333</v>
      </c>
      <c r="Q14">
        <f t="shared" si="7"/>
        <v>333</v>
      </c>
      <c r="S14" s="9">
        <v>0.32291666666666669</v>
      </c>
      <c r="T14" s="49">
        <v>333</v>
      </c>
      <c r="U14" s="49">
        <v>333</v>
      </c>
    </row>
    <row r="15" spans="1:21" x14ac:dyDescent="0.25">
      <c r="A15" s="9">
        <v>0.33333333333333331</v>
      </c>
      <c r="B15" s="49">
        <v>311</v>
      </c>
      <c r="C15" s="49"/>
      <c r="D15" s="49"/>
      <c r="G15" s="7">
        <f t="shared" si="3"/>
        <v>0.33333333333333331</v>
      </c>
      <c r="H15">
        <f>IF(B15&lt;&gt;0,SUMIF($G$11:$G15,"&gt;"&amp;$G15-1/24,B$11:B15),0)</f>
        <v>1339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311</v>
      </c>
      <c r="Q15">
        <f t="shared" si="7"/>
        <v>311</v>
      </c>
      <c r="S15" s="9">
        <v>0.33333333333333331</v>
      </c>
      <c r="T15" s="49">
        <v>311</v>
      </c>
      <c r="U15" s="49">
        <v>311</v>
      </c>
    </row>
    <row r="16" spans="1:21" x14ac:dyDescent="0.25">
      <c r="A16" s="9">
        <v>0.34375</v>
      </c>
      <c r="B16" s="49">
        <v>309</v>
      </c>
      <c r="C16" s="49"/>
      <c r="D16" s="49"/>
      <c r="G16" s="7">
        <f t="shared" si="3"/>
        <v>0.34375</v>
      </c>
      <c r="H16">
        <f>IF(B16&lt;&gt;0,SUMIF($G$11:$G16,"&gt;"&amp;$G16-1/24,B$11:B16),0)</f>
        <v>1291</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309</v>
      </c>
      <c r="Q16">
        <f t="shared" si="7"/>
        <v>0</v>
      </c>
      <c r="S16" s="9">
        <v>0.34375</v>
      </c>
      <c r="T16" s="49">
        <v>309</v>
      </c>
      <c r="U16" s="49">
        <v>0</v>
      </c>
    </row>
    <row r="17" spans="1:21" x14ac:dyDescent="0.25">
      <c r="A17" s="9">
        <v>0.35416666666666669</v>
      </c>
      <c r="B17" s="49">
        <v>333</v>
      </c>
      <c r="C17" s="49"/>
      <c r="D17" s="49"/>
      <c r="G17" s="7">
        <f t="shared" si="3"/>
        <v>0.35416666666666669</v>
      </c>
      <c r="H17">
        <f>IF(B17&lt;&gt;0,SUMIF($G$11:$G17,"&gt;"&amp;$G17-1/24,B$11:B17),0)</f>
        <v>1286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333</v>
      </c>
      <c r="Q17">
        <f t="shared" si="7"/>
        <v>0</v>
      </c>
      <c r="S17" s="9">
        <v>0.35416666666666669</v>
      </c>
      <c r="T17" s="49">
        <v>333</v>
      </c>
      <c r="U17" s="49">
        <v>0</v>
      </c>
    </row>
    <row r="18" spans="1:21" x14ac:dyDescent="0.25">
      <c r="A18" s="9">
        <v>0.36458333333333331</v>
      </c>
      <c r="B18" s="49">
        <v>244</v>
      </c>
      <c r="C18" s="49"/>
      <c r="D18" s="49"/>
      <c r="G18" s="7">
        <f t="shared" si="3"/>
        <v>0.36458333333333331</v>
      </c>
      <c r="H18">
        <f>IF(B18&lt;&gt;0,SUMIF($G$11:$G18,"&gt;"&amp;$G18-1/24,B$11:B18),0)</f>
        <v>1197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244</v>
      </c>
      <c r="Q18">
        <f t="shared" si="7"/>
        <v>0</v>
      </c>
      <c r="S18" s="9">
        <v>0.36458333333333331</v>
      </c>
      <c r="T18" s="49">
        <v>244</v>
      </c>
      <c r="U18" s="49">
        <v>0</v>
      </c>
    </row>
    <row r="19" spans="1:21" x14ac:dyDescent="0.25">
      <c r="A19" s="9">
        <v>0.54166666666666663</v>
      </c>
      <c r="B19" s="49"/>
      <c r="C19" s="49">
        <v>266</v>
      </c>
      <c r="D19" s="49"/>
      <c r="G19" s="7">
        <f t="shared" si="3"/>
        <v>0.54166666666666663</v>
      </c>
      <c r="H19">
        <f>IF(B19&lt;&gt;0,SUMIF($G$11:$G19,"&gt;"&amp;$G19-1/24,B$11:B19),0)</f>
        <v>0</v>
      </c>
      <c r="I19">
        <f>IF(C19&lt;&gt;0,SUMIF($G$11:$G19,"&gt;"&amp;$G19-1/24,C$11:C19),0)</f>
        <v>266</v>
      </c>
      <c r="J19">
        <f>IF(D19&lt;&gt;0,SUMIF($G$11:$G19,"&gt;"&amp;$G19-1/24,D$11:D19),0)</f>
        <v>0</v>
      </c>
      <c r="K19">
        <f>IF(E19&lt;&gt;0,SUMIF($G$11:$G19,"&gt;"&amp;$G19-1/24,E$11:E19),0)</f>
        <v>0</v>
      </c>
      <c r="L19">
        <f t="shared" si="4"/>
        <v>1</v>
      </c>
      <c r="N19" t="str">
        <f t="shared" si="5"/>
        <v>INT</v>
      </c>
      <c r="O19" s="7">
        <f t="shared" si="2"/>
        <v>0.54166666666666663</v>
      </c>
      <c r="P19">
        <f t="shared" si="6"/>
        <v>266</v>
      </c>
      <c r="Q19">
        <f t="shared" si="7"/>
        <v>266</v>
      </c>
      <c r="S19" s="9" t="s">
        <v>49</v>
      </c>
      <c r="T19" s="49">
        <v>2464</v>
      </c>
      <c r="U19" s="49">
        <v>1339</v>
      </c>
    </row>
    <row r="20" spans="1:21" x14ac:dyDescent="0.25">
      <c r="A20" s="9">
        <v>0.55208333333333337</v>
      </c>
      <c r="B20" s="49"/>
      <c r="C20" s="49">
        <v>236</v>
      </c>
      <c r="D20" s="49"/>
      <c r="G20" s="7">
        <f t="shared" si="3"/>
        <v>0.55208333333333337</v>
      </c>
      <c r="H20">
        <f>IF(B20&lt;&gt;0,SUMIF($G$11:$G20,"&gt;"&amp;$G20-1/24,B$11:B20),0)</f>
        <v>0</v>
      </c>
      <c r="I20">
        <f>IF(C20&lt;&gt;0,SUMIF($G$11:$G20,"&gt;"&amp;$G20-1/24,C$11:C20),0)</f>
        <v>502</v>
      </c>
      <c r="J20">
        <f>IF(D20&lt;&gt;0,SUMIF($G$11:$G20,"&gt;"&amp;$G20-1/24,D$11:D20),0)</f>
        <v>0</v>
      </c>
      <c r="K20">
        <f>IF(E20&lt;&gt;0,SUMIF($G$11:$G20,"&gt;"&amp;$G20-1/24,E$11:E20),0)</f>
        <v>0</v>
      </c>
      <c r="L20">
        <f t="shared" si="4"/>
        <v>1</v>
      </c>
      <c r="N20" t="str">
        <f t="shared" si="5"/>
        <v>INT</v>
      </c>
      <c r="O20" s="7">
        <f t="shared" si="2"/>
        <v>0.55208333333333337</v>
      </c>
      <c r="P20">
        <f t="shared" si="6"/>
        <v>236</v>
      </c>
      <c r="Q20">
        <f t="shared" si="7"/>
        <v>236</v>
      </c>
    </row>
    <row r="21" spans="1:21" x14ac:dyDescent="0.25">
      <c r="A21" s="9">
        <v>0.5625</v>
      </c>
      <c r="B21" s="49"/>
      <c r="C21" s="49">
        <v>261</v>
      </c>
      <c r="D21" s="49"/>
      <c r="G21" s="7">
        <f t="shared" si="3"/>
        <v>0.5625</v>
      </c>
      <c r="H21">
        <f>IF(B21&lt;&gt;0,SUMIF($G$11:$G21,"&gt;"&amp;$G21-1/24,B$11:B21),0)</f>
        <v>0</v>
      </c>
      <c r="I21">
        <f>IF(C21&lt;&gt;0,SUMIF($G$11:$G21,"&gt;"&amp;$G21-1/24,C$11:C21),0)</f>
        <v>763</v>
      </c>
      <c r="J21">
        <f>IF(D21&lt;&gt;0,SUMIF($G$11:$G21,"&gt;"&amp;$G21-1/24,D$11:D21),0)</f>
        <v>0</v>
      </c>
      <c r="K21">
        <f>IF(E21&lt;&gt;0,SUMIF($G$11:$G21,"&gt;"&amp;$G21-1/24,E$11:E21),0)</f>
        <v>0</v>
      </c>
      <c r="L21">
        <f t="shared" si="4"/>
        <v>1</v>
      </c>
      <c r="N21" t="str">
        <f t="shared" si="5"/>
        <v>INT</v>
      </c>
      <c r="O21" s="7">
        <f t="shared" si="2"/>
        <v>0.5625</v>
      </c>
      <c r="P21">
        <f t="shared" si="6"/>
        <v>261</v>
      </c>
      <c r="Q21">
        <f t="shared" si="7"/>
        <v>261</v>
      </c>
    </row>
    <row r="22" spans="1:21" x14ac:dyDescent="0.25">
      <c r="A22" s="9">
        <v>0.57291666666666663</v>
      </c>
      <c r="B22" s="49"/>
      <c r="C22" s="49">
        <v>248</v>
      </c>
      <c r="D22" s="49"/>
      <c r="G22" s="7">
        <f t="shared" si="3"/>
        <v>0.57291666666666663</v>
      </c>
      <c r="H22">
        <f>IF(B22&lt;&gt;0,SUMIF($G$11:$G22,"&gt;"&amp;$G22-1/24,B$11:B22),0)</f>
        <v>0</v>
      </c>
      <c r="I22">
        <f>IF(C22&lt;&gt;0,SUMIF($G$11:$G22,"&gt;"&amp;$G22-1/24,C$11:C22),0)</f>
        <v>1011</v>
      </c>
      <c r="J22">
        <f>IF(D22&lt;&gt;0,SUMIF($G$11:$G22,"&gt;"&amp;$G22-1/24,D$11:D22),0)</f>
        <v>0</v>
      </c>
      <c r="K22">
        <f>IF(E22&lt;&gt;0,SUMIF($G$11:$G22,"&gt;"&amp;$G22-1/24,E$11:E22),0)</f>
        <v>0</v>
      </c>
      <c r="L22">
        <f t="shared" si="4"/>
        <v>1</v>
      </c>
      <c r="N22" t="str">
        <f t="shared" si="5"/>
        <v>INT</v>
      </c>
      <c r="O22" s="7">
        <f t="shared" si="2"/>
        <v>0.57291666666666663</v>
      </c>
      <c r="P22">
        <f t="shared" si="6"/>
        <v>248</v>
      </c>
      <c r="Q22">
        <f t="shared" si="7"/>
        <v>248</v>
      </c>
    </row>
    <row r="23" spans="1:21" x14ac:dyDescent="0.25">
      <c r="A23" s="9">
        <v>0.66666666666666663</v>
      </c>
      <c r="B23" s="49"/>
      <c r="C23" s="49"/>
      <c r="D23" s="49">
        <v>384</v>
      </c>
      <c r="G23" s="7">
        <f t="shared" si="3"/>
        <v>0.66666666666666663</v>
      </c>
      <c r="H23">
        <f>IF(B23&lt;&gt;0,SUMIF($G$11:$G23,"&gt;"&amp;$G23-1/24,B$11:B23),0)</f>
        <v>0</v>
      </c>
      <c r="I23">
        <f>IF(C23&lt;&gt;0,SUMIF($G$11:$G23,"&gt;"&amp;$G23-1/24,C$11:C23),0)</f>
        <v>0</v>
      </c>
      <c r="J23">
        <f>IF(D23&lt;&gt;0,SUMIF($G$11:$G23,"&gt;"&amp;$G23-1/24,D$11:D23),0)</f>
        <v>384</v>
      </c>
      <c r="K23">
        <f>IF(E23&lt;&gt;0,SUMIF($G$11:$G23,"&gt;"&amp;$G23-1/24,E$11:E23),0)</f>
        <v>0</v>
      </c>
      <c r="L23">
        <f t="shared" si="4"/>
        <v>0</v>
      </c>
      <c r="N23" t="str">
        <f t="shared" si="5"/>
        <v>PM</v>
      </c>
      <c r="O23" s="7">
        <f t="shared" si="2"/>
        <v>0.66666666666666663</v>
      </c>
      <c r="P23">
        <f t="shared" si="6"/>
        <v>384</v>
      </c>
      <c r="Q23">
        <f t="shared" si="7"/>
        <v>0</v>
      </c>
    </row>
    <row r="24" spans="1:21" x14ac:dyDescent="0.25">
      <c r="A24" s="9">
        <v>0.67708333333333337</v>
      </c>
      <c r="B24" s="49"/>
      <c r="C24" s="49"/>
      <c r="D24" s="49">
        <v>321</v>
      </c>
      <c r="G24" s="7">
        <f t="shared" si="3"/>
        <v>0.67708333333333337</v>
      </c>
      <c r="H24">
        <f>IF(B24&lt;&gt;0,SUMIF($G$11:$G24,"&gt;"&amp;$G24-1/24,B$11:B24),0)</f>
        <v>0</v>
      </c>
      <c r="I24">
        <f>IF(C24&lt;&gt;0,SUMIF($G$11:$G24,"&gt;"&amp;$G24-1/24,C$11:C24),0)</f>
        <v>0</v>
      </c>
      <c r="J24">
        <f>IF(D24&lt;&gt;0,SUMIF($G$11:$G24,"&gt;"&amp;$G24-1/24,D$11:D24),0)</f>
        <v>705</v>
      </c>
      <c r="K24">
        <f>IF(E24&lt;&gt;0,SUMIF($G$11:$G24,"&gt;"&amp;$G24-1/24,E$11:E24),0)</f>
        <v>0</v>
      </c>
      <c r="L24">
        <f t="shared" si="4"/>
        <v>0</v>
      </c>
      <c r="N24" t="str">
        <f t="shared" si="5"/>
        <v>PM</v>
      </c>
      <c r="O24" s="7">
        <f t="shared" si="2"/>
        <v>0.67708333333333337</v>
      </c>
      <c r="P24">
        <f t="shared" si="6"/>
        <v>321</v>
      </c>
      <c r="Q24">
        <f t="shared" si="7"/>
        <v>0</v>
      </c>
    </row>
    <row r="25" spans="1:21" x14ac:dyDescent="0.25">
      <c r="A25" s="9">
        <v>0.6875</v>
      </c>
      <c r="B25" s="49"/>
      <c r="C25" s="49"/>
      <c r="D25" s="49">
        <v>423</v>
      </c>
      <c r="G25" s="7">
        <f t="shared" si="3"/>
        <v>0.6875</v>
      </c>
      <c r="H25">
        <f>IF(B25&lt;&gt;0,SUMIF($G$11:$G25,"&gt;"&amp;$G25-1/24,B$11:B25),0)</f>
        <v>0</v>
      </c>
      <c r="I25">
        <f>IF(C25&lt;&gt;0,SUMIF($G$11:$G25,"&gt;"&amp;$G25-1/24,C$11:C25),0)</f>
        <v>0</v>
      </c>
      <c r="J25">
        <f>IF(D25&lt;&gt;0,SUMIF($G$11:$G25,"&gt;"&amp;$G25-1/24,D$11:D25),0)</f>
        <v>1128</v>
      </c>
      <c r="K25">
        <f>IF(E25&lt;&gt;0,SUMIF($G$11:$G25,"&gt;"&amp;$G25-1/24,E$11:E25),0)</f>
        <v>0</v>
      </c>
      <c r="L25">
        <f t="shared" si="4"/>
        <v>1</v>
      </c>
      <c r="N25" t="str">
        <f t="shared" si="5"/>
        <v>PM</v>
      </c>
      <c r="O25" s="7">
        <f t="shared" si="2"/>
        <v>0.6875</v>
      </c>
      <c r="P25">
        <f t="shared" si="6"/>
        <v>423</v>
      </c>
      <c r="Q25">
        <f t="shared" si="7"/>
        <v>423</v>
      </c>
    </row>
    <row r="26" spans="1:21" x14ac:dyDescent="0.25">
      <c r="A26" s="9">
        <v>0.69791666666666663</v>
      </c>
      <c r="B26" s="49"/>
      <c r="C26" s="49"/>
      <c r="D26" s="49">
        <v>360</v>
      </c>
      <c r="G26" s="7">
        <f t="shared" si="3"/>
        <v>0.69791666666666663</v>
      </c>
      <c r="H26">
        <f>IF(B26&lt;&gt;0,SUMIF($G$11:$G26,"&gt;"&amp;$G26-1/24,B$11:B26),0)</f>
        <v>0</v>
      </c>
      <c r="I26">
        <f>IF(C26&lt;&gt;0,SUMIF($G$11:$G26,"&gt;"&amp;$G26-1/24,C$11:C26),0)</f>
        <v>0</v>
      </c>
      <c r="J26">
        <f>IF(D26&lt;&gt;0,SUMIF($G$11:$G26,"&gt;"&amp;$G26-1/24,D$11:D26),0)</f>
        <v>1488</v>
      </c>
      <c r="K26">
        <f>IF(E26&lt;&gt;0,SUMIF($G$11:$G26,"&gt;"&amp;$G26-1/24,E$11:E26),0)</f>
        <v>0</v>
      </c>
      <c r="L26">
        <f t="shared" si="4"/>
        <v>1</v>
      </c>
      <c r="N26" t="str">
        <f t="shared" si="5"/>
        <v>PM</v>
      </c>
      <c r="O26" s="7">
        <f t="shared" si="2"/>
        <v>0.69791666666666663</v>
      </c>
      <c r="P26">
        <f t="shared" si="6"/>
        <v>360</v>
      </c>
      <c r="Q26">
        <f t="shared" si="7"/>
        <v>360</v>
      </c>
    </row>
    <row r="27" spans="1:21" x14ac:dyDescent="0.25">
      <c r="A27" s="9">
        <v>0.70833333333333337</v>
      </c>
      <c r="B27" s="49"/>
      <c r="C27" s="49"/>
      <c r="D27" s="49">
        <v>412</v>
      </c>
      <c r="G27" s="7">
        <f t="shared" ref="G27:G90" si="8">A27</f>
        <v>0.70833333333333337</v>
      </c>
      <c r="H27">
        <f>IF(B27&lt;&gt;0,SUMIF($G$11:$G27,"&gt;"&amp;$G27-1/24,B$11:B27),0)</f>
        <v>0</v>
      </c>
      <c r="I27">
        <f>IF(C27&lt;&gt;0,SUMIF($G$11:$G27,"&gt;"&amp;$G27-1/24,C$11:C27),0)</f>
        <v>0</v>
      </c>
      <c r="J27">
        <f>IF(D27&lt;&gt;0,SUMIF($G$11:$G27,"&gt;"&amp;$G27-1/24,D$11:D27),0)</f>
        <v>1516</v>
      </c>
      <c r="K27">
        <f>IF(E27&lt;&gt;0,SUMIF($G$11:$G27,"&gt;"&amp;$G27-1/24,E$11:E27),0)</f>
        <v>0</v>
      </c>
      <c r="L27">
        <f t="shared" si="4"/>
        <v>1</v>
      </c>
      <c r="N27" t="str">
        <f t="shared" si="5"/>
        <v>PM</v>
      </c>
      <c r="O27" s="7">
        <f t="shared" si="2"/>
        <v>0.70833333333333337</v>
      </c>
      <c r="P27">
        <f t="shared" si="6"/>
        <v>412</v>
      </c>
      <c r="Q27">
        <f t="shared" si="7"/>
        <v>412</v>
      </c>
    </row>
    <row r="28" spans="1:21" x14ac:dyDescent="0.25">
      <c r="A28" s="9">
        <v>0.71875</v>
      </c>
      <c r="B28" s="49"/>
      <c r="C28" s="49"/>
      <c r="D28" s="49">
        <v>346</v>
      </c>
      <c r="G28" s="7">
        <f t="shared" si="8"/>
        <v>0.71875</v>
      </c>
      <c r="H28">
        <f>IF(B28&lt;&gt;0,SUMIF($G$11:$G28,"&gt;"&amp;$G28-1/24,B$11:B28),0)</f>
        <v>0</v>
      </c>
      <c r="I28">
        <f>IF(C28&lt;&gt;0,SUMIF($G$11:$G28,"&gt;"&amp;$G28-1/24,C$11:C28),0)</f>
        <v>0</v>
      </c>
      <c r="J28">
        <f>IF(D28&lt;&gt;0,SUMIF($G$11:$G28,"&gt;"&amp;$G28-1/24,D$11:D28),0)</f>
        <v>1541</v>
      </c>
      <c r="K28">
        <f>IF(E28&lt;&gt;0,SUMIF($G$11:$G28,"&gt;"&amp;$G28-1/24,E$11:E28),0)</f>
        <v>0</v>
      </c>
      <c r="L28">
        <f t="shared" si="4"/>
        <v>1</v>
      </c>
      <c r="N28" t="str">
        <f t="shared" si="5"/>
        <v>PM</v>
      </c>
      <c r="O28" s="7">
        <f t="shared" si="2"/>
        <v>0.71875</v>
      </c>
      <c r="P28">
        <f t="shared" si="6"/>
        <v>346</v>
      </c>
      <c r="Q28">
        <f t="shared" si="7"/>
        <v>346</v>
      </c>
    </row>
    <row r="29" spans="1:21" x14ac:dyDescent="0.25">
      <c r="A29" s="9">
        <v>0.72916666666666663</v>
      </c>
      <c r="B29" s="49"/>
      <c r="C29" s="49"/>
      <c r="D29" s="49">
        <v>290</v>
      </c>
      <c r="G29" s="7">
        <f t="shared" si="8"/>
        <v>0.72916666666666663</v>
      </c>
      <c r="H29">
        <f>IF(B29&lt;&gt;0,SUMIF($G$11:$G29,"&gt;"&amp;$G29-1/24,B$11:B29),0)</f>
        <v>0</v>
      </c>
      <c r="I29">
        <f>IF(C29&lt;&gt;0,SUMIF($G$11:$G29,"&gt;"&amp;$G29-1/24,C$11:C29),0)</f>
        <v>0</v>
      </c>
      <c r="J29">
        <f>IF(D29&lt;&gt;0,SUMIF($G$11:$G29,"&gt;"&amp;$G29-1/24,D$11:D29),0)</f>
        <v>1408</v>
      </c>
      <c r="K29">
        <f>IF(E29&lt;&gt;0,SUMIF($G$11:$G29,"&gt;"&amp;$G29-1/24,E$11:E29),0)</f>
        <v>0</v>
      </c>
      <c r="L29">
        <f t="shared" si="4"/>
        <v>0</v>
      </c>
      <c r="N29" t="str">
        <f t="shared" si="5"/>
        <v>PM</v>
      </c>
      <c r="O29" s="7">
        <f t="shared" si="2"/>
        <v>0.72916666666666663</v>
      </c>
      <c r="P29">
        <f t="shared" si="6"/>
        <v>290</v>
      </c>
      <c r="Q29">
        <f t="shared" si="7"/>
        <v>0</v>
      </c>
    </row>
    <row r="30" spans="1:21" x14ac:dyDescent="0.25">
      <c r="A30" s="9">
        <v>0.73958333333333337</v>
      </c>
      <c r="B30" s="49"/>
      <c r="C30" s="49"/>
      <c r="D30" s="49">
        <v>287</v>
      </c>
      <c r="G30" s="7">
        <f t="shared" si="8"/>
        <v>0.73958333333333337</v>
      </c>
      <c r="H30">
        <f>IF(B30&lt;&gt;0,SUMIF($G$11:$G30,"&gt;"&amp;$G30-1/24,B$11:B30),0)</f>
        <v>0</v>
      </c>
      <c r="I30">
        <f>IF(C30&lt;&gt;0,SUMIF($G$11:$G30,"&gt;"&amp;$G30-1/24,C$11:C30),0)</f>
        <v>0</v>
      </c>
      <c r="J30">
        <f>IF(D30&lt;&gt;0,SUMIF($G$11:$G30,"&gt;"&amp;$G30-1/24,D$11:D30),0)</f>
        <v>1335</v>
      </c>
      <c r="K30">
        <f>IF(E30&lt;&gt;0,SUMIF($G$11:$G30,"&gt;"&amp;$G30-1/24,E$11:E30),0)</f>
        <v>0</v>
      </c>
      <c r="L30">
        <f t="shared" si="4"/>
        <v>0</v>
      </c>
      <c r="N30" t="str">
        <f t="shared" si="5"/>
        <v>PM</v>
      </c>
      <c r="O30" s="7">
        <f t="shared" si="2"/>
        <v>0.73958333333333337</v>
      </c>
      <c r="P30">
        <f t="shared" si="6"/>
        <v>287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239</v>
      </c>
      <c r="E5" t="str">
        <f>"Vehicle Count by Exit Leg for "&amp;C2&amp;" Period"</f>
        <v>Vehicle Count by Exit Leg for AM Period</v>
      </c>
    </row>
    <row r="6" spans="2:5" x14ac:dyDescent="0.25">
      <c r="B6" s="9">
        <v>0.30208333333333331</v>
      </c>
      <c r="C6" s="49">
        <v>357</v>
      </c>
    </row>
    <row r="7" spans="2:5" x14ac:dyDescent="0.25">
      <c r="B7" s="9">
        <v>0.3125</v>
      </c>
      <c r="C7" s="49">
        <v>338</v>
      </c>
    </row>
    <row r="8" spans="2:5" x14ac:dyDescent="0.25">
      <c r="B8" s="9">
        <v>0.32291666666666669</v>
      </c>
      <c r="C8" s="49">
        <v>333</v>
      </c>
    </row>
    <row r="9" spans="2:5" x14ac:dyDescent="0.25">
      <c r="B9" s="9">
        <v>0.33333333333333331</v>
      </c>
      <c r="C9" s="49">
        <v>311</v>
      </c>
    </row>
    <row r="10" spans="2:5" x14ac:dyDescent="0.25">
      <c r="B10" s="9">
        <v>0.34375</v>
      </c>
      <c r="C10" s="49">
        <v>309</v>
      </c>
    </row>
    <row r="11" spans="2:5" x14ac:dyDescent="0.25">
      <c r="B11" s="9">
        <v>0.35416666666666669</v>
      </c>
      <c r="C11" s="49">
        <v>333</v>
      </c>
    </row>
    <row r="12" spans="2:5" x14ac:dyDescent="0.25">
      <c r="B12" s="9">
        <v>0.36458333333333331</v>
      </c>
      <c r="C12" s="49">
        <v>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6.5703125" bestFit="1" customWidth="1"/>
    <col min="13" max="13" width="19" bestFit="1" customWidth="1"/>
    <col min="14" max="14" width="8.28515625" customWidth="1"/>
    <col min="15" max="15" width="5.5703125" customWidth="1"/>
    <col min="16" max="18" width="3.28515625" customWidth="1"/>
    <col min="19" max="19" width="11.28515625" bestFit="1" customWidth="1"/>
    <col min="20" max="21" width="16.5703125" bestFit="1" customWidth="1"/>
    <col min="22" max="22" width="19"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239</v>
      </c>
      <c r="J26" s="9">
        <v>0.29166666666666669</v>
      </c>
      <c r="K26" s="50">
        <v>150</v>
      </c>
      <c r="L26" s="50">
        <v>43</v>
      </c>
      <c r="M26" s="50">
        <v>46</v>
      </c>
      <c r="S26" s="9">
        <v>0.29166666666666669</v>
      </c>
      <c r="T26" s="50">
        <v>88</v>
      </c>
      <c r="U26" s="50">
        <v>48</v>
      </c>
      <c r="V26" s="50">
        <v>103</v>
      </c>
    </row>
    <row r="27" spans="2:24" x14ac:dyDescent="0.25">
      <c r="B27" s="9">
        <v>0.30208333333333331</v>
      </c>
      <c r="C27" s="50">
        <v>357</v>
      </c>
      <c r="J27" s="9">
        <v>0.30208333333333331</v>
      </c>
      <c r="K27" s="50">
        <v>247</v>
      </c>
      <c r="L27" s="50">
        <v>49</v>
      </c>
      <c r="M27" s="50">
        <v>61</v>
      </c>
      <c r="S27" s="9">
        <v>0.30208333333333331</v>
      </c>
      <c r="T27" s="50">
        <v>110</v>
      </c>
      <c r="U27" s="50">
        <v>89</v>
      </c>
      <c r="V27" s="50">
        <v>158</v>
      </c>
    </row>
    <row r="28" spans="2:24" x14ac:dyDescent="0.25">
      <c r="B28" s="9">
        <v>0.3125</v>
      </c>
      <c r="C28" s="50">
        <v>338</v>
      </c>
      <c r="J28" s="9">
        <v>0.3125</v>
      </c>
      <c r="K28" s="50">
        <v>228</v>
      </c>
      <c r="L28" s="50">
        <v>55</v>
      </c>
      <c r="M28" s="50">
        <v>55</v>
      </c>
      <c r="S28" s="9">
        <v>0.3125</v>
      </c>
      <c r="T28" s="50">
        <v>110</v>
      </c>
      <c r="U28" s="50">
        <v>71</v>
      </c>
      <c r="V28" s="50">
        <v>157</v>
      </c>
    </row>
    <row r="29" spans="2:24" x14ac:dyDescent="0.25">
      <c r="B29" s="9">
        <v>0.32291666666666669</v>
      </c>
      <c r="C29" s="50">
        <v>333</v>
      </c>
      <c r="J29" s="9">
        <v>0.32291666666666669</v>
      </c>
      <c r="K29" s="50">
        <v>218</v>
      </c>
      <c r="L29" s="50">
        <v>56</v>
      </c>
      <c r="M29" s="50">
        <v>59</v>
      </c>
      <c r="S29" s="9">
        <v>0.32291666666666669</v>
      </c>
      <c r="T29" s="50">
        <v>115</v>
      </c>
      <c r="U29" s="50">
        <v>89</v>
      </c>
      <c r="V29" s="50">
        <v>129</v>
      </c>
    </row>
    <row r="30" spans="2:24" x14ac:dyDescent="0.25">
      <c r="B30" s="9">
        <v>0.33333333333333331</v>
      </c>
      <c r="C30" s="50">
        <v>311</v>
      </c>
      <c r="J30" s="9">
        <v>0.33333333333333331</v>
      </c>
      <c r="K30" s="50">
        <v>198</v>
      </c>
      <c r="L30" s="50">
        <v>68</v>
      </c>
      <c r="M30" s="50">
        <v>45</v>
      </c>
      <c r="S30" s="9">
        <v>0.33333333333333331</v>
      </c>
      <c r="T30" s="50">
        <v>113</v>
      </c>
      <c r="U30" s="50">
        <v>68</v>
      </c>
      <c r="V30" s="50">
        <v>130</v>
      </c>
    </row>
    <row r="31" spans="2:24" x14ac:dyDescent="0.25">
      <c r="B31" s="9">
        <v>0.34375</v>
      </c>
      <c r="C31" s="50">
        <v>309</v>
      </c>
      <c r="J31" s="9">
        <v>0.34375</v>
      </c>
      <c r="K31" s="50">
        <v>189</v>
      </c>
      <c r="L31" s="50">
        <v>49</v>
      </c>
      <c r="M31" s="50">
        <v>71</v>
      </c>
      <c r="S31" s="9">
        <v>0.34375</v>
      </c>
      <c r="T31" s="50">
        <v>120</v>
      </c>
      <c r="U31" s="50">
        <v>70</v>
      </c>
      <c r="V31" s="50">
        <v>119</v>
      </c>
    </row>
    <row r="32" spans="2:24" x14ac:dyDescent="0.25">
      <c r="B32" s="9">
        <v>0.35416666666666669</v>
      </c>
      <c r="C32" s="50">
        <v>333</v>
      </c>
      <c r="J32" s="9">
        <v>0.35416666666666669</v>
      </c>
      <c r="K32" s="50">
        <v>214</v>
      </c>
      <c r="L32" s="50">
        <v>50</v>
      </c>
      <c r="M32" s="50">
        <v>69</v>
      </c>
      <c r="S32" s="9">
        <v>0.35416666666666669</v>
      </c>
      <c r="T32" s="50">
        <v>119</v>
      </c>
      <c r="U32" s="50">
        <v>83</v>
      </c>
      <c r="V32" s="50">
        <v>131</v>
      </c>
    </row>
    <row r="33" spans="2:22" x14ac:dyDescent="0.25">
      <c r="B33" s="9">
        <v>0.36458333333333331</v>
      </c>
      <c r="C33" s="50">
        <v>244</v>
      </c>
      <c r="J33" s="9">
        <v>0.36458333333333331</v>
      </c>
      <c r="K33" s="50">
        <v>144</v>
      </c>
      <c r="L33" s="50">
        <v>44</v>
      </c>
      <c r="M33" s="50">
        <v>56</v>
      </c>
      <c r="S33" s="9">
        <v>0.36458333333333331</v>
      </c>
      <c r="T33" s="50">
        <v>99</v>
      </c>
      <c r="U33" s="50">
        <v>63</v>
      </c>
      <c r="V33" s="50">
        <v>82</v>
      </c>
    </row>
    <row r="34" spans="2:22" x14ac:dyDescent="0.25">
      <c r="B34" s="9" t="s">
        <v>49</v>
      </c>
      <c r="C34" s="50">
        <v>2464</v>
      </c>
      <c r="J34" s="9" t="s">
        <v>49</v>
      </c>
      <c r="K34" s="50">
        <v>1588</v>
      </c>
      <c r="L34" s="50">
        <v>414</v>
      </c>
      <c r="M34" s="50">
        <v>462</v>
      </c>
      <c r="S34" s="9" t="s">
        <v>49</v>
      </c>
      <c r="T34" s="50">
        <v>874</v>
      </c>
      <c r="U34" s="50">
        <v>581</v>
      </c>
      <c r="V34" s="50">
        <v>1009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1339 vehicles between 07:15 and 08:15</v>
      </c>
    </row>
    <row r="5" spans="2:2" x14ac:dyDescent="0.25">
      <c r="B5" s="6" t="str">
        <f>PeakCalc!I8</f>
        <v>The peak hour for INT is 1011 vehicles between 13:00 and 14:00</v>
      </c>
    </row>
    <row r="6" spans="2:2" x14ac:dyDescent="0.25">
      <c r="B6" s="6" t="str">
        <f>PeakCalc!J8</f>
        <v>The peak hour for PM is 1541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835</v>
      </c>
      <c r="D32" s="49">
        <v>50</v>
      </c>
      <c r="E32" s="49">
        <v>6</v>
      </c>
      <c r="F32" s="49">
        <v>891</v>
      </c>
      <c r="G32" s="49">
        <v>587</v>
      </c>
      <c r="H32" s="49">
        <v>32</v>
      </c>
      <c r="I32" s="49">
        <v>3</v>
      </c>
      <c r="J32" s="49">
        <v>622</v>
      </c>
      <c r="K32" s="49">
        <v>439</v>
      </c>
      <c r="L32" s="49">
        <v>66</v>
      </c>
      <c r="M32" s="49">
        <v>2</v>
      </c>
      <c r="N32" s="49">
        <v>507</v>
      </c>
    </row>
    <row r="33" spans="2:14" x14ac:dyDescent="0.25">
      <c r="B33" s="14" t="s">
        <v>96</v>
      </c>
      <c r="C33" s="49">
        <v>301</v>
      </c>
      <c r="D33" s="49">
        <v>16</v>
      </c>
      <c r="E33" s="49">
        <v>0</v>
      </c>
      <c r="F33" s="49">
        <v>317</v>
      </c>
      <c r="G33" s="49">
        <v>281</v>
      </c>
      <c r="H33" s="49">
        <v>8</v>
      </c>
      <c r="I33" s="49">
        <v>2</v>
      </c>
      <c r="J33" s="49">
        <v>291</v>
      </c>
      <c r="K33" s="49">
        <v>188</v>
      </c>
      <c r="L33" s="49">
        <v>23</v>
      </c>
      <c r="M33" s="49">
        <v>0</v>
      </c>
      <c r="N33" s="49">
        <v>211</v>
      </c>
    </row>
    <row r="34" spans="2:14" x14ac:dyDescent="0.25">
      <c r="B34" s="14" t="s">
        <v>97</v>
      </c>
      <c r="C34" s="49">
        <v>534</v>
      </c>
      <c r="D34" s="49">
        <v>34</v>
      </c>
      <c r="E34" s="49">
        <v>6</v>
      </c>
      <c r="F34" s="49">
        <v>574</v>
      </c>
      <c r="G34" s="49">
        <v>306</v>
      </c>
      <c r="H34" s="49">
        <v>24</v>
      </c>
      <c r="I34" s="49">
        <v>1</v>
      </c>
      <c r="J34" s="49">
        <v>331</v>
      </c>
      <c r="K34" s="49">
        <v>251</v>
      </c>
      <c r="L34" s="49">
        <v>43</v>
      </c>
      <c r="M34" s="49">
        <v>2</v>
      </c>
      <c r="N34" s="49">
        <v>296</v>
      </c>
    </row>
    <row r="35" spans="2:14" x14ac:dyDescent="0.25">
      <c r="B35" s="10" t="s">
        <v>94</v>
      </c>
      <c r="C35" s="49">
        <v>200</v>
      </c>
      <c r="D35" s="49">
        <v>28</v>
      </c>
      <c r="E35" s="49">
        <v>0</v>
      </c>
      <c r="F35" s="49">
        <v>228</v>
      </c>
      <c r="G35" s="49">
        <v>418</v>
      </c>
      <c r="H35" s="49">
        <v>24</v>
      </c>
      <c r="I35" s="49">
        <v>1</v>
      </c>
      <c r="J35" s="49">
        <v>443</v>
      </c>
      <c r="K35" s="49">
        <v>209</v>
      </c>
      <c r="L35" s="49">
        <v>22</v>
      </c>
      <c r="M35" s="49">
        <v>0</v>
      </c>
      <c r="N35" s="49">
        <v>231</v>
      </c>
    </row>
    <row r="36" spans="2:14" x14ac:dyDescent="0.25">
      <c r="B36" s="14" t="s">
        <v>98</v>
      </c>
      <c r="C36" s="49">
        <v>0</v>
      </c>
      <c r="D36" s="49">
        <v>0</v>
      </c>
      <c r="E36" s="49">
        <v>0</v>
      </c>
      <c r="F36" s="49">
        <v>0</v>
      </c>
      <c r="G36" s="49">
        <v>2</v>
      </c>
      <c r="H36" s="49">
        <v>1</v>
      </c>
      <c r="I36" s="49">
        <v>0</v>
      </c>
      <c r="J36" s="49">
        <v>3</v>
      </c>
      <c r="K36" s="49">
        <v>2</v>
      </c>
      <c r="L36" s="49">
        <v>0</v>
      </c>
      <c r="M36" s="49">
        <v>0</v>
      </c>
      <c r="N36" s="49">
        <v>2</v>
      </c>
    </row>
    <row r="37" spans="2:14" x14ac:dyDescent="0.25">
      <c r="B37" s="14" t="s">
        <v>99</v>
      </c>
      <c r="C37" s="49">
        <v>200</v>
      </c>
      <c r="D37" s="49">
        <v>28</v>
      </c>
      <c r="E37" s="49">
        <v>0</v>
      </c>
      <c r="F37" s="49">
        <v>228</v>
      </c>
      <c r="G37" s="49">
        <v>416</v>
      </c>
      <c r="H37" s="49">
        <v>23</v>
      </c>
      <c r="I37" s="49">
        <v>1</v>
      </c>
      <c r="J37" s="49">
        <v>440</v>
      </c>
      <c r="K37" s="49">
        <v>207</v>
      </c>
      <c r="L37" s="49">
        <v>22</v>
      </c>
      <c r="M37" s="49">
        <v>0</v>
      </c>
      <c r="N37" s="49">
        <v>229</v>
      </c>
    </row>
    <row r="38" spans="2:14" x14ac:dyDescent="0.25">
      <c r="B38" s="10" t="s">
        <v>95</v>
      </c>
      <c r="C38" s="49">
        <v>188</v>
      </c>
      <c r="D38" s="49">
        <v>31</v>
      </c>
      <c r="E38" s="49">
        <v>1</v>
      </c>
      <c r="F38" s="49">
        <v>220</v>
      </c>
      <c r="G38" s="49">
        <v>460</v>
      </c>
      <c r="H38" s="49">
        <v>16</v>
      </c>
      <c r="I38" s="49">
        <v>0</v>
      </c>
      <c r="J38" s="49">
        <v>476</v>
      </c>
      <c r="K38" s="49">
        <v>233</v>
      </c>
      <c r="L38" s="49">
        <v>38</v>
      </c>
      <c r="M38" s="49">
        <v>2</v>
      </c>
      <c r="N38" s="49">
        <v>273</v>
      </c>
    </row>
    <row r="39" spans="2:14" x14ac:dyDescent="0.25">
      <c r="B39" s="14" t="s">
        <v>100</v>
      </c>
      <c r="C39" s="49">
        <v>188</v>
      </c>
      <c r="D39" s="49">
        <v>31</v>
      </c>
      <c r="E39" s="49">
        <v>1</v>
      </c>
      <c r="F39" s="49">
        <v>220</v>
      </c>
      <c r="G39" s="49">
        <v>455</v>
      </c>
      <c r="H39" s="49">
        <v>16</v>
      </c>
      <c r="I39" s="49">
        <v>0</v>
      </c>
      <c r="J39" s="49">
        <v>471</v>
      </c>
      <c r="K39" s="49">
        <v>232</v>
      </c>
      <c r="L39" s="49">
        <v>38</v>
      </c>
      <c r="M39" s="49">
        <v>2</v>
      </c>
      <c r="N39" s="49">
        <v>272</v>
      </c>
    </row>
    <row r="40" spans="2:14" x14ac:dyDescent="0.25">
      <c r="B40" s="14" t="s">
        <v>101</v>
      </c>
      <c r="C40" s="49">
        <v>0</v>
      </c>
      <c r="D40" s="49">
        <v>0</v>
      </c>
      <c r="E40" s="49">
        <v>0</v>
      </c>
      <c r="F40" s="49">
        <v>0</v>
      </c>
      <c r="G40" s="49">
        <v>5</v>
      </c>
      <c r="H40" s="49">
        <v>0</v>
      </c>
      <c r="I40" s="49">
        <v>0</v>
      </c>
      <c r="J40" s="49">
        <v>5</v>
      </c>
      <c r="K40" s="49">
        <v>1</v>
      </c>
      <c r="L40" s="49">
        <v>0</v>
      </c>
      <c r="M40" s="49">
        <v>0</v>
      </c>
      <c r="N40" s="49">
        <v>1</v>
      </c>
    </row>
    <row r="41" spans="2:14" x14ac:dyDescent="0.25">
      <c r="B41" s="10" t="s">
        <v>49</v>
      </c>
      <c r="C41" s="49">
        <v>1223</v>
      </c>
      <c r="D41" s="49">
        <v>109</v>
      </c>
      <c r="E41" s="49">
        <v>7</v>
      </c>
      <c r="F41" s="49">
        <v>1339</v>
      </c>
      <c r="G41" s="49">
        <v>1465</v>
      </c>
      <c r="H41" s="49">
        <v>72</v>
      </c>
      <c r="I41" s="49">
        <v>4</v>
      </c>
      <c r="J41" s="49">
        <v>1541</v>
      </c>
      <c r="K41" s="49">
        <v>881</v>
      </c>
      <c r="L41" s="49">
        <v>126</v>
      </c>
      <c r="M41" s="49">
        <v>4</v>
      </c>
      <c r="N41" s="49">
        <v>1011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9EC5E-C0F8-481E-B185-2A050089B32C}">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150</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v>44</v>
      </c>
      <c r="F15" s="51" t="s">
        <v>113</v>
      </c>
      <c r="G15" s="51">
        <v>96</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v>0</v>
      </c>
      <c r="AJ15" s="51" t="s">
        <v>113</v>
      </c>
      <c r="AK15" s="51">
        <v>34</v>
      </c>
      <c r="AL15" s="51" t="s">
        <v>113</v>
      </c>
      <c r="AM15" s="51" t="s">
        <v>113</v>
      </c>
      <c r="AN15" s="51" t="s">
        <v>113</v>
      </c>
      <c r="AO15" s="51">
        <v>0</v>
      </c>
      <c r="AP15" s="51" t="s">
        <v>113</v>
      </c>
      <c r="AQ15" s="51" t="s">
        <v>113</v>
      </c>
      <c r="AR15" s="51" t="s">
        <v>113</v>
      </c>
      <c r="AS15" s="51" t="s">
        <v>113</v>
      </c>
      <c r="AT15" s="51" t="s">
        <v>113</v>
      </c>
      <c r="AU15" s="51" t="s">
        <v>113</v>
      </c>
      <c r="AV15" s="51" t="s">
        <v>113</v>
      </c>
      <c r="AW15" s="51" t="s">
        <v>113</v>
      </c>
      <c r="AX15" s="51" t="s">
        <v>113</v>
      </c>
      <c r="AY15" s="51">
        <v>40</v>
      </c>
      <c r="AZ15" s="51" t="s">
        <v>113</v>
      </c>
      <c r="BA15" s="51" t="s">
        <v>113</v>
      </c>
      <c r="BB15" s="51" t="s">
        <v>113</v>
      </c>
      <c r="BC15" s="51">
        <v>0</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v>88</v>
      </c>
      <c r="F16" s="51" t="s">
        <v>113</v>
      </c>
      <c r="G16" s="51">
        <v>148</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v>0</v>
      </c>
      <c r="AJ16" s="51" t="s">
        <v>113</v>
      </c>
      <c r="AK16" s="51">
        <v>35</v>
      </c>
      <c r="AL16" s="51" t="s">
        <v>113</v>
      </c>
      <c r="AM16" s="51" t="s">
        <v>113</v>
      </c>
      <c r="AN16" s="51" t="s">
        <v>113</v>
      </c>
      <c r="AO16" s="51">
        <v>0</v>
      </c>
      <c r="AP16" s="51" t="s">
        <v>113</v>
      </c>
      <c r="AQ16" s="51" t="s">
        <v>113</v>
      </c>
      <c r="AR16" s="51" t="s">
        <v>113</v>
      </c>
      <c r="AS16" s="51" t="s">
        <v>113</v>
      </c>
      <c r="AT16" s="51" t="s">
        <v>113</v>
      </c>
      <c r="AU16" s="51" t="s">
        <v>113</v>
      </c>
      <c r="AV16" s="51" t="s">
        <v>113</v>
      </c>
      <c r="AW16" s="51" t="s">
        <v>113</v>
      </c>
      <c r="AX16" s="51" t="s">
        <v>113</v>
      </c>
      <c r="AY16" s="51">
        <v>53</v>
      </c>
      <c r="AZ16" s="51" t="s">
        <v>113</v>
      </c>
      <c r="BA16" s="51" t="s">
        <v>113</v>
      </c>
      <c r="BB16" s="51" t="s">
        <v>113</v>
      </c>
      <c r="BC16" s="51">
        <v>0</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v>68</v>
      </c>
      <c r="F17" s="51" t="s">
        <v>113</v>
      </c>
      <c r="G17" s="51">
        <v>142</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v>0</v>
      </c>
      <c r="AJ17" s="51" t="s">
        <v>113</v>
      </c>
      <c r="AK17" s="51">
        <v>49</v>
      </c>
      <c r="AL17" s="51" t="s">
        <v>113</v>
      </c>
      <c r="AM17" s="51" t="s">
        <v>113</v>
      </c>
      <c r="AN17" s="51" t="s">
        <v>113</v>
      </c>
      <c r="AO17" s="51">
        <v>0</v>
      </c>
      <c r="AP17" s="51" t="s">
        <v>113</v>
      </c>
      <c r="AQ17" s="51" t="s">
        <v>113</v>
      </c>
      <c r="AR17" s="51" t="s">
        <v>113</v>
      </c>
      <c r="AS17" s="51" t="s">
        <v>113</v>
      </c>
      <c r="AT17" s="51" t="s">
        <v>113</v>
      </c>
      <c r="AU17" s="51" t="s">
        <v>113</v>
      </c>
      <c r="AV17" s="51" t="s">
        <v>113</v>
      </c>
      <c r="AW17" s="51" t="s">
        <v>113</v>
      </c>
      <c r="AX17" s="51" t="s">
        <v>113</v>
      </c>
      <c r="AY17" s="51">
        <v>49</v>
      </c>
      <c r="AZ17" s="51" t="s">
        <v>113</v>
      </c>
      <c r="BA17" s="51" t="s">
        <v>113</v>
      </c>
      <c r="BB17" s="51" t="s">
        <v>113</v>
      </c>
      <c r="BC17" s="51">
        <v>0</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v>82</v>
      </c>
      <c r="F18" s="51" t="s">
        <v>113</v>
      </c>
      <c r="G18" s="51">
        <v>121</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v>0</v>
      </c>
      <c r="AJ18" s="51" t="s">
        <v>113</v>
      </c>
      <c r="AK18" s="51">
        <v>51</v>
      </c>
      <c r="AL18" s="51" t="s">
        <v>113</v>
      </c>
      <c r="AM18" s="51" t="s">
        <v>113</v>
      </c>
      <c r="AN18" s="51" t="s">
        <v>113</v>
      </c>
      <c r="AO18" s="51">
        <v>0</v>
      </c>
      <c r="AP18" s="51" t="s">
        <v>113</v>
      </c>
      <c r="AQ18" s="51" t="s">
        <v>113</v>
      </c>
      <c r="AR18" s="51" t="s">
        <v>113</v>
      </c>
      <c r="AS18" s="51" t="s">
        <v>113</v>
      </c>
      <c r="AT18" s="51" t="s">
        <v>113</v>
      </c>
      <c r="AU18" s="51" t="s">
        <v>113</v>
      </c>
      <c r="AV18" s="51" t="s">
        <v>113</v>
      </c>
      <c r="AW18" s="51" t="s">
        <v>113</v>
      </c>
      <c r="AX18" s="51" t="s">
        <v>113</v>
      </c>
      <c r="AY18" s="51">
        <v>47</v>
      </c>
      <c r="AZ18" s="51" t="s">
        <v>113</v>
      </c>
      <c r="BA18" s="51" t="s">
        <v>113</v>
      </c>
      <c r="BB18" s="51" t="s">
        <v>113</v>
      </c>
      <c r="BC18" s="51">
        <v>0</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v>63</v>
      </c>
      <c r="F19" s="51" t="s">
        <v>113</v>
      </c>
      <c r="G19" s="51">
        <v>123</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v>0</v>
      </c>
      <c r="AJ19" s="51" t="s">
        <v>113</v>
      </c>
      <c r="AK19" s="51">
        <v>65</v>
      </c>
      <c r="AL19" s="51" t="s">
        <v>113</v>
      </c>
      <c r="AM19" s="51" t="s">
        <v>113</v>
      </c>
      <c r="AN19" s="51" t="s">
        <v>113</v>
      </c>
      <c r="AO19" s="51">
        <v>0</v>
      </c>
      <c r="AP19" s="51" t="s">
        <v>113</v>
      </c>
      <c r="AQ19" s="51" t="s">
        <v>113</v>
      </c>
      <c r="AR19" s="51" t="s">
        <v>113</v>
      </c>
      <c r="AS19" s="51" t="s">
        <v>113</v>
      </c>
      <c r="AT19" s="51" t="s">
        <v>113</v>
      </c>
      <c r="AU19" s="51" t="s">
        <v>113</v>
      </c>
      <c r="AV19" s="51" t="s">
        <v>113</v>
      </c>
      <c r="AW19" s="51" t="s">
        <v>113</v>
      </c>
      <c r="AX19" s="51" t="s">
        <v>113</v>
      </c>
      <c r="AY19" s="51">
        <v>39</v>
      </c>
      <c r="AZ19" s="51" t="s">
        <v>113</v>
      </c>
      <c r="BA19" s="51" t="s">
        <v>113</v>
      </c>
      <c r="BB19" s="51" t="s">
        <v>113</v>
      </c>
      <c r="BC19" s="51">
        <v>0</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v>68</v>
      </c>
      <c r="F20" s="51" t="s">
        <v>113</v>
      </c>
      <c r="G20" s="51">
        <v>112</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v>0</v>
      </c>
      <c r="AJ20" s="51" t="s">
        <v>113</v>
      </c>
      <c r="AK20" s="51">
        <v>44</v>
      </c>
      <c r="AL20" s="51" t="s">
        <v>113</v>
      </c>
      <c r="AM20" s="51" t="s">
        <v>113</v>
      </c>
      <c r="AN20" s="51" t="s">
        <v>113</v>
      </c>
      <c r="AO20" s="51">
        <v>0</v>
      </c>
      <c r="AP20" s="51" t="s">
        <v>113</v>
      </c>
      <c r="AQ20" s="51" t="s">
        <v>113</v>
      </c>
      <c r="AR20" s="51" t="s">
        <v>113</v>
      </c>
      <c r="AS20" s="51" t="s">
        <v>113</v>
      </c>
      <c r="AT20" s="51" t="s">
        <v>113</v>
      </c>
      <c r="AU20" s="51" t="s">
        <v>113</v>
      </c>
      <c r="AV20" s="51" t="s">
        <v>113</v>
      </c>
      <c r="AW20" s="51" t="s">
        <v>113</v>
      </c>
      <c r="AX20" s="51" t="s">
        <v>113</v>
      </c>
      <c r="AY20" s="51">
        <v>63</v>
      </c>
      <c r="AZ20" s="51" t="s">
        <v>113</v>
      </c>
      <c r="BA20" s="51" t="s">
        <v>113</v>
      </c>
      <c r="BB20" s="51" t="s">
        <v>113</v>
      </c>
      <c r="BC20" s="51">
        <v>0</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v>81</v>
      </c>
      <c r="F21" s="51" t="s">
        <v>113</v>
      </c>
      <c r="G21" s="51">
        <v>121</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v>0</v>
      </c>
      <c r="AJ21" s="51" t="s">
        <v>113</v>
      </c>
      <c r="AK21" s="51">
        <v>44</v>
      </c>
      <c r="AL21" s="51" t="s">
        <v>113</v>
      </c>
      <c r="AM21" s="51" t="s">
        <v>113</v>
      </c>
      <c r="AN21" s="51" t="s">
        <v>113</v>
      </c>
      <c r="AO21" s="51">
        <v>0</v>
      </c>
      <c r="AP21" s="51" t="s">
        <v>113</v>
      </c>
      <c r="AQ21" s="51" t="s">
        <v>113</v>
      </c>
      <c r="AR21" s="51" t="s">
        <v>113</v>
      </c>
      <c r="AS21" s="51" t="s">
        <v>113</v>
      </c>
      <c r="AT21" s="51" t="s">
        <v>113</v>
      </c>
      <c r="AU21" s="51" t="s">
        <v>113</v>
      </c>
      <c r="AV21" s="51" t="s">
        <v>113</v>
      </c>
      <c r="AW21" s="51" t="s">
        <v>113</v>
      </c>
      <c r="AX21" s="51" t="s">
        <v>113</v>
      </c>
      <c r="AY21" s="51">
        <v>61</v>
      </c>
      <c r="AZ21" s="51" t="s">
        <v>113</v>
      </c>
      <c r="BA21" s="51" t="s">
        <v>113</v>
      </c>
      <c r="BB21" s="51" t="s">
        <v>113</v>
      </c>
      <c r="BC21" s="51">
        <v>0</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v>55</v>
      </c>
      <c r="F22" s="51" t="s">
        <v>113</v>
      </c>
      <c r="G22" s="51">
        <v>75</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v>0</v>
      </c>
      <c r="AJ22" s="51" t="s">
        <v>113</v>
      </c>
      <c r="AK22" s="51">
        <v>39</v>
      </c>
      <c r="AL22" s="51" t="s">
        <v>113</v>
      </c>
      <c r="AM22" s="51" t="s">
        <v>113</v>
      </c>
      <c r="AN22" s="51" t="s">
        <v>113</v>
      </c>
      <c r="AO22" s="51">
        <v>0</v>
      </c>
      <c r="AP22" s="51" t="s">
        <v>113</v>
      </c>
      <c r="AQ22" s="51" t="s">
        <v>113</v>
      </c>
      <c r="AR22" s="51" t="s">
        <v>113</v>
      </c>
      <c r="AS22" s="51" t="s">
        <v>113</v>
      </c>
      <c r="AT22" s="51" t="s">
        <v>113</v>
      </c>
      <c r="AU22" s="51" t="s">
        <v>113</v>
      </c>
      <c r="AV22" s="51" t="s">
        <v>113</v>
      </c>
      <c r="AW22" s="51" t="s">
        <v>113</v>
      </c>
      <c r="AX22" s="51" t="s">
        <v>113</v>
      </c>
      <c r="AY22" s="51">
        <v>50</v>
      </c>
      <c r="AZ22" s="51" t="s">
        <v>113</v>
      </c>
      <c r="BA22" s="51" t="s">
        <v>113</v>
      </c>
      <c r="BB22" s="51" t="s">
        <v>113</v>
      </c>
      <c r="BC22" s="51">
        <v>1</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v>46</v>
      </c>
      <c r="F23" s="51" t="s">
        <v>113</v>
      </c>
      <c r="G23" s="51">
        <v>73</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v>0</v>
      </c>
      <c r="AJ23" s="51" t="s">
        <v>113</v>
      </c>
      <c r="AK23" s="51">
        <v>49</v>
      </c>
      <c r="AL23" s="51" t="s">
        <v>113</v>
      </c>
      <c r="AM23" s="51" t="s">
        <v>113</v>
      </c>
      <c r="AN23" s="51" t="s">
        <v>113</v>
      </c>
      <c r="AO23" s="51">
        <v>0</v>
      </c>
      <c r="AP23" s="51" t="s">
        <v>113</v>
      </c>
      <c r="AQ23" s="51" t="s">
        <v>113</v>
      </c>
      <c r="AR23" s="51" t="s">
        <v>113</v>
      </c>
      <c r="AS23" s="51" t="s">
        <v>113</v>
      </c>
      <c r="AT23" s="51" t="s">
        <v>113</v>
      </c>
      <c r="AU23" s="51" t="s">
        <v>113</v>
      </c>
      <c r="AV23" s="51" t="s">
        <v>113</v>
      </c>
      <c r="AW23" s="51" t="s">
        <v>113</v>
      </c>
      <c r="AX23" s="51" t="s">
        <v>113</v>
      </c>
      <c r="AY23" s="51">
        <v>59</v>
      </c>
      <c r="AZ23" s="51" t="s">
        <v>113</v>
      </c>
      <c r="BA23" s="51" t="s">
        <v>113</v>
      </c>
      <c r="BB23" s="51" t="s">
        <v>113</v>
      </c>
      <c r="BC23" s="51">
        <v>0</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v>54</v>
      </c>
      <c r="F24" s="51" t="s">
        <v>113</v>
      </c>
      <c r="G24" s="51">
        <v>65</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v>1</v>
      </c>
      <c r="AJ24" s="51" t="s">
        <v>113</v>
      </c>
      <c r="AK24" s="51">
        <v>44</v>
      </c>
      <c r="AL24" s="51" t="s">
        <v>113</v>
      </c>
      <c r="AM24" s="51" t="s">
        <v>113</v>
      </c>
      <c r="AN24" s="51" t="s">
        <v>113</v>
      </c>
      <c r="AO24" s="51">
        <v>0</v>
      </c>
      <c r="AP24" s="51" t="s">
        <v>113</v>
      </c>
      <c r="AQ24" s="51" t="s">
        <v>113</v>
      </c>
      <c r="AR24" s="51" t="s">
        <v>113</v>
      </c>
      <c r="AS24" s="51" t="s">
        <v>113</v>
      </c>
      <c r="AT24" s="51" t="s">
        <v>113</v>
      </c>
      <c r="AU24" s="51" t="s">
        <v>113</v>
      </c>
      <c r="AV24" s="51" t="s">
        <v>113</v>
      </c>
      <c r="AW24" s="51" t="s">
        <v>113</v>
      </c>
      <c r="AX24" s="51" t="s">
        <v>113</v>
      </c>
      <c r="AY24" s="51">
        <v>49</v>
      </c>
      <c r="AZ24" s="51" t="s">
        <v>113</v>
      </c>
      <c r="BA24" s="51" t="s">
        <v>113</v>
      </c>
      <c r="BB24" s="51" t="s">
        <v>113</v>
      </c>
      <c r="BC24" s="51">
        <v>1</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v>47</v>
      </c>
      <c r="F25" s="51" t="s">
        <v>113</v>
      </c>
      <c r="G25" s="51">
        <v>60</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v>0</v>
      </c>
      <c r="AJ25" s="51" t="s">
        <v>113</v>
      </c>
      <c r="AK25" s="51">
        <v>55</v>
      </c>
      <c r="AL25" s="51" t="s">
        <v>113</v>
      </c>
      <c r="AM25" s="51" t="s">
        <v>113</v>
      </c>
      <c r="AN25" s="51" t="s">
        <v>113</v>
      </c>
      <c r="AO25" s="51">
        <v>0</v>
      </c>
      <c r="AP25" s="51" t="s">
        <v>113</v>
      </c>
      <c r="AQ25" s="51" t="s">
        <v>113</v>
      </c>
      <c r="AR25" s="51" t="s">
        <v>113</v>
      </c>
      <c r="AS25" s="51" t="s">
        <v>113</v>
      </c>
      <c r="AT25" s="51" t="s">
        <v>113</v>
      </c>
      <c r="AU25" s="51" t="s">
        <v>113</v>
      </c>
      <c r="AV25" s="51" t="s">
        <v>113</v>
      </c>
      <c r="AW25" s="51" t="s">
        <v>113</v>
      </c>
      <c r="AX25" s="51" t="s">
        <v>113</v>
      </c>
      <c r="AY25" s="51">
        <v>62</v>
      </c>
      <c r="AZ25" s="51" t="s">
        <v>113</v>
      </c>
      <c r="BA25" s="51" t="s">
        <v>113</v>
      </c>
      <c r="BB25" s="51" t="s">
        <v>113</v>
      </c>
      <c r="BC25" s="51">
        <v>0</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v>41</v>
      </c>
      <c r="F26" s="51" t="s">
        <v>113</v>
      </c>
      <c r="G26" s="51">
        <v>53</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v>1</v>
      </c>
      <c r="AJ26" s="51" t="s">
        <v>113</v>
      </c>
      <c r="AK26" s="51">
        <v>59</v>
      </c>
      <c r="AL26" s="51" t="s">
        <v>113</v>
      </c>
      <c r="AM26" s="51" t="s">
        <v>113</v>
      </c>
      <c r="AN26" s="51" t="s">
        <v>113</v>
      </c>
      <c r="AO26" s="51">
        <v>0</v>
      </c>
      <c r="AP26" s="51" t="s">
        <v>113</v>
      </c>
      <c r="AQ26" s="51" t="s">
        <v>113</v>
      </c>
      <c r="AR26" s="51" t="s">
        <v>113</v>
      </c>
      <c r="AS26" s="51" t="s">
        <v>113</v>
      </c>
      <c r="AT26" s="51" t="s">
        <v>113</v>
      </c>
      <c r="AU26" s="51" t="s">
        <v>113</v>
      </c>
      <c r="AV26" s="51" t="s">
        <v>113</v>
      </c>
      <c r="AW26" s="51" t="s">
        <v>113</v>
      </c>
      <c r="AX26" s="51" t="s">
        <v>113</v>
      </c>
      <c r="AY26" s="51">
        <v>62</v>
      </c>
      <c r="AZ26" s="51" t="s">
        <v>113</v>
      </c>
      <c r="BA26" s="51" t="s">
        <v>113</v>
      </c>
      <c r="BB26" s="51" t="s">
        <v>113</v>
      </c>
      <c r="BC26" s="51">
        <v>0</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v>58</v>
      </c>
      <c r="F27" s="51" t="s">
        <v>113</v>
      </c>
      <c r="G27" s="51">
        <v>67</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v>0</v>
      </c>
      <c r="AJ27" s="51" t="s">
        <v>113</v>
      </c>
      <c r="AK27" s="51">
        <v>98</v>
      </c>
      <c r="AL27" s="51" t="s">
        <v>113</v>
      </c>
      <c r="AM27" s="51" t="s">
        <v>113</v>
      </c>
      <c r="AN27" s="51" t="s">
        <v>113</v>
      </c>
      <c r="AO27" s="51">
        <v>0</v>
      </c>
      <c r="AP27" s="51" t="s">
        <v>113</v>
      </c>
      <c r="AQ27" s="51" t="s">
        <v>113</v>
      </c>
      <c r="AR27" s="51" t="s">
        <v>113</v>
      </c>
      <c r="AS27" s="51" t="s">
        <v>113</v>
      </c>
      <c r="AT27" s="51" t="s">
        <v>113</v>
      </c>
      <c r="AU27" s="51" t="s">
        <v>113</v>
      </c>
      <c r="AV27" s="51" t="s">
        <v>113</v>
      </c>
      <c r="AW27" s="51" t="s">
        <v>113</v>
      </c>
      <c r="AX27" s="51" t="s">
        <v>113</v>
      </c>
      <c r="AY27" s="51">
        <v>126</v>
      </c>
      <c r="AZ27" s="51" t="s">
        <v>113</v>
      </c>
      <c r="BA27" s="51" t="s">
        <v>113</v>
      </c>
      <c r="BB27" s="51" t="s">
        <v>113</v>
      </c>
      <c r="BC27" s="51">
        <v>0</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v>54</v>
      </c>
      <c r="F28" s="51" t="s">
        <v>113</v>
      </c>
      <c r="G28" s="51">
        <v>56</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v>0</v>
      </c>
      <c r="AJ28" s="51" t="s">
        <v>113</v>
      </c>
      <c r="AK28" s="51">
        <v>74</v>
      </c>
      <c r="AL28" s="51" t="s">
        <v>113</v>
      </c>
      <c r="AM28" s="51" t="s">
        <v>113</v>
      </c>
      <c r="AN28" s="51" t="s">
        <v>113</v>
      </c>
      <c r="AO28" s="51">
        <v>0</v>
      </c>
      <c r="AP28" s="51" t="s">
        <v>113</v>
      </c>
      <c r="AQ28" s="51" t="s">
        <v>113</v>
      </c>
      <c r="AR28" s="51" t="s">
        <v>113</v>
      </c>
      <c r="AS28" s="51" t="s">
        <v>113</v>
      </c>
      <c r="AT28" s="51" t="s">
        <v>113</v>
      </c>
      <c r="AU28" s="51" t="s">
        <v>113</v>
      </c>
      <c r="AV28" s="51" t="s">
        <v>113</v>
      </c>
      <c r="AW28" s="51" t="s">
        <v>113</v>
      </c>
      <c r="AX28" s="51" t="s">
        <v>113</v>
      </c>
      <c r="AY28" s="51">
        <v>113</v>
      </c>
      <c r="AZ28" s="51" t="s">
        <v>113</v>
      </c>
      <c r="BA28" s="51" t="s">
        <v>113</v>
      </c>
      <c r="BB28" s="51" t="s">
        <v>113</v>
      </c>
      <c r="BC28" s="51">
        <v>2</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v>66</v>
      </c>
      <c r="F29" s="51" t="s">
        <v>113</v>
      </c>
      <c r="G29" s="51">
        <v>87</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v>0</v>
      </c>
      <c r="AJ29" s="51" t="s">
        <v>113</v>
      </c>
      <c r="AK29" s="51">
        <v>115</v>
      </c>
      <c r="AL29" s="51" t="s">
        <v>113</v>
      </c>
      <c r="AM29" s="51" t="s">
        <v>113</v>
      </c>
      <c r="AN29" s="51" t="s">
        <v>113</v>
      </c>
      <c r="AO29" s="51">
        <v>0</v>
      </c>
      <c r="AP29" s="51" t="s">
        <v>113</v>
      </c>
      <c r="AQ29" s="51" t="s">
        <v>113</v>
      </c>
      <c r="AR29" s="51" t="s">
        <v>113</v>
      </c>
      <c r="AS29" s="51" t="s">
        <v>113</v>
      </c>
      <c r="AT29" s="51" t="s">
        <v>113</v>
      </c>
      <c r="AU29" s="51" t="s">
        <v>113</v>
      </c>
      <c r="AV29" s="51" t="s">
        <v>113</v>
      </c>
      <c r="AW29" s="51" t="s">
        <v>113</v>
      </c>
      <c r="AX29" s="51" t="s">
        <v>113</v>
      </c>
      <c r="AY29" s="51">
        <v>129</v>
      </c>
      <c r="AZ29" s="51" t="s">
        <v>113</v>
      </c>
      <c r="BA29" s="51" t="s">
        <v>113</v>
      </c>
      <c r="BB29" s="51" t="s">
        <v>113</v>
      </c>
      <c r="BC29" s="51">
        <v>2</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v>65</v>
      </c>
      <c r="F30" s="51" t="s">
        <v>113</v>
      </c>
      <c r="G30" s="51">
        <v>73</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v>1</v>
      </c>
      <c r="AJ30" s="51" t="s">
        <v>113</v>
      </c>
      <c r="AK30" s="51">
        <v>102</v>
      </c>
      <c r="AL30" s="51" t="s">
        <v>113</v>
      </c>
      <c r="AM30" s="51" t="s">
        <v>113</v>
      </c>
      <c r="AN30" s="51" t="s">
        <v>113</v>
      </c>
      <c r="AO30" s="51">
        <v>0</v>
      </c>
      <c r="AP30" s="51" t="s">
        <v>113</v>
      </c>
      <c r="AQ30" s="51" t="s">
        <v>113</v>
      </c>
      <c r="AR30" s="51" t="s">
        <v>113</v>
      </c>
      <c r="AS30" s="51" t="s">
        <v>113</v>
      </c>
      <c r="AT30" s="51" t="s">
        <v>113</v>
      </c>
      <c r="AU30" s="51" t="s">
        <v>113</v>
      </c>
      <c r="AV30" s="51" t="s">
        <v>113</v>
      </c>
      <c r="AW30" s="51" t="s">
        <v>113</v>
      </c>
      <c r="AX30" s="51" t="s">
        <v>113</v>
      </c>
      <c r="AY30" s="51">
        <v>107</v>
      </c>
      <c r="AZ30" s="51" t="s">
        <v>113</v>
      </c>
      <c r="BA30" s="51" t="s">
        <v>113</v>
      </c>
      <c r="BB30" s="51" t="s">
        <v>113</v>
      </c>
      <c r="BC30" s="51">
        <v>0</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v>65</v>
      </c>
      <c r="F31" s="51" t="s">
        <v>113</v>
      </c>
      <c r="G31" s="51">
        <v>71</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v>0</v>
      </c>
      <c r="AJ31" s="51" t="s">
        <v>113</v>
      </c>
      <c r="AK31" s="51">
        <v>127</v>
      </c>
      <c r="AL31" s="51" t="s">
        <v>113</v>
      </c>
      <c r="AM31" s="51" t="s">
        <v>113</v>
      </c>
      <c r="AN31" s="51" t="s">
        <v>113</v>
      </c>
      <c r="AO31" s="51">
        <v>0</v>
      </c>
      <c r="AP31" s="51" t="s">
        <v>113</v>
      </c>
      <c r="AQ31" s="51" t="s">
        <v>113</v>
      </c>
      <c r="AR31" s="51" t="s">
        <v>113</v>
      </c>
      <c r="AS31" s="51" t="s">
        <v>113</v>
      </c>
      <c r="AT31" s="51" t="s">
        <v>113</v>
      </c>
      <c r="AU31" s="51" t="s">
        <v>113</v>
      </c>
      <c r="AV31" s="51" t="s">
        <v>113</v>
      </c>
      <c r="AW31" s="51" t="s">
        <v>113</v>
      </c>
      <c r="AX31" s="51" t="s">
        <v>113</v>
      </c>
      <c r="AY31" s="51">
        <v>128</v>
      </c>
      <c r="AZ31" s="51" t="s">
        <v>113</v>
      </c>
      <c r="BA31" s="51" t="s">
        <v>113</v>
      </c>
      <c r="BB31" s="51" t="s">
        <v>113</v>
      </c>
      <c r="BC31" s="51">
        <v>0</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v>85</v>
      </c>
      <c r="F32" s="51" t="s">
        <v>113</v>
      </c>
      <c r="G32" s="51">
        <v>75</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v>1</v>
      </c>
      <c r="AJ32" s="51" t="s">
        <v>113</v>
      </c>
      <c r="AK32" s="51">
        <v>72</v>
      </c>
      <c r="AL32" s="51" t="s">
        <v>113</v>
      </c>
      <c r="AM32" s="51" t="s">
        <v>113</v>
      </c>
      <c r="AN32" s="51" t="s">
        <v>113</v>
      </c>
      <c r="AO32" s="51">
        <v>0</v>
      </c>
      <c r="AP32" s="51" t="s">
        <v>113</v>
      </c>
      <c r="AQ32" s="51" t="s">
        <v>113</v>
      </c>
      <c r="AR32" s="51" t="s">
        <v>113</v>
      </c>
      <c r="AS32" s="51" t="s">
        <v>113</v>
      </c>
      <c r="AT32" s="51" t="s">
        <v>113</v>
      </c>
      <c r="AU32" s="51" t="s">
        <v>113</v>
      </c>
      <c r="AV32" s="51" t="s">
        <v>113</v>
      </c>
      <c r="AW32" s="51" t="s">
        <v>113</v>
      </c>
      <c r="AX32" s="51" t="s">
        <v>113</v>
      </c>
      <c r="AY32" s="51">
        <v>91</v>
      </c>
      <c r="AZ32" s="51" t="s">
        <v>113</v>
      </c>
      <c r="BA32" s="51" t="s">
        <v>113</v>
      </c>
      <c r="BB32" s="51" t="s">
        <v>113</v>
      </c>
      <c r="BC32" s="51">
        <v>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v>61</v>
      </c>
      <c r="F33" s="51" t="s">
        <v>113</v>
      </c>
      <c r="G33" s="51">
        <v>66</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v>0</v>
      </c>
      <c r="AJ33" s="51" t="s">
        <v>113</v>
      </c>
      <c r="AK33" s="51">
        <v>55</v>
      </c>
      <c r="AL33" s="51" t="s">
        <v>113</v>
      </c>
      <c r="AM33" s="51" t="s">
        <v>113</v>
      </c>
      <c r="AN33" s="51" t="s">
        <v>113</v>
      </c>
      <c r="AO33" s="51">
        <v>0</v>
      </c>
      <c r="AP33" s="51" t="s">
        <v>113</v>
      </c>
      <c r="AQ33" s="51" t="s">
        <v>113</v>
      </c>
      <c r="AR33" s="51" t="s">
        <v>113</v>
      </c>
      <c r="AS33" s="51" t="s">
        <v>113</v>
      </c>
      <c r="AT33" s="51" t="s">
        <v>113</v>
      </c>
      <c r="AU33" s="51" t="s">
        <v>113</v>
      </c>
      <c r="AV33" s="51" t="s">
        <v>113</v>
      </c>
      <c r="AW33" s="51" t="s">
        <v>113</v>
      </c>
      <c r="AX33" s="51" t="s">
        <v>113</v>
      </c>
      <c r="AY33" s="51">
        <v>91</v>
      </c>
      <c r="AZ33" s="51" t="s">
        <v>113</v>
      </c>
      <c r="BA33" s="51" t="s">
        <v>113</v>
      </c>
      <c r="BB33" s="51" t="s">
        <v>113</v>
      </c>
      <c r="BC33" s="51">
        <v>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v>56</v>
      </c>
      <c r="F34" s="51" t="s">
        <v>113</v>
      </c>
      <c r="G34" s="51">
        <v>47</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v>0</v>
      </c>
      <c r="AJ34" s="51" t="s">
        <v>113</v>
      </c>
      <c r="AK34" s="51">
        <v>63</v>
      </c>
      <c r="AL34" s="51" t="s">
        <v>113</v>
      </c>
      <c r="AM34" s="51" t="s">
        <v>113</v>
      </c>
      <c r="AN34" s="51" t="s">
        <v>113</v>
      </c>
      <c r="AO34" s="51">
        <v>0</v>
      </c>
      <c r="AP34" s="51" t="s">
        <v>113</v>
      </c>
      <c r="AQ34" s="51" t="s">
        <v>113</v>
      </c>
      <c r="AR34" s="51" t="s">
        <v>113</v>
      </c>
      <c r="AS34" s="51" t="s">
        <v>113</v>
      </c>
      <c r="AT34" s="51" t="s">
        <v>113</v>
      </c>
      <c r="AU34" s="51" t="s">
        <v>113</v>
      </c>
      <c r="AV34" s="51" t="s">
        <v>113</v>
      </c>
      <c r="AW34" s="51" t="s">
        <v>113</v>
      </c>
      <c r="AX34" s="51" t="s">
        <v>113</v>
      </c>
      <c r="AY34" s="51">
        <v>107</v>
      </c>
      <c r="AZ34" s="51" t="s">
        <v>113</v>
      </c>
      <c r="BA34" s="51" t="s">
        <v>113</v>
      </c>
      <c r="BB34" s="51" t="s">
        <v>113</v>
      </c>
      <c r="BC34" s="51">
        <v>1</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30DEF-99DA-449C-A37D-297A58971DEA}">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150</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v>4</v>
      </c>
      <c r="F15" s="51" t="s">
        <v>113</v>
      </c>
      <c r="G15" s="51">
        <v>5</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v>0</v>
      </c>
      <c r="AJ15" s="51" t="s">
        <v>113</v>
      </c>
      <c r="AK15" s="51">
        <v>8</v>
      </c>
      <c r="AL15" s="51" t="s">
        <v>113</v>
      </c>
      <c r="AM15" s="51" t="s">
        <v>113</v>
      </c>
      <c r="AN15" s="51" t="s">
        <v>113</v>
      </c>
      <c r="AO15" s="51">
        <v>0</v>
      </c>
      <c r="AP15" s="51" t="s">
        <v>113</v>
      </c>
      <c r="AQ15" s="51" t="s">
        <v>113</v>
      </c>
      <c r="AR15" s="51" t="s">
        <v>113</v>
      </c>
      <c r="AS15" s="51" t="s">
        <v>113</v>
      </c>
      <c r="AT15" s="51" t="s">
        <v>113</v>
      </c>
      <c r="AU15" s="51" t="s">
        <v>113</v>
      </c>
      <c r="AV15" s="51" t="s">
        <v>113</v>
      </c>
      <c r="AW15" s="51" t="s">
        <v>113</v>
      </c>
      <c r="AX15" s="51" t="s">
        <v>113</v>
      </c>
      <c r="AY15" s="51">
        <v>6</v>
      </c>
      <c r="AZ15" s="51" t="s">
        <v>113</v>
      </c>
      <c r="BA15" s="51" t="s">
        <v>113</v>
      </c>
      <c r="BB15" s="51" t="s">
        <v>113</v>
      </c>
      <c r="BC15" s="51">
        <v>0</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v>1</v>
      </c>
      <c r="F16" s="51" t="s">
        <v>113</v>
      </c>
      <c r="G16" s="51">
        <v>8</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v>0</v>
      </c>
      <c r="AJ16" s="51" t="s">
        <v>113</v>
      </c>
      <c r="AK16" s="51">
        <v>14</v>
      </c>
      <c r="AL16" s="51" t="s">
        <v>113</v>
      </c>
      <c r="AM16" s="51" t="s">
        <v>113</v>
      </c>
      <c r="AN16" s="51" t="s">
        <v>113</v>
      </c>
      <c r="AO16" s="51">
        <v>0</v>
      </c>
      <c r="AP16" s="51" t="s">
        <v>113</v>
      </c>
      <c r="AQ16" s="51" t="s">
        <v>113</v>
      </c>
      <c r="AR16" s="51" t="s">
        <v>113</v>
      </c>
      <c r="AS16" s="51" t="s">
        <v>113</v>
      </c>
      <c r="AT16" s="51" t="s">
        <v>113</v>
      </c>
      <c r="AU16" s="51" t="s">
        <v>113</v>
      </c>
      <c r="AV16" s="51" t="s">
        <v>113</v>
      </c>
      <c r="AW16" s="51" t="s">
        <v>113</v>
      </c>
      <c r="AX16" s="51" t="s">
        <v>113</v>
      </c>
      <c r="AY16" s="51">
        <v>7</v>
      </c>
      <c r="AZ16" s="51" t="s">
        <v>113</v>
      </c>
      <c r="BA16" s="51" t="s">
        <v>113</v>
      </c>
      <c r="BB16" s="51" t="s">
        <v>113</v>
      </c>
      <c r="BC16" s="51">
        <v>0</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v>3</v>
      </c>
      <c r="F17" s="51" t="s">
        <v>113</v>
      </c>
      <c r="G17" s="51">
        <v>13</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v>0</v>
      </c>
      <c r="AJ17" s="51" t="s">
        <v>113</v>
      </c>
      <c r="AK17" s="51">
        <v>6</v>
      </c>
      <c r="AL17" s="51" t="s">
        <v>113</v>
      </c>
      <c r="AM17" s="51" t="s">
        <v>113</v>
      </c>
      <c r="AN17" s="51" t="s">
        <v>113</v>
      </c>
      <c r="AO17" s="51">
        <v>0</v>
      </c>
      <c r="AP17" s="51" t="s">
        <v>113</v>
      </c>
      <c r="AQ17" s="51" t="s">
        <v>113</v>
      </c>
      <c r="AR17" s="51" t="s">
        <v>113</v>
      </c>
      <c r="AS17" s="51" t="s">
        <v>113</v>
      </c>
      <c r="AT17" s="51" t="s">
        <v>113</v>
      </c>
      <c r="AU17" s="51" t="s">
        <v>113</v>
      </c>
      <c r="AV17" s="51" t="s">
        <v>113</v>
      </c>
      <c r="AW17" s="51" t="s">
        <v>113</v>
      </c>
      <c r="AX17" s="51" t="s">
        <v>113</v>
      </c>
      <c r="AY17" s="51">
        <v>6</v>
      </c>
      <c r="AZ17" s="51" t="s">
        <v>113</v>
      </c>
      <c r="BA17" s="51" t="s">
        <v>113</v>
      </c>
      <c r="BB17" s="51" t="s">
        <v>113</v>
      </c>
      <c r="BC17" s="51">
        <v>0</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v>7</v>
      </c>
      <c r="F18" s="51" t="s">
        <v>113</v>
      </c>
      <c r="G18" s="51">
        <v>7</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v>0</v>
      </c>
      <c r="AJ18" s="51" t="s">
        <v>113</v>
      </c>
      <c r="AK18" s="51">
        <v>5</v>
      </c>
      <c r="AL18" s="51" t="s">
        <v>113</v>
      </c>
      <c r="AM18" s="51" t="s">
        <v>113</v>
      </c>
      <c r="AN18" s="51" t="s">
        <v>113</v>
      </c>
      <c r="AO18" s="51">
        <v>0</v>
      </c>
      <c r="AP18" s="51" t="s">
        <v>113</v>
      </c>
      <c r="AQ18" s="51" t="s">
        <v>113</v>
      </c>
      <c r="AR18" s="51" t="s">
        <v>113</v>
      </c>
      <c r="AS18" s="51" t="s">
        <v>113</v>
      </c>
      <c r="AT18" s="51" t="s">
        <v>113</v>
      </c>
      <c r="AU18" s="51" t="s">
        <v>113</v>
      </c>
      <c r="AV18" s="51" t="s">
        <v>113</v>
      </c>
      <c r="AW18" s="51" t="s">
        <v>113</v>
      </c>
      <c r="AX18" s="51" t="s">
        <v>113</v>
      </c>
      <c r="AY18" s="51">
        <v>12</v>
      </c>
      <c r="AZ18" s="51" t="s">
        <v>113</v>
      </c>
      <c r="BA18" s="51" t="s">
        <v>113</v>
      </c>
      <c r="BB18" s="51" t="s">
        <v>113</v>
      </c>
      <c r="BC18" s="51">
        <v>0</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v>5</v>
      </c>
      <c r="F19" s="51" t="s">
        <v>113</v>
      </c>
      <c r="G19" s="51">
        <v>6</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v>0</v>
      </c>
      <c r="AJ19" s="51" t="s">
        <v>113</v>
      </c>
      <c r="AK19" s="51">
        <v>3</v>
      </c>
      <c r="AL19" s="51" t="s">
        <v>113</v>
      </c>
      <c r="AM19" s="51" t="s">
        <v>113</v>
      </c>
      <c r="AN19" s="51" t="s">
        <v>113</v>
      </c>
      <c r="AO19" s="51">
        <v>0</v>
      </c>
      <c r="AP19" s="51" t="s">
        <v>113</v>
      </c>
      <c r="AQ19" s="51" t="s">
        <v>113</v>
      </c>
      <c r="AR19" s="51" t="s">
        <v>113</v>
      </c>
      <c r="AS19" s="51" t="s">
        <v>113</v>
      </c>
      <c r="AT19" s="51" t="s">
        <v>113</v>
      </c>
      <c r="AU19" s="51" t="s">
        <v>113</v>
      </c>
      <c r="AV19" s="51" t="s">
        <v>113</v>
      </c>
      <c r="AW19" s="51" t="s">
        <v>113</v>
      </c>
      <c r="AX19" s="51" t="s">
        <v>113</v>
      </c>
      <c r="AY19" s="51">
        <v>6</v>
      </c>
      <c r="AZ19" s="51" t="s">
        <v>113</v>
      </c>
      <c r="BA19" s="51" t="s">
        <v>113</v>
      </c>
      <c r="BB19" s="51" t="s">
        <v>113</v>
      </c>
      <c r="BC19" s="51">
        <v>0</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v>2</v>
      </c>
      <c r="F20" s="51" t="s">
        <v>113</v>
      </c>
      <c r="G20" s="51">
        <v>6</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v>0</v>
      </c>
      <c r="AJ20" s="51" t="s">
        <v>113</v>
      </c>
      <c r="AK20" s="51">
        <v>5</v>
      </c>
      <c r="AL20" s="51" t="s">
        <v>113</v>
      </c>
      <c r="AM20" s="51" t="s">
        <v>113</v>
      </c>
      <c r="AN20" s="51" t="s">
        <v>113</v>
      </c>
      <c r="AO20" s="51">
        <v>0</v>
      </c>
      <c r="AP20" s="51" t="s">
        <v>113</v>
      </c>
      <c r="AQ20" s="51" t="s">
        <v>113</v>
      </c>
      <c r="AR20" s="51" t="s">
        <v>113</v>
      </c>
      <c r="AS20" s="51" t="s">
        <v>113</v>
      </c>
      <c r="AT20" s="51" t="s">
        <v>113</v>
      </c>
      <c r="AU20" s="51" t="s">
        <v>113</v>
      </c>
      <c r="AV20" s="51" t="s">
        <v>113</v>
      </c>
      <c r="AW20" s="51" t="s">
        <v>113</v>
      </c>
      <c r="AX20" s="51" t="s">
        <v>113</v>
      </c>
      <c r="AY20" s="51">
        <v>8</v>
      </c>
      <c r="AZ20" s="51" t="s">
        <v>113</v>
      </c>
      <c r="BA20" s="51" t="s">
        <v>113</v>
      </c>
      <c r="BB20" s="51" t="s">
        <v>113</v>
      </c>
      <c r="BC20" s="51">
        <v>0</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v>2</v>
      </c>
      <c r="F21" s="51" t="s">
        <v>113</v>
      </c>
      <c r="G21" s="51">
        <v>10</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v>0</v>
      </c>
      <c r="AJ21" s="51" t="s">
        <v>113</v>
      </c>
      <c r="AK21" s="51">
        <v>6</v>
      </c>
      <c r="AL21" s="51" t="s">
        <v>113</v>
      </c>
      <c r="AM21" s="51" t="s">
        <v>113</v>
      </c>
      <c r="AN21" s="51" t="s">
        <v>113</v>
      </c>
      <c r="AO21" s="51">
        <v>0</v>
      </c>
      <c r="AP21" s="51" t="s">
        <v>113</v>
      </c>
      <c r="AQ21" s="51" t="s">
        <v>113</v>
      </c>
      <c r="AR21" s="51" t="s">
        <v>113</v>
      </c>
      <c r="AS21" s="51" t="s">
        <v>113</v>
      </c>
      <c r="AT21" s="51" t="s">
        <v>113</v>
      </c>
      <c r="AU21" s="51" t="s">
        <v>113</v>
      </c>
      <c r="AV21" s="51" t="s">
        <v>113</v>
      </c>
      <c r="AW21" s="51" t="s">
        <v>113</v>
      </c>
      <c r="AX21" s="51" t="s">
        <v>113</v>
      </c>
      <c r="AY21" s="51">
        <v>8</v>
      </c>
      <c r="AZ21" s="51" t="s">
        <v>113</v>
      </c>
      <c r="BA21" s="51" t="s">
        <v>113</v>
      </c>
      <c r="BB21" s="51" t="s">
        <v>113</v>
      </c>
      <c r="BC21" s="51">
        <v>0</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v>7</v>
      </c>
      <c r="F22" s="51" t="s">
        <v>113</v>
      </c>
      <c r="G22" s="51">
        <v>7</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v>0</v>
      </c>
      <c r="AJ22" s="51" t="s">
        <v>113</v>
      </c>
      <c r="AK22" s="51">
        <v>5</v>
      </c>
      <c r="AL22" s="51" t="s">
        <v>113</v>
      </c>
      <c r="AM22" s="51" t="s">
        <v>113</v>
      </c>
      <c r="AN22" s="51" t="s">
        <v>113</v>
      </c>
      <c r="AO22" s="51">
        <v>0</v>
      </c>
      <c r="AP22" s="51" t="s">
        <v>113</v>
      </c>
      <c r="AQ22" s="51" t="s">
        <v>113</v>
      </c>
      <c r="AR22" s="51" t="s">
        <v>113</v>
      </c>
      <c r="AS22" s="51" t="s">
        <v>113</v>
      </c>
      <c r="AT22" s="51" t="s">
        <v>113</v>
      </c>
      <c r="AU22" s="51" t="s">
        <v>113</v>
      </c>
      <c r="AV22" s="51" t="s">
        <v>113</v>
      </c>
      <c r="AW22" s="51" t="s">
        <v>113</v>
      </c>
      <c r="AX22" s="51" t="s">
        <v>113</v>
      </c>
      <c r="AY22" s="51">
        <v>5</v>
      </c>
      <c r="AZ22" s="51" t="s">
        <v>113</v>
      </c>
      <c r="BA22" s="51" t="s">
        <v>113</v>
      </c>
      <c r="BB22" s="51" t="s">
        <v>113</v>
      </c>
      <c r="BC22" s="51">
        <v>0</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v>4</v>
      </c>
      <c r="F23" s="51" t="s">
        <v>113</v>
      </c>
      <c r="G23" s="51">
        <v>15</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v>0</v>
      </c>
      <c r="AJ23" s="51" t="s">
        <v>113</v>
      </c>
      <c r="AK23" s="51">
        <v>5</v>
      </c>
      <c r="AL23" s="51" t="s">
        <v>113</v>
      </c>
      <c r="AM23" s="51" t="s">
        <v>113</v>
      </c>
      <c r="AN23" s="51" t="s">
        <v>113</v>
      </c>
      <c r="AO23" s="51">
        <v>0</v>
      </c>
      <c r="AP23" s="51" t="s">
        <v>113</v>
      </c>
      <c r="AQ23" s="51" t="s">
        <v>113</v>
      </c>
      <c r="AR23" s="51" t="s">
        <v>113</v>
      </c>
      <c r="AS23" s="51" t="s">
        <v>113</v>
      </c>
      <c r="AT23" s="51" t="s">
        <v>113</v>
      </c>
      <c r="AU23" s="51" t="s">
        <v>113</v>
      </c>
      <c r="AV23" s="51" t="s">
        <v>113</v>
      </c>
      <c r="AW23" s="51" t="s">
        <v>113</v>
      </c>
      <c r="AX23" s="51" t="s">
        <v>113</v>
      </c>
      <c r="AY23" s="51">
        <v>12</v>
      </c>
      <c r="AZ23" s="51" t="s">
        <v>113</v>
      </c>
      <c r="BA23" s="51" t="s">
        <v>113</v>
      </c>
      <c r="BB23" s="51" t="s">
        <v>113</v>
      </c>
      <c r="BC23" s="51">
        <v>0</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v>8</v>
      </c>
      <c r="F24" s="51" t="s">
        <v>113</v>
      </c>
      <c r="G24" s="51">
        <v>7</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v>0</v>
      </c>
      <c r="AJ24" s="51" t="s">
        <v>113</v>
      </c>
      <c r="AK24" s="51">
        <v>2</v>
      </c>
      <c r="AL24" s="51" t="s">
        <v>113</v>
      </c>
      <c r="AM24" s="51" t="s">
        <v>113</v>
      </c>
      <c r="AN24" s="51" t="s">
        <v>113</v>
      </c>
      <c r="AO24" s="51">
        <v>0</v>
      </c>
      <c r="AP24" s="51" t="s">
        <v>113</v>
      </c>
      <c r="AQ24" s="51" t="s">
        <v>113</v>
      </c>
      <c r="AR24" s="51" t="s">
        <v>113</v>
      </c>
      <c r="AS24" s="51" t="s">
        <v>113</v>
      </c>
      <c r="AT24" s="51" t="s">
        <v>113</v>
      </c>
      <c r="AU24" s="51" t="s">
        <v>113</v>
      </c>
      <c r="AV24" s="51" t="s">
        <v>113</v>
      </c>
      <c r="AW24" s="51" t="s">
        <v>113</v>
      </c>
      <c r="AX24" s="51" t="s">
        <v>113</v>
      </c>
      <c r="AY24" s="51">
        <v>5</v>
      </c>
      <c r="AZ24" s="51" t="s">
        <v>113</v>
      </c>
      <c r="BA24" s="51" t="s">
        <v>113</v>
      </c>
      <c r="BB24" s="51" t="s">
        <v>113</v>
      </c>
      <c r="BC24" s="51">
        <v>0</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v>7</v>
      </c>
      <c r="F25" s="51" t="s">
        <v>113</v>
      </c>
      <c r="G25" s="51">
        <v>10</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v>0</v>
      </c>
      <c r="AJ25" s="51" t="s">
        <v>113</v>
      </c>
      <c r="AK25" s="51">
        <v>10</v>
      </c>
      <c r="AL25" s="51" t="s">
        <v>113</v>
      </c>
      <c r="AM25" s="51" t="s">
        <v>113</v>
      </c>
      <c r="AN25" s="51" t="s">
        <v>113</v>
      </c>
      <c r="AO25" s="51">
        <v>0</v>
      </c>
      <c r="AP25" s="51" t="s">
        <v>113</v>
      </c>
      <c r="AQ25" s="51" t="s">
        <v>113</v>
      </c>
      <c r="AR25" s="51" t="s">
        <v>113</v>
      </c>
      <c r="AS25" s="51" t="s">
        <v>113</v>
      </c>
      <c r="AT25" s="51" t="s">
        <v>113</v>
      </c>
      <c r="AU25" s="51" t="s">
        <v>113</v>
      </c>
      <c r="AV25" s="51" t="s">
        <v>113</v>
      </c>
      <c r="AW25" s="51" t="s">
        <v>113</v>
      </c>
      <c r="AX25" s="51" t="s">
        <v>113</v>
      </c>
      <c r="AY25" s="51">
        <v>10</v>
      </c>
      <c r="AZ25" s="51" t="s">
        <v>113</v>
      </c>
      <c r="BA25" s="51" t="s">
        <v>113</v>
      </c>
      <c r="BB25" s="51" t="s">
        <v>113</v>
      </c>
      <c r="BC25" s="51">
        <v>0</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v>4</v>
      </c>
      <c r="F26" s="51" t="s">
        <v>113</v>
      </c>
      <c r="G26" s="51">
        <v>11</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v>0</v>
      </c>
      <c r="AJ26" s="51" t="s">
        <v>113</v>
      </c>
      <c r="AK26" s="51">
        <v>5</v>
      </c>
      <c r="AL26" s="51" t="s">
        <v>113</v>
      </c>
      <c r="AM26" s="51" t="s">
        <v>113</v>
      </c>
      <c r="AN26" s="51" t="s">
        <v>113</v>
      </c>
      <c r="AO26" s="51">
        <v>0</v>
      </c>
      <c r="AP26" s="51" t="s">
        <v>113</v>
      </c>
      <c r="AQ26" s="51" t="s">
        <v>113</v>
      </c>
      <c r="AR26" s="51" t="s">
        <v>113</v>
      </c>
      <c r="AS26" s="51" t="s">
        <v>113</v>
      </c>
      <c r="AT26" s="51" t="s">
        <v>113</v>
      </c>
      <c r="AU26" s="51" t="s">
        <v>113</v>
      </c>
      <c r="AV26" s="51" t="s">
        <v>113</v>
      </c>
      <c r="AW26" s="51" t="s">
        <v>113</v>
      </c>
      <c r="AX26" s="51" t="s">
        <v>113</v>
      </c>
      <c r="AY26" s="51">
        <v>11</v>
      </c>
      <c r="AZ26" s="51" t="s">
        <v>113</v>
      </c>
      <c r="BA26" s="51" t="s">
        <v>113</v>
      </c>
      <c r="BB26" s="51" t="s">
        <v>113</v>
      </c>
      <c r="BC26" s="51">
        <v>0</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v>5</v>
      </c>
      <c r="F27" s="51" t="s">
        <v>113</v>
      </c>
      <c r="G27" s="51">
        <v>15</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v>0</v>
      </c>
      <c r="AJ27" s="51" t="s">
        <v>113</v>
      </c>
      <c r="AK27" s="51">
        <v>7</v>
      </c>
      <c r="AL27" s="51" t="s">
        <v>113</v>
      </c>
      <c r="AM27" s="51" t="s">
        <v>113</v>
      </c>
      <c r="AN27" s="51" t="s">
        <v>113</v>
      </c>
      <c r="AO27" s="51">
        <v>0</v>
      </c>
      <c r="AP27" s="51" t="s">
        <v>113</v>
      </c>
      <c r="AQ27" s="51" t="s">
        <v>113</v>
      </c>
      <c r="AR27" s="51" t="s">
        <v>113</v>
      </c>
      <c r="AS27" s="51" t="s">
        <v>113</v>
      </c>
      <c r="AT27" s="51" t="s">
        <v>113</v>
      </c>
      <c r="AU27" s="51" t="s">
        <v>113</v>
      </c>
      <c r="AV27" s="51" t="s">
        <v>113</v>
      </c>
      <c r="AW27" s="51" t="s">
        <v>113</v>
      </c>
      <c r="AX27" s="51" t="s">
        <v>113</v>
      </c>
      <c r="AY27" s="51">
        <v>5</v>
      </c>
      <c r="AZ27" s="51" t="s">
        <v>113</v>
      </c>
      <c r="BA27" s="51" t="s">
        <v>113</v>
      </c>
      <c r="BB27" s="51" t="s">
        <v>113</v>
      </c>
      <c r="BC27" s="51">
        <v>0</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v>3</v>
      </c>
      <c r="F28" s="51" t="s">
        <v>113</v>
      </c>
      <c r="G28" s="51">
        <v>4</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v>0</v>
      </c>
      <c r="AJ28" s="51" t="s">
        <v>113</v>
      </c>
      <c r="AK28" s="51">
        <v>4</v>
      </c>
      <c r="AL28" s="51" t="s">
        <v>113</v>
      </c>
      <c r="AM28" s="51" t="s">
        <v>113</v>
      </c>
      <c r="AN28" s="51" t="s">
        <v>113</v>
      </c>
      <c r="AO28" s="51">
        <v>0</v>
      </c>
      <c r="AP28" s="51" t="s">
        <v>113</v>
      </c>
      <c r="AQ28" s="51" t="s">
        <v>113</v>
      </c>
      <c r="AR28" s="51" t="s">
        <v>113</v>
      </c>
      <c r="AS28" s="51" t="s">
        <v>113</v>
      </c>
      <c r="AT28" s="51" t="s">
        <v>113</v>
      </c>
      <c r="AU28" s="51" t="s">
        <v>113</v>
      </c>
      <c r="AV28" s="51" t="s">
        <v>113</v>
      </c>
      <c r="AW28" s="51" t="s">
        <v>113</v>
      </c>
      <c r="AX28" s="51" t="s">
        <v>113</v>
      </c>
      <c r="AY28" s="51">
        <v>8</v>
      </c>
      <c r="AZ28" s="51" t="s">
        <v>113</v>
      </c>
      <c r="BA28" s="51" t="s">
        <v>113</v>
      </c>
      <c r="BB28" s="51" t="s">
        <v>113</v>
      </c>
      <c r="BC28" s="51">
        <v>0</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v>5</v>
      </c>
      <c r="F29" s="51" t="s">
        <v>113</v>
      </c>
      <c r="G29" s="51">
        <v>10</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v>0</v>
      </c>
      <c r="AJ29" s="51" t="s">
        <v>113</v>
      </c>
      <c r="AK29" s="51">
        <v>4</v>
      </c>
      <c r="AL29" s="51" t="s">
        <v>113</v>
      </c>
      <c r="AM29" s="51" t="s">
        <v>113</v>
      </c>
      <c r="AN29" s="51" t="s">
        <v>113</v>
      </c>
      <c r="AO29" s="51">
        <v>0</v>
      </c>
      <c r="AP29" s="51" t="s">
        <v>113</v>
      </c>
      <c r="AQ29" s="51" t="s">
        <v>113</v>
      </c>
      <c r="AR29" s="51" t="s">
        <v>113</v>
      </c>
      <c r="AS29" s="51" t="s">
        <v>113</v>
      </c>
      <c r="AT29" s="51" t="s">
        <v>113</v>
      </c>
      <c r="AU29" s="51" t="s">
        <v>113</v>
      </c>
      <c r="AV29" s="51" t="s">
        <v>113</v>
      </c>
      <c r="AW29" s="51" t="s">
        <v>113</v>
      </c>
      <c r="AX29" s="51" t="s">
        <v>113</v>
      </c>
      <c r="AY29" s="51">
        <v>5</v>
      </c>
      <c r="AZ29" s="51" t="s">
        <v>113</v>
      </c>
      <c r="BA29" s="51" t="s">
        <v>113</v>
      </c>
      <c r="BB29" s="51" t="s">
        <v>113</v>
      </c>
      <c r="BC29" s="51">
        <v>0</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v>1</v>
      </c>
      <c r="F30" s="51" t="s">
        <v>113</v>
      </c>
      <c r="G30" s="51">
        <v>0</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v>0</v>
      </c>
      <c r="AJ30" s="51" t="s">
        <v>113</v>
      </c>
      <c r="AK30" s="51">
        <v>6</v>
      </c>
      <c r="AL30" s="51" t="s">
        <v>113</v>
      </c>
      <c r="AM30" s="51" t="s">
        <v>113</v>
      </c>
      <c r="AN30" s="51" t="s">
        <v>113</v>
      </c>
      <c r="AO30" s="51">
        <v>0</v>
      </c>
      <c r="AP30" s="51" t="s">
        <v>113</v>
      </c>
      <c r="AQ30" s="51" t="s">
        <v>113</v>
      </c>
      <c r="AR30" s="51" t="s">
        <v>113</v>
      </c>
      <c r="AS30" s="51" t="s">
        <v>113</v>
      </c>
      <c r="AT30" s="51" t="s">
        <v>113</v>
      </c>
      <c r="AU30" s="51" t="s">
        <v>113</v>
      </c>
      <c r="AV30" s="51" t="s">
        <v>113</v>
      </c>
      <c r="AW30" s="51" t="s">
        <v>113</v>
      </c>
      <c r="AX30" s="51" t="s">
        <v>113</v>
      </c>
      <c r="AY30" s="51">
        <v>4</v>
      </c>
      <c r="AZ30" s="51" t="s">
        <v>113</v>
      </c>
      <c r="BA30" s="51" t="s">
        <v>113</v>
      </c>
      <c r="BB30" s="51" t="s">
        <v>113</v>
      </c>
      <c r="BC30" s="51">
        <v>0</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v>1</v>
      </c>
      <c r="F31" s="51" t="s">
        <v>113</v>
      </c>
      <c r="G31" s="51">
        <v>6</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v>1</v>
      </c>
      <c r="AJ31" s="51" t="s">
        <v>113</v>
      </c>
      <c r="AK31" s="51">
        <v>11</v>
      </c>
      <c r="AL31" s="51" t="s">
        <v>113</v>
      </c>
      <c r="AM31" s="51" t="s">
        <v>113</v>
      </c>
      <c r="AN31" s="51" t="s">
        <v>113</v>
      </c>
      <c r="AO31" s="51">
        <v>0</v>
      </c>
      <c r="AP31" s="51" t="s">
        <v>113</v>
      </c>
      <c r="AQ31" s="51" t="s">
        <v>113</v>
      </c>
      <c r="AR31" s="51" t="s">
        <v>113</v>
      </c>
      <c r="AS31" s="51" t="s">
        <v>113</v>
      </c>
      <c r="AT31" s="51" t="s">
        <v>113</v>
      </c>
      <c r="AU31" s="51" t="s">
        <v>113</v>
      </c>
      <c r="AV31" s="51" t="s">
        <v>113</v>
      </c>
      <c r="AW31" s="51" t="s">
        <v>113</v>
      </c>
      <c r="AX31" s="51" t="s">
        <v>113</v>
      </c>
      <c r="AY31" s="51">
        <v>2</v>
      </c>
      <c r="AZ31" s="51" t="s">
        <v>113</v>
      </c>
      <c r="BA31" s="51" t="s">
        <v>113</v>
      </c>
      <c r="BB31" s="51" t="s">
        <v>113</v>
      </c>
      <c r="BC31" s="51">
        <v>0</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v>1</v>
      </c>
      <c r="F32" s="51" t="s">
        <v>113</v>
      </c>
      <c r="G32" s="51">
        <v>8</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v>0</v>
      </c>
      <c r="AJ32" s="51" t="s">
        <v>113</v>
      </c>
      <c r="AK32" s="51">
        <v>2</v>
      </c>
      <c r="AL32" s="51" t="s">
        <v>113</v>
      </c>
      <c r="AM32" s="51" t="s">
        <v>113</v>
      </c>
      <c r="AN32" s="51" t="s">
        <v>113</v>
      </c>
      <c r="AO32" s="51">
        <v>0</v>
      </c>
      <c r="AP32" s="51" t="s">
        <v>113</v>
      </c>
      <c r="AQ32" s="51" t="s">
        <v>113</v>
      </c>
      <c r="AR32" s="51" t="s">
        <v>113</v>
      </c>
      <c r="AS32" s="51" t="s">
        <v>113</v>
      </c>
      <c r="AT32" s="51" t="s">
        <v>113</v>
      </c>
      <c r="AU32" s="51" t="s">
        <v>113</v>
      </c>
      <c r="AV32" s="51" t="s">
        <v>113</v>
      </c>
      <c r="AW32" s="51" t="s">
        <v>113</v>
      </c>
      <c r="AX32" s="51" t="s">
        <v>113</v>
      </c>
      <c r="AY32" s="51">
        <v>5</v>
      </c>
      <c r="AZ32" s="51" t="s">
        <v>113</v>
      </c>
      <c r="BA32" s="51" t="s">
        <v>113</v>
      </c>
      <c r="BB32" s="51" t="s">
        <v>113</v>
      </c>
      <c r="BC32" s="51">
        <v>0</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v>0</v>
      </c>
      <c r="F33" s="51" t="s">
        <v>113</v>
      </c>
      <c r="G33" s="51">
        <v>3</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v>0</v>
      </c>
      <c r="AJ33" s="51" t="s">
        <v>113</v>
      </c>
      <c r="AK33" s="51">
        <v>5</v>
      </c>
      <c r="AL33" s="51" t="s">
        <v>113</v>
      </c>
      <c r="AM33" s="51" t="s">
        <v>113</v>
      </c>
      <c r="AN33" s="51" t="s">
        <v>113</v>
      </c>
      <c r="AO33" s="51">
        <v>0</v>
      </c>
      <c r="AP33" s="51" t="s">
        <v>113</v>
      </c>
      <c r="AQ33" s="51" t="s">
        <v>113</v>
      </c>
      <c r="AR33" s="51" t="s">
        <v>113</v>
      </c>
      <c r="AS33" s="51" t="s">
        <v>113</v>
      </c>
      <c r="AT33" s="51" t="s">
        <v>113</v>
      </c>
      <c r="AU33" s="51" t="s">
        <v>113</v>
      </c>
      <c r="AV33" s="51" t="s">
        <v>113</v>
      </c>
      <c r="AW33" s="51" t="s">
        <v>113</v>
      </c>
      <c r="AX33" s="51" t="s">
        <v>113</v>
      </c>
      <c r="AY33" s="51">
        <v>6</v>
      </c>
      <c r="AZ33" s="51" t="s">
        <v>113</v>
      </c>
      <c r="BA33" s="51" t="s">
        <v>113</v>
      </c>
      <c r="BB33" s="51" t="s">
        <v>113</v>
      </c>
      <c r="BC33" s="51">
        <v>0</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v>1</v>
      </c>
      <c r="F34" s="51" t="s">
        <v>113</v>
      </c>
      <c r="G34" s="51">
        <v>2</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v>0</v>
      </c>
      <c r="AJ34" s="51" t="s">
        <v>113</v>
      </c>
      <c r="AK34" s="51">
        <v>4</v>
      </c>
      <c r="AL34" s="51" t="s">
        <v>113</v>
      </c>
      <c r="AM34" s="51" t="s">
        <v>113</v>
      </c>
      <c r="AN34" s="51" t="s">
        <v>113</v>
      </c>
      <c r="AO34" s="51">
        <v>0</v>
      </c>
      <c r="AP34" s="51" t="s">
        <v>113</v>
      </c>
      <c r="AQ34" s="51" t="s">
        <v>113</v>
      </c>
      <c r="AR34" s="51" t="s">
        <v>113</v>
      </c>
      <c r="AS34" s="51" t="s">
        <v>113</v>
      </c>
      <c r="AT34" s="51" t="s">
        <v>113</v>
      </c>
      <c r="AU34" s="51" t="s">
        <v>113</v>
      </c>
      <c r="AV34" s="51" t="s">
        <v>113</v>
      </c>
      <c r="AW34" s="51" t="s">
        <v>113</v>
      </c>
      <c r="AX34" s="51" t="s">
        <v>113</v>
      </c>
      <c r="AY34" s="51">
        <v>5</v>
      </c>
      <c r="AZ34" s="51" t="s">
        <v>113</v>
      </c>
      <c r="BA34" s="51" t="s">
        <v>113</v>
      </c>
      <c r="BB34" s="51" t="s">
        <v>113</v>
      </c>
      <c r="BC34" s="51">
        <v>0</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9C6FD-7E13-4584-9A90-3D814CB7CE3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150</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v>0</v>
      </c>
      <c r="F15" s="51" t="s">
        <v>113</v>
      </c>
      <c r="G15" s="51">
        <v>1</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v>1</v>
      </c>
      <c r="AJ15" s="51" t="s">
        <v>113</v>
      </c>
      <c r="AK15" s="51">
        <v>0</v>
      </c>
      <c r="AL15" s="51" t="s">
        <v>113</v>
      </c>
      <c r="AM15" s="51" t="s">
        <v>113</v>
      </c>
      <c r="AN15" s="51" t="s">
        <v>113</v>
      </c>
      <c r="AO15" s="51">
        <v>0</v>
      </c>
      <c r="AP15" s="51" t="s">
        <v>113</v>
      </c>
      <c r="AQ15" s="51" t="s">
        <v>113</v>
      </c>
      <c r="AR15" s="51" t="s">
        <v>113</v>
      </c>
      <c r="AS15" s="51" t="s">
        <v>113</v>
      </c>
      <c r="AT15" s="51" t="s">
        <v>113</v>
      </c>
      <c r="AU15" s="51" t="s">
        <v>113</v>
      </c>
      <c r="AV15" s="51" t="s">
        <v>113</v>
      </c>
      <c r="AW15" s="51" t="s">
        <v>113</v>
      </c>
      <c r="AX15" s="51" t="s">
        <v>113</v>
      </c>
      <c r="AY15" s="51">
        <v>0</v>
      </c>
      <c r="AZ15" s="51" t="s">
        <v>113</v>
      </c>
      <c r="BA15" s="51" t="s">
        <v>113</v>
      </c>
      <c r="BB15" s="51" t="s">
        <v>113</v>
      </c>
      <c r="BC15" s="51">
        <v>0</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v>0</v>
      </c>
      <c r="F16" s="51" t="s">
        <v>113</v>
      </c>
      <c r="G16" s="51">
        <v>2</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v>0</v>
      </c>
      <c r="AJ16" s="51" t="s">
        <v>113</v>
      </c>
      <c r="AK16" s="51">
        <v>0</v>
      </c>
      <c r="AL16" s="51" t="s">
        <v>113</v>
      </c>
      <c r="AM16" s="51" t="s">
        <v>113</v>
      </c>
      <c r="AN16" s="51" t="s">
        <v>113</v>
      </c>
      <c r="AO16" s="51">
        <v>0</v>
      </c>
      <c r="AP16" s="51" t="s">
        <v>113</v>
      </c>
      <c r="AQ16" s="51" t="s">
        <v>113</v>
      </c>
      <c r="AR16" s="51" t="s">
        <v>113</v>
      </c>
      <c r="AS16" s="51" t="s">
        <v>113</v>
      </c>
      <c r="AT16" s="51" t="s">
        <v>113</v>
      </c>
      <c r="AU16" s="51" t="s">
        <v>113</v>
      </c>
      <c r="AV16" s="51" t="s">
        <v>113</v>
      </c>
      <c r="AW16" s="51" t="s">
        <v>113</v>
      </c>
      <c r="AX16" s="51" t="s">
        <v>113</v>
      </c>
      <c r="AY16" s="51">
        <v>1</v>
      </c>
      <c r="AZ16" s="51" t="s">
        <v>113</v>
      </c>
      <c r="BA16" s="51" t="s">
        <v>113</v>
      </c>
      <c r="BB16" s="51" t="s">
        <v>113</v>
      </c>
      <c r="BC16" s="51">
        <v>0</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v>0</v>
      </c>
      <c r="F17" s="51" t="s">
        <v>113</v>
      </c>
      <c r="G17" s="51">
        <v>2</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v>0</v>
      </c>
      <c r="AJ17" s="51" t="s">
        <v>113</v>
      </c>
      <c r="AK17" s="51">
        <v>0</v>
      </c>
      <c r="AL17" s="51" t="s">
        <v>113</v>
      </c>
      <c r="AM17" s="51" t="s">
        <v>113</v>
      </c>
      <c r="AN17" s="51" t="s">
        <v>113</v>
      </c>
      <c r="AO17" s="51">
        <v>0</v>
      </c>
      <c r="AP17" s="51" t="s">
        <v>113</v>
      </c>
      <c r="AQ17" s="51" t="s">
        <v>113</v>
      </c>
      <c r="AR17" s="51" t="s">
        <v>113</v>
      </c>
      <c r="AS17" s="51" t="s">
        <v>113</v>
      </c>
      <c r="AT17" s="51" t="s">
        <v>113</v>
      </c>
      <c r="AU17" s="51" t="s">
        <v>113</v>
      </c>
      <c r="AV17" s="51" t="s">
        <v>113</v>
      </c>
      <c r="AW17" s="51" t="s">
        <v>113</v>
      </c>
      <c r="AX17" s="51" t="s">
        <v>113</v>
      </c>
      <c r="AY17" s="51">
        <v>0</v>
      </c>
      <c r="AZ17" s="51" t="s">
        <v>113</v>
      </c>
      <c r="BA17" s="51" t="s">
        <v>113</v>
      </c>
      <c r="BB17" s="51" t="s">
        <v>113</v>
      </c>
      <c r="BC17" s="51">
        <v>0</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v>0</v>
      </c>
      <c r="F18" s="51" t="s">
        <v>113</v>
      </c>
      <c r="G18" s="51">
        <v>1</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v>0</v>
      </c>
      <c r="AJ18" s="51" t="s">
        <v>113</v>
      </c>
      <c r="AK18" s="51">
        <v>0</v>
      </c>
      <c r="AL18" s="51" t="s">
        <v>113</v>
      </c>
      <c r="AM18" s="51" t="s">
        <v>113</v>
      </c>
      <c r="AN18" s="51" t="s">
        <v>113</v>
      </c>
      <c r="AO18" s="51">
        <v>0</v>
      </c>
      <c r="AP18" s="51" t="s">
        <v>113</v>
      </c>
      <c r="AQ18" s="51" t="s">
        <v>113</v>
      </c>
      <c r="AR18" s="51" t="s">
        <v>113</v>
      </c>
      <c r="AS18" s="51" t="s">
        <v>113</v>
      </c>
      <c r="AT18" s="51" t="s">
        <v>113</v>
      </c>
      <c r="AU18" s="51" t="s">
        <v>113</v>
      </c>
      <c r="AV18" s="51" t="s">
        <v>113</v>
      </c>
      <c r="AW18" s="51" t="s">
        <v>113</v>
      </c>
      <c r="AX18" s="51" t="s">
        <v>113</v>
      </c>
      <c r="AY18" s="51">
        <v>0</v>
      </c>
      <c r="AZ18" s="51" t="s">
        <v>113</v>
      </c>
      <c r="BA18" s="51" t="s">
        <v>113</v>
      </c>
      <c r="BB18" s="51" t="s">
        <v>113</v>
      </c>
      <c r="BC18" s="51">
        <v>0</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v>0</v>
      </c>
      <c r="F19" s="51" t="s">
        <v>113</v>
      </c>
      <c r="G19" s="51">
        <v>1</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v>0</v>
      </c>
      <c r="AJ19" s="51" t="s">
        <v>113</v>
      </c>
      <c r="AK19" s="51">
        <v>0</v>
      </c>
      <c r="AL19" s="51" t="s">
        <v>113</v>
      </c>
      <c r="AM19" s="51" t="s">
        <v>113</v>
      </c>
      <c r="AN19" s="51" t="s">
        <v>113</v>
      </c>
      <c r="AO19" s="51">
        <v>0</v>
      </c>
      <c r="AP19" s="51" t="s">
        <v>113</v>
      </c>
      <c r="AQ19" s="51" t="s">
        <v>113</v>
      </c>
      <c r="AR19" s="51" t="s">
        <v>113</v>
      </c>
      <c r="AS19" s="51" t="s">
        <v>113</v>
      </c>
      <c r="AT19" s="51" t="s">
        <v>113</v>
      </c>
      <c r="AU19" s="51" t="s">
        <v>113</v>
      </c>
      <c r="AV19" s="51" t="s">
        <v>113</v>
      </c>
      <c r="AW19" s="51" t="s">
        <v>113</v>
      </c>
      <c r="AX19" s="51" t="s">
        <v>113</v>
      </c>
      <c r="AY19" s="51">
        <v>0</v>
      </c>
      <c r="AZ19" s="51" t="s">
        <v>113</v>
      </c>
      <c r="BA19" s="51" t="s">
        <v>113</v>
      </c>
      <c r="BB19" s="51" t="s">
        <v>113</v>
      </c>
      <c r="BC19" s="51">
        <v>0</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v>0</v>
      </c>
      <c r="F20" s="51" t="s">
        <v>113</v>
      </c>
      <c r="G20" s="51">
        <v>1</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v>0</v>
      </c>
      <c r="AJ20" s="51" t="s">
        <v>113</v>
      </c>
      <c r="AK20" s="51">
        <v>0</v>
      </c>
      <c r="AL20" s="51" t="s">
        <v>113</v>
      </c>
      <c r="AM20" s="51" t="s">
        <v>113</v>
      </c>
      <c r="AN20" s="51" t="s">
        <v>113</v>
      </c>
      <c r="AO20" s="51">
        <v>0</v>
      </c>
      <c r="AP20" s="51" t="s">
        <v>113</v>
      </c>
      <c r="AQ20" s="51" t="s">
        <v>113</v>
      </c>
      <c r="AR20" s="51" t="s">
        <v>113</v>
      </c>
      <c r="AS20" s="51" t="s">
        <v>113</v>
      </c>
      <c r="AT20" s="51" t="s">
        <v>113</v>
      </c>
      <c r="AU20" s="51" t="s">
        <v>113</v>
      </c>
      <c r="AV20" s="51" t="s">
        <v>113</v>
      </c>
      <c r="AW20" s="51" t="s">
        <v>113</v>
      </c>
      <c r="AX20" s="51" t="s">
        <v>113</v>
      </c>
      <c r="AY20" s="51">
        <v>0</v>
      </c>
      <c r="AZ20" s="51" t="s">
        <v>113</v>
      </c>
      <c r="BA20" s="51" t="s">
        <v>113</v>
      </c>
      <c r="BB20" s="51" t="s">
        <v>113</v>
      </c>
      <c r="BC20" s="51">
        <v>0</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v>0</v>
      </c>
      <c r="F21" s="51" t="s">
        <v>113</v>
      </c>
      <c r="G21" s="51">
        <v>0</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v>0</v>
      </c>
      <c r="AJ21" s="51" t="s">
        <v>113</v>
      </c>
      <c r="AK21" s="51">
        <v>0</v>
      </c>
      <c r="AL21" s="51" t="s">
        <v>113</v>
      </c>
      <c r="AM21" s="51" t="s">
        <v>113</v>
      </c>
      <c r="AN21" s="51" t="s">
        <v>113</v>
      </c>
      <c r="AO21" s="51">
        <v>0</v>
      </c>
      <c r="AP21" s="51" t="s">
        <v>113</v>
      </c>
      <c r="AQ21" s="51" t="s">
        <v>113</v>
      </c>
      <c r="AR21" s="51" t="s">
        <v>113</v>
      </c>
      <c r="AS21" s="51" t="s">
        <v>113</v>
      </c>
      <c r="AT21" s="51" t="s">
        <v>113</v>
      </c>
      <c r="AU21" s="51" t="s">
        <v>113</v>
      </c>
      <c r="AV21" s="51" t="s">
        <v>113</v>
      </c>
      <c r="AW21" s="51" t="s">
        <v>113</v>
      </c>
      <c r="AX21" s="51" t="s">
        <v>113</v>
      </c>
      <c r="AY21" s="51">
        <v>0</v>
      </c>
      <c r="AZ21" s="51" t="s">
        <v>113</v>
      </c>
      <c r="BA21" s="51" t="s">
        <v>113</v>
      </c>
      <c r="BB21" s="51" t="s">
        <v>113</v>
      </c>
      <c r="BC21" s="51">
        <v>0</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v>0</v>
      </c>
      <c r="F22" s="51" t="s">
        <v>113</v>
      </c>
      <c r="G22" s="51">
        <v>0</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v>0</v>
      </c>
      <c r="AJ22" s="51" t="s">
        <v>113</v>
      </c>
      <c r="AK22" s="51">
        <v>0</v>
      </c>
      <c r="AL22" s="51" t="s">
        <v>113</v>
      </c>
      <c r="AM22" s="51" t="s">
        <v>113</v>
      </c>
      <c r="AN22" s="51" t="s">
        <v>113</v>
      </c>
      <c r="AO22" s="51">
        <v>0</v>
      </c>
      <c r="AP22" s="51" t="s">
        <v>113</v>
      </c>
      <c r="AQ22" s="51" t="s">
        <v>113</v>
      </c>
      <c r="AR22" s="51" t="s">
        <v>113</v>
      </c>
      <c r="AS22" s="51" t="s">
        <v>113</v>
      </c>
      <c r="AT22" s="51" t="s">
        <v>113</v>
      </c>
      <c r="AU22" s="51" t="s">
        <v>113</v>
      </c>
      <c r="AV22" s="51" t="s">
        <v>113</v>
      </c>
      <c r="AW22" s="51" t="s">
        <v>113</v>
      </c>
      <c r="AX22" s="51" t="s">
        <v>113</v>
      </c>
      <c r="AY22" s="51">
        <v>0</v>
      </c>
      <c r="AZ22" s="51" t="s">
        <v>113</v>
      </c>
      <c r="BA22" s="51" t="s">
        <v>113</v>
      </c>
      <c r="BB22" s="51" t="s">
        <v>113</v>
      </c>
      <c r="BC22" s="51">
        <v>0</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v>0</v>
      </c>
      <c r="F23" s="51" t="s">
        <v>113</v>
      </c>
      <c r="G23" s="51">
        <v>2</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v>0</v>
      </c>
      <c r="AJ23" s="51" t="s">
        <v>113</v>
      </c>
      <c r="AK23" s="51">
        <v>0</v>
      </c>
      <c r="AL23" s="51" t="s">
        <v>113</v>
      </c>
      <c r="AM23" s="51" t="s">
        <v>113</v>
      </c>
      <c r="AN23" s="51" t="s">
        <v>113</v>
      </c>
      <c r="AO23" s="51">
        <v>0</v>
      </c>
      <c r="AP23" s="51" t="s">
        <v>113</v>
      </c>
      <c r="AQ23" s="51" t="s">
        <v>113</v>
      </c>
      <c r="AR23" s="51" t="s">
        <v>113</v>
      </c>
      <c r="AS23" s="51" t="s">
        <v>113</v>
      </c>
      <c r="AT23" s="51" t="s">
        <v>113</v>
      </c>
      <c r="AU23" s="51" t="s">
        <v>113</v>
      </c>
      <c r="AV23" s="51" t="s">
        <v>113</v>
      </c>
      <c r="AW23" s="51" t="s">
        <v>113</v>
      </c>
      <c r="AX23" s="51" t="s">
        <v>113</v>
      </c>
      <c r="AY23" s="51">
        <v>1</v>
      </c>
      <c r="AZ23" s="51" t="s">
        <v>113</v>
      </c>
      <c r="BA23" s="51" t="s">
        <v>113</v>
      </c>
      <c r="BB23" s="51" t="s">
        <v>113</v>
      </c>
      <c r="BC23" s="51">
        <v>0</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v>0</v>
      </c>
      <c r="F24" s="51" t="s">
        <v>113</v>
      </c>
      <c r="G24" s="51">
        <v>0</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v>0</v>
      </c>
      <c r="AJ24" s="51" t="s">
        <v>113</v>
      </c>
      <c r="AK24" s="51">
        <v>0</v>
      </c>
      <c r="AL24" s="51" t="s">
        <v>113</v>
      </c>
      <c r="AM24" s="51" t="s">
        <v>113</v>
      </c>
      <c r="AN24" s="51" t="s">
        <v>113</v>
      </c>
      <c r="AO24" s="51">
        <v>0</v>
      </c>
      <c r="AP24" s="51" t="s">
        <v>113</v>
      </c>
      <c r="AQ24" s="51" t="s">
        <v>113</v>
      </c>
      <c r="AR24" s="51" t="s">
        <v>113</v>
      </c>
      <c r="AS24" s="51" t="s">
        <v>113</v>
      </c>
      <c r="AT24" s="51" t="s">
        <v>113</v>
      </c>
      <c r="AU24" s="51" t="s">
        <v>113</v>
      </c>
      <c r="AV24" s="51" t="s">
        <v>113</v>
      </c>
      <c r="AW24" s="51" t="s">
        <v>113</v>
      </c>
      <c r="AX24" s="51" t="s">
        <v>113</v>
      </c>
      <c r="AY24" s="51">
        <v>0</v>
      </c>
      <c r="AZ24" s="51" t="s">
        <v>113</v>
      </c>
      <c r="BA24" s="51" t="s">
        <v>113</v>
      </c>
      <c r="BB24" s="51" t="s">
        <v>113</v>
      </c>
      <c r="BC24" s="51">
        <v>0</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v>0</v>
      </c>
      <c r="F25" s="51" t="s">
        <v>113</v>
      </c>
      <c r="G25" s="51">
        <v>0</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v>0</v>
      </c>
      <c r="AJ25" s="51" t="s">
        <v>113</v>
      </c>
      <c r="AK25" s="51">
        <v>0</v>
      </c>
      <c r="AL25" s="51" t="s">
        <v>113</v>
      </c>
      <c r="AM25" s="51" t="s">
        <v>113</v>
      </c>
      <c r="AN25" s="51" t="s">
        <v>113</v>
      </c>
      <c r="AO25" s="51">
        <v>0</v>
      </c>
      <c r="AP25" s="51" t="s">
        <v>113</v>
      </c>
      <c r="AQ25" s="51" t="s">
        <v>113</v>
      </c>
      <c r="AR25" s="51" t="s">
        <v>113</v>
      </c>
      <c r="AS25" s="51" t="s">
        <v>113</v>
      </c>
      <c r="AT25" s="51" t="s">
        <v>113</v>
      </c>
      <c r="AU25" s="51" t="s">
        <v>113</v>
      </c>
      <c r="AV25" s="51" t="s">
        <v>113</v>
      </c>
      <c r="AW25" s="51" t="s">
        <v>113</v>
      </c>
      <c r="AX25" s="51" t="s">
        <v>113</v>
      </c>
      <c r="AY25" s="51">
        <v>0</v>
      </c>
      <c r="AZ25" s="51" t="s">
        <v>113</v>
      </c>
      <c r="BA25" s="51" t="s">
        <v>113</v>
      </c>
      <c r="BB25" s="51" t="s">
        <v>113</v>
      </c>
      <c r="BC25" s="51">
        <v>0</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v>0</v>
      </c>
      <c r="F26" s="51" t="s">
        <v>113</v>
      </c>
      <c r="G26" s="51">
        <v>0</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v>0</v>
      </c>
      <c r="AJ26" s="51" t="s">
        <v>113</v>
      </c>
      <c r="AK26" s="51">
        <v>0</v>
      </c>
      <c r="AL26" s="51" t="s">
        <v>113</v>
      </c>
      <c r="AM26" s="51" t="s">
        <v>113</v>
      </c>
      <c r="AN26" s="51" t="s">
        <v>113</v>
      </c>
      <c r="AO26" s="51">
        <v>0</v>
      </c>
      <c r="AP26" s="51" t="s">
        <v>113</v>
      </c>
      <c r="AQ26" s="51" t="s">
        <v>113</v>
      </c>
      <c r="AR26" s="51" t="s">
        <v>113</v>
      </c>
      <c r="AS26" s="51" t="s">
        <v>113</v>
      </c>
      <c r="AT26" s="51" t="s">
        <v>113</v>
      </c>
      <c r="AU26" s="51" t="s">
        <v>113</v>
      </c>
      <c r="AV26" s="51" t="s">
        <v>113</v>
      </c>
      <c r="AW26" s="51" t="s">
        <v>113</v>
      </c>
      <c r="AX26" s="51" t="s">
        <v>113</v>
      </c>
      <c r="AY26" s="51">
        <v>1</v>
      </c>
      <c r="AZ26" s="51" t="s">
        <v>113</v>
      </c>
      <c r="BA26" s="51" t="s">
        <v>113</v>
      </c>
      <c r="BB26" s="51" t="s">
        <v>113</v>
      </c>
      <c r="BC26" s="51">
        <v>0</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v>2</v>
      </c>
      <c r="F27" s="51" t="s">
        <v>113</v>
      </c>
      <c r="G27" s="51">
        <v>0</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v>0</v>
      </c>
      <c r="AJ27" s="51" t="s">
        <v>113</v>
      </c>
      <c r="AK27" s="51">
        <v>0</v>
      </c>
      <c r="AL27" s="51" t="s">
        <v>113</v>
      </c>
      <c r="AM27" s="51" t="s">
        <v>113</v>
      </c>
      <c r="AN27" s="51" t="s">
        <v>113</v>
      </c>
      <c r="AO27" s="51">
        <v>0</v>
      </c>
      <c r="AP27" s="51" t="s">
        <v>113</v>
      </c>
      <c r="AQ27" s="51" t="s">
        <v>113</v>
      </c>
      <c r="AR27" s="51" t="s">
        <v>113</v>
      </c>
      <c r="AS27" s="51" t="s">
        <v>113</v>
      </c>
      <c r="AT27" s="51" t="s">
        <v>113</v>
      </c>
      <c r="AU27" s="51" t="s">
        <v>113</v>
      </c>
      <c r="AV27" s="51" t="s">
        <v>113</v>
      </c>
      <c r="AW27" s="51" t="s">
        <v>113</v>
      </c>
      <c r="AX27" s="51" t="s">
        <v>113</v>
      </c>
      <c r="AY27" s="51">
        <v>1</v>
      </c>
      <c r="AZ27" s="51" t="s">
        <v>113</v>
      </c>
      <c r="BA27" s="51" t="s">
        <v>113</v>
      </c>
      <c r="BB27" s="51" t="s">
        <v>113</v>
      </c>
      <c r="BC27" s="51">
        <v>0</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v>1</v>
      </c>
      <c r="F28" s="51" t="s">
        <v>113</v>
      </c>
      <c r="G28" s="51">
        <v>1</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v>0</v>
      </c>
      <c r="AJ28" s="51" t="s">
        <v>113</v>
      </c>
      <c r="AK28" s="51">
        <v>0</v>
      </c>
      <c r="AL28" s="51" t="s">
        <v>113</v>
      </c>
      <c r="AM28" s="51" t="s">
        <v>113</v>
      </c>
      <c r="AN28" s="51" t="s">
        <v>113</v>
      </c>
      <c r="AO28" s="51">
        <v>0</v>
      </c>
      <c r="AP28" s="51" t="s">
        <v>113</v>
      </c>
      <c r="AQ28" s="51" t="s">
        <v>113</v>
      </c>
      <c r="AR28" s="51" t="s">
        <v>113</v>
      </c>
      <c r="AS28" s="51" t="s">
        <v>113</v>
      </c>
      <c r="AT28" s="51" t="s">
        <v>113</v>
      </c>
      <c r="AU28" s="51" t="s">
        <v>113</v>
      </c>
      <c r="AV28" s="51" t="s">
        <v>113</v>
      </c>
      <c r="AW28" s="51" t="s">
        <v>113</v>
      </c>
      <c r="AX28" s="51" t="s">
        <v>113</v>
      </c>
      <c r="AY28" s="51">
        <v>1</v>
      </c>
      <c r="AZ28" s="51" t="s">
        <v>113</v>
      </c>
      <c r="BA28" s="51" t="s">
        <v>113</v>
      </c>
      <c r="BB28" s="51" t="s">
        <v>113</v>
      </c>
      <c r="BC28" s="51">
        <v>0</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v>0</v>
      </c>
      <c r="F29" s="51" t="s">
        <v>113</v>
      </c>
      <c r="G29" s="51">
        <v>0</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v>0</v>
      </c>
      <c r="AJ29" s="51" t="s">
        <v>113</v>
      </c>
      <c r="AK29" s="51">
        <v>0</v>
      </c>
      <c r="AL29" s="51" t="s">
        <v>113</v>
      </c>
      <c r="AM29" s="51" t="s">
        <v>113</v>
      </c>
      <c r="AN29" s="51" t="s">
        <v>113</v>
      </c>
      <c r="AO29" s="51">
        <v>0</v>
      </c>
      <c r="AP29" s="51" t="s">
        <v>113</v>
      </c>
      <c r="AQ29" s="51" t="s">
        <v>113</v>
      </c>
      <c r="AR29" s="51" t="s">
        <v>113</v>
      </c>
      <c r="AS29" s="51" t="s">
        <v>113</v>
      </c>
      <c r="AT29" s="51" t="s">
        <v>113</v>
      </c>
      <c r="AU29" s="51" t="s">
        <v>113</v>
      </c>
      <c r="AV29" s="51" t="s">
        <v>113</v>
      </c>
      <c r="AW29" s="51" t="s">
        <v>113</v>
      </c>
      <c r="AX29" s="51" t="s">
        <v>113</v>
      </c>
      <c r="AY29" s="51">
        <v>0</v>
      </c>
      <c r="AZ29" s="51" t="s">
        <v>113</v>
      </c>
      <c r="BA29" s="51" t="s">
        <v>113</v>
      </c>
      <c r="BB29" s="51" t="s">
        <v>113</v>
      </c>
      <c r="BC29" s="51">
        <v>0</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v>1</v>
      </c>
      <c r="F30" s="51" t="s">
        <v>113</v>
      </c>
      <c r="G30" s="51">
        <v>0</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v>0</v>
      </c>
      <c r="AJ30" s="51" t="s">
        <v>113</v>
      </c>
      <c r="AK30" s="51">
        <v>0</v>
      </c>
      <c r="AL30" s="51" t="s">
        <v>113</v>
      </c>
      <c r="AM30" s="51" t="s">
        <v>113</v>
      </c>
      <c r="AN30" s="51" t="s">
        <v>113</v>
      </c>
      <c r="AO30" s="51">
        <v>0</v>
      </c>
      <c r="AP30" s="51" t="s">
        <v>113</v>
      </c>
      <c r="AQ30" s="51" t="s">
        <v>113</v>
      </c>
      <c r="AR30" s="51" t="s">
        <v>113</v>
      </c>
      <c r="AS30" s="51" t="s">
        <v>113</v>
      </c>
      <c r="AT30" s="51" t="s">
        <v>113</v>
      </c>
      <c r="AU30" s="51" t="s">
        <v>113</v>
      </c>
      <c r="AV30" s="51" t="s">
        <v>113</v>
      </c>
      <c r="AW30" s="51" t="s">
        <v>113</v>
      </c>
      <c r="AX30" s="51" t="s">
        <v>113</v>
      </c>
      <c r="AY30" s="51">
        <v>0</v>
      </c>
      <c r="AZ30" s="51" t="s">
        <v>113</v>
      </c>
      <c r="BA30" s="51" t="s">
        <v>113</v>
      </c>
      <c r="BB30" s="51" t="s">
        <v>113</v>
      </c>
      <c r="BC30" s="51">
        <v>0</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v>0</v>
      </c>
      <c r="F31" s="51" t="s">
        <v>113</v>
      </c>
      <c r="G31" s="51">
        <v>0</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v>0</v>
      </c>
      <c r="AJ31" s="51" t="s">
        <v>113</v>
      </c>
      <c r="AK31" s="51">
        <v>0</v>
      </c>
      <c r="AL31" s="51" t="s">
        <v>113</v>
      </c>
      <c r="AM31" s="51" t="s">
        <v>113</v>
      </c>
      <c r="AN31" s="51" t="s">
        <v>113</v>
      </c>
      <c r="AO31" s="51">
        <v>0</v>
      </c>
      <c r="AP31" s="51" t="s">
        <v>113</v>
      </c>
      <c r="AQ31" s="51" t="s">
        <v>113</v>
      </c>
      <c r="AR31" s="51" t="s">
        <v>113</v>
      </c>
      <c r="AS31" s="51" t="s">
        <v>113</v>
      </c>
      <c r="AT31" s="51" t="s">
        <v>113</v>
      </c>
      <c r="AU31" s="51" t="s">
        <v>113</v>
      </c>
      <c r="AV31" s="51" t="s">
        <v>113</v>
      </c>
      <c r="AW31" s="51" t="s">
        <v>113</v>
      </c>
      <c r="AX31" s="51" t="s">
        <v>113</v>
      </c>
      <c r="AY31" s="51">
        <v>0</v>
      </c>
      <c r="AZ31" s="51" t="s">
        <v>113</v>
      </c>
      <c r="BA31" s="51" t="s">
        <v>113</v>
      </c>
      <c r="BB31" s="51" t="s">
        <v>113</v>
      </c>
      <c r="BC31" s="51">
        <v>0</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v>1</v>
      </c>
      <c r="F32" s="51" t="s">
        <v>113</v>
      </c>
      <c r="G32" s="51">
        <v>1</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v>0</v>
      </c>
      <c r="AJ32" s="51" t="s">
        <v>113</v>
      </c>
      <c r="AK32" s="51">
        <v>1</v>
      </c>
      <c r="AL32" s="51" t="s">
        <v>113</v>
      </c>
      <c r="AM32" s="51" t="s">
        <v>113</v>
      </c>
      <c r="AN32" s="51" t="s">
        <v>113</v>
      </c>
      <c r="AO32" s="51">
        <v>0</v>
      </c>
      <c r="AP32" s="51" t="s">
        <v>113</v>
      </c>
      <c r="AQ32" s="51" t="s">
        <v>113</v>
      </c>
      <c r="AR32" s="51" t="s">
        <v>113</v>
      </c>
      <c r="AS32" s="51" t="s">
        <v>113</v>
      </c>
      <c r="AT32" s="51" t="s">
        <v>113</v>
      </c>
      <c r="AU32" s="51" t="s">
        <v>113</v>
      </c>
      <c r="AV32" s="51" t="s">
        <v>113</v>
      </c>
      <c r="AW32" s="51" t="s">
        <v>113</v>
      </c>
      <c r="AX32" s="51" t="s">
        <v>113</v>
      </c>
      <c r="AY32" s="51">
        <v>0</v>
      </c>
      <c r="AZ32" s="51" t="s">
        <v>113</v>
      </c>
      <c r="BA32" s="51" t="s">
        <v>113</v>
      </c>
      <c r="BB32" s="51" t="s">
        <v>113</v>
      </c>
      <c r="BC32" s="51">
        <v>0</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v>0</v>
      </c>
      <c r="F33" s="51" t="s">
        <v>113</v>
      </c>
      <c r="G33" s="51">
        <v>0</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v>0</v>
      </c>
      <c r="AJ33" s="51" t="s">
        <v>113</v>
      </c>
      <c r="AK33" s="51">
        <v>0</v>
      </c>
      <c r="AL33" s="51" t="s">
        <v>113</v>
      </c>
      <c r="AM33" s="51" t="s">
        <v>113</v>
      </c>
      <c r="AN33" s="51" t="s">
        <v>113</v>
      </c>
      <c r="AO33" s="51">
        <v>0</v>
      </c>
      <c r="AP33" s="51" t="s">
        <v>113</v>
      </c>
      <c r="AQ33" s="51" t="s">
        <v>113</v>
      </c>
      <c r="AR33" s="51" t="s">
        <v>113</v>
      </c>
      <c r="AS33" s="51" t="s">
        <v>113</v>
      </c>
      <c r="AT33" s="51" t="s">
        <v>113</v>
      </c>
      <c r="AU33" s="51" t="s">
        <v>113</v>
      </c>
      <c r="AV33" s="51" t="s">
        <v>113</v>
      </c>
      <c r="AW33" s="51" t="s">
        <v>113</v>
      </c>
      <c r="AX33" s="51" t="s">
        <v>113</v>
      </c>
      <c r="AY33" s="51">
        <v>0</v>
      </c>
      <c r="AZ33" s="51" t="s">
        <v>113</v>
      </c>
      <c r="BA33" s="51" t="s">
        <v>113</v>
      </c>
      <c r="BB33" s="51" t="s">
        <v>113</v>
      </c>
      <c r="BC33" s="51">
        <v>0</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v>1</v>
      </c>
      <c r="F34" s="51" t="s">
        <v>113</v>
      </c>
      <c r="G34" s="51">
        <v>0</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v>0</v>
      </c>
      <c r="AJ34" s="51" t="s">
        <v>113</v>
      </c>
      <c r="AK34" s="51">
        <v>0</v>
      </c>
      <c r="AL34" s="51" t="s">
        <v>113</v>
      </c>
      <c r="AM34" s="51" t="s">
        <v>113</v>
      </c>
      <c r="AN34" s="51" t="s">
        <v>113</v>
      </c>
      <c r="AO34" s="51">
        <v>0</v>
      </c>
      <c r="AP34" s="51" t="s">
        <v>113</v>
      </c>
      <c r="AQ34" s="51" t="s">
        <v>113</v>
      </c>
      <c r="AR34" s="51" t="s">
        <v>113</v>
      </c>
      <c r="AS34" s="51" t="s">
        <v>113</v>
      </c>
      <c r="AT34" s="51" t="s">
        <v>113</v>
      </c>
      <c r="AU34" s="51" t="s">
        <v>113</v>
      </c>
      <c r="AV34" s="51" t="s">
        <v>113</v>
      </c>
      <c r="AW34" s="51" t="s">
        <v>113</v>
      </c>
      <c r="AX34" s="51" t="s">
        <v>113</v>
      </c>
      <c r="AY34" s="51">
        <v>0</v>
      </c>
      <c r="AZ34" s="51" t="s">
        <v>113</v>
      </c>
      <c r="BA34" s="51" t="s">
        <v>113</v>
      </c>
      <c r="BB34" s="51" t="s">
        <v>113</v>
      </c>
      <c r="BC34" s="51">
        <v>0</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4A310-A63A-4C39-A73A-6FB4F38F03EC}">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150</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v>48</v>
      </c>
      <c r="F15" s="51" t="s">
        <v>113</v>
      </c>
      <c r="G15" s="51">
        <v>102</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v>1</v>
      </c>
      <c r="AJ15" s="51" t="s">
        <v>113</v>
      </c>
      <c r="AK15" s="51">
        <v>42</v>
      </c>
      <c r="AL15" s="51" t="s">
        <v>113</v>
      </c>
      <c r="AM15" s="51" t="s">
        <v>113</v>
      </c>
      <c r="AN15" s="51" t="s">
        <v>113</v>
      </c>
      <c r="AO15" s="51">
        <v>0</v>
      </c>
      <c r="AP15" s="51" t="s">
        <v>113</v>
      </c>
      <c r="AQ15" s="51" t="s">
        <v>113</v>
      </c>
      <c r="AR15" s="51" t="s">
        <v>113</v>
      </c>
      <c r="AS15" s="51" t="s">
        <v>113</v>
      </c>
      <c r="AT15" s="51" t="s">
        <v>113</v>
      </c>
      <c r="AU15" s="51" t="s">
        <v>113</v>
      </c>
      <c r="AV15" s="51" t="s">
        <v>113</v>
      </c>
      <c r="AW15" s="51" t="s">
        <v>113</v>
      </c>
      <c r="AX15" s="51" t="s">
        <v>113</v>
      </c>
      <c r="AY15" s="51">
        <v>46</v>
      </c>
      <c r="AZ15" s="51" t="s">
        <v>113</v>
      </c>
      <c r="BA15" s="51" t="s">
        <v>113</v>
      </c>
      <c r="BB15" s="51" t="s">
        <v>113</v>
      </c>
      <c r="BC15" s="51">
        <v>0</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v>89</v>
      </c>
      <c r="F16" s="51" t="s">
        <v>113</v>
      </c>
      <c r="G16" s="51">
        <v>158</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v>0</v>
      </c>
      <c r="AJ16" s="51" t="s">
        <v>113</v>
      </c>
      <c r="AK16" s="51">
        <v>49</v>
      </c>
      <c r="AL16" s="51" t="s">
        <v>113</v>
      </c>
      <c r="AM16" s="51" t="s">
        <v>113</v>
      </c>
      <c r="AN16" s="51" t="s">
        <v>113</v>
      </c>
      <c r="AO16" s="51">
        <v>0</v>
      </c>
      <c r="AP16" s="51" t="s">
        <v>113</v>
      </c>
      <c r="AQ16" s="51" t="s">
        <v>113</v>
      </c>
      <c r="AR16" s="51" t="s">
        <v>113</v>
      </c>
      <c r="AS16" s="51" t="s">
        <v>113</v>
      </c>
      <c r="AT16" s="51" t="s">
        <v>113</v>
      </c>
      <c r="AU16" s="51" t="s">
        <v>113</v>
      </c>
      <c r="AV16" s="51" t="s">
        <v>113</v>
      </c>
      <c r="AW16" s="51" t="s">
        <v>113</v>
      </c>
      <c r="AX16" s="51" t="s">
        <v>113</v>
      </c>
      <c r="AY16" s="51">
        <v>61</v>
      </c>
      <c r="AZ16" s="51" t="s">
        <v>113</v>
      </c>
      <c r="BA16" s="51" t="s">
        <v>113</v>
      </c>
      <c r="BB16" s="51" t="s">
        <v>113</v>
      </c>
      <c r="BC16" s="51">
        <v>0</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v>71</v>
      </c>
      <c r="F17" s="51" t="s">
        <v>113</v>
      </c>
      <c r="G17" s="51">
        <v>157</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v>0</v>
      </c>
      <c r="AJ17" s="51" t="s">
        <v>113</v>
      </c>
      <c r="AK17" s="51">
        <v>55</v>
      </c>
      <c r="AL17" s="51" t="s">
        <v>113</v>
      </c>
      <c r="AM17" s="51" t="s">
        <v>113</v>
      </c>
      <c r="AN17" s="51" t="s">
        <v>113</v>
      </c>
      <c r="AO17" s="51">
        <v>0</v>
      </c>
      <c r="AP17" s="51" t="s">
        <v>113</v>
      </c>
      <c r="AQ17" s="51" t="s">
        <v>113</v>
      </c>
      <c r="AR17" s="51" t="s">
        <v>113</v>
      </c>
      <c r="AS17" s="51" t="s">
        <v>113</v>
      </c>
      <c r="AT17" s="51" t="s">
        <v>113</v>
      </c>
      <c r="AU17" s="51" t="s">
        <v>113</v>
      </c>
      <c r="AV17" s="51" t="s">
        <v>113</v>
      </c>
      <c r="AW17" s="51" t="s">
        <v>113</v>
      </c>
      <c r="AX17" s="51" t="s">
        <v>113</v>
      </c>
      <c r="AY17" s="51">
        <v>55</v>
      </c>
      <c r="AZ17" s="51" t="s">
        <v>113</v>
      </c>
      <c r="BA17" s="51" t="s">
        <v>113</v>
      </c>
      <c r="BB17" s="51" t="s">
        <v>113</v>
      </c>
      <c r="BC17" s="51">
        <v>0</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v>89</v>
      </c>
      <c r="F18" s="51" t="s">
        <v>113</v>
      </c>
      <c r="G18" s="51">
        <v>129</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v>0</v>
      </c>
      <c r="AJ18" s="51" t="s">
        <v>113</v>
      </c>
      <c r="AK18" s="51">
        <v>56</v>
      </c>
      <c r="AL18" s="51" t="s">
        <v>113</v>
      </c>
      <c r="AM18" s="51" t="s">
        <v>113</v>
      </c>
      <c r="AN18" s="51" t="s">
        <v>113</v>
      </c>
      <c r="AO18" s="51">
        <v>0</v>
      </c>
      <c r="AP18" s="51" t="s">
        <v>113</v>
      </c>
      <c r="AQ18" s="51" t="s">
        <v>113</v>
      </c>
      <c r="AR18" s="51" t="s">
        <v>113</v>
      </c>
      <c r="AS18" s="51" t="s">
        <v>113</v>
      </c>
      <c r="AT18" s="51" t="s">
        <v>113</v>
      </c>
      <c r="AU18" s="51" t="s">
        <v>113</v>
      </c>
      <c r="AV18" s="51" t="s">
        <v>113</v>
      </c>
      <c r="AW18" s="51" t="s">
        <v>113</v>
      </c>
      <c r="AX18" s="51" t="s">
        <v>113</v>
      </c>
      <c r="AY18" s="51">
        <v>59</v>
      </c>
      <c r="AZ18" s="51" t="s">
        <v>113</v>
      </c>
      <c r="BA18" s="51" t="s">
        <v>113</v>
      </c>
      <c r="BB18" s="51" t="s">
        <v>113</v>
      </c>
      <c r="BC18" s="51">
        <v>0</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v>68</v>
      </c>
      <c r="F19" s="51" t="s">
        <v>113</v>
      </c>
      <c r="G19" s="51">
        <v>130</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v>0</v>
      </c>
      <c r="AJ19" s="51" t="s">
        <v>113</v>
      </c>
      <c r="AK19" s="51">
        <v>68</v>
      </c>
      <c r="AL19" s="51" t="s">
        <v>113</v>
      </c>
      <c r="AM19" s="51" t="s">
        <v>113</v>
      </c>
      <c r="AN19" s="51" t="s">
        <v>113</v>
      </c>
      <c r="AO19" s="51">
        <v>0</v>
      </c>
      <c r="AP19" s="51" t="s">
        <v>113</v>
      </c>
      <c r="AQ19" s="51" t="s">
        <v>113</v>
      </c>
      <c r="AR19" s="51" t="s">
        <v>113</v>
      </c>
      <c r="AS19" s="51" t="s">
        <v>113</v>
      </c>
      <c r="AT19" s="51" t="s">
        <v>113</v>
      </c>
      <c r="AU19" s="51" t="s">
        <v>113</v>
      </c>
      <c r="AV19" s="51" t="s">
        <v>113</v>
      </c>
      <c r="AW19" s="51" t="s">
        <v>113</v>
      </c>
      <c r="AX19" s="51" t="s">
        <v>113</v>
      </c>
      <c r="AY19" s="51">
        <v>45</v>
      </c>
      <c r="AZ19" s="51" t="s">
        <v>113</v>
      </c>
      <c r="BA19" s="51" t="s">
        <v>113</v>
      </c>
      <c r="BB19" s="51" t="s">
        <v>113</v>
      </c>
      <c r="BC19" s="51">
        <v>0</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v>70</v>
      </c>
      <c r="F20" s="51" t="s">
        <v>113</v>
      </c>
      <c r="G20" s="51">
        <v>119</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v>0</v>
      </c>
      <c r="AJ20" s="51" t="s">
        <v>113</v>
      </c>
      <c r="AK20" s="51">
        <v>49</v>
      </c>
      <c r="AL20" s="51" t="s">
        <v>113</v>
      </c>
      <c r="AM20" s="51" t="s">
        <v>113</v>
      </c>
      <c r="AN20" s="51" t="s">
        <v>113</v>
      </c>
      <c r="AO20" s="51">
        <v>0</v>
      </c>
      <c r="AP20" s="51" t="s">
        <v>113</v>
      </c>
      <c r="AQ20" s="51" t="s">
        <v>113</v>
      </c>
      <c r="AR20" s="51" t="s">
        <v>113</v>
      </c>
      <c r="AS20" s="51" t="s">
        <v>113</v>
      </c>
      <c r="AT20" s="51" t="s">
        <v>113</v>
      </c>
      <c r="AU20" s="51" t="s">
        <v>113</v>
      </c>
      <c r="AV20" s="51" t="s">
        <v>113</v>
      </c>
      <c r="AW20" s="51" t="s">
        <v>113</v>
      </c>
      <c r="AX20" s="51" t="s">
        <v>113</v>
      </c>
      <c r="AY20" s="51">
        <v>71</v>
      </c>
      <c r="AZ20" s="51" t="s">
        <v>113</v>
      </c>
      <c r="BA20" s="51" t="s">
        <v>113</v>
      </c>
      <c r="BB20" s="51" t="s">
        <v>113</v>
      </c>
      <c r="BC20" s="51">
        <v>0</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v>83</v>
      </c>
      <c r="F21" s="51" t="s">
        <v>113</v>
      </c>
      <c r="G21" s="51">
        <v>131</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v>0</v>
      </c>
      <c r="AJ21" s="51" t="s">
        <v>113</v>
      </c>
      <c r="AK21" s="51">
        <v>50</v>
      </c>
      <c r="AL21" s="51" t="s">
        <v>113</v>
      </c>
      <c r="AM21" s="51" t="s">
        <v>113</v>
      </c>
      <c r="AN21" s="51" t="s">
        <v>113</v>
      </c>
      <c r="AO21" s="51">
        <v>0</v>
      </c>
      <c r="AP21" s="51" t="s">
        <v>113</v>
      </c>
      <c r="AQ21" s="51" t="s">
        <v>113</v>
      </c>
      <c r="AR21" s="51" t="s">
        <v>113</v>
      </c>
      <c r="AS21" s="51" t="s">
        <v>113</v>
      </c>
      <c r="AT21" s="51" t="s">
        <v>113</v>
      </c>
      <c r="AU21" s="51" t="s">
        <v>113</v>
      </c>
      <c r="AV21" s="51" t="s">
        <v>113</v>
      </c>
      <c r="AW21" s="51" t="s">
        <v>113</v>
      </c>
      <c r="AX21" s="51" t="s">
        <v>113</v>
      </c>
      <c r="AY21" s="51">
        <v>69</v>
      </c>
      <c r="AZ21" s="51" t="s">
        <v>113</v>
      </c>
      <c r="BA21" s="51" t="s">
        <v>113</v>
      </c>
      <c r="BB21" s="51" t="s">
        <v>113</v>
      </c>
      <c r="BC21" s="51">
        <v>0</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v>62</v>
      </c>
      <c r="F22" s="51" t="s">
        <v>113</v>
      </c>
      <c r="G22" s="51">
        <v>82</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v>0</v>
      </c>
      <c r="AJ22" s="51" t="s">
        <v>113</v>
      </c>
      <c r="AK22" s="51">
        <v>44</v>
      </c>
      <c r="AL22" s="51" t="s">
        <v>113</v>
      </c>
      <c r="AM22" s="51" t="s">
        <v>113</v>
      </c>
      <c r="AN22" s="51" t="s">
        <v>113</v>
      </c>
      <c r="AO22" s="51">
        <v>0</v>
      </c>
      <c r="AP22" s="51" t="s">
        <v>113</v>
      </c>
      <c r="AQ22" s="51" t="s">
        <v>113</v>
      </c>
      <c r="AR22" s="51" t="s">
        <v>113</v>
      </c>
      <c r="AS22" s="51" t="s">
        <v>113</v>
      </c>
      <c r="AT22" s="51" t="s">
        <v>113</v>
      </c>
      <c r="AU22" s="51" t="s">
        <v>113</v>
      </c>
      <c r="AV22" s="51" t="s">
        <v>113</v>
      </c>
      <c r="AW22" s="51" t="s">
        <v>113</v>
      </c>
      <c r="AX22" s="51" t="s">
        <v>113</v>
      </c>
      <c r="AY22" s="51">
        <v>55</v>
      </c>
      <c r="AZ22" s="51" t="s">
        <v>113</v>
      </c>
      <c r="BA22" s="51" t="s">
        <v>113</v>
      </c>
      <c r="BB22" s="51" t="s">
        <v>113</v>
      </c>
      <c r="BC22" s="51">
        <v>1</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v>50</v>
      </c>
      <c r="F23" s="51" t="s">
        <v>113</v>
      </c>
      <c r="G23" s="51">
        <v>90</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v>0</v>
      </c>
      <c r="AJ23" s="51" t="s">
        <v>113</v>
      </c>
      <c r="AK23" s="51">
        <v>54</v>
      </c>
      <c r="AL23" s="51" t="s">
        <v>113</v>
      </c>
      <c r="AM23" s="51" t="s">
        <v>113</v>
      </c>
      <c r="AN23" s="51" t="s">
        <v>113</v>
      </c>
      <c r="AO23" s="51">
        <v>0</v>
      </c>
      <c r="AP23" s="51" t="s">
        <v>113</v>
      </c>
      <c r="AQ23" s="51" t="s">
        <v>113</v>
      </c>
      <c r="AR23" s="51" t="s">
        <v>113</v>
      </c>
      <c r="AS23" s="51" t="s">
        <v>113</v>
      </c>
      <c r="AT23" s="51" t="s">
        <v>113</v>
      </c>
      <c r="AU23" s="51" t="s">
        <v>113</v>
      </c>
      <c r="AV23" s="51" t="s">
        <v>113</v>
      </c>
      <c r="AW23" s="51" t="s">
        <v>113</v>
      </c>
      <c r="AX23" s="51" t="s">
        <v>113</v>
      </c>
      <c r="AY23" s="51">
        <v>72</v>
      </c>
      <c r="AZ23" s="51" t="s">
        <v>113</v>
      </c>
      <c r="BA23" s="51" t="s">
        <v>113</v>
      </c>
      <c r="BB23" s="51" t="s">
        <v>113</v>
      </c>
      <c r="BC23" s="51">
        <v>0</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v>62</v>
      </c>
      <c r="F24" s="51" t="s">
        <v>113</v>
      </c>
      <c r="G24" s="51">
        <v>72</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v>1</v>
      </c>
      <c r="AJ24" s="51" t="s">
        <v>113</v>
      </c>
      <c r="AK24" s="51">
        <v>46</v>
      </c>
      <c r="AL24" s="51" t="s">
        <v>113</v>
      </c>
      <c r="AM24" s="51" t="s">
        <v>113</v>
      </c>
      <c r="AN24" s="51" t="s">
        <v>113</v>
      </c>
      <c r="AO24" s="51">
        <v>0</v>
      </c>
      <c r="AP24" s="51" t="s">
        <v>113</v>
      </c>
      <c r="AQ24" s="51" t="s">
        <v>113</v>
      </c>
      <c r="AR24" s="51" t="s">
        <v>113</v>
      </c>
      <c r="AS24" s="51" t="s">
        <v>113</v>
      </c>
      <c r="AT24" s="51" t="s">
        <v>113</v>
      </c>
      <c r="AU24" s="51" t="s">
        <v>113</v>
      </c>
      <c r="AV24" s="51" t="s">
        <v>113</v>
      </c>
      <c r="AW24" s="51" t="s">
        <v>113</v>
      </c>
      <c r="AX24" s="51" t="s">
        <v>113</v>
      </c>
      <c r="AY24" s="51">
        <v>54</v>
      </c>
      <c r="AZ24" s="51" t="s">
        <v>113</v>
      </c>
      <c r="BA24" s="51" t="s">
        <v>113</v>
      </c>
      <c r="BB24" s="51" t="s">
        <v>113</v>
      </c>
      <c r="BC24" s="51">
        <v>1</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v>54</v>
      </c>
      <c r="F25" s="51" t="s">
        <v>113</v>
      </c>
      <c r="G25" s="51">
        <v>70</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v>0</v>
      </c>
      <c r="AJ25" s="51" t="s">
        <v>113</v>
      </c>
      <c r="AK25" s="51">
        <v>65</v>
      </c>
      <c r="AL25" s="51" t="s">
        <v>113</v>
      </c>
      <c r="AM25" s="51" t="s">
        <v>113</v>
      </c>
      <c r="AN25" s="51" t="s">
        <v>113</v>
      </c>
      <c r="AO25" s="51">
        <v>0</v>
      </c>
      <c r="AP25" s="51" t="s">
        <v>113</v>
      </c>
      <c r="AQ25" s="51" t="s">
        <v>113</v>
      </c>
      <c r="AR25" s="51" t="s">
        <v>113</v>
      </c>
      <c r="AS25" s="51" t="s">
        <v>113</v>
      </c>
      <c r="AT25" s="51" t="s">
        <v>113</v>
      </c>
      <c r="AU25" s="51" t="s">
        <v>113</v>
      </c>
      <c r="AV25" s="51" t="s">
        <v>113</v>
      </c>
      <c r="AW25" s="51" t="s">
        <v>113</v>
      </c>
      <c r="AX25" s="51" t="s">
        <v>113</v>
      </c>
      <c r="AY25" s="51">
        <v>72</v>
      </c>
      <c r="AZ25" s="51" t="s">
        <v>113</v>
      </c>
      <c r="BA25" s="51" t="s">
        <v>113</v>
      </c>
      <c r="BB25" s="51" t="s">
        <v>113</v>
      </c>
      <c r="BC25" s="51">
        <v>0</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v>45</v>
      </c>
      <c r="F26" s="51" t="s">
        <v>113</v>
      </c>
      <c r="G26" s="51">
        <v>64</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v>1</v>
      </c>
      <c r="AJ26" s="51" t="s">
        <v>113</v>
      </c>
      <c r="AK26" s="51">
        <v>64</v>
      </c>
      <c r="AL26" s="51" t="s">
        <v>113</v>
      </c>
      <c r="AM26" s="51" t="s">
        <v>113</v>
      </c>
      <c r="AN26" s="51" t="s">
        <v>113</v>
      </c>
      <c r="AO26" s="51">
        <v>0</v>
      </c>
      <c r="AP26" s="51" t="s">
        <v>113</v>
      </c>
      <c r="AQ26" s="51" t="s">
        <v>113</v>
      </c>
      <c r="AR26" s="51" t="s">
        <v>113</v>
      </c>
      <c r="AS26" s="51" t="s">
        <v>113</v>
      </c>
      <c r="AT26" s="51" t="s">
        <v>113</v>
      </c>
      <c r="AU26" s="51" t="s">
        <v>113</v>
      </c>
      <c r="AV26" s="51" t="s">
        <v>113</v>
      </c>
      <c r="AW26" s="51" t="s">
        <v>113</v>
      </c>
      <c r="AX26" s="51" t="s">
        <v>113</v>
      </c>
      <c r="AY26" s="51">
        <v>74</v>
      </c>
      <c r="AZ26" s="51" t="s">
        <v>113</v>
      </c>
      <c r="BA26" s="51" t="s">
        <v>113</v>
      </c>
      <c r="BB26" s="51" t="s">
        <v>113</v>
      </c>
      <c r="BC26" s="51">
        <v>0</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v>65</v>
      </c>
      <c r="F27" s="51" t="s">
        <v>113</v>
      </c>
      <c r="G27" s="51">
        <v>82</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v>0</v>
      </c>
      <c r="AJ27" s="51" t="s">
        <v>113</v>
      </c>
      <c r="AK27" s="51">
        <v>105</v>
      </c>
      <c r="AL27" s="51" t="s">
        <v>113</v>
      </c>
      <c r="AM27" s="51" t="s">
        <v>113</v>
      </c>
      <c r="AN27" s="51" t="s">
        <v>113</v>
      </c>
      <c r="AO27" s="51">
        <v>0</v>
      </c>
      <c r="AP27" s="51" t="s">
        <v>113</v>
      </c>
      <c r="AQ27" s="51" t="s">
        <v>113</v>
      </c>
      <c r="AR27" s="51" t="s">
        <v>113</v>
      </c>
      <c r="AS27" s="51" t="s">
        <v>113</v>
      </c>
      <c r="AT27" s="51" t="s">
        <v>113</v>
      </c>
      <c r="AU27" s="51" t="s">
        <v>113</v>
      </c>
      <c r="AV27" s="51" t="s">
        <v>113</v>
      </c>
      <c r="AW27" s="51" t="s">
        <v>113</v>
      </c>
      <c r="AX27" s="51" t="s">
        <v>113</v>
      </c>
      <c r="AY27" s="51">
        <v>132</v>
      </c>
      <c r="AZ27" s="51" t="s">
        <v>113</v>
      </c>
      <c r="BA27" s="51" t="s">
        <v>113</v>
      </c>
      <c r="BB27" s="51" t="s">
        <v>113</v>
      </c>
      <c r="BC27" s="51">
        <v>0</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v>58</v>
      </c>
      <c r="F28" s="51" t="s">
        <v>113</v>
      </c>
      <c r="G28" s="51">
        <v>61</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v>0</v>
      </c>
      <c r="AJ28" s="51" t="s">
        <v>113</v>
      </c>
      <c r="AK28" s="51">
        <v>78</v>
      </c>
      <c r="AL28" s="51" t="s">
        <v>113</v>
      </c>
      <c r="AM28" s="51" t="s">
        <v>113</v>
      </c>
      <c r="AN28" s="51" t="s">
        <v>113</v>
      </c>
      <c r="AO28" s="51">
        <v>0</v>
      </c>
      <c r="AP28" s="51" t="s">
        <v>113</v>
      </c>
      <c r="AQ28" s="51" t="s">
        <v>113</v>
      </c>
      <c r="AR28" s="51" t="s">
        <v>113</v>
      </c>
      <c r="AS28" s="51" t="s">
        <v>113</v>
      </c>
      <c r="AT28" s="51" t="s">
        <v>113</v>
      </c>
      <c r="AU28" s="51" t="s">
        <v>113</v>
      </c>
      <c r="AV28" s="51" t="s">
        <v>113</v>
      </c>
      <c r="AW28" s="51" t="s">
        <v>113</v>
      </c>
      <c r="AX28" s="51" t="s">
        <v>113</v>
      </c>
      <c r="AY28" s="51">
        <v>122</v>
      </c>
      <c r="AZ28" s="51" t="s">
        <v>113</v>
      </c>
      <c r="BA28" s="51" t="s">
        <v>113</v>
      </c>
      <c r="BB28" s="51" t="s">
        <v>113</v>
      </c>
      <c r="BC28" s="51">
        <v>2</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v>71</v>
      </c>
      <c r="F29" s="51" t="s">
        <v>113</v>
      </c>
      <c r="G29" s="51">
        <v>97</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v>0</v>
      </c>
      <c r="AJ29" s="51" t="s">
        <v>113</v>
      </c>
      <c r="AK29" s="51">
        <v>119</v>
      </c>
      <c r="AL29" s="51" t="s">
        <v>113</v>
      </c>
      <c r="AM29" s="51" t="s">
        <v>113</v>
      </c>
      <c r="AN29" s="51" t="s">
        <v>113</v>
      </c>
      <c r="AO29" s="51">
        <v>0</v>
      </c>
      <c r="AP29" s="51" t="s">
        <v>113</v>
      </c>
      <c r="AQ29" s="51" t="s">
        <v>113</v>
      </c>
      <c r="AR29" s="51" t="s">
        <v>113</v>
      </c>
      <c r="AS29" s="51" t="s">
        <v>113</v>
      </c>
      <c r="AT29" s="51" t="s">
        <v>113</v>
      </c>
      <c r="AU29" s="51" t="s">
        <v>113</v>
      </c>
      <c r="AV29" s="51" t="s">
        <v>113</v>
      </c>
      <c r="AW29" s="51" t="s">
        <v>113</v>
      </c>
      <c r="AX29" s="51" t="s">
        <v>113</v>
      </c>
      <c r="AY29" s="51">
        <v>134</v>
      </c>
      <c r="AZ29" s="51" t="s">
        <v>113</v>
      </c>
      <c r="BA29" s="51" t="s">
        <v>113</v>
      </c>
      <c r="BB29" s="51" t="s">
        <v>113</v>
      </c>
      <c r="BC29" s="51">
        <v>2</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v>67</v>
      </c>
      <c r="F30" s="51" t="s">
        <v>113</v>
      </c>
      <c r="G30" s="51">
        <v>73</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v>1</v>
      </c>
      <c r="AJ30" s="51" t="s">
        <v>113</v>
      </c>
      <c r="AK30" s="51">
        <v>108</v>
      </c>
      <c r="AL30" s="51" t="s">
        <v>113</v>
      </c>
      <c r="AM30" s="51" t="s">
        <v>113</v>
      </c>
      <c r="AN30" s="51" t="s">
        <v>113</v>
      </c>
      <c r="AO30" s="51">
        <v>0</v>
      </c>
      <c r="AP30" s="51" t="s">
        <v>113</v>
      </c>
      <c r="AQ30" s="51" t="s">
        <v>113</v>
      </c>
      <c r="AR30" s="51" t="s">
        <v>113</v>
      </c>
      <c r="AS30" s="51" t="s">
        <v>113</v>
      </c>
      <c r="AT30" s="51" t="s">
        <v>113</v>
      </c>
      <c r="AU30" s="51" t="s">
        <v>113</v>
      </c>
      <c r="AV30" s="51" t="s">
        <v>113</v>
      </c>
      <c r="AW30" s="51" t="s">
        <v>113</v>
      </c>
      <c r="AX30" s="51" t="s">
        <v>113</v>
      </c>
      <c r="AY30" s="51">
        <v>111</v>
      </c>
      <c r="AZ30" s="51" t="s">
        <v>113</v>
      </c>
      <c r="BA30" s="51" t="s">
        <v>113</v>
      </c>
      <c r="BB30" s="51" t="s">
        <v>113</v>
      </c>
      <c r="BC30" s="51">
        <v>0</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v>66</v>
      </c>
      <c r="F31" s="51" t="s">
        <v>113</v>
      </c>
      <c r="G31" s="51">
        <v>77</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v>1</v>
      </c>
      <c r="AJ31" s="51" t="s">
        <v>113</v>
      </c>
      <c r="AK31" s="51">
        <v>138</v>
      </c>
      <c r="AL31" s="51" t="s">
        <v>113</v>
      </c>
      <c r="AM31" s="51" t="s">
        <v>113</v>
      </c>
      <c r="AN31" s="51" t="s">
        <v>113</v>
      </c>
      <c r="AO31" s="51">
        <v>0</v>
      </c>
      <c r="AP31" s="51" t="s">
        <v>113</v>
      </c>
      <c r="AQ31" s="51" t="s">
        <v>113</v>
      </c>
      <c r="AR31" s="51" t="s">
        <v>113</v>
      </c>
      <c r="AS31" s="51" t="s">
        <v>113</v>
      </c>
      <c r="AT31" s="51" t="s">
        <v>113</v>
      </c>
      <c r="AU31" s="51" t="s">
        <v>113</v>
      </c>
      <c r="AV31" s="51" t="s">
        <v>113</v>
      </c>
      <c r="AW31" s="51" t="s">
        <v>113</v>
      </c>
      <c r="AX31" s="51" t="s">
        <v>113</v>
      </c>
      <c r="AY31" s="51">
        <v>130</v>
      </c>
      <c r="AZ31" s="51" t="s">
        <v>113</v>
      </c>
      <c r="BA31" s="51" t="s">
        <v>113</v>
      </c>
      <c r="BB31" s="51" t="s">
        <v>113</v>
      </c>
      <c r="BC31" s="51">
        <v>0</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v>87</v>
      </c>
      <c r="F32" s="51" t="s">
        <v>113</v>
      </c>
      <c r="G32" s="51">
        <v>84</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v>1</v>
      </c>
      <c r="AJ32" s="51" t="s">
        <v>113</v>
      </c>
      <c r="AK32" s="51">
        <v>75</v>
      </c>
      <c r="AL32" s="51" t="s">
        <v>113</v>
      </c>
      <c r="AM32" s="51" t="s">
        <v>113</v>
      </c>
      <c r="AN32" s="51" t="s">
        <v>113</v>
      </c>
      <c r="AO32" s="51">
        <v>0</v>
      </c>
      <c r="AP32" s="51" t="s">
        <v>113</v>
      </c>
      <c r="AQ32" s="51" t="s">
        <v>113</v>
      </c>
      <c r="AR32" s="51" t="s">
        <v>113</v>
      </c>
      <c r="AS32" s="51" t="s">
        <v>113</v>
      </c>
      <c r="AT32" s="51" t="s">
        <v>113</v>
      </c>
      <c r="AU32" s="51" t="s">
        <v>113</v>
      </c>
      <c r="AV32" s="51" t="s">
        <v>113</v>
      </c>
      <c r="AW32" s="51" t="s">
        <v>113</v>
      </c>
      <c r="AX32" s="51" t="s">
        <v>113</v>
      </c>
      <c r="AY32" s="51">
        <v>96</v>
      </c>
      <c r="AZ32" s="51" t="s">
        <v>113</v>
      </c>
      <c r="BA32" s="51" t="s">
        <v>113</v>
      </c>
      <c r="BB32" s="51" t="s">
        <v>113</v>
      </c>
      <c r="BC32" s="51">
        <v>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v>61</v>
      </c>
      <c r="F33" s="51" t="s">
        <v>113</v>
      </c>
      <c r="G33" s="51">
        <v>69</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v>0</v>
      </c>
      <c r="AJ33" s="51" t="s">
        <v>113</v>
      </c>
      <c r="AK33" s="51">
        <v>60</v>
      </c>
      <c r="AL33" s="51" t="s">
        <v>113</v>
      </c>
      <c r="AM33" s="51" t="s">
        <v>113</v>
      </c>
      <c r="AN33" s="51" t="s">
        <v>113</v>
      </c>
      <c r="AO33" s="51">
        <v>0</v>
      </c>
      <c r="AP33" s="51" t="s">
        <v>113</v>
      </c>
      <c r="AQ33" s="51" t="s">
        <v>113</v>
      </c>
      <c r="AR33" s="51" t="s">
        <v>113</v>
      </c>
      <c r="AS33" s="51" t="s">
        <v>113</v>
      </c>
      <c r="AT33" s="51" t="s">
        <v>113</v>
      </c>
      <c r="AU33" s="51" t="s">
        <v>113</v>
      </c>
      <c r="AV33" s="51" t="s">
        <v>113</v>
      </c>
      <c r="AW33" s="51" t="s">
        <v>113</v>
      </c>
      <c r="AX33" s="51" t="s">
        <v>113</v>
      </c>
      <c r="AY33" s="51">
        <v>97</v>
      </c>
      <c r="AZ33" s="51" t="s">
        <v>113</v>
      </c>
      <c r="BA33" s="51" t="s">
        <v>113</v>
      </c>
      <c r="BB33" s="51" t="s">
        <v>113</v>
      </c>
      <c r="BC33" s="51">
        <v>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v>58</v>
      </c>
      <c r="F34" s="51" t="s">
        <v>113</v>
      </c>
      <c r="G34" s="51">
        <v>49</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v>0</v>
      </c>
      <c r="AJ34" s="51" t="s">
        <v>113</v>
      </c>
      <c r="AK34" s="51">
        <v>67</v>
      </c>
      <c r="AL34" s="51" t="s">
        <v>113</v>
      </c>
      <c r="AM34" s="51" t="s">
        <v>113</v>
      </c>
      <c r="AN34" s="51" t="s">
        <v>113</v>
      </c>
      <c r="AO34" s="51">
        <v>0</v>
      </c>
      <c r="AP34" s="51" t="s">
        <v>113</v>
      </c>
      <c r="AQ34" s="51" t="s">
        <v>113</v>
      </c>
      <c r="AR34" s="51" t="s">
        <v>113</v>
      </c>
      <c r="AS34" s="51" t="s">
        <v>113</v>
      </c>
      <c r="AT34" s="51" t="s">
        <v>113</v>
      </c>
      <c r="AU34" s="51" t="s">
        <v>113</v>
      </c>
      <c r="AV34" s="51" t="s">
        <v>113</v>
      </c>
      <c r="AW34" s="51" t="s">
        <v>113</v>
      </c>
      <c r="AX34" s="51" t="s">
        <v>113</v>
      </c>
      <c r="AY34" s="51">
        <v>112</v>
      </c>
      <c r="AZ34" s="51" t="s">
        <v>113</v>
      </c>
      <c r="BA34" s="51" t="s">
        <v>113</v>
      </c>
      <c r="BB34" s="51" t="s">
        <v>113</v>
      </c>
      <c r="BC34" s="51">
        <v>1</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2020-11-17T00:12:20Z</dcterms:modified>
</cp:coreProperties>
</file>