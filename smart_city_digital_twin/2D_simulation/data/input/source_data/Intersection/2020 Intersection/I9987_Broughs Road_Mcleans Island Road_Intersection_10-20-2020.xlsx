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OCT 2020\INTERSECTION COUNTS\"/>
    </mc:Choice>
  </mc:AlternateContent>
  <xr:revisionPtr revIDLastSave="0" documentId="13_ncr:1_{42284E13-9CFE-441C-8CA3-478EFBFC262E}"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Q173" i="6" s="1"/>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17" i="6"/>
  <c r="Q109" i="6"/>
  <c r="Q53" i="6"/>
  <c r="Q243" i="6"/>
  <c r="Q227" i="6"/>
  <c r="Q219" i="6"/>
  <c r="Q203" i="6"/>
  <c r="Q187" i="6"/>
  <c r="Q163" i="6"/>
  <c r="Q155" i="6"/>
  <c r="Q139" i="6"/>
  <c r="Q115" i="6"/>
  <c r="Q107" i="6"/>
  <c r="Q75" i="6"/>
  <c r="Q282" i="6"/>
  <c r="Q250" i="6"/>
  <c r="Q226" i="6"/>
  <c r="Q202" i="6"/>
  <c r="Q162" i="6"/>
  <c r="Q106"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65" i="4"/>
  <c r="I145" i="4"/>
  <c r="I225" i="4"/>
  <c r="I325" i="4"/>
  <c r="I305" i="4"/>
  <c r="I5" i="4"/>
  <c r="I85" i="4"/>
  <c r="I165" i="4"/>
  <c r="I245" i="4"/>
  <c r="I25" i="4"/>
  <c r="I105" i="4"/>
  <c r="I185" i="4"/>
  <c r="I265" i="4"/>
  <c r="I45" i="4"/>
  <c r="I125" i="4"/>
  <c r="I205" i="4"/>
  <c r="I285" i="4"/>
  <c r="I345" i="4"/>
  <c r="I33" i="4"/>
  <c r="I113" i="4"/>
  <c r="I193" i="4"/>
  <c r="I273" i="4"/>
  <c r="I53" i="4"/>
  <c r="I133" i="4"/>
  <c r="I213" i="4"/>
  <c r="I293" i="4"/>
  <c r="I333" i="4"/>
  <c r="I73" i="4"/>
  <c r="I153" i="4"/>
  <c r="I233" i="4"/>
  <c r="I13" i="4"/>
  <c r="I93" i="4"/>
  <c r="I173" i="4"/>
  <c r="I253" i="4"/>
  <c r="I313" i="4"/>
  <c r="I353" i="4"/>
  <c r="I50" i="4"/>
  <c r="I130" i="4"/>
  <c r="I210" i="4"/>
  <c r="I290" i="4"/>
  <c r="I70" i="4"/>
  <c r="I150" i="4"/>
  <c r="I230" i="4"/>
  <c r="I310" i="4"/>
  <c r="I10" i="4"/>
  <c r="I90" i="4"/>
  <c r="I170" i="4"/>
  <c r="I250" i="4"/>
  <c r="I330" i="4"/>
  <c r="I350" i="4"/>
  <c r="I30" i="4"/>
  <c r="I110" i="4"/>
  <c r="I190" i="4"/>
  <c r="I270" i="4"/>
  <c r="I47" i="4"/>
  <c r="I127" i="4"/>
  <c r="I207" i="4"/>
  <c r="I287" i="4"/>
  <c r="I347" i="4"/>
  <c r="I67" i="4"/>
  <c r="I147" i="4"/>
  <c r="I227" i="4"/>
  <c r="I307" i="4"/>
  <c r="I7" i="4"/>
  <c r="I87" i="4"/>
  <c r="I167" i="4"/>
  <c r="I247" i="4"/>
  <c r="I327" i="4"/>
  <c r="I27" i="4"/>
  <c r="I107" i="4"/>
  <c r="I187" i="4"/>
  <c r="I267" i="4"/>
  <c r="I220" i="4"/>
  <c r="I180" i="4"/>
  <c r="I120" i="4"/>
  <c r="I300" i="4"/>
  <c r="I240" i="4"/>
  <c r="I80" i="4"/>
  <c r="I320" i="4"/>
  <c r="I360" i="4"/>
  <c r="I260" i="4"/>
  <c r="I40" i="4"/>
  <c r="I280" i="4"/>
  <c r="I60" i="4"/>
  <c r="I340" i="4"/>
  <c r="I20" i="4"/>
  <c r="I140" i="4"/>
  <c r="I160" i="4"/>
  <c r="I100" i="4"/>
  <c r="I200" i="4"/>
  <c r="I2" i="4"/>
  <c r="I82" i="4"/>
  <c r="I162" i="4"/>
  <c r="I242" i="4"/>
  <c r="I322" i="4"/>
  <c r="I22" i="4"/>
  <c r="I102" i="4"/>
  <c r="I182" i="4"/>
  <c r="I262" i="4"/>
  <c r="I342" i="4"/>
  <c r="I42" i="4"/>
  <c r="I122" i="4"/>
  <c r="I202" i="4"/>
  <c r="I282" i="4"/>
  <c r="I62" i="4"/>
  <c r="I142" i="4"/>
  <c r="I222" i="4"/>
  <c r="I302" i="4"/>
  <c r="I34" i="4"/>
  <c r="I114" i="4"/>
  <c r="I194" i="4"/>
  <c r="I274" i="4"/>
  <c r="I54" i="4"/>
  <c r="I134" i="4"/>
  <c r="I214" i="4"/>
  <c r="I294" i="4"/>
  <c r="I354" i="4"/>
  <c r="I74" i="4"/>
  <c r="I154" i="4"/>
  <c r="I234" i="4"/>
  <c r="I314" i="4"/>
  <c r="I14" i="4"/>
  <c r="I94" i="4"/>
  <c r="I174" i="4"/>
  <c r="I254" i="4"/>
  <c r="I334" i="4"/>
  <c r="I31" i="4"/>
  <c r="I111" i="4"/>
  <c r="I191" i="4"/>
  <c r="I271" i="4"/>
  <c r="I51" i="4"/>
  <c r="I131" i="4"/>
  <c r="I211" i="4"/>
  <c r="I291" i="4"/>
  <c r="I351" i="4"/>
  <c r="I71" i="4"/>
  <c r="I151" i="4"/>
  <c r="I231" i="4"/>
  <c r="I311" i="4"/>
  <c r="I11" i="4"/>
  <c r="I91" i="4"/>
  <c r="I171" i="4"/>
  <c r="I251" i="4"/>
  <c r="I331" i="4"/>
  <c r="I8" i="4"/>
  <c r="I88" i="4"/>
  <c r="I28" i="4"/>
  <c r="I208" i="4"/>
  <c r="I48" i="4"/>
  <c r="I248" i="4"/>
  <c r="I108" i="4"/>
  <c r="I328" i="4"/>
  <c r="I68" i="4"/>
  <c r="I188" i="4"/>
  <c r="I128" i="4"/>
  <c r="I148" i="4"/>
  <c r="I268" i="4"/>
  <c r="I288" i="4"/>
  <c r="I348" i="4"/>
  <c r="I228" i="4"/>
  <c r="I168" i="4"/>
  <c r="I308" i="4"/>
  <c r="I4" i="4"/>
  <c r="I324" i="4"/>
  <c r="I284" i="4"/>
  <c r="I64" i="4"/>
  <c r="I304" i="4"/>
  <c r="I244" i="4"/>
  <c r="I24" i="4"/>
  <c r="I44" i="4"/>
  <c r="I124" i="4"/>
  <c r="I224" i="4"/>
  <c r="I84" i="4"/>
  <c r="I184" i="4"/>
  <c r="I204" i="4"/>
  <c r="I144" i="4"/>
  <c r="I344" i="4"/>
  <c r="I164" i="4"/>
  <c r="I104" i="4"/>
  <c r="I264" i="4"/>
  <c r="I92" i="4"/>
  <c r="I312" i="4"/>
  <c r="I352" i="4"/>
  <c r="I52" i="4"/>
  <c r="I172" i="4"/>
  <c r="I192" i="4"/>
  <c r="I132" i="4"/>
  <c r="I152" i="4"/>
  <c r="I252" i="4"/>
  <c r="I272" i="4"/>
  <c r="I112" i="4"/>
  <c r="I212" i="4"/>
  <c r="I12" i="4"/>
  <c r="I32" i="4"/>
  <c r="I292" i="4"/>
  <c r="I72" i="4"/>
  <c r="I232" i="4"/>
  <c r="I332" i="4"/>
  <c r="I15" i="4"/>
  <c r="I95" i="4"/>
  <c r="I175" i="4"/>
  <c r="I255" i="4"/>
  <c r="I35" i="4"/>
  <c r="I115" i="4"/>
  <c r="I195" i="4"/>
  <c r="I275" i="4"/>
  <c r="I55" i="4"/>
  <c r="I135" i="4"/>
  <c r="I215" i="4"/>
  <c r="I295" i="4"/>
  <c r="I355" i="4"/>
  <c r="I335" i="4"/>
  <c r="I75" i="4"/>
  <c r="I155" i="4"/>
  <c r="I235" i="4"/>
  <c r="I315" i="4"/>
  <c r="I49" i="4"/>
  <c r="I129" i="4"/>
  <c r="I209" i="4"/>
  <c r="I289" i="4"/>
  <c r="I69" i="4"/>
  <c r="I149" i="4"/>
  <c r="I229" i="4"/>
  <c r="I9" i="4"/>
  <c r="I89" i="4"/>
  <c r="I169" i="4"/>
  <c r="I249" i="4"/>
  <c r="I309" i="4"/>
  <c r="I29" i="4"/>
  <c r="I109" i="4"/>
  <c r="I189" i="4"/>
  <c r="I269" i="4"/>
  <c r="I329" i="4"/>
  <c r="I349" i="4"/>
  <c r="I81" i="4"/>
  <c r="I161" i="4"/>
  <c r="I241" i="4"/>
  <c r="I21" i="4"/>
  <c r="I101" i="4"/>
  <c r="I181" i="4"/>
  <c r="I261" i="4"/>
  <c r="I41" i="4"/>
  <c r="I121" i="4"/>
  <c r="I201" i="4"/>
  <c r="I281" i="4"/>
  <c r="I61" i="4"/>
  <c r="I141" i="4"/>
  <c r="I221" i="4"/>
  <c r="I301" i="4"/>
  <c r="I361" i="4"/>
  <c r="I321" i="4"/>
  <c r="I341" i="4"/>
  <c r="I17" i="4"/>
  <c r="I97" i="4"/>
  <c r="I177" i="4"/>
  <c r="I257" i="4"/>
  <c r="I37" i="4"/>
  <c r="I117" i="4"/>
  <c r="I197" i="4"/>
  <c r="I277" i="4"/>
  <c r="I57" i="4"/>
  <c r="I137" i="4"/>
  <c r="I217" i="4"/>
  <c r="I297" i="4"/>
  <c r="I77" i="4"/>
  <c r="I157" i="4"/>
  <c r="I237" i="4"/>
  <c r="I317" i="4"/>
  <c r="I357" i="4"/>
  <c r="I337" i="4"/>
  <c r="I216" i="4"/>
  <c r="I156" i="4"/>
  <c r="I356" i="4"/>
  <c r="I176" i="4"/>
  <c r="I116" i="4"/>
  <c r="I236" i="4"/>
  <c r="I96" i="4"/>
  <c r="I196" i="4"/>
  <c r="I16" i="4"/>
  <c r="I276" i="4"/>
  <c r="I56" i="4"/>
  <c r="I316" i="4"/>
  <c r="I76" i="4"/>
  <c r="I256" i="4"/>
  <c r="I36" i="4"/>
  <c r="I296" i="4"/>
  <c r="I336" i="4"/>
  <c r="I136" i="4"/>
  <c r="I79" i="4"/>
  <c r="I159" i="4"/>
  <c r="I239" i="4"/>
  <c r="I319" i="4"/>
  <c r="I19" i="4"/>
  <c r="I99" i="4"/>
  <c r="I179" i="4"/>
  <c r="I259" i="4"/>
  <c r="I39" i="4"/>
  <c r="I119" i="4"/>
  <c r="I199" i="4"/>
  <c r="I279" i="4"/>
  <c r="I33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<sst xmlns="http://schemas.openxmlformats.org/spreadsheetml/2006/main" count="7047" uniqueCount="166">
  <si>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</si>
  <si>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</si>
  <si>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</si>
  <si>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</si>
  <si>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</si>
  <si>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</si>
  <si>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</si>
  <si>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</si>
  <si>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</si>
  <si>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</si>
  <si>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</si>
  <si>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</si>
  <si>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</si>
  <si>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</si>
  <si>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</si>
  <si>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</si>
  <si>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</si>
  <si>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</si>
  <si>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</si>
  <si>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</si>
  <si>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</si>
  <si>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</si>
  <si>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</si>
  <si>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</si>
  <si>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</si>
  <si>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</si>
  <si>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</si>
  <si>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</si>
  <si>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</si>
  <si>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</si>
  <si>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</si>
  <si>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</si>
  <si>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</si>
  <si>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</si>
  <si>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</si>
  <si>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</si>
  <si>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</si>
  <si>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</si>
  <si>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</si>
  <si>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</si>
  <si>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</si>
  <si>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</si>
  <si>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</si>
  <si>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</si>
  <si>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</si>
  <si>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</si>
  <si>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</si>
  <si>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</si>
  <si>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</si>
  <si>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</si>
  <si>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</si>
  <si>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</si>
  <si>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</si>
  <si>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</si>
  <si>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</si>
  <si>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</si>
  <si>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</si>
  <si>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</si>
  <si>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</si>
  <si>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</si>
  <si>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</si>
  <si>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</si>
  <si>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</si>
  <si>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</si>
  <si>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</si>
  <si>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</si>
  <si>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</si>
  <si>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</si>
  <si>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</si>
  <si>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</si>
  <si>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</si>
  <si>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</si>
  <si>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</si>
  <si>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</si>
  <si>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</si>
  <si>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</si>
  <si>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</si>
  <si>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</si>
  <si>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</si>
  <si>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</si>
  <si>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</si>
  <si>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</si>
  <si>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</si>
  <si>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</si>
  <si>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</si>
  <si>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</si>
  <si>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</si>
  <si>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</si>
  <si>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</si>
  <si>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</si>
  <si>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</si>
  <si>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</si>
  <si>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Broughs Road_Mcleans Island Road_Intersection</t>
  </si>
  <si>
    <t>Broughs Road East</t>
  </si>
  <si>
    <t>McLeans Island Road South</t>
  </si>
  <si>
    <t>McLeans Island Road North</t>
  </si>
  <si>
    <t>Left into McLeans Island Road South</t>
  </si>
  <si>
    <t>Right into McLeans Island Road North</t>
  </si>
  <si>
    <t>Thru to McLeans Island Road North</t>
  </si>
  <si>
    <t>Right into Broughs Road East</t>
  </si>
  <si>
    <t>Thru to McLeans Island Road South</t>
  </si>
  <si>
    <t>Left into Broughs Road East</t>
  </si>
  <si>
    <t>Broughs Road_Mcleans Island Road_Intersection      Fine      20/10/2020</t>
  </si>
  <si>
    <t>Broughs Road East Total</t>
  </si>
  <si>
    <t>McLeans Island Road South Total</t>
  </si>
  <si>
    <t>McLeans Island Road North Total</t>
  </si>
  <si>
    <t>Left into McLeans Island Road South Total</t>
  </si>
  <si>
    <t>Right into McLeans Island Road North Total</t>
  </si>
  <si>
    <t>Thru to McLeans Island Road North Total</t>
  </si>
  <si>
    <t>Right into Broughs Road East Total</t>
  </si>
  <si>
    <t>Left into Broughs Road East Total</t>
  </si>
  <si>
    <t>Thru to McLeans Island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</si>
  <si>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</si>
  <si>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</si>
  <si>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</si>
  <si>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</si>
  <si>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</si>
  <si>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</si>
  <si>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</si>
  <si>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</si>
  <si>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</si>
  <si>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</si>
  <si>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</si>
  <si>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</si>
  <si>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</si>
  <si>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</si>
  <si>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</si>
  <si>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</si>
  <si>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</si>
  <si>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</si>
  <si>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</si>
  <si>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</si>
  <si>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</si>
  <si>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</si>
  <si>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</si>
  <si>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</si>
  <si>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</si>
  <si>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</si>
  <si>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</si>
  <si>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</si>
  <si>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</si>
  <si>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</si>
  <si>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</si>
  <si>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</si>
  <si>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</si>
  <si>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</si>
  <si>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</si>
  <si>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</si>
  <si>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</si>
  <si>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</si>
  <si>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McLeans Island Rd Southbound</t>
  </si>
  <si>
    <t>n/a</t>
  </si>
  <si>
    <t>McLeans Island Rd Northbound</t>
  </si>
  <si>
    <t>Broughs Rd</t>
  </si>
  <si>
    <t>Lights</t>
  </si>
  <si>
    <t>Classification</t>
  </si>
  <si>
    <t>Road</t>
  </si>
  <si>
    <t>Type</t>
  </si>
  <si>
    <t>Project</t>
  </si>
  <si>
    <t>Site Code</t>
  </si>
  <si>
    <t>10/20/2020</t>
  </si>
  <si>
    <t>Start Date</t>
  </si>
  <si>
    <t>CCC I- 9987 Broughs Rd - Mcleans Island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</si>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</sst>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66D0E19E-CD2B-41ED-B658-C8F375917A1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[I-9987_Broughs Road_Mcleans Island Road_Intersection_10-20-2020.xlsx]Graphs!pvtGraphApproach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129</c:v>
                </c:pt>
                <c:pt idx="2">
                  <c:v>133</c:v>
                </c:pt>
                <c:pt idx="3">
                  <c:v>128</c:v>
                </c:pt>
                <c:pt idx="4">
                  <c:v>96</c:v>
                </c:pt>
                <c:pt idx="5">
                  <c:v>81</c:v>
                </c:pt>
                <c:pt idx="6">
                  <c:v>101</c:v>
                </c:pt>
                <c:pt idx="7">
                  <c:v>76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McLeans Island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44</c:v>
                </c:pt>
                <c:pt idx="2">
                  <c:v>60</c:v>
                </c:pt>
                <c:pt idx="3">
                  <c:v>52</c:v>
                </c:pt>
                <c:pt idx="4">
                  <c:v>77</c:v>
                </c:pt>
                <c:pt idx="5">
                  <c:v>65</c:v>
                </c:pt>
                <c:pt idx="6">
                  <c:v>50</c:v>
                </c:pt>
                <c:pt idx="7">
                  <c:v>51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McLeans Island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20</c:v>
                </c:pt>
                <c:pt idx="2">
                  <c:v>28</c:v>
                </c:pt>
                <c:pt idx="3">
                  <c:v>41</c:v>
                </c:pt>
                <c:pt idx="4">
                  <c:v>27</c:v>
                </c:pt>
                <c:pt idx="5">
                  <c:v>41</c:v>
                </c:pt>
                <c:pt idx="6">
                  <c:v>33</c:v>
                </c:pt>
                <c:pt idx="7">
                  <c:v>27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[I-9987_Broughs Road_Mcleans Island Road_Intersection_10-20-2020.xlsx]Graphs!pvtGraphExit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31</c:v>
                </c:pt>
                <c:pt idx="2">
                  <c:v>47</c:v>
                </c:pt>
                <c:pt idx="3">
                  <c:v>32</c:v>
                </c:pt>
                <c:pt idx="4">
                  <c:v>59</c:v>
                </c:pt>
                <c:pt idx="5">
                  <c:v>47</c:v>
                </c:pt>
                <c:pt idx="6">
                  <c:v>32</c:v>
                </c:pt>
                <c:pt idx="7">
                  <c:v>40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McLeans Island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136</c:v>
                </c:pt>
                <c:pt idx="1">
                  <c:v>143</c:v>
                </c:pt>
                <c:pt idx="2">
                  <c:v>155</c:v>
                </c:pt>
                <c:pt idx="3">
                  <c:v>162</c:v>
                </c:pt>
                <c:pt idx="4">
                  <c:v>121</c:v>
                </c:pt>
                <c:pt idx="5">
                  <c:v>109</c:v>
                </c:pt>
                <c:pt idx="6">
                  <c:v>126</c:v>
                </c:pt>
                <c:pt idx="7">
                  <c:v>94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McLeans Island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19</c:v>
                </c:pt>
                <c:pt idx="2">
                  <c:v>19</c:v>
                </c:pt>
                <c:pt idx="3">
                  <c:v>27</c:v>
                </c:pt>
                <c:pt idx="4">
                  <c:v>20</c:v>
                </c:pt>
                <c:pt idx="5">
                  <c:v>31</c:v>
                </c:pt>
                <c:pt idx="6">
                  <c:v>26</c:v>
                </c:pt>
                <c:pt idx="7">
                  <c:v>20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[I-9987_Broughs Road_Mcleans Island Road_Intersection_10-20-2020.xlsx]GraphData!PivotTable2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181</c:v>
                </c:pt>
                <c:pt idx="1">
                  <c:v>193</c:v>
                </c:pt>
                <c:pt idx="2">
                  <c:v>221</c:v>
                </c:pt>
                <c:pt idx="3">
                  <c:v>221</c:v>
                </c:pt>
                <c:pt idx="4">
                  <c:v>200</c:v>
                </c:pt>
                <c:pt idx="5">
                  <c:v>187</c:v>
                </c:pt>
                <c:pt idx="6">
                  <c:v>184</c:v>
                </c:pt>
                <c:pt idx="7">
                  <c:v>154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[I-9987_Broughs Road_Mcleans Island Road_Intersection_10-20-2020.xlsx]PeakCalc!pvtPeak2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181</c:v>
                </c:pt>
                <c:pt idx="1">
                  <c:v>193</c:v>
                </c:pt>
                <c:pt idx="2">
                  <c:v>221</c:v>
                </c:pt>
                <c:pt idx="3">
                  <c:v>221</c:v>
                </c:pt>
                <c:pt idx="4">
                  <c:v>200</c:v>
                </c:pt>
                <c:pt idx="5">
                  <c:v>187</c:v>
                </c:pt>
                <c:pt idx="6">
                  <c:v>184</c:v>
                </c:pt>
                <c:pt idx="7">
                  <c:v>154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193</c:v>
                </c:pt>
                <c:pt idx="2">
                  <c:v>221</c:v>
                </c:pt>
                <c:pt idx="3">
                  <c:v>221</c:v>
                </c:pt>
                <c:pt idx="4">
                  <c:v>200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1007584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1122892</xdr:colOff>
      <xdr:row>5</xdr:row>
      <xdr:rowOff>3175</xdr:rowOff>
    </xdr:from>
    <xdr:to>
      <xdr:col>20</xdr:col>
      <xdr:colOff>630817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685799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39270706018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5"/>
    </cacheField>
    <cacheField name="Peak" numFmtId="0">
      <sharedItems containsSemiMixedTypes="0" containsString="0" containsNumber="1" containsInteger="1" minValue="0" maxValue="31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392850115742" createdVersion="5" refreshedVersion="6" minRefreshableVersion="3" recordCount="360" xr:uid="{00000000-000A-0000-FFFF-FFFF01000000}">
  <cacheSource type="worksheet">
    <worksheetSource name="tblPivotData"/>
  </cacheSource>
  <cacheFields count="9">
    <cacheField name="Approach" numFmtId="0">
      <sharedItems count="6">
        <s v="Broughs Road East"/>
        <s v="McLeans Island Road South"/>
        <s v="McLeans Island Road North"/>
        <s v="Great south Rd (North)" u="1"/>
        <s v="Great south Rd (South)" u="1"/>
        <s v="Grange Rd" u="1"/>
      </sharedItems>
    </cacheField>
    <cacheField name="Movement" numFmtId="0">
      <sharedItems count="14">
        <s v="Left into McLeans Island Road South"/>
        <s v="Right into McLeans Island Road North"/>
        <s v="Thru to McLeans Island Road North"/>
        <s v="Right into Broughs Road East"/>
        <s v="Left into Broughs Road East"/>
        <s v="Thru to McLeans Island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cLeans Island Road South"/>
        <s v="McLeans Island Road North"/>
        <s v="Brough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1"/>
    <n v="0"/>
  </r>
  <r>
    <x v="0"/>
    <x v="1"/>
    <n v="193"/>
    <n v="193"/>
  </r>
  <r>
    <x v="0"/>
    <x v="2"/>
    <n v="221"/>
    <n v="221"/>
  </r>
  <r>
    <x v="0"/>
    <x v="3"/>
    <n v="221"/>
    <n v="221"/>
  </r>
  <r>
    <x v="0"/>
    <x v="4"/>
    <n v="200"/>
    <n v="200"/>
  </r>
  <r>
    <x v="0"/>
    <x v="5"/>
    <n v="187"/>
    <n v="0"/>
  </r>
  <r>
    <x v="0"/>
    <x v="6"/>
    <n v="184"/>
    <n v="0"/>
  </r>
  <r>
    <x v="0"/>
    <x v="7"/>
    <n v="154"/>
    <n v="0"/>
  </r>
  <r>
    <x v="1"/>
    <x v="8"/>
    <n v="107"/>
    <n v="107"/>
  </r>
  <r>
    <x v="1"/>
    <x v="9"/>
    <n v="116"/>
    <n v="116"/>
  </r>
  <r>
    <x v="1"/>
    <x v="10"/>
    <n v="124"/>
    <n v="124"/>
  </r>
  <r>
    <x v="1"/>
    <x v="11"/>
    <n v="115"/>
    <n v="115"/>
  </r>
  <r>
    <x v="2"/>
    <x v="12"/>
    <n v="247"/>
    <n v="0"/>
  </r>
  <r>
    <x v="2"/>
    <x v="13"/>
    <n v="223"/>
    <n v="0"/>
  </r>
  <r>
    <x v="2"/>
    <x v="14"/>
    <n v="266"/>
    <n v="266"/>
  </r>
  <r>
    <x v="2"/>
    <x v="15"/>
    <n v="274"/>
    <n v="274"/>
  </r>
  <r>
    <x v="2"/>
    <x v="16"/>
    <n v="315"/>
    <n v="315"/>
  </r>
  <r>
    <x v="2"/>
    <x v="17"/>
    <n v="265"/>
    <n v="265"/>
  </r>
  <r>
    <x v="2"/>
    <x v="18"/>
    <n v="208"/>
    <n v="0"/>
  </r>
  <r>
    <x v="2"/>
    <x v="19"/>
    <n v="1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
    <x v="0"/>
    <x v="0"/>
  </r>
  <r>
    <x v="0"/>
    <x v="0"/>
    <x v="0"/>
    <x v="0"/>
    <x v="0"/>
    <x v="1"/>
    <n v="1"/>
    <x v="1"/>
    <x v="1"/>
  </r>
  <r>
    <x v="0"/>
    <x v="0"/>
    <x v="0"/>
    <x v="0"/>
    <x v="0"/>
    <x v="2"/>
    <n v="2"/>
    <x v="2"/>
    <x v="1"/>
  </r>
  <r>
    <x v="0"/>
    <x v="0"/>
    <x v="0"/>
    <x v="0"/>
    <x v="0"/>
    <x v="3"/>
    <n v="3"/>
    <x v="3"/>
    <x v="1"/>
  </r>
  <r>
    <x v="0"/>
    <x v="0"/>
    <x v="0"/>
    <x v="0"/>
    <x v="0"/>
    <x v="4"/>
    <n v="0"/>
    <x v="4"/>
    <x v="1"/>
  </r>
  <r>
    <x v="0"/>
    <x v="0"/>
    <x v="0"/>
    <x v="0"/>
    <x v="0"/>
    <x v="5"/>
    <n v="4"/>
    <x v="5"/>
    <x v="0"/>
  </r>
  <r>
    <x v="0"/>
    <x v="0"/>
    <x v="0"/>
    <x v="0"/>
    <x v="0"/>
    <x v="6"/>
    <n v="6"/>
    <x v="6"/>
    <x v="0"/>
  </r>
  <r>
    <x v="0"/>
    <x v="0"/>
    <x v="0"/>
    <x v="0"/>
    <x v="0"/>
    <x v="7"/>
    <n v="3"/>
    <x v="7"/>
    <x v="0"/>
  </r>
  <r>
    <x v="0"/>
    <x v="0"/>
    <x v="0"/>
    <x v="0"/>
    <x v="1"/>
    <x v="8"/>
    <n v="2"/>
    <x v="8"/>
    <x v="1"/>
  </r>
  <r>
    <x v="0"/>
    <x v="0"/>
    <x v="0"/>
    <x v="0"/>
    <x v="1"/>
    <x v="9"/>
    <n v="1"/>
    <x v="9"/>
    <x v="1"/>
  </r>
  <r>
    <x v="0"/>
    <x v="0"/>
    <x v="0"/>
    <x v="0"/>
    <x v="1"/>
    <x v="10"/>
    <n v="1"/>
    <x v="10"/>
    <x v="1"/>
  </r>
  <r>
    <x v="0"/>
    <x v="0"/>
    <x v="0"/>
    <x v="0"/>
    <x v="1"/>
    <x v="11"/>
    <n v="1"/>
    <x v="11"/>
    <x v="1"/>
  </r>
  <r>
    <x v="0"/>
    <x v="0"/>
    <x v="0"/>
    <x v="0"/>
    <x v="2"/>
    <x v="12"/>
    <n v="1"/>
    <x v="12"/>
    <x v="0"/>
  </r>
  <r>
    <x v="0"/>
    <x v="0"/>
    <x v="0"/>
    <x v="0"/>
    <x v="2"/>
    <x v="13"/>
    <n v="1"/>
    <x v="13"/>
    <x v="0"/>
  </r>
  <r>
    <x v="0"/>
    <x v="0"/>
    <x v="0"/>
    <x v="0"/>
    <x v="2"/>
    <x v="14"/>
    <n v="1"/>
    <x v="14"/>
    <x v="1"/>
  </r>
  <r>
    <x v="0"/>
    <x v="0"/>
    <x v="0"/>
    <x v="0"/>
    <x v="2"/>
    <x v="15"/>
    <n v="1"/>
    <x v="15"/>
    <x v="1"/>
  </r>
  <r>
    <x v="0"/>
    <x v="0"/>
    <x v="0"/>
    <x v="0"/>
    <x v="2"/>
    <x v="16"/>
    <n v="1"/>
    <x v="16"/>
    <x v="1"/>
  </r>
  <r>
    <x v="0"/>
    <x v="0"/>
    <x v="0"/>
    <x v="0"/>
    <x v="2"/>
    <x v="17"/>
    <n v="1"/>
    <x v="17"/>
    <x v="1"/>
  </r>
  <r>
    <x v="0"/>
    <x v="0"/>
    <x v="0"/>
    <x v="0"/>
    <x v="2"/>
    <x v="18"/>
    <n v="1"/>
    <x v="18"/>
    <x v="0"/>
  </r>
  <r>
    <x v="0"/>
    <x v="0"/>
    <x v="0"/>
    <x v="0"/>
    <x v="2"/>
    <x v="19"/>
    <n v="2"/>
    <x v="19"/>
    <x v="0"/>
  </r>
  <r>
    <x v="0"/>
    <x v="0"/>
    <x v="0"/>
    <x v="1"/>
    <x v="0"/>
    <x v="0"/>
    <n v="0"/>
    <x v="0"/>
    <x v="0"/>
  </r>
  <r>
    <x v="0"/>
    <x v="0"/>
    <x v="0"/>
    <x v="1"/>
    <x v="0"/>
    <x v="1"/>
    <n v="0"/>
    <x v="1"/>
    <x v="1"/>
  </r>
  <r>
    <x v="0"/>
    <x v="0"/>
    <x v="0"/>
    <x v="1"/>
    <x v="0"/>
    <x v="2"/>
    <n v="0"/>
    <x v="2"/>
    <x v="1"/>
  </r>
  <r>
    <x v="0"/>
    <x v="0"/>
    <x v="0"/>
    <x v="1"/>
    <x v="0"/>
    <x v="3"/>
    <n v="1"/>
    <x v="3"/>
    <x v="1"/>
  </r>
  <r>
    <x v="0"/>
    <x v="0"/>
    <x v="0"/>
    <x v="1"/>
    <x v="0"/>
    <x v="4"/>
    <n v="0"/>
    <x v="4"/>
    <x v="1"/>
  </r>
  <r>
    <x v="0"/>
    <x v="0"/>
    <x v="0"/>
    <x v="1"/>
    <x v="0"/>
    <x v="5"/>
    <n v="0"/>
    <x v="5"/>
    <x v="0"/>
  </r>
  <r>
    <x v="0"/>
    <x v="0"/>
    <x v="0"/>
    <x v="1"/>
    <x v="0"/>
    <x v="6"/>
    <n v="0"/>
    <x v="6"/>
    <x v="0"/>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01"/>
    <x v="0"/>
    <x v="0"/>
  </r>
  <r>
    <x v="0"/>
    <x v="1"/>
    <x v="1"/>
    <x v="0"/>
    <x v="0"/>
    <x v="1"/>
    <n v="117"/>
    <x v="1"/>
    <x v="1"/>
  </r>
  <r>
    <x v="0"/>
    <x v="1"/>
    <x v="1"/>
    <x v="0"/>
    <x v="0"/>
    <x v="2"/>
    <n v="120"/>
    <x v="2"/>
    <x v="1"/>
  </r>
  <r>
    <x v="0"/>
    <x v="1"/>
    <x v="1"/>
    <x v="0"/>
    <x v="0"/>
    <x v="3"/>
    <n v="103"/>
    <x v="3"/>
    <x v="1"/>
  </r>
  <r>
    <x v="0"/>
    <x v="1"/>
    <x v="1"/>
    <x v="0"/>
    <x v="0"/>
    <x v="4"/>
    <n v="70"/>
    <x v="4"/>
    <x v="1"/>
  </r>
  <r>
    <x v="0"/>
    <x v="1"/>
    <x v="1"/>
    <x v="0"/>
    <x v="0"/>
    <x v="5"/>
    <n v="61"/>
    <x v="5"/>
    <x v="0"/>
  </r>
  <r>
    <x v="0"/>
    <x v="1"/>
    <x v="1"/>
    <x v="0"/>
    <x v="0"/>
    <x v="6"/>
    <n v="73"/>
    <x v="6"/>
    <x v="0"/>
  </r>
  <r>
    <x v="0"/>
    <x v="1"/>
    <x v="1"/>
    <x v="0"/>
    <x v="0"/>
    <x v="7"/>
    <n v="57"/>
    <x v="7"/>
    <x v="0"/>
  </r>
  <r>
    <x v="0"/>
    <x v="1"/>
    <x v="1"/>
    <x v="0"/>
    <x v="1"/>
    <x v="8"/>
    <n v="19"/>
    <x v="8"/>
    <x v="1"/>
  </r>
  <r>
    <x v="0"/>
    <x v="1"/>
    <x v="1"/>
    <x v="0"/>
    <x v="1"/>
    <x v="9"/>
    <n v="23"/>
    <x v="9"/>
    <x v="1"/>
  </r>
  <r>
    <x v="0"/>
    <x v="1"/>
    <x v="1"/>
    <x v="0"/>
    <x v="1"/>
    <x v="10"/>
    <n v="24"/>
    <x v="10"/>
    <x v="1"/>
  </r>
  <r>
    <x v="0"/>
    <x v="1"/>
    <x v="1"/>
    <x v="0"/>
    <x v="1"/>
    <x v="11"/>
    <n v="20"/>
    <x v="11"/>
    <x v="1"/>
  </r>
  <r>
    <x v="0"/>
    <x v="1"/>
    <x v="1"/>
    <x v="0"/>
    <x v="2"/>
    <x v="12"/>
    <n v="35"/>
    <x v="12"/>
    <x v="0"/>
  </r>
  <r>
    <x v="0"/>
    <x v="1"/>
    <x v="1"/>
    <x v="0"/>
    <x v="2"/>
    <x v="13"/>
    <n v="34"/>
    <x v="13"/>
    <x v="0"/>
  </r>
  <r>
    <x v="0"/>
    <x v="1"/>
    <x v="1"/>
    <x v="0"/>
    <x v="2"/>
    <x v="14"/>
    <n v="57"/>
    <x v="14"/>
    <x v="1"/>
  </r>
  <r>
    <x v="0"/>
    <x v="1"/>
    <x v="1"/>
    <x v="0"/>
    <x v="2"/>
    <x v="15"/>
    <n v="56"/>
    <x v="15"/>
    <x v="1"/>
  </r>
  <r>
    <x v="0"/>
    <x v="1"/>
    <x v="1"/>
    <x v="0"/>
    <x v="2"/>
    <x v="16"/>
    <n v="65"/>
    <x v="16"/>
    <x v="1"/>
  </r>
  <r>
    <x v="0"/>
    <x v="1"/>
    <x v="1"/>
    <x v="0"/>
    <x v="2"/>
    <x v="17"/>
    <n v="47"/>
    <x v="17"/>
    <x v="1"/>
  </r>
  <r>
    <x v="0"/>
    <x v="1"/>
    <x v="1"/>
    <x v="0"/>
    <x v="2"/>
    <x v="18"/>
    <n v="34"/>
    <x v="18"/>
    <x v="0"/>
  </r>
  <r>
    <x v="0"/>
    <x v="1"/>
    <x v="1"/>
    <x v="0"/>
    <x v="2"/>
    <x v="19"/>
    <n v="26"/>
    <x v="19"/>
    <x v="0"/>
  </r>
  <r>
    <x v="0"/>
    <x v="1"/>
    <x v="1"/>
    <x v="1"/>
    <x v="0"/>
    <x v="0"/>
    <n v="22"/>
    <x v="0"/>
    <x v="0"/>
  </r>
  <r>
    <x v="0"/>
    <x v="1"/>
    <x v="1"/>
    <x v="1"/>
    <x v="0"/>
    <x v="1"/>
    <n v="11"/>
    <x v="1"/>
    <x v="1"/>
  </r>
  <r>
    <x v="0"/>
    <x v="1"/>
    <x v="1"/>
    <x v="1"/>
    <x v="0"/>
    <x v="2"/>
    <n v="11"/>
    <x v="2"/>
    <x v="1"/>
  </r>
  <r>
    <x v="0"/>
    <x v="1"/>
    <x v="1"/>
    <x v="1"/>
    <x v="0"/>
    <x v="3"/>
    <n v="21"/>
    <x v="3"/>
    <x v="1"/>
  </r>
  <r>
    <x v="0"/>
    <x v="1"/>
    <x v="1"/>
    <x v="1"/>
    <x v="0"/>
    <x v="4"/>
    <n v="26"/>
    <x v="4"/>
    <x v="1"/>
  </r>
  <r>
    <x v="0"/>
    <x v="1"/>
    <x v="1"/>
    <x v="1"/>
    <x v="0"/>
    <x v="5"/>
    <n v="16"/>
    <x v="5"/>
    <x v="0"/>
  </r>
  <r>
    <x v="0"/>
    <x v="1"/>
    <x v="1"/>
    <x v="1"/>
    <x v="0"/>
    <x v="6"/>
    <n v="22"/>
    <x v="6"/>
    <x v="0"/>
  </r>
  <r>
    <x v="0"/>
    <x v="1"/>
    <x v="1"/>
    <x v="1"/>
    <x v="0"/>
    <x v="7"/>
    <n v="15"/>
    <x v="7"/>
    <x v="0"/>
  </r>
  <r>
    <x v="0"/>
    <x v="1"/>
    <x v="1"/>
    <x v="1"/>
    <x v="1"/>
    <x v="8"/>
    <n v="18"/>
    <x v="8"/>
    <x v="1"/>
  </r>
  <r>
    <x v="0"/>
    <x v="1"/>
    <x v="1"/>
    <x v="1"/>
    <x v="1"/>
    <x v="9"/>
    <n v="18"/>
    <x v="9"/>
    <x v="1"/>
  </r>
  <r>
    <x v="0"/>
    <x v="1"/>
    <x v="1"/>
    <x v="1"/>
    <x v="1"/>
    <x v="10"/>
    <n v="10"/>
    <x v="10"/>
    <x v="1"/>
  </r>
  <r>
    <x v="0"/>
    <x v="1"/>
    <x v="1"/>
    <x v="1"/>
    <x v="1"/>
    <x v="11"/>
    <n v="14"/>
    <x v="11"/>
    <x v="1"/>
  </r>
  <r>
    <x v="0"/>
    <x v="1"/>
    <x v="1"/>
    <x v="1"/>
    <x v="2"/>
    <x v="12"/>
    <n v="14"/>
    <x v="12"/>
    <x v="0"/>
  </r>
  <r>
    <x v="0"/>
    <x v="1"/>
    <x v="1"/>
    <x v="1"/>
    <x v="2"/>
    <x v="13"/>
    <n v="11"/>
    <x v="13"/>
    <x v="0"/>
  </r>
  <r>
    <x v="0"/>
    <x v="1"/>
    <x v="1"/>
    <x v="1"/>
    <x v="2"/>
    <x v="14"/>
    <n v="8"/>
    <x v="14"/>
    <x v="1"/>
  </r>
  <r>
    <x v="0"/>
    <x v="1"/>
    <x v="1"/>
    <x v="1"/>
    <x v="2"/>
    <x v="15"/>
    <n v="4"/>
    <x v="15"/>
    <x v="1"/>
  </r>
  <r>
    <x v="0"/>
    <x v="1"/>
    <x v="1"/>
    <x v="1"/>
    <x v="2"/>
    <x v="16"/>
    <n v="7"/>
    <x v="16"/>
    <x v="1"/>
  </r>
  <r>
    <x v="0"/>
    <x v="1"/>
    <x v="1"/>
    <x v="1"/>
    <x v="2"/>
    <x v="17"/>
    <n v="5"/>
    <x v="17"/>
    <x v="1"/>
  </r>
  <r>
    <x v="0"/>
    <x v="1"/>
    <x v="1"/>
    <x v="1"/>
    <x v="2"/>
    <x v="18"/>
    <n v="5"/>
    <x v="18"/>
    <x v="0"/>
  </r>
  <r>
    <x v="0"/>
    <x v="1"/>
    <x v="1"/>
    <x v="1"/>
    <x v="2"/>
    <x v="19"/>
    <n v="8"/>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0"/>
    <x v="0"/>
    <x v="0"/>
  </r>
  <r>
    <x v="1"/>
    <x v="2"/>
    <x v="1"/>
    <x v="0"/>
    <x v="0"/>
    <x v="1"/>
    <n v="14"/>
    <x v="1"/>
    <x v="1"/>
  </r>
  <r>
    <x v="1"/>
    <x v="2"/>
    <x v="1"/>
    <x v="0"/>
    <x v="0"/>
    <x v="2"/>
    <n v="22"/>
    <x v="2"/>
    <x v="1"/>
  </r>
  <r>
    <x v="1"/>
    <x v="2"/>
    <x v="1"/>
    <x v="0"/>
    <x v="0"/>
    <x v="3"/>
    <n v="33"/>
    <x v="3"/>
    <x v="1"/>
  </r>
  <r>
    <x v="1"/>
    <x v="2"/>
    <x v="1"/>
    <x v="0"/>
    <x v="0"/>
    <x v="4"/>
    <n v="23"/>
    <x v="4"/>
    <x v="1"/>
  </r>
  <r>
    <x v="1"/>
    <x v="2"/>
    <x v="1"/>
    <x v="0"/>
    <x v="0"/>
    <x v="5"/>
    <n v="28"/>
    <x v="5"/>
    <x v="0"/>
  </r>
  <r>
    <x v="1"/>
    <x v="2"/>
    <x v="1"/>
    <x v="0"/>
    <x v="0"/>
    <x v="6"/>
    <n v="24"/>
    <x v="6"/>
    <x v="0"/>
  </r>
  <r>
    <x v="1"/>
    <x v="2"/>
    <x v="1"/>
    <x v="0"/>
    <x v="0"/>
    <x v="7"/>
    <n v="19"/>
    <x v="7"/>
    <x v="0"/>
  </r>
  <r>
    <x v="1"/>
    <x v="2"/>
    <x v="1"/>
    <x v="0"/>
    <x v="1"/>
    <x v="8"/>
    <n v="15"/>
    <x v="8"/>
    <x v="1"/>
  </r>
  <r>
    <x v="1"/>
    <x v="2"/>
    <x v="1"/>
    <x v="0"/>
    <x v="1"/>
    <x v="9"/>
    <n v="5"/>
    <x v="9"/>
    <x v="1"/>
  </r>
  <r>
    <x v="1"/>
    <x v="2"/>
    <x v="1"/>
    <x v="0"/>
    <x v="1"/>
    <x v="10"/>
    <n v="9"/>
    <x v="10"/>
    <x v="1"/>
  </r>
  <r>
    <x v="1"/>
    <x v="2"/>
    <x v="1"/>
    <x v="0"/>
    <x v="1"/>
    <x v="11"/>
    <n v="21"/>
    <x v="11"/>
    <x v="1"/>
  </r>
  <r>
    <x v="1"/>
    <x v="2"/>
    <x v="1"/>
    <x v="0"/>
    <x v="2"/>
    <x v="12"/>
    <n v="22"/>
    <x v="12"/>
    <x v="0"/>
  </r>
  <r>
    <x v="1"/>
    <x v="2"/>
    <x v="1"/>
    <x v="0"/>
    <x v="2"/>
    <x v="13"/>
    <n v="19"/>
    <x v="13"/>
    <x v="0"/>
  </r>
  <r>
    <x v="1"/>
    <x v="2"/>
    <x v="1"/>
    <x v="0"/>
    <x v="2"/>
    <x v="14"/>
    <n v="20"/>
    <x v="14"/>
    <x v="1"/>
  </r>
  <r>
    <x v="1"/>
    <x v="2"/>
    <x v="1"/>
    <x v="0"/>
    <x v="2"/>
    <x v="15"/>
    <n v="25"/>
    <x v="15"/>
    <x v="1"/>
  </r>
  <r>
    <x v="1"/>
    <x v="2"/>
    <x v="1"/>
    <x v="0"/>
    <x v="2"/>
    <x v="16"/>
    <n v="32"/>
    <x v="16"/>
    <x v="1"/>
  </r>
  <r>
    <x v="1"/>
    <x v="2"/>
    <x v="1"/>
    <x v="0"/>
    <x v="2"/>
    <x v="17"/>
    <n v="23"/>
    <x v="17"/>
    <x v="1"/>
  </r>
  <r>
    <x v="1"/>
    <x v="2"/>
    <x v="1"/>
    <x v="0"/>
    <x v="2"/>
    <x v="18"/>
    <n v="12"/>
    <x v="18"/>
    <x v="0"/>
  </r>
  <r>
    <x v="1"/>
    <x v="2"/>
    <x v="1"/>
    <x v="0"/>
    <x v="2"/>
    <x v="19"/>
    <n v="10"/>
    <x v="19"/>
    <x v="0"/>
  </r>
  <r>
    <x v="1"/>
    <x v="2"/>
    <x v="1"/>
    <x v="1"/>
    <x v="0"/>
    <x v="0"/>
    <n v="3"/>
    <x v="0"/>
    <x v="0"/>
  </r>
  <r>
    <x v="1"/>
    <x v="2"/>
    <x v="1"/>
    <x v="1"/>
    <x v="0"/>
    <x v="1"/>
    <n v="1"/>
    <x v="1"/>
    <x v="1"/>
  </r>
  <r>
    <x v="1"/>
    <x v="2"/>
    <x v="1"/>
    <x v="1"/>
    <x v="0"/>
    <x v="2"/>
    <n v="2"/>
    <x v="2"/>
    <x v="1"/>
  </r>
  <r>
    <x v="1"/>
    <x v="2"/>
    <x v="1"/>
    <x v="1"/>
    <x v="0"/>
    <x v="3"/>
    <n v="4"/>
    <x v="3"/>
    <x v="1"/>
  </r>
  <r>
    <x v="1"/>
    <x v="2"/>
    <x v="1"/>
    <x v="1"/>
    <x v="0"/>
    <x v="4"/>
    <n v="2"/>
    <x v="4"/>
    <x v="1"/>
  </r>
  <r>
    <x v="1"/>
    <x v="2"/>
    <x v="1"/>
    <x v="1"/>
    <x v="0"/>
    <x v="5"/>
    <n v="4"/>
    <x v="5"/>
    <x v="0"/>
  </r>
  <r>
    <x v="1"/>
    <x v="2"/>
    <x v="1"/>
    <x v="1"/>
    <x v="0"/>
    <x v="6"/>
    <n v="6"/>
    <x v="6"/>
    <x v="0"/>
  </r>
  <r>
    <x v="1"/>
    <x v="2"/>
    <x v="1"/>
    <x v="1"/>
    <x v="0"/>
    <x v="7"/>
    <n v="2"/>
    <x v="7"/>
    <x v="0"/>
  </r>
  <r>
    <x v="1"/>
    <x v="2"/>
    <x v="1"/>
    <x v="1"/>
    <x v="1"/>
    <x v="8"/>
    <n v="2"/>
    <x v="8"/>
    <x v="1"/>
  </r>
  <r>
    <x v="1"/>
    <x v="2"/>
    <x v="1"/>
    <x v="1"/>
    <x v="1"/>
    <x v="9"/>
    <n v="6"/>
    <x v="9"/>
    <x v="1"/>
  </r>
  <r>
    <x v="1"/>
    <x v="2"/>
    <x v="1"/>
    <x v="1"/>
    <x v="1"/>
    <x v="10"/>
    <n v="2"/>
    <x v="10"/>
    <x v="1"/>
  </r>
  <r>
    <x v="1"/>
    <x v="2"/>
    <x v="1"/>
    <x v="1"/>
    <x v="1"/>
    <x v="11"/>
    <n v="0"/>
    <x v="11"/>
    <x v="1"/>
  </r>
  <r>
    <x v="1"/>
    <x v="2"/>
    <x v="1"/>
    <x v="1"/>
    <x v="2"/>
    <x v="12"/>
    <n v="4"/>
    <x v="12"/>
    <x v="0"/>
  </r>
  <r>
    <x v="1"/>
    <x v="2"/>
    <x v="1"/>
    <x v="1"/>
    <x v="2"/>
    <x v="13"/>
    <n v="1"/>
    <x v="13"/>
    <x v="0"/>
  </r>
  <r>
    <x v="1"/>
    <x v="2"/>
    <x v="1"/>
    <x v="1"/>
    <x v="2"/>
    <x v="14"/>
    <n v="1"/>
    <x v="14"/>
    <x v="1"/>
  </r>
  <r>
    <x v="1"/>
    <x v="2"/>
    <x v="1"/>
    <x v="1"/>
    <x v="2"/>
    <x v="15"/>
    <n v="2"/>
    <x v="15"/>
    <x v="1"/>
  </r>
  <r>
    <x v="1"/>
    <x v="2"/>
    <x v="1"/>
    <x v="1"/>
    <x v="2"/>
    <x v="16"/>
    <n v="1"/>
    <x v="16"/>
    <x v="1"/>
  </r>
  <r>
    <x v="1"/>
    <x v="2"/>
    <x v="1"/>
    <x v="1"/>
    <x v="2"/>
    <x v="17"/>
    <n v="0"/>
    <x v="17"/>
    <x v="1"/>
  </r>
  <r>
    <x v="1"/>
    <x v="2"/>
    <x v="1"/>
    <x v="1"/>
    <x v="2"/>
    <x v="18"/>
    <n v="0"/>
    <x v="18"/>
    <x v="0"/>
  </r>
  <r>
    <x v="1"/>
    <x v="2"/>
    <x v="1"/>
    <x v="1"/>
    <x v="2"/>
    <x v="19"/>
    <n v="0"/>
    <x v="19"/>
    <x v="0"/>
  </r>
  <r>
    <x v="1"/>
    <x v="2"/>
    <x v="1"/>
    <x v="2"/>
    <x v="0"/>
    <x v="0"/>
    <n v="0"/>
    <x v="0"/>
    <x v="0"/>
  </r>
  <r>
    <x v="1"/>
    <x v="2"/>
    <x v="1"/>
    <x v="2"/>
    <x v="0"/>
    <x v="1"/>
    <n v="0"/>
    <x v="1"/>
    <x v="1"/>
  </r>
  <r>
    <x v="1"/>
    <x v="2"/>
    <x v="1"/>
    <x v="2"/>
    <x v="0"/>
    <x v="2"/>
    <n v="0"/>
    <x v="2"/>
    <x v="1"/>
  </r>
  <r>
    <x v="1"/>
    <x v="2"/>
    <x v="1"/>
    <x v="2"/>
    <x v="0"/>
    <x v="3"/>
    <n v="1"/>
    <x v="3"/>
    <x v="1"/>
  </r>
  <r>
    <x v="1"/>
    <x v="2"/>
    <x v="1"/>
    <x v="2"/>
    <x v="0"/>
    <x v="4"/>
    <n v="0"/>
    <x v="4"/>
    <x v="1"/>
  </r>
  <r>
    <x v="1"/>
    <x v="2"/>
    <x v="1"/>
    <x v="2"/>
    <x v="0"/>
    <x v="5"/>
    <n v="0"/>
    <x v="5"/>
    <x v="0"/>
  </r>
  <r>
    <x v="1"/>
    <x v="2"/>
    <x v="1"/>
    <x v="2"/>
    <x v="0"/>
    <x v="6"/>
    <n v="1"/>
    <x v="6"/>
    <x v="0"/>
  </r>
  <r>
    <x v="1"/>
    <x v="2"/>
    <x v="1"/>
    <x v="2"/>
    <x v="0"/>
    <x v="7"/>
    <n v="1"/>
    <x v="7"/>
    <x v="0"/>
  </r>
  <r>
    <x v="1"/>
    <x v="2"/>
    <x v="1"/>
    <x v="2"/>
    <x v="1"/>
    <x v="8"/>
    <n v="1"/>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1"/>
  </r>
  <r>
    <x v="1"/>
    <x v="2"/>
    <x v="1"/>
    <x v="2"/>
    <x v="2"/>
    <x v="15"/>
    <n v="2"/>
    <x v="15"/>
    <x v="1"/>
  </r>
  <r>
    <x v="1"/>
    <x v="2"/>
    <x v="1"/>
    <x v="2"/>
    <x v="2"/>
    <x v="16"/>
    <n v="0"/>
    <x v="16"/>
    <x v="1"/>
  </r>
  <r>
    <x v="1"/>
    <x v="2"/>
    <x v="1"/>
    <x v="2"/>
    <x v="2"/>
    <x v="17"/>
    <n v="0"/>
    <x v="17"/>
    <x v="1"/>
  </r>
  <r>
    <x v="1"/>
    <x v="2"/>
    <x v="1"/>
    <x v="2"/>
    <x v="2"/>
    <x v="18"/>
    <n v="0"/>
    <x v="18"/>
    <x v="0"/>
  </r>
  <r>
    <x v="1"/>
    <x v="2"/>
    <x v="1"/>
    <x v="2"/>
    <x v="2"/>
    <x v="19"/>
    <n v="0"/>
    <x v="19"/>
    <x v="0"/>
  </r>
  <r>
    <x v="1"/>
    <x v="3"/>
    <x v="2"/>
    <x v="0"/>
    <x v="0"/>
    <x v="0"/>
    <n v="4"/>
    <x v="0"/>
    <x v="0"/>
  </r>
  <r>
    <x v="1"/>
    <x v="3"/>
    <x v="2"/>
    <x v="0"/>
    <x v="0"/>
    <x v="1"/>
    <n v="4"/>
    <x v="1"/>
    <x v="1"/>
  </r>
  <r>
    <x v="1"/>
    <x v="3"/>
    <x v="2"/>
    <x v="0"/>
    <x v="0"/>
    <x v="2"/>
    <n v="3"/>
    <x v="2"/>
    <x v="1"/>
  </r>
  <r>
    <x v="1"/>
    <x v="3"/>
    <x v="2"/>
    <x v="0"/>
    <x v="0"/>
    <x v="3"/>
    <n v="2"/>
    <x v="3"/>
    <x v="1"/>
  </r>
  <r>
    <x v="1"/>
    <x v="3"/>
    <x v="2"/>
    <x v="0"/>
    <x v="0"/>
    <x v="4"/>
    <n v="1"/>
    <x v="4"/>
    <x v="1"/>
  </r>
  <r>
    <x v="1"/>
    <x v="3"/>
    <x v="2"/>
    <x v="0"/>
    <x v="0"/>
    <x v="5"/>
    <n v="7"/>
    <x v="5"/>
    <x v="0"/>
  </r>
  <r>
    <x v="1"/>
    <x v="3"/>
    <x v="2"/>
    <x v="0"/>
    <x v="0"/>
    <x v="6"/>
    <n v="1"/>
    <x v="6"/>
    <x v="0"/>
  </r>
  <r>
    <x v="1"/>
    <x v="3"/>
    <x v="2"/>
    <x v="0"/>
    <x v="0"/>
    <x v="7"/>
    <n v="4"/>
    <x v="7"/>
    <x v="0"/>
  </r>
  <r>
    <x v="1"/>
    <x v="3"/>
    <x v="2"/>
    <x v="0"/>
    <x v="1"/>
    <x v="8"/>
    <n v="3"/>
    <x v="8"/>
    <x v="1"/>
  </r>
  <r>
    <x v="1"/>
    <x v="3"/>
    <x v="2"/>
    <x v="0"/>
    <x v="1"/>
    <x v="9"/>
    <n v="5"/>
    <x v="9"/>
    <x v="1"/>
  </r>
  <r>
    <x v="1"/>
    <x v="3"/>
    <x v="2"/>
    <x v="0"/>
    <x v="1"/>
    <x v="10"/>
    <n v="3"/>
    <x v="10"/>
    <x v="1"/>
  </r>
  <r>
    <x v="1"/>
    <x v="3"/>
    <x v="2"/>
    <x v="0"/>
    <x v="1"/>
    <x v="11"/>
    <n v="6"/>
    <x v="11"/>
    <x v="1"/>
  </r>
  <r>
    <x v="1"/>
    <x v="3"/>
    <x v="2"/>
    <x v="0"/>
    <x v="2"/>
    <x v="12"/>
    <n v="5"/>
    <x v="12"/>
    <x v="0"/>
  </r>
  <r>
    <x v="1"/>
    <x v="3"/>
    <x v="2"/>
    <x v="0"/>
    <x v="2"/>
    <x v="13"/>
    <n v="14"/>
    <x v="13"/>
    <x v="0"/>
  </r>
  <r>
    <x v="1"/>
    <x v="3"/>
    <x v="2"/>
    <x v="0"/>
    <x v="2"/>
    <x v="14"/>
    <n v="22"/>
    <x v="14"/>
    <x v="1"/>
  </r>
  <r>
    <x v="1"/>
    <x v="3"/>
    <x v="2"/>
    <x v="0"/>
    <x v="2"/>
    <x v="15"/>
    <n v="29"/>
    <x v="15"/>
    <x v="1"/>
  </r>
  <r>
    <x v="1"/>
    <x v="3"/>
    <x v="2"/>
    <x v="0"/>
    <x v="2"/>
    <x v="16"/>
    <n v="32"/>
    <x v="16"/>
    <x v="1"/>
  </r>
  <r>
    <x v="1"/>
    <x v="3"/>
    <x v="2"/>
    <x v="0"/>
    <x v="2"/>
    <x v="17"/>
    <n v="16"/>
    <x v="17"/>
    <x v="1"/>
  </r>
  <r>
    <x v="1"/>
    <x v="3"/>
    <x v="2"/>
    <x v="0"/>
    <x v="2"/>
    <x v="18"/>
    <n v="14"/>
    <x v="18"/>
    <x v="0"/>
  </r>
  <r>
    <x v="1"/>
    <x v="3"/>
    <x v="2"/>
    <x v="0"/>
    <x v="2"/>
    <x v="19"/>
    <n v="7"/>
    <x v="19"/>
    <x v="0"/>
  </r>
  <r>
    <x v="1"/>
    <x v="3"/>
    <x v="2"/>
    <x v="1"/>
    <x v="0"/>
    <x v="0"/>
    <n v="0"/>
    <x v="0"/>
    <x v="0"/>
  </r>
  <r>
    <x v="1"/>
    <x v="3"/>
    <x v="2"/>
    <x v="1"/>
    <x v="0"/>
    <x v="1"/>
    <n v="1"/>
    <x v="1"/>
    <x v="1"/>
  </r>
  <r>
    <x v="1"/>
    <x v="3"/>
    <x v="2"/>
    <x v="1"/>
    <x v="0"/>
    <x v="2"/>
    <n v="1"/>
    <x v="2"/>
    <x v="1"/>
  </r>
  <r>
    <x v="1"/>
    <x v="3"/>
    <x v="2"/>
    <x v="1"/>
    <x v="0"/>
    <x v="3"/>
    <n v="1"/>
    <x v="3"/>
    <x v="1"/>
  </r>
  <r>
    <x v="1"/>
    <x v="3"/>
    <x v="2"/>
    <x v="1"/>
    <x v="0"/>
    <x v="4"/>
    <n v="1"/>
    <x v="4"/>
    <x v="1"/>
  </r>
  <r>
    <x v="1"/>
    <x v="3"/>
    <x v="2"/>
    <x v="1"/>
    <x v="0"/>
    <x v="5"/>
    <n v="2"/>
    <x v="5"/>
    <x v="0"/>
  </r>
  <r>
    <x v="1"/>
    <x v="3"/>
    <x v="2"/>
    <x v="1"/>
    <x v="0"/>
    <x v="6"/>
    <n v="1"/>
    <x v="6"/>
    <x v="0"/>
  </r>
  <r>
    <x v="1"/>
    <x v="3"/>
    <x v="2"/>
    <x v="1"/>
    <x v="0"/>
    <x v="7"/>
    <n v="1"/>
    <x v="7"/>
    <x v="0"/>
  </r>
  <r>
    <x v="1"/>
    <x v="3"/>
    <x v="2"/>
    <x v="1"/>
    <x v="1"/>
    <x v="8"/>
    <n v="1"/>
    <x v="8"/>
    <x v="1"/>
  </r>
  <r>
    <x v="1"/>
    <x v="3"/>
    <x v="2"/>
    <x v="1"/>
    <x v="1"/>
    <x v="9"/>
    <n v="1"/>
    <x v="9"/>
    <x v="1"/>
  </r>
  <r>
    <x v="1"/>
    <x v="3"/>
    <x v="2"/>
    <x v="1"/>
    <x v="1"/>
    <x v="10"/>
    <n v="0"/>
    <x v="10"/>
    <x v="1"/>
  </r>
  <r>
    <x v="1"/>
    <x v="3"/>
    <x v="2"/>
    <x v="1"/>
    <x v="1"/>
    <x v="11"/>
    <n v="1"/>
    <x v="11"/>
    <x v="1"/>
  </r>
  <r>
    <x v="1"/>
    <x v="3"/>
    <x v="2"/>
    <x v="1"/>
    <x v="2"/>
    <x v="12"/>
    <n v="3"/>
    <x v="12"/>
    <x v="0"/>
  </r>
  <r>
    <x v="1"/>
    <x v="3"/>
    <x v="2"/>
    <x v="1"/>
    <x v="2"/>
    <x v="13"/>
    <n v="1"/>
    <x v="13"/>
    <x v="0"/>
  </r>
  <r>
    <x v="1"/>
    <x v="3"/>
    <x v="2"/>
    <x v="1"/>
    <x v="2"/>
    <x v="14"/>
    <n v="1"/>
    <x v="14"/>
    <x v="1"/>
  </r>
  <r>
    <x v="1"/>
    <x v="3"/>
    <x v="2"/>
    <x v="1"/>
    <x v="2"/>
    <x v="15"/>
    <n v="1"/>
    <x v="15"/>
    <x v="1"/>
  </r>
  <r>
    <x v="1"/>
    <x v="3"/>
    <x v="2"/>
    <x v="1"/>
    <x v="2"/>
    <x v="16"/>
    <n v="1"/>
    <x v="16"/>
    <x v="1"/>
  </r>
  <r>
    <x v="1"/>
    <x v="3"/>
    <x v="2"/>
    <x v="1"/>
    <x v="2"/>
    <x v="17"/>
    <n v="2"/>
    <x v="17"/>
    <x v="1"/>
  </r>
  <r>
    <x v="1"/>
    <x v="3"/>
    <x v="2"/>
    <x v="1"/>
    <x v="2"/>
    <x v="18"/>
    <n v="0"/>
    <x v="18"/>
    <x v="0"/>
  </r>
  <r>
    <x v="1"/>
    <x v="3"/>
    <x v="2"/>
    <x v="1"/>
    <x v="2"/>
    <x v="19"/>
    <n v="1"/>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7"/>
    <x v="0"/>
    <x v="0"/>
  </r>
  <r>
    <x v="2"/>
    <x v="4"/>
    <x v="2"/>
    <x v="0"/>
    <x v="0"/>
    <x v="1"/>
    <n v="16"/>
    <x v="1"/>
    <x v="1"/>
  </r>
  <r>
    <x v="2"/>
    <x v="4"/>
    <x v="2"/>
    <x v="0"/>
    <x v="0"/>
    <x v="2"/>
    <n v="32"/>
    <x v="2"/>
    <x v="1"/>
  </r>
  <r>
    <x v="2"/>
    <x v="4"/>
    <x v="2"/>
    <x v="0"/>
    <x v="0"/>
    <x v="3"/>
    <n v="20"/>
    <x v="3"/>
    <x v="1"/>
  </r>
  <r>
    <x v="2"/>
    <x v="4"/>
    <x v="2"/>
    <x v="0"/>
    <x v="0"/>
    <x v="4"/>
    <n v="32"/>
    <x v="4"/>
    <x v="1"/>
  </r>
  <r>
    <x v="2"/>
    <x v="4"/>
    <x v="2"/>
    <x v="0"/>
    <x v="0"/>
    <x v="5"/>
    <n v="24"/>
    <x v="5"/>
    <x v="0"/>
  </r>
  <r>
    <x v="2"/>
    <x v="4"/>
    <x v="2"/>
    <x v="0"/>
    <x v="0"/>
    <x v="6"/>
    <n v="20"/>
    <x v="6"/>
    <x v="0"/>
  </r>
  <r>
    <x v="2"/>
    <x v="4"/>
    <x v="2"/>
    <x v="0"/>
    <x v="0"/>
    <x v="7"/>
    <n v="22"/>
    <x v="7"/>
    <x v="0"/>
  </r>
  <r>
    <x v="2"/>
    <x v="4"/>
    <x v="2"/>
    <x v="0"/>
    <x v="1"/>
    <x v="8"/>
    <n v="15"/>
    <x v="8"/>
    <x v="1"/>
  </r>
  <r>
    <x v="2"/>
    <x v="4"/>
    <x v="2"/>
    <x v="0"/>
    <x v="1"/>
    <x v="9"/>
    <n v="20"/>
    <x v="9"/>
    <x v="1"/>
  </r>
  <r>
    <x v="2"/>
    <x v="4"/>
    <x v="2"/>
    <x v="0"/>
    <x v="1"/>
    <x v="10"/>
    <n v="26"/>
    <x v="10"/>
    <x v="1"/>
  </r>
  <r>
    <x v="2"/>
    <x v="4"/>
    <x v="2"/>
    <x v="0"/>
    <x v="1"/>
    <x v="11"/>
    <n v="26"/>
    <x v="11"/>
    <x v="1"/>
  </r>
  <r>
    <x v="2"/>
    <x v="4"/>
    <x v="2"/>
    <x v="0"/>
    <x v="2"/>
    <x v="12"/>
    <n v="124"/>
    <x v="12"/>
    <x v="0"/>
  </r>
  <r>
    <x v="2"/>
    <x v="4"/>
    <x v="2"/>
    <x v="0"/>
    <x v="2"/>
    <x v="13"/>
    <n v="115"/>
    <x v="13"/>
    <x v="0"/>
  </r>
  <r>
    <x v="2"/>
    <x v="4"/>
    <x v="2"/>
    <x v="0"/>
    <x v="2"/>
    <x v="14"/>
    <n v="131"/>
    <x v="14"/>
    <x v="1"/>
  </r>
  <r>
    <x v="2"/>
    <x v="4"/>
    <x v="2"/>
    <x v="0"/>
    <x v="2"/>
    <x v="15"/>
    <n v="132"/>
    <x v="15"/>
    <x v="1"/>
  </r>
  <r>
    <x v="2"/>
    <x v="4"/>
    <x v="2"/>
    <x v="0"/>
    <x v="2"/>
    <x v="16"/>
    <n v="146"/>
    <x v="16"/>
    <x v="1"/>
  </r>
  <r>
    <x v="2"/>
    <x v="4"/>
    <x v="2"/>
    <x v="0"/>
    <x v="2"/>
    <x v="17"/>
    <n v="148"/>
    <x v="17"/>
    <x v="1"/>
  </r>
  <r>
    <x v="2"/>
    <x v="4"/>
    <x v="2"/>
    <x v="0"/>
    <x v="2"/>
    <x v="18"/>
    <n v="114"/>
    <x v="18"/>
    <x v="0"/>
  </r>
  <r>
    <x v="2"/>
    <x v="4"/>
    <x v="2"/>
    <x v="0"/>
    <x v="2"/>
    <x v="19"/>
    <n v="63"/>
    <x v="19"/>
    <x v="0"/>
  </r>
  <r>
    <x v="2"/>
    <x v="4"/>
    <x v="2"/>
    <x v="1"/>
    <x v="0"/>
    <x v="0"/>
    <n v="6"/>
    <x v="0"/>
    <x v="0"/>
  </r>
  <r>
    <x v="2"/>
    <x v="4"/>
    <x v="2"/>
    <x v="1"/>
    <x v="0"/>
    <x v="1"/>
    <n v="10"/>
    <x v="1"/>
    <x v="1"/>
  </r>
  <r>
    <x v="2"/>
    <x v="4"/>
    <x v="2"/>
    <x v="1"/>
    <x v="0"/>
    <x v="2"/>
    <n v="11"/>
    <x v="2"/>
    <x v="1"/>
  </r>
  <r>
    <x v="2"/>
    <x v="4"/>
    <x v="2"/>
    <x v="1"/>
    <x v="0"/>
    <x v="3"/>
    <n v="9"/>
    <x v="3"/>
    <x v="1"/>
  </r>
  <r>
    <x v="2"/>
    <x v="4"/>
    <x v="2"/>
    <x v="1"/>
    <x v="0"/>
    <x v="4"/>
    <n v="24"/>
    <x v="4"/>
    <x v="1"/>
  </r>
  <r>
    <x v="2"/>
    <x v="4"/>
    <x v="2"/>
    <x v="1"/>
    <x v="0"/>
    <x v="5"/>
    <n v="14"/>
    <x v="5"/>
    <x v="0"/>
  </r>
  <r>
    <x v="2"/>
    <x v="4"/>
    <x v="2"/>
    <x v="1"/>
    <x v="0"/>
    <x v="6"/>
    <n v="10"/>
    <x v="6"/>
    <x v="0"/>
  </r>
  <r>
    <x v="2"/>
    <x v="4"/>
    <x v="2"/>
    <x v="1"/>
    <x v="0"/>
    <x v="7"/>
    <n v="13"/>
    <x v="7"/>
    <x v="0"/>
  </r>
  <r>
    <x v="2"/>
    <x v="4"/>
    <x v="2"/>
    <x v="1"/>
    <x v="1"/>
    <x v="8"/>
    <n v="10"/>
    <x v="8"/>
    <x v="1"/>
  </r>
  <r>
    <x v="2"/>
    <x v="4"/>
    <x v="2"/>
    <x v="1"/>
    <x v="1"/>
    <x v="9"/>
    <n v="10"/>
    <x v="9"/>
    <x v="1"/>
  </r>
  <r>
    <x v="2"/>
    <x v="4"/>
    <x v="2"/>
    <x v="1"/>
    <x v="1"/>
    <x v="10"/>
    <n v="17"/>
    <x v="10"/>
    <x v="1"/>
  </r>
  <r>
    <x v="2"/>
    <x v="4"/>
    <x v="2"/>
    <x v="1"/>
    <x v="1"/>
    <x v="11"/>
    <n v="5"/>
    <x v="11"/>
    <x v="1"/>
  </r>
  <r>
    <x v="2"/>
    <x v="4"/>
    <x v="2"/>
    <x v="1"/>
    <x v="2"/>
    <x v="12"/>
    <n v="12"/>
    <x v="12"/>
    <x v="0"/>
  </r>
  <r>
    <x v="2"/>
    <x v="4"/>
    <x v="2"/>
    <x v="1"/>
    <x v="2"/>
    <x v="13"/>
    <n v="9"/>
    <x v="13"/>
    <x v="0"/>
  </r>
  <r>
    <x v="2"/>
    <x v="4"/>
    <x v="2"/>
    <x v="1"/>
    <x v="2"/>
    <x v="14"/>
    <n v="13"/>
    <x v="14"/>
    <x v="1"/>
  </r>
  <r>
    <x v="2"/>
    <x v="4"/>
    <x v="2"/>
    <x v="1"/>
    <x v="2"/>
    <x v="15"/>
    <n v="7"/>
    <x v="15"/>
    <x v="1"/>
  </r>
  <r>
    <x v="2"/>
    <x v="4"/>
    <x v="2"/>
    <x v="1"/>
    <x v="2"/>
    <x v="16"/>
    <n v="11"/>
    <x v="16"/>
    <x v="1"/>
  </r>
  <r>
    <x v="2"/>
    <x v="4"/>
    <x v="2"/>
    <x v="1"/>
    <x v="2"/>
    <x v="17"/>
    <n v="4"/>
    <x v="17"/>
    <x v="1"/>
  </r>
  <r>
    <x v="2"/>
    <x v="4"/>
    <x v="2"/>
    <x v="1"/>
    <x v="2"/>
    <x v="18"/>
    <n v="4"/>
    <x v="18"/>
    <x v="0"/>
  </r>
  <r>
    <x v="2"/>
    <x v="4"/>
    <x v="2"/>
    <x v="1"/>
    <x v="2"/>
    <x v="19"/>
    <n v="4"/>
    <x v="19"/>
    <x v="0"/>
  </r>
  <r>
    <x v="2"/>
    <x v="4"/>
    <x v="2"/>
    <x v="2"/>
    <x v="0"/>
    <x v="0"/>
    <n v="0"/>
    <x v="0"/>
    <x v="0"/>
  </r>
  <r>
    <x v="2"/>
    <x v="4"/>
    <x v="2"/>
    <x v="2"/>
    <x v="0"/>
    <x v="1"/>
    <n v="0"/>
    <x v="1"/>
    <x v="1"/>
  </r>
  <r>
    <x v="2"/>
    <x v="4"/>
    <x v="2"/>
    <x v="2"/>
    <x v="0"/>
    <x v="2"/>
    <n v="0"/>
    <x v="2"/>
    <x v="1"/>
  </r>
  <r>
    <x v="2"/>
    <x v="4"/>
    <x v="2"/>
    <x v="2"/>
    <x v="0"/>
    <x v="3"/>
    <n v="0"/>
    <x v="3"/>
    <x v="1"/>
  </r>
  <r>
    <x v="2"/>
    <x v="4"/>
    <x v="2"/>
    <x v="2"/>
    <x v="0"/>
    <x v="4"/>
    <n v="1"/>
    <x v="4"/>
    <x v="1"/>
  </r>
  <r>
    <x v="2"/>
    <x v="4"/>
    <x v="2"/>
    <x v="2"/>
    <x v="0"/>
    <x v="5"/>
    <n v="0"/>
    <x v="5"/>
    <x v="0"/>
  </r>
  <r>
    <x v="2"/>
    <x v="4"/>
    <x v="2"/>
    <x v="2"/>
    <x v="0"/>
    <x v="6"/>
    <n v="0"/>
    <x v="6"/>
    <x v="0"/>
  </r>
  <r>
    <x v="2"/>
    <x v="4"/>
    <x v="2"/>
    <x v="2"/>
    <x v="0"/>
    <x v="7"/>
    <n v="0"/>
    <x v="7"/>
    <x v="0"/>
  </r>
  <r>
    <x v="2"/>
    <x v="4"/>
    <x v="2"/>
    <x v="2"/>
    <x v="1"/>
    <x v="8"/>
    <n v="0"/>
    <x v="8"/>
    <x v="1"/>
  </r>
  <r>
    <x v="2"/>
    <x v="4"/>
    <x v="2"/>
    <x v="2"/>
    <x v="1"/>
    <x v="9"/>
    <n v="1"/>
    <x v="9"/>
    <x v="1"/>
  </r>
  <r>
    <x v="2"/>
    <x v="4"/>
    <x v="2"/>
    <x v="2"/>
    <x v="1"/>
    <x v="10"/>
    <n v="1"/>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10"/>
    <x v="0"/>
    <x v="0"/>
  </r>
  <r>
    <x v="2"/>
    <x v="5"/>
    <x v="0"/>
    <x v="0"/>
    <x v="0"/>
    <x v="1"/>
    <n v="13"/>
    <x v="1"/>
    <x v="1"/>
  </r>
  <r>
    <x v="2"/>
    <x v="5"/>
    <x v="0"/>
    <x v="0"/>
    <x v="0"/>
    <x v="2"/>
    <n v="11"/>
    <x v="2"/>
    <x v="1"/>
  </r>
  <r>
    <x v="2"/>
    <x v="5"/>
    <x v="0"/>
    <x v="0"/>
    <x v="0"/>
    <x v="3"/>
    <n v="13"/>
    <x v="3"/>
    <x v="1"/>
  </r>
  <r>
    <x v="2"/>
    <x v="5"/>
    <x v="0"/>
    <x v="0"/>
    <x v="0"/>
    <x v="4"/>
    <n v="17"/>
    <x v="4"/>
    <x v="1"/>
  </r>
  <r>
    <x v="2"/>
    <x v="5"/>
    <x v="0"/>
    <x v="0"/>
    <x v="0"/>
    <x v="5"/>
    <n v="23"/>
    <x v="5"/>
    <x v="0"/>
  </r>
  <r>
    <x v="2"/>
    <x v="5"/>
    <x v="0"/>
    <x v="0"/>
    <x v="0"/>
    <x v="6"/>
    <n v="13"/>
    <x v="6"/>
    <x v="0"/>
  </r>
  <r>
    <x v="2"/>
    <x v="5"/>
    <x v="0"/>
    <x v="0"/>
    <x v="0"/>
    <x v="7"/>
    <n v="11"/>
    <x v="7"/>
    <x v="0"/>
  </r>
  <r>
    <x v="2"/>
    <x v="5"/>
    <x v="0"/>
    <x v="0"/>
    <x v="1"/>
    <x v="8"/>
    <n v="16"/>
    <x v="8"/>
    <x v="1"/>
  </r>
  <r>
    <x v="2"/>
    <x v="5"/>
    <x v="0"/>
    <x v="0"/>
    <x v="1"/>
    <x v="9"/>
    <n v="17"/>
    <x v="9"/>
    <x v="1"/>
  </r>
  <r>
    <x v="2"/>
    <x v="5"/>
    <x v="0"/>
    <x v="0"/>
    <x v="1"/>
    <x v="10"/>
    <n v="21"/>
    <x v="10"/>
    <x v="1"/>
  </r>
  <r>
    <x v="2"/>
    <x v="5"/>
    <x v="0"/>
    <x v="0"/>
    <x v="1"/>
    <x v="11"/>
    <n v="15"/>
    <x v="11"/>
    <x v="1"/>
  </r>
  <r>
    <x v="2"/>
    <x v="5"/>
    <x v="0"/>
    <x v="0"/>
    <x v="2"/>
    <x v="12"/>
    <n v="25"/>
    <x v="12"/>
    <x v="0"/>
  </r>
  <r>
    <x v="2"/>
    <x v="5"/>
    <x v="0"/>
    <x v="0"/>
    <x v="2"/>
    <x v="13"/>
    <n v="16"/>
    <x v="13"/>
    <x v="0"/>
  </r>
  <r>
    <x v="2"/>
    <x v="5"/>
    <x v="0"/>
    <x v="0"/>
    <x v="2"/>
    <x v="14"/>
    <n v="10"/>
    <x v="14"/>
    <x v="1"/>
  </r>
  <r>
    <x v="2"/>
    <x v="5"/>
    <x v="0"/>
    <x v="0"/>
    <x v="2"/>
    <x v="15"/>
    <n v="15"/>
    <x v="15"/>
    <x v="1"/>
  </r>
  <r>
    <x v="2"/>
    <x v="5"/>
    <x v="0"/>
    <x v="0"/>
    <x v="2"/>
    <x v="16"/>
    <n v="19"/>
    <x v="16"/>
    <x v="1"/>
  </r>
  <r>
    <x v="2"/>
    <x v="5"/>
    <x v="0"/>
    <x v="0"/>
    <x v="2"/>
    <x v="17"/>
    <n v="19"/>
    <x v="17"/>
    <x v="1"/>
  </r>
  <r>
    <x v="2"/>
    <x v="5"/>
    <x v="0"/>
    <x v="0"/>
    <x v="2"/>
    <x v="18"/>
    <n v="21"/>
    <x v="18"/>
    <x v="0"/>
  </r>
  <r>
    <x v="2"/>
    <x v="5"/>
    <x v="0"/>
    <x v="0"/>
    <x v="2"/>
    <x v="19"/>
    <n v="14"/>
    <x v="19"/>
    <x v="0"/>
  </r>
  <r>
    <x v="2"/>
    <x v="5"/>
    <x v="0"/>
    <x v="1"/>
    <x v="0"/>
    <x v="0"/>
    <n v="6"/>
    <x v="0"/>
    <x v="0"/>
  </r>
  <r>
    <x v="2"/>
    <x v="5"/>
    <x v="0"/>
    <x v="1"/>
    <x v="0"/>
    <x v="1"/>
    <n v="5"/>
    <x v="1"/>
    <x v="1"/>
  </r>
  <r>
    <x v="2"/>
    <x v="5"/>
    <x v="0"/>
    <x v="1"/>
    <x v="0"/>
    <x v="2"/>
    <n v="6"/>
    <x v="2"/>
    <x v="1"/>
  </r>
  <r>
    <x v="2"/>
    <x v="5"/>
    <x v="0"/>
    <x v="1"/>
    <x v="0"/>
    <x v="3"/>
    <n v="9"/>
    <x v="3"/>
    <x v="1"/>
  </r>
  <r>
    <x v="2"/>
    <x v="5"/>
    <x v="0"/>
    <x v="1"/>
    <x v="0"/>
    <x v="4"/>
    <n v="3"/>
    <x v="4"/>
    <x v="1"/>
  </r>
  <r>
    <x v="2"/>
    <x v="5"/>
    <x v="0"/>
    <x v="1"/>
    <x v="0"/>
    <x v="5"/>
    <n v="4"/>
    <x v="5"/>
    <x v="0"/>
  </r>
  <r>
    <x v="2"/>
    <x v="5"/>
    <x v="0"/>
    <x v="1"/>
    <x v="0"/>
    <x v="6"/>
    <n v="7"/>
    <x v="6"/>
    <x v="0"/>
  </r>
  <r>
    <x v="2"/>
    <x v="5"/>
    <x v="0"/>
    <x v="1"/>
    <x v="0"/>
    <x v="7"/>
    <n v="5"/>
    <x v="7"/>
    <x v="0"/>
  </r>
  <r>
    <x v="2"/>
    <x v="5"/>
    <x v="0"/>
    <x v="1"/>
    <x v="1"/>
    <x v="8"/>
    <n v="5"/>
    <x v="8"/>
    <x v="1"/>
  </r>
  <r>
    <x v="2"/>
    <x v="5"/>
    <x v="0"/>
    <x v="1"/>
    <x v="1"/>
    <x v="9"/>
    <n v="9"/>
    <x v="9"/>
    <x v="1"/>
  </r>
  <r>
    <x v="2"/>
    <x v="5"/>
    <x v="0"/>
    <x v="1"/>
    <x v="1"/>
    <x v="10"/>
    <n v="10"/>
    <x v="10"/>
    <x v="1"/>
  </r>
  <r>
    <x v="2"/>
    <x v="5"/>
    <x v="0"/>
    <x v="1"/>
    <x v="1"/>
    <x v="11"/>
    <n v="6"/>
    <x v="11"/>
    <x v="1"/>
  </r>
  <r>
    <x v="2"/>
    <x v="5"/>
    <x v="0"/>
    <x v="1"/>
    <x v="2"/>
    <x v="12"/>
    <n v="2"/>
    <x v="12"/>
    <x v="0"/>
  </r>
  <r>
    <x v="2"/>
    <x v="5"/>
    <x v="0"/>
    <x v="1"/>
    <x v="2"/>
    <x v="13"/>
    <n v="2"/>
    <x v="13"/>
    <x v="0"/>
  </r>
  <r>
    <x v="2"/>
    <x v="5"/>
    <x v="0"/>
    <x v="1"/>
    <x v="2"/>
    <x v="14"/>
    <n v="1"/>
    <x v="14"/>
    <x v="1"/>
  </r>
  <r>
    <x v="2"/>
    <x v="5"/>
    <x v="0"/>
    <x v="1"/>
    <x v="2"/>
    <x v="15"/>
    <n v="0"/>
    <x v="15"/>
    <x v="1"/>
  </r>
  <r>
    <x v="2"/>
    <x v="5"/>
    <x v="0"/>
    <x v="1"/>
    <x v="2"/>
    <x v="16"/>
    <n v="0"/>
    <x v="16"/>
    <x v="1"/>
  </r>
  <r>
    <x v="2"/>
    <x v="5"/>
    <x v="0"/>
    <x v="1"/>
    <x v="2"/>
    <x v="17"/>
    <n v="0"/>
    <x v="17"/>
    <x v="1"/>
  </r>
  <r>
    <x v="2"/>
    <x v="5"/>
    <x v="0"/>
    <x v="1"/>
    <x v="2"/>
    <x v="18"/>
    <n v="3"/>
    <x v="18"/>
    <x v="0"/>
  </r>
  <r>
    <x v="2"/>
    <x v="5"/>
    <x v="0"/>
    <x v="1"/>
    <x v="2"/>
    <x v="19"/>
    <n v="0"/>
    <x v="19"/>
    <x v="0"/>
  </r>
  <r>
    <x v="2"/>
    <x v="5"/>
    <x v="0"/>
    <x v="2"/>
    <x v="0"/>
    <x v="0"/>
    <n v="0"/>
    <x v="0"/>
    <x v="0"/>
  </r>
  <r>
    <x v="2"/>
    <x v="5"/>
    <x v="0"/>
    <x v="2"/>
    <x v="0"/>
    <x v="1"/>
    <n v="0"/>
    <x v="1"/>
    <x v="1"/>
  </r>
  <r>
    <x v="2"/>
    <x v="5"/>
    <x v="0"/>
    <x v="2"/>
    <x v="0"/>
    <x v="2"/>
    <n v="0"/>
    <x v="2"/>
    <x v="1"/>
  </r>
  <r>
    <x v="2"/>
    <x v="5"/>
    <x v="0"/>
    <x v="2"/>
    <x v="0"/>
    <x v="3"/>
    <n v="1"/>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6"/>
        <item m="1" x="3"/>
        <item m="1" x="5"/>
        <item x="1"/>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38" sqref="G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44124</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100</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Broughs Road East</v>
      </c>
      <c r="C4" s="1" t="str">
        <f>Input!C31</f>
        <v>McLeans Island Road South</v>
      </c>
      <c r="D4" s="1" t="str">
        <f>Input!C42</f>
        <v>McLeans Island Road North</v>
      </c>
      <c r="E4" s="1">
        <f>Input!C53</f>
        <v>0</v>
      </c>
      <c r="F4" s="1">
        <f>Input!C64</f>
        <v>0</v>
      </c>
      <c r="G4" s="1">
        <f>Input!C75</f>
        <v>0</v>
      </c>
      <c r="H4" s="1">
        <f>Input!C86</f>
        <v>0</v>
      </c>
    </row>
    <row r="6" spans="2:8" x14ac:dyDescent="0.25">
      <c r="B6" t="s">
        <v>18</v>
      </c>
    </row>
    <row r="8" spans="2:8" x14ac:dyDescent="0.25">
      <c r="B8" s="1" t="str">
        <f>Input!C22</f>
        <v>Left into McLeans Island Road South</v>
      </c>
      <c r="C8" s="1" t="str">
        <f>Input!C33</f>
        <v>Thru to McLeans Island Road North</v>
      </c>
      <c r="D8" s="1" t="str">
        <f>Input!C44</f>
        <v>Left into Broughs Road East</v>
      </c>
      <c r="E8" s="1">
        <f>Input!C55</f>
        <v>0</v>
      </c>
      <c r="F8" s="1">
        <f>Input!C66</f>
        <v>0</v>
      </c>
      <c r="G8" s="1">
        <f>Input!C77</f>
        <v>0</v>
      </c>
      <c r="H8" s="1">
        <f>Input!C88</f>
        <v>0</v>
      </c>
    </row>
    <row r="9" spans="2:8" x14ac:dyDescent="0.25">
      <c r="B9" s="1" t="str">
        <f>Input!C23</f>
        <v>Right into McLeans Island Road North</v>
      </c>
      <c r="C9" s="1" t="str">
        <f>Input!C34</f>
        <v>Right into Broughs Road East</v>
      </c>
      <c r="D9" s="1" t="str">
        <f>Input!C45</f>
        <v>Thru to McLeans Island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McLeans Island Road South</v>
      </c>
      <c r="C18" s="1" t="str">
        <f>Input!E33</f>
        <v>McLeans Island Road North</v>
      </c>
      <c r="D18" s="1" t="str">
        <f>Input!E44</f>
        <v>Broughs Road East</v>
      </c>
      <c r="E18" s="1">
        <f>Input!E55</f>
        <v>0</v>
      </c>
      <c r="F18" s="1">
        <f>Input!E66</f>
        <v>0</v>
      </c>
      <c r="G18" s="1">
        <f>Input!E77</f>
        <v>0</v>
      </c>
      <c r="H18" s="1">
        <f>Input!E88</f>
        <v>0</v>
      </c>
    </row>
    <row r="19" spans="2:8" x14ac:dyDescent="0.25">
      <c r="B19" s="1" t="str">
        <f>Input!E23</f>
        <v>McLeans Island Road North</v>
      </c>
      <c r="C19" s="1" t="str">
        <f>Input!E34</f>
        <v>Broughs Road East</v>
      </c>
      <c r="D19" s="1" t="str">
        <f>Input!E45</f>
        <v>McLeans Island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101</v>
      </c>
      <c r="P6" s="17"/>
      <c r="Q6" s="19"/>
      <c r="R6" s="27" t="s">
        <v>100</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2</v>
      </c>
      <c r="D8">
        <v>0</v>
      </c>
      <c r="E8">
        <v>0</v>
      </c>
      <c r="F8" s="28">
        <v>101</v>
      </c>
      <c r="G8">
        <v>22</v>
      </c>
      <c r="H8">
        <v>0</v>
      </c>
      <c r="I8" s="31">
        <v>10</v>
      </c>
      <c r="J8">
        <v>3</v>
      </c>
      <c r="K8">
        <v>0</v>
      </c>
      <c r="L8" s="28">
        <v>4</v>
      </c>
      <c r="M8">
        <v>0</v>
      </c>
      <c r="N8">
        <v>0</v>
      </c>
      <c r="O8" s="31">
        <v>17</v>
      </c>
      <c r="P8">
        <v>6</v>
      </c>
      <c r="Q8">
        <v>0</v>
      </c>
      <c r="R8" s="28">
        <v>10</v>
      </c>
      <c r="S8">
        <v>6</v>
      </c>
      <c r="T8" s="34">
        <v>0</v>
      </c>
    </row>
    <row r="9" spans="1:20" x14ac:dyDescent="0.25">
      <c r="A9" s="2" t="s">
        <v>43</v>
      </c>
      <c r="B9" s="7">
        <v>0.30208333333333331</v>
      </c>
      <c r="C9" s="31">
        <v>1</v>
      </c>
      <c r="D9">
        <v>0</v>
      </c>
      <c r="E9">
        <v>0</v>
      </c>
      <c r="F9" s="28">
        <v>117</v>
      </c>
      <c r="G9">
        <v>11</v>
      </c>
      <c r="H9">
        <v>0</v>
      </c>
      <c r="I9" s="31">
        <v>14</v>
      </c>
      <c r="J9">
        <v>1</v>
      </c>
      <c r="K9">
        <v>0</v>
      </c>
      <c r="L9" s="28">
        <v>4</v>
      </c>
      <c r="M9">
        <v>1</v>
      </c>
      <c r="N9">
        <v>0</v>
      </c>
      <c r="O9" s="31">
        <v>16</v>
      </c>
      <c r="P9">
        <v>10</v>
      </c>
      <c r="Q9">
        <v>0</v>
      </c>
      <c r="R9" s="28">
        <v>13</v>
      </c>
      <c r="S9">
        <v>5</v>
      </c>
      <c r="T9" s="34">
        <v>0</v>
      </c>
    </row>
    <row r="10" spans="1:20" x14ac:dyDescent="0.25">
      <c r="A10" s="2" t="s">
        <v>43</v>
      </c>
      <c r="B10" s="7">
        <v>0.3125</v>
      </c>
      <c r="C10" s="31">
        <v>2</v>
      </c>
      <c r="D10">
        <v>0</v>
      </c>
      <c r="E10">
        <v>0</v>
      </c>
      <c r="F10" s="28">
        <v>120</v>
      </c>
      <c r="G10">
        <v>11</v>
      </c>
      <c r="H10">
        <v>0</v>
      </c>
      <c r="I10" s="31">
        <v>22</v>
      </c>
      <c r="J10">
        <v>2</v>
      </c>
      <c r="K10">
        <v>0</v>
      </c>
      <c r="L10" s="28">
        <v>3</v>
      </c>
      <c r="M10">
        <v>1</v>
      </c>
      <c r="N10">
        <v>0</v>
      </c>
      <c r="O10" s="31">
        <v>32</v>
      </c>
      <c r="P10">
        <v>11</v>
      </c>
      <c r="Q10">
        <v>0</v>
      </c>
      <c r="R10" s="28">
        <v>11</v>
      </c>
      <c r="S10">
        <v>6</v>
      </c>
      <c r="T10" s="34">
        <v>0</v>
      </c>
    </row>
    <row r="11" spans="1:20" x14ac:dyDescent="0.25">
      <c r="A11" s="2" t="s">
        <v>43</v>
      </c>
      <c r="B11" s="7">
        <v>0.32291666666666669</v>
      </c>
      <c r="C11" s="31">
        <v>3</v>
      </c>
      <c r="D11">
        <v>1</v>
      </c>
      <c r="E11">
        <v>0</v>
      </c>
      <c r="F11" s="28">
        <v>103</v>
      </c>
      <c r="G11">
        <v>21</v>
      </c>
      <c r="H11">
        <v>0</v>
      </c>
      <c r="I11" s="31">
        <v>33</v>
      </c>
      <c r="J11">
        <v>4</v>
      </c>
      <c r="K11">
        <v>1</v>
      </c>
      <c r="L11" s="28">
        <v>2</v>
      </c>
      <c r="M11">
        <v>1</v>
      </c>
      <c r="N11">
        <v>0</v>
      </c>
      <c r="O11" s="31">
        <v>20</v>
      </c>
      <c r="P11">
        <v>9</v>
      </c>
      <c r="Q11">
        <v>0</v>
      </c>
      <c r="R11" s="28">
        <v>13</v>
      </c>
      <c r="S11">
        <v>9</v>
      </c>
      <c r="T11" s="34">
        <v>1</v>
      </c>
    </row>
    <row r="12" spans="1:20" x14ac:dyDescent="0.25">
      <c r="A12" s="2" t="s">
        <v>43</v>
      </c>
      <c r="B12" s="7">
        <v>0.33333333333333331</v>
      </c>
      <c r="C12" s="31">
        <v>0</v>
      </c>
      <c r="D12">
        <v>0</v>
      </c>
      <c r="E12">
        <v>0</v>
      </c>
      <c r="F12" s="28">
        <v>70</v>
      </c>
      <c r="G12">
        <v>26</v>
      </c>
      <c r="H12">
        <v>0</v>
      </c>
      <c r="I12" s="31">
        <v>23</v>
      </c>
      <c r="J12">
        <v>2</v>
      </c>
      <c r="K12">
        <v>0</v>
      </c>
      <c r="L12" s="28">
        <v>1</v>
      </c>
      <c r="M12">
        <v>1</v>
      </c>
      <c r="N12">
        <v>0</v>
      </c>
      <c r="O12" s="31">
        <v>32</v>
      </c>
      <c r="P12">
        <v>24</v>
      </c>
      <c r="Q12">
        <v>1</v>
      </c>
      <c r="R12" s="28">
        <v>17</v>
      </c>
      <c r="S12">
        <v>3</v>
      </c>
      <c r="T12" s="34">
        <v>0</v>
      </c>
    </row>
    <row r="13" spans="1:20" x14ac:dyDescent="0.25">
      <c r="A13" s="2" t="s">
        <v>43</v>
      </c>
      <c r="B13" s="7">
        <v>0.34375</v>
      </c>
      <c r="C13" s="31">
        <v>4</v>
      </c>
      <c r="D13">
        <v>0</v>
      </c>
      <c r="E13">
        <v>0</v>
      </c>
      <c r="F13" s="28">
        <v>61</v>
      </c>
      <c r="G13">
        <v>16</v>
      </c>
      <c r="H13">
        <v>0</v>
      </c>
      <c r="I13" s="31">
        <v>28</v>
      </c>
      <c r="J13">
        <v>4</v>
      </c>
      <c r="K13">
        <v>0</v>
      </c>
      <c r="L13" s="28">
        <v>7</v>
      </c>
      <c r="M13">
        <v>2</v>
      </c>
      <c r="N13">
        <v>0</v>
      </c>
      <c r="O13" s="31">
        <v>24</v>
      </c>
      <c r="P13">
        <v>14</v>
      </c>
      <c r="Q13">
        <v>0</v>
      </c>
      <c r="R13" s="28">
        <v>23</v>
      </c>
      <c r="S13">
        <v>4</v>
      </c>
      <c r="T13" s="34">
        <v>0</v>
      </c>
    </row>
    <row r="14" spans="1:20" x14ac:dyDescent="0.25">
      <c r="A14" s="2" t="s">
        <v>43</v>
      </c>
      <c r="B14" s="7">
        <v>0.35416666666666669</v>
      </c>
      <c r="C14" s="31">
        <v>6</v>
      </c>
      <c r="D14">
        <v>0</v>
      </c>
      <c r="E14">
        <v>0</v>
      </c>
      <c r="F14" s="28">
        <v>73</v>
      </c>
      <c r="G14">
        <v>22</v>
      </c>
      <c r="H14">
        <v>0</v>
      </c>
      <c r="I14" s="31">
        <v>24</v>
      </c>
      <c r="J14">
        <v>6</v>
      </c>
      <c r="K14">
        <v>1</v>
      </c>
      <c r="L14" s="28">
        <v>1</v>
      </c>
      <c r="M14">
        <v>1</v>
      </c>
      <c r="N14">
        <v>0</v>
      </c>
      <c r="O14" s="31">
        <v>20</v>
      </c>
      <c r="P14">
        <v>10</v>
      </c>
      <c r="Q14">
        <v>0</v>
      </c>
      <c r="R14" s="28">
        <v>13</v>
      </c>
      <c r="S14">
        <v>7</v>
      </c>
      <c r="T14" s="34">
        <v>0</v>
      </c>
    </row>
    <row r="15" spans="1:20" ht="15.75" thickBot="1" x14ac:dyDescent="0.3">
      <c r="A15" s="2" t="s">
        <v>43</v>
      </c>
      <c r="B15" s="7">
        <v>0.36458333333333331</v>
      </c>
      <c r="C15" s="31">
        <v>3</v>
      </c>
      <c r="D15">
        <v>1</v>
      </c>
      <c r="E15">
        <v>0</v>
      </c>
      <c r="F15" s="28">
        <v>57</v>
      </c>
      <c r="G15">
        <v>15</v>
      </c>
      <c r="H15">
        <v>0</v>
      </c>
      <c r="I15" s="31">
        <v>19</v>
      </c>
      <c r="J15">
        <v>2</v>
      </c>
      <c r="K15">
        <v>1</v>
      </c>
      <c r="L15" s="28">
        <v>4</v>
      </c>
      <c r="M15">
        <v>1</v>
      </c>
      <c r="N15">
        <v>0</v>
      </c>
      <c r="O15" s="31">
        <v>22</v>
      </c>
      <c r="P15">
        <v>13</v>
      </c>
      <c r="Q15">
        <v>0</v>
      </c>
      <c r="R15" s="28">
        <v>11</v>
      </c>
      <c r="S15">
        <v>5</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2</v>
      </c>
      <c r="D17">
        <v>0</v>
      </c>
      <c r="E17">
        <v>0</v>
      </c>
      <c r="F17" s="28">
        <v>19</v>
      </c>
      <c r="G17">
        <v>18</v>
      </c>
      <c r="H17">
        <v>0</v>
      </c>
      <c r="I17" s="31">
        <v>15</v>
      </c>
      <c r="J17">
        <v>2</v>
      </c>
      <c r="K17">
        <v>1</v>
      </c>
      <c r="L17" s="28">
        <v>3</v>
      </c>
      <c r="M17">
        <v>1</v>
      </c>
      <c r="N17">
        <v>0</v>
      </c>
      <c r="O17" s="31">
        <v>15</v>
      </c>
      <c r="P17">
        <v>10</v>
      </c>
      <c r="Q17">
        <v>0</v>
      </c>
      <c r="R17" s="28">
        <v>16</v>
      </c>
      <c r="S17">
        <v>5</v>
      </c>
      <c r="T17" s="34">
        <v>0</v>
      </c>
    </row>
    <row r="18" spans="1:20" x14ac:dyDescent="0.25">
      <c r="A18" s="2" t="s">
        <v>91</v>
      </c>
      <c r="B18" s="7">
        <v>0.55208333333333337</v>
      </c>
      <c r="C18" s="31">
        <v>1</v>
      </c>
      <c r="D18">
        <v>0</v>
      </c>
      <c r="E18">
        <v>0</v>
      </c>
      <c r="F18" s="28">
        <v>23</v>
      </c>
      <c r="G18">
        <v>18</v>
      </c>
      <c r="H18">
        <v>0</v>
      </c>
      <c r="I18" s="31">
        <v>5</v>
      </c>
      <c r="J18">
        <v>6</v>
      </c>
      <c r="K18">
        <v>0</v>
      </c>
      <c r="L18" s="28">
        <v>5</v>
      </c>
      <c r="M18">
        <v>1</v>
      </c>
      <c r="N18">
        <v>0</v>
      </c>
      <c r="O18" s="31">
        <v>20</v>
      </c>
      <c r="P18">
        <v>10</v>
      </c>
      <c r="Q18">
        <v>1</v>
      </c>
      <c r="R18" s="28">
        <v>17</v>
      </c>
      <c r="S18">
        <v>9</v>
      </c>
      <c r="T18" s="34">
        <v>0</v>
      </c>
    </row>
    <row r="19" spans="1:20" x14ac:dyDescent="0.25">
      <c r="A19" s="2" t="s">
        <v>91</v>
      </c>
      <c r="B19" s="7">
        <v>0.5625</v>
      </c>
      <c r="C19" s="31">
        <v>1</v>
      </c>
      <c r="D19">
        <v>0</v>
      </c>
      <c r="E19">
        <v>0</v>
      </c>
      <c r="F19" s="28">
        <v>24</v>
      </c>
      <c r="G19">
        <v>10</v>
      </c>
      <c r="H19">
        <v>0</v>
      </c>
      <c r="I19" s="31">
        <v>9</v>
      </c>
      <c r="J19">
        <v>2</v>
      </c>
      <c r="K19">
        <v>0</v>
      </c>
      <c r="L19" s="28">
        <v>3</v>
      </c>
      <c r="M19">
        <v>0</v>
      </c>
      <c r="N19">
        <v>0</v>
      </c>
      <c r="O19" s="31">
        <v>26</v>
      </c>
      <c r="P19">
        <v>17</v>
      </c>
      <c r="Q19">
        <v>1</v>
      </c>
      <c r="R19" s="28">
        <v>21</v>
      </c>
      <c r="S19">
        <v>10</v>
      </c>
      <c r="T19" s="34">
        <v>0</v>
      </c>
    </row>
    <row r="20" spans="1:20" ht="15.75" thickBot="1" x14ac:dyDescent="0.3">
      <c r="A20" s="2" t="s">
        <v>91</v>
      </c>
      <c r="B20" s="7">
        <v>0.57291666666666663</v>
      </c>
      <c r="C20" s="31">
        <v>1</v>
      </c>
      <c r="D20">
        <v>0</v>
      </c>
      <c r="E20">
        <v>0</v>
      </c>
      <c r="F20" s="28">
        <v>20</v>
      </c>
      <c r="G20">
        <v>14</v>
      </c>
      <c r="H20">
        <v>0</v>
      </c>
      <c r="I20" s="31">
        <v>21</v>
      </c>
      <c r="J20">
        <v>0</v>
      </c>
      <c r="K20">
        <v>0</v>
      </c>
      <c r="L20" s="28">
        <v>6</v>
      </c>
      <c r="M20">
        <v>1</v>
      </c>
      <c r="N20">
        <v>0</v>
      </c>
      <c r="O20" s="31">
        <v>26</v>
      </c>
      <c r="P20">
        <v>5</v>
      </c>
      <c r="Q20">
        <v>0</v>
      </c>
      <c r="R20" s="28">
        <v>15</v>
      </c>
      <c r="S20">
        <v>6</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v>
      </c>
      <c r="D22">
        <v>0</v>
      </c>
      <c r="E22">
        <v>0</v>
      </c>
      <c r="F22" s="28">
        <v>35</v>
      </c>
      <c r="G22">
        <v>14</v>
      </c>
      <c r="H22">
        <v>0</v>
      </c>
      <c r="I22" s="31">
        <v>22</v>
      </c>
      <c r="J22">
        <v>4</v>
      </c>
      <c r="K22">
        <v>0</v>
      </c>
      <c r="L22" s="28">
        <v>5</v>
      </c>
      <c r="M22">
        <v>3</v>
      </c>
      <c r="N22">
        <v>0</v>
      </c>
      <c r="O22" s="31">
        <v>124</v>
      </c>
      <c r="P22">
        <v>12</v>
      </c>
      <c r="Q22">
        <v>0</v>
      </c>
      <c r="R22" s="28">
        <v>25</v>
      </c>
      <c r="S22">
        <v>2</v>
      </c>
      <c r="T22" s="34">
        <v>0</v>
      </c>
    </row>
    <row r="23" spans="1:20" x14ac:dyDescent="0.25">
      <c r="A23" s="2" t="s">
        <v>44</v>
      </c>
      <c r="B23" s="7">
        <v>0.67708333333333337</v>
      </c>
      <c r="C23" s="31">
        <v>1</v>
      </c>
      <c r="D23">
        <v>0</v>
      </c>
      <c r="E23">
        <v>0</v>
      </c>
      <c r="F23" s="28">
        <v>34</v>
      </c>
      <c r="G23">
        <v>11</v>
      </c>
      <c r="H23">
        <v>0</v>
      </c>
      <c r="I23" s="31">
        <v>19</v>
      </c>
      <c r="J23">
        <v>1</v>
      </c>
      <c r="K23">
        <v>0</v>
      </c>
      <c r="L23" s="28">
        <v>14</v>
      </c>
      <c r="M23">
        <v>1</v>
      </c>
      <c r="N23">
        <v>0</v>
      </c>
      <c r="O23" s="31">
        <v>115</v>
      </c>
      <c r="P23">
        <v>9</v>
      </c>
      <c r="Q23">
        <v>0</v>
      </c>
      <c r="R23" s="28">
        <v>16</v>
      </c>
      <c r="S23">
        <v>2</v>
      </c>
      <c r="T23" s="34">
        <v>0</v>
      </c>
    </row>
    <row r="24" spans="1:20" x14ac:dyDescent="0.25">
      <c r="A24" s="2" t="s">
        <v>44</v>
      </c>
      <c r="B24" s="7">
        <v>0.6875</v>
      </c>
      <c r="C24" s="31">
        <v>1</v>
      </c>
      <c r="D24">
        <v>0</v>
      </c>
      <c r="E24">
        <v>0</v>
      </c>
      <c r="F24" s="28">
        <v>57</v>
      </c>
      <c r="G24">
        <v>8</v>
      </c>
      <c r="H24">
        <v>0</v>
      </c>
      <c r="I24" s="31">
        <v>20</v>
      </c>
      <c r="J24">
        <v>1</v>
      </c>
      <c r="K24">
        <v>1</v>
      </c>
      <c r="L24" s="28">
        <v>22</v>
      </c>
      <c r="M24">
        <v>1</v>
      </c>
      <c r="N24">
        <v>0</v>
      </c>
      <c r="O24" s="31">
        <v>131</v>
      </c>
      <c r="P24">
        <v>13</v>
      </c>
      <c r="Q24">
        <v>0</v>
      </c>
      <c r="R24" s="28">
        <v>10</v>
      </c>
      <c r="S24">
        <v>1</v>
      </c>
      <c r="T24" s="34">
        <v>0</v>
      </c>
    </row>
    <row r="25" spans="1:20" x14ac:dyDescent="0.25">
      <c r="A25" s="2" t="s">
        <v>44</v>
      </c>
      <c r="B25" s="7">
        <v>0.69791666666666663</v>
      </c>
      <c r="C25" s="31">
        <v>1</v>
      </c>
      <c r="D25">
        <v>0</v>
      </c>
      <c r="E25">
        <v>0</v>
      </c>
      <c r="F25" s="28">
        <v>56</v>
      </c>
      <c r="G25">
        <v>4</v>
      </c>
      <c r="H25">
        <v>0</v>
      </c>
      <c r="I25" s="31">
        <v>25</v>
      </c>
      <c r="J25">
        <v>2</v>
      </c>
      <c r="K25">
        <v>2</v>
      </c>
      <c r="L25" s="28">
        <v>29</v>
      </c>
      <c r="M25">
        <v>1</v>
      </c>
      <c r="N25">
        <v>0</v>
      </c>
      <c r="O25" s="31">
        <v>132</v>
      </c>
      <c r="P25">
        <v>7</v>
      </c>
      <c r="Q25">
        <v>0</v>
      </c>
      <c r="R25" s="28">
        <v>15</v>
      </c>
      <c r="S25">
        <v>0</v>
      </c>
      <c r="T25" s="34">
        <v>0</v>
      </c>
    </row>
    <row r="26" spans="1:20" x14ac:dyDescent="0.25">
      <c r="A26" s="2" t="s">
        <v>44</v>
      </c>
      <c r="B26" s="7">
        <v>0.70833333333333337</v>
      </c>
      <c r="C26" s="31">
        <v>1</v>
      </c>
      <c r="D26">
        <v>0</v>
      </c>
      <c r="E26">
        <v>0</v>
      </c>
      <c r="F26" s="28">
        <v>65</v>
      </c>
      <c r="G26">
        <v>7</v>
      </c>
      <c r="H26">
        <v>0</v>
      </c>
      <c r="I26" s="31">
        <v>32</v>
      </c>
      <c r="J26">
        <v>1</v>
      </c>
      <c r="K26">
        <v>0</v>
      </c>
      <c r="L26" s="28">
        <v>32</v>
      </c>
      <c r="M26">
        <v>1</v>
      </c>
      <c r="N26">
        <v>0</v>
      </c>
      <c r="O26" s="31">
        <v>146</v>
      </c>
      <c r="P26">
        <v>11</v>
      </c>
      <c r="Q26">
        <v>0</v>
      </c>
      <c r="R26" s="28">
        <v>19</v>
      </c>
      <c r="S26">
        <v>0</v>
      </c>
      <c r="T26" s="34">
        <v>0</v>
      </c>
    </row>
    <row r="27" spans="1:20" x14ac:dyDescent="0.25">
      <c r="A27" s="2" t="s">
        <v>44</v>
      </c>
      <c r="B27" s="7">
        <v>0.71875</v>
      </c>
      <c r="C27" s="31">
        <v>1</v>
      </c>
      <c r="D27">
        <v>0</v>
      </c>
      <c r="E27">
        <v>0</v>
      </c>
      <c r="F27" s="28">
        <v>47</v>
      </c>
      <c r="G27">
        <v>5</v>
      </c>
      <c r="H27">
        <v>0</v>
      </c>
      <c r="I27" s="31">
        <v>23</v>
      </c>
      <c r="J27">
        <v>0</v>
      </c>
      <c r="K27">
        <v>0</v>
      </c>
      <c r="L27" s="28">
        <v>16</v>
      </c>
      <c r="M27">
        <v>2</v>
      </c>
      <c r="N27">
        <v>0</v>
      </c>
      <c r="O27" s="31">
        <v>148</v>
      </c>
      <c r="P27">
        <v>4</v>
      </c>
      <c r="Q27">
        <v>0</v>
      </c>
      <c r="R27" s="28">
        <v>19</v>
      </c>
      <c r="S27">
        <v>0</v>
      </c>
      <c r="T27" s="34">
        <v>0</v>
      </c>
    </row>
    <row r="28" spans="1:20" x14ac:dyDescent="0.25">
      <c r="A28" s="2" t="s">
        <v>44</v>
      </c>
      <c r="B28" s="7">
        <v>0.72916666666666663</v>
      </c>
      <c r="C28" s="31">
        <v>1</v>
      </c>
      <c r="D28">
        <v>0</v>
      </c>
      <c r="E28">
        <v>0</v>
      </c>
      <c r="F28" s="28">
        <v>34</v>
      </c>
      <c r="G28">
        <v>5</v>
      </c>
      <c r="H28">
        <v>0</v>
      </c>
      <c r="I28" s="31">
        <v>12</v>
      </c>
      <c r="J28">
        <v>0</v>
      </c>
      <c r="K28">
        <v>0</v>
      </c>
      <c r="L28" s="28">
        <v>14</v>
      </c>
      <c r="M28">
        <v>0</v>
      </c>
      <c r="N28">
        <v>0</v>
      </c>
      <c r="O28" s="31">
        <v>114</v>
      </c>
      <c r="P28">
        <v>4</v>
      </c>
      <c r="Q28">
        <v>0</v>
      </c>
      <c r="R28" s="28">
        <v>21</v>
      </c>
      <c r="S28">
        <v>3</v>
      </c>
      <c r="T28" s="34">
        <v>0</v>
      </c>
    </row>
    <row r="29" spans="1:20" ht="15.75" thickBot="1" x14ac:dyDescent="0.3">
      <c r="A29" s="21" t="s">
        <v>44</v>
      </c>
      <c r="B29" s="48">
        <v>0.73958333333333337</v>
      </c>
      <c r="C29" s="39">
        <v>2</v>
      </c>
      <c r="D29" s="38">
        <v>0</v>
      </c>
      <c r="E29" s="38">
        <v>0</v>
      </c>
      <c r="F29" s="40">
        <v>26</v>
      </c>
      <c r="G29" s="38">
        <v>8</v>
      </c>
      <c r="H29" s="38">
        <v>0</v>
      </c>
      <c r="I29" s="39">
        <v>10</v>
      </c>
      <c r="J29" s="38">
        <v>0</v>
      </c>
      <c r="K29" s="38">
        <v>0</v>
      </c>
      <c r="L29" s="40">
        <v>7</v>
      </c>
      <c r="M29" s="38">
        <v>1</v>
      </c>
      <c r="N29" s="38">
        <v>0</v>
      </c>
      <c r="O29" s="39">
        <v>63</v>
      </c>
      <c r="P29" s="38">
        <v>4</v>
      </c>
      <c r="Q29" s="38">
        <v>0</v>
      </c>
      <c r="R29" s="40">
        <v>14</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2</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4</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6</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3</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2</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0</v>
      </c>
      <c r="H23" s="6">
        <f>FLOOR(tblPivotData[[#This Row],[Time]],Summary!$B$6/1440)</f>
        <v>0.30208333333333331</v>
      </c>
      <c r="I23" s="49">
        <f>INDEX(PeakCalc!$L$10:$L$303,MATCH(tblPivotData[[#This Row],[Time]],PeakCalc!$G$10:$G$303,0))</f>
        <v>1</v>
      </c>
    </row>
    <row r="24" spans="1:9" x14ac:dyDescent="0.25">
      <c r="A24" t="s">
        <v>93</v>
      </c>
      <c r="B24" t="s">
        <v>96</v>
      </c>
      <c r="C24" t="s">
        <v>94</v>
      </c>
      <c r="D24" t="s">
        <v>90</v>
      </c>
      <c r="E24" t="s">
        <v>43</v>
      </c>
      <c r="F24" s="6">
        <v>0.3125</v>
      </c>
      <c r="G24">
        <v>0</v>
      </c>
      <c r="H24" s="6">
        <f>FLOOR(tblPivotData[[#This Row],[Time]],Summary!$B$6/1440)</f>
        <v>0.3125</v>
      </c>
      <c r="I24" s="49">
        <f>INDEX(PeakCalc!$L$10:$L$303,MATCH(tblPivotData[[#This Row],[Time]],PeakCalc!$G$10:$G$303,0))</f>
        <v>1</v>
      </c>
    </row>
    <row r="25" spans="1:9" x14ac:dyDescent="0.25">
      <c r="A25" t="s">
        <v>93</v>
      </c>
      <c r="B25" t="s">
        <v>96</v>
      </c>
      <c r="C25" t="s">
        <v>94</v>
      </c>
      <c r="D25" t="s">
        <v>90</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0</v>
      </c>
      <c r="H27" s="6">
        <f>FLOOR(tblPivotData[[#This Row],[Time]],Summary!$B$6/1440)</f>
        <v>0.34375</v>
      </c>
      <c r="I27" s="49">
        <f>INDEX(PeakCalc!$L$10:$L$303,MATCH(tblPivotData[[#This Row],[Time]],PeakCalc!$G$10:$G$303,0))</f>
        <v>0</v>
      </c>
    </row>
    <row r="28" spans="1:9" x14ac:dyDescent="0.25">
      <c r="A28" t="s">
        <v>93</v>
      </c>
      <c r="B28" t="s">
        <v>96</v>
      </c>
      <c r="C28" t="s">
        <v>94</v>
      </c>
      <c r="D28" t="s">
        <v>90</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96</v>
      </c>
      <c r="C29" t="s">
        <v>94</v>
      </c>
      <c r="D29" t="s">
        <v>90</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0</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101</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117</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120</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103</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70</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61</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73</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57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23</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24</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20</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34</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57</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56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65</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47</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34</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26</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22</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11</v>
      </c>
      <c r="H83" s="6">
        <f>FLOOR(tblPivotData[[#This Row],[Time]],Summary!$B$6/1440)</f>
        <v>0.30208333333333331</v>
      </c>
      <c r="I83" s="49">
        <f>INDEX(PeakCalc!$L$10:$L$303,MATCH(tblPivotData[[#This Row],[Time]],PeakCalc!$G$10:$G$303,0))</f>
        <v>1</v>
      </c>
    </row>
    <row r="84" spans="1:9" x14ac:dyDescent="0.25">
      <c r="A84" t="s">
        <v>93</v>
      </c>
      <c r="B84" t="s">
        <v>97</v>
      </c>
      <c r="C84" t="s">
        <v>95</v>
      </c>
      <c r="D84" t="s">
        <v>90</v>
      </c>
      <c r="E84" t="s">
        <v>43</v>
      </c>
      <c r="F84" s="6">
        <v>0.3125</v>
      </c>
      <c r="G84">
        <v>11</v>
      </c>
      <c r="H84" s="6">
        <f>FLOOR(tblPivotData[[#This Row],[Time]],Summary!$B$6/1440)</f>
        <v>0.3125</v>
      </c>
      <c r="I84" s="49">
        <f>INDEX(PeakCalc!$L$10:$L$303,MATCH(tblPivotData[[#This Row],[Time]],PeakCalc!$G$10:$G$303,0))</f>
        <v>1</v>
      </c>
    </row>
    <row r="85" spans="1:9" x14ac:dyDescent="0.25">
      <c r="A85" t="s">
        <v>93</v>
      </c>
      <c r="B85" t="s">
        <v>97</v>
      </c>
      <c r="C85" t="s">
        <v>95</v>
      </c>
      <c r="D85" t="s">
        <v>90</v>
      </c>
      <c r="E85" t="s">
        <v>43</v>
      </c>
      <c r="F85" s="6">
        <v>0.32291666666666669</v>
      </c>
      <c r="G85">
        <v>21</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26</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16</v>
      </c>
      <c r="H87" s="6">
        <f>FLOOR(tblPivotData[[#This Row],[Time]],Summary!$B$6/1440)</f>
        <v>0.34375</v>
      </c>
      <c r="I87" s="49">
        <f>INDEX(PeakCalc!$L$10:$L$303,MATCH(tblPivotData[[#This Row],[Time]],PeakCalc!$G$10:$G$303,0))</f>
        <v>0</v>
      </c>
    </row>
    <row r="88" spans="1:9" x14ac:dyDescent="0.25">
      <c r="A88" t="s">
        <v>93</v>
      </c>
      <c r="B88" t="s">
        <v>97</v>
      </c>
      <c r="C88" t="s">
        <v>95</v>
      </c>
      <c r="D88" t="s">
        <v>90</v>
      </c>
      <c r="E88" t="s">
        <v>43</v>
      </c>
      <c r="F88" s="6">
        <v>0.35416666666666669</v>
      </c>
      <c r="G88">
        <v>22</v>
      </c>
      <c r="H88" s="6">
        <f>FLOOR(tblPivotData[[#This Row],[Time]],Summary!$B$6/1440)</f>
        <v>0.35416666666666663</v>
      </c>
      <c r="I88" s="49">
        <f>INDEX(PeakCalc!$L$10:$L$303,MATCH(tblPivotData[[#This Row],[Time]],PeakCalc!$G$10:$G$303,0))</f>
        <v>0</v>
      </c>
    </row>
    <row r="89" spans="1:9" x14ac:dyDescent="0.25">
      <c r="A89" t="s">
        <v>93</v>
      </c>
      <c r="B89" t="s">
        <v>97</v>
      </c>
      <c r="C89" t="s">
        <v>95</v>
      </c>
      <c r="D89" t="s">
        <v>90</v>
      </c>
      <c r="E89" t="s">
        <v>43</v>
      </c>
      <c r="F89" s="6">
        <v>0.36458333333333331</v>
      </c>
      <c r="G89">
        <v>15</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18</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18</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10</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14</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14</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11</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8</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7</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5</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5</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8</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97</v>
      </c>
      <c r="C104" t="s">
        <v>95</v>
      </c>
      <c r="D104" t="s">
        <v>88</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14</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22</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33</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23</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28</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24</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19</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15</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5</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9</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21</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22</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19</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20</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25</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32</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23</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12</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10</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1</v>
      </c>
      <c r="H143" s="6">
        <f>FLOOR(tblPivotData[[#This Row],[Time]],Summary!$B$6/1440)</f>
        <v>0.30208333333333331</v>
      </c>
      <c r="I143" s="49">
        <f>INDEX(PeakCalc!$L$10:$L$303,MATCH(tblPivotData[[#This Row],[Time]],PeakCalc!$G$10:$G$303,0))</f>
        <v>1</v>
      </c>
    </row>
    <row r="144" spans="1:9" x14ac:dyDescent="0.25">
      <c r="A144" t="s">
        <v>94</v>
      </c>
      <c r="B144" t="s">
        <v>98</v>
      </c>
      <c r="C144" t="s">
        <v>95</v>
      </c>
      <c r="D144" t="s">
        <v>90</v>
      </c>
      <c r="E144" t="s">
        <v>43</v>
      </c>
      <c r="F144" s="6">
        <v>0.3125</v>
      </c>
      <c r="G144">
        <v>2</v>
      </c>
      <c r="H144" s="6">
        <f>FLOOR(tblPivotData[[#This Row],[Time]],Summary!$B$6/1440)</f>
        <v>0.3125</v>
      </c>
      <c r="I144" s="49">
        <f>INDEX(PeakCalc!$L$10:$L$303,MATCH(tblPivotData[[#This Row],[Time]],PeakCalc!$G$10:$G$303,0))</f>
        <v>1</v>
      </c>
    </row>
    <row r="145" spans="1:9" x14ac:dyDescent="0.25">
      <c r="A145" t="s">
        <v>94</v>
      </c>
      <c r="B145" t="s">
        <v>98</v>
      </c>
      <c r="C145" t="s">
        <v>95</v>
      </c>
      <c r="D145" t="s">
        <v>90</v>
      </c>
      <c r="E145" t="s">
        <v>43</v>
      </c>
      <c r="F145" s="6">
        <v>0.32291666666666669</v>
      </c>
      <c r="G145">
        <v>4</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4</v>
      </c>
      <c r="H147" s="6">
        <f>FLOOR(tblPivotData[[#This Row],[Time]],Summary!$B$6/1440)</f>
        <v>0.34375</v>
      </c>
      <c r="I147" s="49">
        <f>INDEX(PeakCalc!$L$10:$L$303,MATCH(tblPivotData[[#This Row],[Time]],PeakCalc!$G$10:$G$303,0))</f>
        <v>0</v>
      </c>
    </row>
    <row r="148" spans="1:9" x14ac:dyDescent="0.25">
      <c r="A148" t="s">
        <v>94</v>
      </c>
      <c r="B148" t="s">
        <v>98</v>
      </c>
      <c r="C148" t="s">
        <v>95</v>
      </c>
      <c r="D148" t="s">
        <v>90</v>
      </c>
      <c r="E148" t="s">
        <v>43</v>
      </c>
      <c r="F148" s="6">
        <v>0.35416666666666669</v>
      </c>
      <c r="G148">
        <v>6</v>
      </c>
      <c r="H148" s="6">
        <f>FLOOR(tblPivotData[[#This Row],[Time]],Summary!$B$6/1440)</f>
        <v>0.35416666666666663</v>
      </c>
      <c r="I148" s="49">
        <f>INDEX(PeakCalc!$L$10:$L$303,MATCH(tblPivotData[[#This Row],[Time]],PeakCalc!$G$10:$G$303,0))</f>
        <v>0</v>
      </c>
    </row>
    <row r="149" spans="1:9" x14ac:dyDescent="0.25">
      <c r="A149" t="s">
        <v>94</v>
      </c>
      <c r="B149" t="s">
        <v>98</v>
      </c>
      <c r="C149" t="s">
        <v>95</v>
      </c>
      <c r="D149" t="s">
        <v>90</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6</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88</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0</v>
      </c>
      <c r="H167" s="6">
        <f>FLOOR(tblPivotData[[#This Row],[Time]],Summary!$B$6/1440)</f>
        <v>0.34375</v>
      </c>
      <c r="I167" s="49">
        <f>INDEX(PeakCalc!$L$10:$L$303,MATCH(tblPivotData[[#This Row],[Time]],PeakCalc!$G$10:$G$303,0))</f>
        <v>0</v>
      </c>
    </row>
    <row r="168" spans="1:9" x14ac:dyDescent="0.25">
      <c r="A168" t="s">
        <v>94</v>
      </c>
      <c r="B168" t="s">
        <v>98</v>
      </c>
      <c r="C168" t="s">
        <v>95</v>
      </c>
      <c r="D168" t="s">
        <v>88</v>
      </c>
      <c r="E168" t="s">
        <v>43</v>
      </c>
      <c r="F168" s="6">
        <v>0.35416666666666669</v>
      </c>
      <c r="G168">
        <v>1</v>
      </c>
      <c r="H168" s="6">
        <f>FLOOR(tblPivotData[[#This Row],[Time]],Summary!$B$6/1440)</f>
        <v>0.35416666666666663</v>
      </c>
      <c r="I168" s="49">
        <f>INDEX(PeakCalc!$L$10:$L$303,MATCH(tblPivotData[[#This Row],[Time]],PeakCalc!$G$10:$G$303,0))</f>
        <v>0</v>
      </c>
    </row>
    <row r="169" spans="1:9" x14ac:dyDescent="0.25">
      <c r="A169" t="s">
        <v>94</v>
      </c>
      <c r="B169" t="s">
        <v>98</v>
      </c>
      <c r="C169" t="s">
        <v>95</v>
      </c>
      <c r="D169" t="s">
        <v>88</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2</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4</v>
      </c>
      <c r="H183" s="6">
        <f>FLOOR(tblPivotData[[#This Row],[Time]],Summary!$B$6/1440)</f>
        <v>0.30208333333333331</v>
      </c>
      <c r="I183" s="49">
        <f>INDEX(PeakCalc!$L$10:$L$303,MATCH(tblPivotData[[#This Row],[Time]],PeakCalc!$G$10:$G$303,0))</f>
        <v>1</v>
      </c>
    </row>
    <row r="184" spans="1:9" x14ac:dyDescent="0.25">
      <c r="A184" t="s">
        <v>94</v>
      </c>
      <c r="B184" t="s">
        <v>99</v>
      </c>
      <c r="C184" t="s">
        <v>93</v>
      </c>
      <c r="D184" t="s">
        <v>79</v>
      </c>
      <c r="E184" t="s">
        <v>43</v>
      </c>
      <c r="F184" s="6">
        <v>0.3125</v>
      </c>
      <c r="G184">
        <v>3</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7</v>
      </c>
      <c r="H187" s="6">
        <f>FLOOR(tblPivotData[[#This Row],[Time]],Summary!$B$6/1440)</f>
        <v>0.34375</v>
      </c>
      <c r="I187" s="49">
        <f>INDEX(PeakCalc!$L$10:$L$303,MATCH(tblPivotData[[#This Row],[Time]],PeakCalc!$G$10:$G$303,0))</f>
        <v>0</v>
      </c>
    </row>
    <row r="188" spans="1:9" x14ac:dyDescent="0.25">
      <c r="A188" t="s">
        <v>94</v>
      </c>
      <c r="B188" t="s">
        <v>99</v>
      </c>
      <c r="C188" t="s">
        <v>93</v>
      </c>
      <c r="D188" t="s">
        <v>79</v>
      </c>
      <c r="E188" t="s">
        <v>43</v>
      </c>
      <c r="F188" s="6">
        <v>0.35416666666666669</v>
      </c>
      <c r="G188">
        <v>1</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4</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3</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5</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3</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14</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22</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29</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32</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16</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1</v>
      </c>
      <c r="H203" s="6">
        <f>FLOOR(tblPivotData[[#This Row],[Time]],Summary!$B$6/1440)</f>
        <v>0.30208333333333331</v>
      </c>
      <c r="I203" s="49">
        <f>INDEX(PeakCalc!$L$10:$L$303,MATCH(tblPivotData[[#This Row],[Time]],PeakCalc!$G$10:$G$303,0))</f>
        <v>1</v>
      </c>
    </row>
    <row r="204" spans="1:9" x14ac:dyDescent="0.25">
      <c r="A204" t="s">
        <v>94</v>
      </c>
      <c r="B204" t="s">
        <v>99</v>
      </c>
      <c r="C204" t="s">
        <v>93</v>
      </c>
      <c r="D204" t="s">
        <v>90</v>
      </c>
      <c r="E204" t="s">
        <v>43</v>
      </c>
      <c r="F204" s="6">
        <v>0.3125</v>
      </c>
      <c r="G204">
        <v>1</v>
      </c>
      <c r="H204" s="6">
        <f>FLOOR(tblPivotData[[#This Row],[Time]],Summary!$B$6/1440)</f>
        <v>0.3125</v>
      </c>
      <c r="I204" s="49">
        <f>INDEX(PeakCalc!$L$10:$L$303,MATCH(tblPivotData[[#This Row],[Time]],PeakCalc!$G$10:$G$303,0))</f>
        <v>1</v>
      </c>
    </row>
    <row r="205" spans="1:9" x14ac:dyDescent="0.25">
      <c r="A205" t="s">
        <v>94</v>
      </c>
      <c r="B205" t="s">
        <v>99</v>
      </c>
      <c r="C205" t="s">
        <v>93</v>
      </c>
      <c r="D205" t="s">
        <v>90</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2</v>
      </c>
      <c r="H207" s="6">
        <f>FLOOR(tblPivotData[[#This Row],[Time]],Summary!$B$6/1440)</f>
        <v>0.34375</v>
      </c>
      <c r="I207" s="49">
        <f>INDEX(PeakCalc!$L$10:$L$303,MATCH(tblPivotData[[#This Row],[Time]],PeakCalc!$G$10:$G$303,0))</f>
        <v>0</v>
      </c>
    </row>
    <row r="208" spans="1:9" x14ac:dyDescent="0.25">
      <c r="A208" t="s">
        <v>94</v>
      </c>
      <c r="B208" t="s">
        <v>99</v>
      </c>
      <c r="C208" t="s">
        <v>93</v>
      </c>
      <c r="D208" t="s">
        <v>90</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94</v>
      </c>
      <c r="B209" t="s">
        <v>99</v>
      </c>
      <c r="C209" t="s">
        <v>93</v>
      </c>
      <c r="D209" t="s">
        <v>90</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3</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101</v>
      </c>
      <c r="C242" t="s">
        <v>93</v>
      </c>
      <c r="D242" t="s">
        <v>79</v>
      </c>
      <c r="E242" t="s">
        <v>43</v>
      </c>
      <c r="F242" s="6">
        <v>0.29166666666666669</v>
      </c>
      <c r="G242">
        <v>17</v>
      </c>
      <c r="H242" s="6">
        <f>FLOOR(tblPivotData[[#This Row],[Time]],Summary!$B$6/1440)</f>
        <v>0.29166666666666663</v>
      </c>
      <c r="I242" s="49">
        <f>INDEX(PeakCalc!$L$10:$L$303,MATCH(tblPivotData[[#This Row],[Time]],PeakCalc!$G$10:$G$303,0))</f>
        <v>0</v>
      </c>
    </row>
    <row r="243" spans="1:9" x14ac:dyDescent="0.25">
      <c r="A243" t="s">
        <v>95</v>
      </c>
      <c r="B243" t="s">
        <v>101</v>
      </c>
      <c r="C243" t="s">
        <v>93</v>
      </c>
      <c r="D243" t="s">
        <v>79</v>
      </c>
      <c r="E243" t="s">
        <v>43</v>
      </c>
      <c r="F243" s="6">
        <v>0.30208333333333331</v>
      </c>
      <c r="G243">
        <v>16</v>
      </c>
      <c r="H243" s="6">
        <f>FLOOR(tblPivotData[[#This Row],[Time]],Summary!$B$6/1440)</f>
        <v>0.30208333333333331</v>
      </c>
      <c r="I243" s="49">
        <f>INDEX(PeakCalc!$L$10:$L$303,MATCH(tblPivotData[[#This Row],[Time]],PeakCalc!$G$10:$G$303,0))</f>
        <v>1</v>
      </c>
    </row>
    <row r="244" spans="1:9" x14ac:dyDescent="0.25">
      <c r="A244" t="s">
        <v>95</v>
      </c>
      <c r="B244" t="s">
        <v>101</v>
      </c>
      <c r="C244" t="s">
        <v>93</v>
      </c>
      <c r="D244" t="s">
        <v>79</v>
      </c>
      <c r="E244" t="s">
        <v>43</v>
      </c>
      <c r="F244" s="6">
        <v>0.3125</v>
      </c>
      <c r="G244">
        <v>32</v>
      </c>
      <c r="H244" s="6">
        <f>FLOOR(tblPivotData[[#This Row],[Time]],Summary!$B$6/1440)</f>
        <v>0.3125</v>
      </c>
      <c r="I244" s="49">
        <f>INDEX(PeakCalc!$L$10:$L$303,MATCH(tblPivotData[[#This Row],[Time]],PeakCalc!$G$10:$G$303,0))</f>
        <v>1</v>
      </c>
    </row>
    <row r="245" spans="1:9" x14ac:dyDescent="0.25">
      <c r="A245" t="s">
        <v>95</v>
      </c>
      <c r="B245" t="s">
        <v>101</v>
      </c>
      <c r="C245" t="s">
        <v>93</v>
      </c>
      <c r="D245" t="s">
        <v>79</v>
      </c>
      <c r="E245" t="s">
        <v>43</v>
      </c>
      <c r="F245" s="6">
        <v>0.32291666666666669</v>
      </c>
      <c r="G245">
        <v>20</v>
      </c>
      <c r="H245" s="6">
        <f>FLOOR(tblPivotData[[#This Row],[Time]],Summary!$B$6/1440)</f>
        <v>0.32291666666666663</v>
      </c>
      <c r="I245" s="49">
        <f>INDEX(PeakCalc!$L$10:$L$303,MATCH(tblPivotData[[#This Row],[Time]],PeakCalc!$G$10:$G$303,0))</f>
        <v>1</v>
      </c>
    </row>
    <row r="246" spans="1:9" x14ac:dyDescent="0.25">
      <c r="A246" t="s">
        <v>95</v>
      </c>
      <c r="B246" t="s">
        <v>101</v>
      </c>
      <c r="C246" t="s">
        <v>93</v>
      </c>
      <c r="D246" t="s">
        <v>79</v>
      </c>
      <c r="E246" t="s">
        <v>43</v>
      </c>
      <c r="F246" s="6">
        <v>0.33333333333333331</v>
      </c>
      <c r="G246">
        <v>32</v>
      </c>
      <c r="H246" s="6">
        <f>FLOOR(tblPivotData[[#This Row],[Time]],Summary!$B$6/1440)</f>
        <v>0.33333333333333331</v>
      </c>
      <c r="I246" s="49">
        <f>INDEX(PeakCalc!$L$10:$L$303,MATCH(tblPivotData[[#This Row],[Time]],PeakCalc!$G$10:$G$303,0))</f>
        <v>1</v>
      </c>
    </row>
    <row r="247" spans="1:9" x14ac:dyDescent="0.25">
      <c r="A247" t="s">
        <v>95</v>
      </c>
      <c r="B247" t="s">
        <v>101</v>
      </c>
      <c r="C247" t="s">
        <v>93</v>
      </c>
      <c r="D247" t="s">
        <v>79</v>
      </c>
      <c r="E247" t="s">
        <v>43</v>
      </c>
      <c r="F247" s="6">
        <v>0.34375</v>
      </c>
      <c r="G247">
        <v>24</v>
      </c>
      <c r="H247" s="6">
        <f>FLOOR(tblPivotData[[#This Row],[Time]],Summary!$B$6/1440)</f>
        <v>0.34375</v>
      </c>
      <c r="I247" s="49">
        <f>INDEX(PeakCalc!$L$10:$L$303,MATCH(tblPivotData[[#This Row],[Time]],PeakCalc!$G$10:$G$303,0))</f>
        <v>0</v>
      </c>
    </row>
    <row r="248" spans="1:9" x14ac:dyDescent="0.25">
      <c r="A248" t="s">
        <v>95</v>
      </c>
      <c r="B248" t="s">
        <v>101</v>
      </c>
      <c r="C248" t="s">
        <v>93</v>
      </c>
      <c r="D248" t="s">
        <v>79</v>
      </c>
      <c r="E248" t="s">
        <v>43</v>
      </c>
      <c r="F248" s="6">
        <v>0.35416666666666669</v>
      </c>
      <c r="G248">
        <v>20</v>
      </c>
      <c r="H248" s="6">
        <f>FLOOR(tblPivotData[[#This Row],[Time]],Summary!$B$6/1440)</f>
        <v>0.35416666666666663</v>
      </c>
      <c r="I248" s="49">
        <f>INDEX(PeakCalc!$L$10:$L$303,MATCH(tblPivotData[[#This Row],[Time]],PeakCalc!$G$10:$G$303,0))</f>
        <v>0</v>
      </c>
    </row>
    <row r="249" spans="1:9" x14ac:dyDescent="0.25">
      <c r="A249" t="s">
        <v>95</v>
      </c>
      <c r="B249" t="s">
        <v>101</v>
      </c>
      <c r="C249" t="s">
        <v>93</v>
      </c>
      <c r="D249" t="s">
        <v>79</v>
      </c>
      <c r="E249" t="s">
        <v>43</v>
      </c>
      <c r="F249" s="6">
        <v>0.36458333333333331</v>
      </c>
      <c r="G249">
        <v>22</v>
      </c>
      <c r="H249" s="6">
        <f>FLOOR(tblPivotData[[#This Row],[Time]],Summary!$B$6/1440)</f>
        <v>0.36458333333333331</v>
      </c>
      <c r="I249" s="49">
        <f>INDEX(PeakCalc!$L$10:$L$303,MATCH(tblPivotData[[#This Row],[Time]],PeakCalc!$G$10:$G$303,0))</f>
        <v>0</v>
      </c>
    </row>
    <row r="250" spans="1:9" x14ac:dyDescent="0.25">
      <c r="A250" t="s">
        <v>95</v>
      </c>
      <c r="B250" t="s">
        <v>101</v>
      </c>
      <c r="C250" t="s">
        <v>93</v>
      </c>
      <c r="D250" t="s">
        <v>79</v>
      </c>
      <c r="E250" t="s">
        <v>91</v>
      </c>
      <c r="F250" s="6">
        <v>0.54166666666666663</v>
      </c>
      <c r="G250">
        <v>15</v>
      </c>
      <c r="H250" s="6">
        <f>FLOOR(tblPivotData[[#This Row],[Time]],Summary!$B$6/1440)</f>
        <v>0.54166666666666663</v>
      </c>
      <c r="I250" s="49">
        <f>INDEX(PeakCalc!$L$10:$L$303,MATCH(tblPivotData[[#This Row],[Time]],PeakCalc!$G$10:$G$303,0))</f>
        <v>1</v>
      </c>
    </row>
    <row r="251" spans="1:9" x14ac:dyDescent="0.25">
      <c r="A251" t="s">
        <v>95</v>
      </c>
      <c r="B251" t="s">
        <v>101</v>
      </c>
      <c r="C251" t="s">
        <v>93</v>
      </c>
      <c r="D251" t="s">
        <v>79</v>
      </c>
      <c r="E251" t="s">
        <v>91</v>
      </c>
      <c r="F251" s="6">
        <v>0.55208333333333337</v>
      </c>
      <c r="G251">
        <v>20</v>
      </c>
      <c r="H251" s="6">
        <f>FLOOR(tblPivotData[[#This Row],[Time]],Summary!$B$6/1440)</f>
        <v>0.55208333333333326</v>
      </c>
      <c r="I251" s="49">
        <f>INDEX(PeakCalc!$L$10:$L$303,MATCH(tblPivotData[[#This Row],[Time]],PeakCalc!$G$10:$G$303,0))</f>
        <v>1</v>
      </c>
    </row>
    <row r="252" spans="1:9" x14ac:dyDescent="0.25">
      <c r="A252" t="s">
        <v>95</v>
      </c>
      <c r="B252" t="s">
        <v>101</v>
      </c>
      <c r="C252" t="s">
        <v>93</v>
      </c>
      <c r="D252" t="s">
        <v>79</v>
      </c>
      <c r="E252" t="s">
        <v>91</v>
      </c>
      <c r="F252" s="6">
        <v>0.5625</v>
      </c>
      <c r="G252">
        <v>26</v>
      </c>
      <c r="H252" s="6">
        <f>FLOOR(tblPivotData[[#This Row],[Time]],Summary!$B$6/1440)</f>
        <v>0.5625</v>
      </c>
      <c r="I252" s="49">
        <f>INDEX(PeakCalc!$L$10:$L$303,MATCH(tblPivotData[[#This Row],[Time]],PeakCalc!$G$10:$G$303,0))</f>
        <v>1</v>
      </c>
    </row>
    <row r="253" spans="1:9" x14ac:dyDescent="0.25">
      <c r="A253" t="s">
        <v>95</v>
      </c>
      <c r="B253" t="s">
        <v>101</v>
      </c>
      <c r="C253" t="s">
        <v>93</v>
      </c>
      <c r="D253" t="s">
        <v>79</v>
      </c>
      <c r="E253" t="s">
        <v>91</v>
      </c>
      <c r="F253" s="6">
        <v>0.57291666666666663</v>
      </c>
      <c r="G253">
        <v>26</v>
      </c>
      <c r="H253" s="6">
        <f>FLOOR(tblPivotData[[#This Row],[Time]],Summary!$B$6/1440)</f>
        <v>0.57291666666666663</v>
      </c>
      <c r="I253" s="49">
        <f>INDEX(PeakCalc!$L$10:$L$303,MATCH(tblPivotData[[#This Row],[Time]],PeakCalc!$G$10:$G$303,0))</f>
        <v>1</v>
      </c>
    </row>
    <row r="254" spans="1:9" x14ac:dyDescent="0.25">
      <c r="A254" t="s">
        <v>95</v>
      </c>
      <c r="B254" t="s">
        <v>101</v>
      </c>
      <c r="C254" t="s">
        <v>93</v>
      </c>
      <c r="D254" t="s">
        <v>79</v>
      </c>
      <c r="E254" t="s">
        <v>44</v>
      </c>
      <c r="F254" s="6">
        <v>0.66666666666666663</v>
      </c>
      <c r="G254">
        <v>124</v>
      </c>
      <c r="H254" s="6">
        <f>FLOOR(tblPivotData[[#This Row],[Time]],Summary!$B$6/1440)</f>
        <v>0.66666666666666663</v>
      </c>
      <c r="I254" s="49">
        <f>INDEX(PeakCalc!$L$10:$L$303,MATCH(tblPivotData[[#This Row],[Time]],PeakCalc!$G$10:$G$303,0))</f>
        <v>0</v>
      </c>
    </row>
    <row r="255" spans="1:9" x14ac:dyDescent="0.25">
      <c r="A255" t="s">
        <v>95</v>
      </c>
      <c r="B255" t="s">
        <v>101</v>
      </c>
      <c r="C255" t="s">
        <v>93</v>
      </c>
      <c r="D255" t="s">
        <v>79</v>
      </c>
      <c r="E255" t="s">
        <v>44</v>
      </c>
      <c r="F255" s="6">
        <v>0.67708333333333337</v>
      </c>
      <c r="G255">
        <v>115</v>
      </c>
      <c r="H255" s="6">
        <f>FLOOR(tblPivotData[[#This Row],[Time]],Summary!$B$6/1440)</f>
        <v>0.67708333333333326</v>
      </c>
      <c r="I255" s="49">
        <f>INDEX(PeakCalc!$L$10:$L$303,MATCH(tblPivotData[[#This Row],[Time]],PeakCalc!$G$10:$G$303,0))</f>
        <v>0</v>
      </c>
    </row>
    <row r="256" spans="1:9" x14ac:dyDescent="0.25">
      <c r="A256" t="s">
        <v>95</v>
      </c>
      <c r="B256" t="s">
        <v>101</v>
      </c>
      <c r="C256" t="s">
        <v>93</v>
      </c>
      <c r="D256" t="s">
        <v>79</v>
      </c>
      <c r="E256" t="s">
        <v>44</v>
      </c>
      <c r="F256" s="6">
        <v>0.6875</v>
      </c>
      <c r="G256">
        <v>131</v>
      </c>
      <c r="H256" s="6">
        <f>FLOOR(tblPivotData[[#This Row],[Time]],Summary!$B$6/1440)</f>
        <v>0.6875</v>
      </c>
      <c r="I256" s="49">
        <f>INDEX(PeakCalc!$L$10:$L$303,MATCH(tblPivotData[[#This Row],[Time]],PeakCalc!$G$10:$G$303,0))</f>
        <v>1</v>
      </c>
    </row>
    <row r="257" spans="1:9" x14ac:dyDescent="0.25">
      <c r="A257" t="s">
        <v>95</v>
      </c>
      <c r="B257" t="s">
        <v>101</v>
      </c>
      <c r="C257" t="s">
        <v>93</v>
      </c>
      <c r="D257" t="s">
        <v>79</v>
      </c>
      <c r="E257" t="s">
        <v>44</v>
      </c>
      <c r="F257" s="6">
        <v>0.69791666666666663</v>
      </c>
      <c r="G257">
        <v>132</v>
      </c>
      <c r="H257" s="6">
        <f>FLOOR(tblPivotData[[#This Row],[Time]],Summary!$B$6/1440)</f>
        <v>0.69791666666666663</v>
      </c>
      <c r="I257" s="49">
        <f>INDEX(PeakCalc!$L$10:$L$303,MATCH(tblPivotData[[#This Row],[Time]],PeakCalc!$G$10:$G$303,0))</f>
        <v>1</v>
      </c>
    </row>
    <row r="258" spans="1:9" x14ac:dyDescent="0.25">
      <c r="A258" t="s">
        <v>95</v>
      </c>
      <c r="B258" t="s">
        <v>101</v>
      </c>
      <c r="C258" t="s">
        <v>93</v>
      </c>
      <c r="D258" t="s">
        <v>79</v>
      </c>
      <c r="E258" t="s">
        <v>44</v>
      </c>
      <c r="F258" s="6">
        <v>0.70833333333333337</v>
      </c>
      <c r="G258">
        <v>146</v>
      </c>
      <c r="H258" s="6">
        <f>FLOOR(tblPivotData[[#This Row],[Time]],Summary!$B$6/1440)</f>
        <v>0.70833333333333326</v>
      </c>
      <c r="I258" s="49">
        <f>INDEX(PeakCalc!$L$10:$L$303,MATCH(tblPivotData[[#This Row],[Time]],PeakCalc!$G$10:$G$303,0))</f>
        <v>1</v>
      </c>
    </row>
    <row r="259" spans="1:9" x14ac:dyDescent="0.25">
      <c r="A259" t="s">
        <v>95</v>
      </c>
      <c r="B259" t="s">
        <v>101</v>
      </c>
      <c r="C259" t="s">
        <v>93</v>
      </c>
      <c r="D259" t="s">
        <v>79</v>
      </c>
      <c r="E259" t="s">
        <v>44</v>
      </c>
      <c r="F259" s="6">
        <v>0.71875</v>
      </c>
      <c r="G259">
        <v>148</v>
      </c>
      <c r="H259" s="6">
        <f>FLOOR(tblPivotData[[#This Row],[Time]],Summary!$B$6/1440)</f>
        <v>0.71875</v>
      </c>
      <c r="I259" s="49">
        <f>INDEX(PeakCalc!$L$10:$L$303,MATCH(tblPivotData[[#This Row],[Time]],PeakCalc!$G$10:$G$303,0))</f>
        <v>1</v>
      </c>
    </row>
    <row r="260" spans="1:9" x14ac:dyDescent="0.25">
      <c r="A260" t="s">
        <v>95</v>
      </c>
      <c r="B260" t="s">
        <v>101</v>
      </c>
      <c r="C260" t="s">
        <v>93</v>
      </c>
      <c r="D260" t="s">
        <v>79</v>
      </c>
      <c r="E260" t="s">
        <v>44</v>
      </c>
      <c r="F260" s="6">
        <v>0.72916666666666663</v>
      </c>
      <c r="G260">
        <v>114</v>
      </c>
      <c r="H260" s="6">
        <f>FLOOR(tblPivotData[[#This Row],[Time]],Summary!$B$6/1440)</f>
        <v>0.72916666666666663</v>
      </c>
      <c r="I260" s="49">
        <f>INDEX(PeakCalc!$L$10:$L$303,MATCH(tblPivotData[[#This Row],[Time]],PeakCalc!$G$10:$G$303,0))</f>
        <v>0</v>
      </c>
    </row>
    <row r="261" spans="1:9" x14ac:dyDescent="0.25">
      <c r="A261" t="s">
        <v>95</v>
      </c>
      <c r="B261" t="s">
        <v>101</v>
      </c>
      <c r="C261" t="s">
        <v>93</v>
      </c>
      <c r="D261" t="s">
        <v>79</v>
      </c>
      <c r="E261" t="s">
        <v>44</v>
      </c>
      <c r="F261" s="6">
        <v>0.73958333333333337</v>
      </c>
      <c r="G261">
        <v>63</v>
      </c>
      <c r="H261" s="6">
        <f>FLOOR(tblPivotData[[#This Row],[Time]],Summary!$B$6/1440)</f>
        <v>0.73958333333333326</v>
      </c>
      <c r="I261" s="49">
        <f>INDEX(PeakCalc!$L$10:$L$303,MATCH(tblPivotData[[#This Row],[Time]],PeakCalc!$G$10:$G$303,0))</f>
        <v>0</v>
      </c>
    </row>
    <row r="262" spans="1:9" x14ac:dyDescent="0.25">
      <c r="A262" t="s">
        <v>95</v>
      </c>
      <c r="B262" t="s">
        <v>101</v>
      </c>
      <c r="C262" t="s">
        <v>93</v>
      </c>
      <c r="D262" t="s">
        <v>90</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95</v>
      </c>
      <c r="B263" t="s">
        <v>101</v>
      </c>
      <c r="C263" t="s">
        <v>93</v>
      </c>
      <c r="D263" t="s">
        <v>90</v>
      </c>
      <c r="E263" t="s">
        <v>43</v>
      </c>
      <c r="F263" s="6">
        <v>0.30208333333333331</v>
      </c>
      <c r="G263">
        <v>10</v>
      </c>
      <c r="H263" s="6">
        <f>FLOOR(tblPivotData[[#This Row],[Time]],Summary!$B$6/1440)</f>
        <v>0.30208333333333331</v>
      </c>
      <c r="I263" s="49">
        <f>INDEX(PeakCalc!$L$10:$L$303,MATCH(tblPivotData[[#This Row],[Time]],PeakCalc!$G$10:$G$303,0))</f>
        <v>1</v>
      </c>
    </row>
    <row r="264" spans="1:9" x14ac:dyDescent="0.25">
      <c r="A264" t="s">
        <v>95</v>
      </c>
      <c r="B264" t="s">
        <v>101</v>
      </c>
      <c r="C264" t="s">
        <v>93</v>
      </c>
      <c r="D264" t="s">
        <v>90</v>
      </c>
      <c r="E264" t="s">
        <v>43</v>
      </c>
      <c r="F264" s="6">
        <v>0.3125</v>
      </c>
      <c r="G264">
        <v>11</v>
      </c>
      <c r="H264" s="6">
        <f>FLOOR(tblPivotData[[#This Row],[Time]],Summary!$B$6/1440)</f>
        <v>0.3125</v>
      </c>
      <c r="I264" s="49">
        <f>INDEX(PeakCalc!$L$10:$L$303,MATCH(tblPivotData[[#This Row],[Time]],PeakCalc!$G$10:$G$303,0))</f>
        <v>1</v>
      </c>
    </row>
    <row r="265" spans="1:9" x14ac:dyDescent="0.25">
      <c r="A265" t="s">
        <v>95</v>
      </c>
      <c r="B265" t="s">
        <v>101</v>
      </c>
      <c r="C265" t="s">
        <v>93</v>
      </c>
      <c r="D265" t="s">
        <v>90</v>
      </c>
      <c r="E265" t="s">
        <v>43</v>
      </c>
      <c r="F265" s="6">
        <v>0.32291666666666669</v>
      </c>
      <c r="G265">
        <v>9</v>
      </c>
      <c r="H265" s="6">
        <f>FLOOR(tblPivotData[[#This Row],[Time]],Summary!$B$6/1440)</f>
        <v>0.32291666666666663</v>
      </c>
      <c r="I265" s="49">
        <f>INDEX(PeakCalc!$L$10:$L$303,MATCH(tblPivotData[[#This Row],[Time]],PeakCalc!$G$10:$G$303,0))</f>
        <v>1</v>
      </c>
    </row>
    <row r="266" spans="1:9" x14ac:dyDescent="0.25">
      <c r="A266" t="s">
        <v>95</v>
      </c>
      <c r="B266" t="s">
        <v>101</v>
      </c>
      <c r="C266" t="s">
        <v>93</v>
      </c>
      <c r="D266" t="s">
        <v>90</v>
      </c>
      <c r="E266" t="s">
        <v>43</v>
      </c>
      <c r="F266" s="6">
        <v>0.33333333333333331</v>
      </c>
      <c r="G266">
        <v>24</v>
      </c>
      <c r="H266" s="6">
        <f>FLOOR(tblPivotData[[#This Row],[Time]],Summary!$B$6/1440)</f>
        <v>0.33333333333333331</v>
      </c>
      <c r="I266" s="49">
        <f>INDEX(PeakCalc!$L$10:$L$303,MATCH(tblPivotData[[#This Row],[Time]],PeakCalc!$G$10:$G$303,0))</f>
        <v>1</v>
      </c>
    </row>
    <row r="267" spans="1:9" x14ac:dyDescent="0.25">
      <c r="A267" t="s">
        <v>95</v>
      </c>
      <c r="B267" t="s">
        <v>101</v>
      </c>
      <c r="C267" t="s">
        <v>93</v>
      </c>
      <c r="D267" t="s">
        <v>90</v>
      </c>
      <c r="E267" t="s">
        <v>43</v>
      </c>
      <c r="F267" s="6">
        <v>0.34375</v>
      </c>
      <c r="G267">
        <v>14</v>
      </c>
      <c r="H267" s="6">
        <f>FLOOR(tblPivotData[[#This Row],[Time]],Summary!$B$6/1440)</f>
        <v>0.34375</v>
      </c>
      <c r="I267" s="49">
        <f>INDEX(PeakCalc!$L$10:$L$303,MATCH(tblPivotData[[#This Row],[Time]],PeakCalc!$G$10:$G$303,0))</f>
        <v>0</v>
      </c>
    </row>
    <row r="268" spans="1:9" x14ac:dyDescent="0.25">
      <c r="A268" t="s">
        <v>95</v>
      </c>
      <c r="B268" t="s">
        <v>101</v>
      </c>
      <c r="C268" t="s">
        <v>93</v>
      </c>
      <c r="D268" t="s">
        <v>90</v>
      </c>
      <c r="E268" t="s">
        <v>43</v>
      </c>
      <c r="F268" s="6">
        <v>0.35416666666666669</v>
      </c>
      <c r="G268">
        <v>10</v>
      </c>
      <c r="H268" s="6">
        <f>FLOOR(tblPivotData[[#This Row],[Time]],Summary!$B$6/1440)</f>
        <v>0.35416666666666663</v>
      </c>
      <c r="I268" s="49">
        <f>INDEX(PeakCalc!$L$10:$L$303,MATCH(tblPivotData[[#This Row],[Time]],PeakCalc!$G$10:$G$303,0))</f>
        <v>0</v>
      </c>
    </row>
    <row r="269" spans="1:9" x14ac:dyDescent="0.25">
      <c r="A269" t="s">
        <v>95</v>
      </c>
      <c r="B269" t="s">
        <v>101</v>
      </c>
      <c r="C269" t="s">
        <v>93</v>
      </c>
      <c r="D269" t="s">
        <v>90</v>
      </c>
      <c r="E269" t="s">
        <v>43</v>
      </c>
      <c r="F269" s="6">
        <v>0.36458333333333331</v>
      </c>
      <c r="G269">
        <v>13</v>
      </c>
      <c r="H269" s="6">
        <f>FLOOR(tblPivotData[[#This Row],[Time]],Summary!$B$6/1440)</f>
        <v>0.36458333333333331</v>
      </c>
      <c r="I269" s="49">
        <f>INDEX(PeakCalc!$L$10:$L$303,MATCH(tblPivotData[[#This Row],[Time]],PeakCalc!$G$10:$G$303,0))</f>
        <v>0</v>
      </c>
    </row>
    <row r="270" spans="1:9" x14ac:dyDescent="0.25">
      <c r="A270" t="s">
        <v>95</v>
      </c>
      <c r="B270" t="s">
        <v>101</v>
      </c>
      <c r="C270" t="s">
        <v>93</v>
      </c>
      <c r="D270" t="s">
        <v>90</v>
      </c>
      <c r="E270" t="s">
        <v>91</v>
      </c>
      <c r="F270" s="6">
        <v>0.54166666666666663</v>
      </c>
      <c r="G270">
        <v>10</v>
      </c>
      <c r="H270" s="6">
        <f>FLOOR(tblPivotData[[#This Row],[Time]],Summary!$B$6/1440)</f>
        <v>0.54166666666666663</v>
      </c>
      <c r="I270" s="49">
        <f>INDEX(PeakCalc!$L$10:$L$303,MATCH(tblPivotData[[#This Row],[Time]],PeakCalc!$G$10:$G$303,0))</f>
        <v>1</v>
      </c>
    </row>
    <row r="271" spans="1:9" x14ac:dyDescent="0.25">
      <c r="A271" t="s">
        <v>95</v>
      </c>
      <c r="B271" t="s">
        <v>101</v>
      </c>
      <c r="C271" t="s">
        <v>93</v>
      </c>
      <c r="D271" t="s">
        <v>90</v>
      </c>
      <c r="E271" t="s">
        <v>91</v>
      </c>
      <c r="F271" s="6">
        <v>0.55208333333333337</v>
      </c>
      <c r="G271">
        <v>10</v>
      </c>
      <c r="H271" s="6">
        <f>FLOOR(tblPivotData[[#This Row],[Time]],Summary!$B$6/1440)</f>
        <v>0.55208333333333326</v>
      </c>
      <c r="I271" s="49">
        <f>INDEX(PeakCalc!$L$10:$L$303,MATCH(tblPivotData[[#This Row],[Time]],PeakCalc!$G$10:$G$303,0))</f>
        <v>1</v>
      </c>
    </row>
    <row r="272" spans="1:9" x14ac:dyDescent="0.25">
      <c r="A272" t="s">
        <v>95</v>
      </c>
      <c r="B272" t="s">
        <v>101</v>
      </c>
      <c r="C272" t="s">
        <v>93</v>
      </c>
      <c r="D272" t="s">
        <v>90</v>
      </c>
      <c r="E272" t="s">
        <v>91</v>
      </c>
      <c r="F272" s="6">
        <v>0.5625</v>
      </c>
      <c r="G272">
        <v>17</v>
      </c>
      <c r="H272" s="6">
        <f>FLOOR(tblPivotData[[#This Row],[Time]],Summary!$B$6/1440)</f>
        <v>0.5625</v>
      </c>
      <c r="I272" s="49">
        <f>INDEX(PeakCalc!$L$10:$L$303,MATCH(tblPivotData[[#This Row],[Time]],PeakCalc!$G$10:$G$303,0))</f>
        <v>1</v>
      </c>
    </row>
    <row r="273" spans="1:9" x14ac:dyDescent="0.25">
      <c r="A273" t="s">
        <v>95</v>
      </c>
      <c r="B273" t="s">
        <v>101</v>
      </c>
      <c r="C273" t="s">
        <v>93</v>
      </c>
      <c r="D273" t="s">
        <v>90</v>
      </c>
      <c r="E273" t="s">
        <v>91</v>
      </c>
      <c r="F273" s="6">
        <v>0.57291666666666663</v>
      </c>
      <c r="G273">
        <v>5</v>
      </c>
      <c r="H273" s="6">
        <f>FLOOR(tblPivotData[[#This Row],[Time]],Summary!$B$6/1440)</f>
        <v>0.57291666666666663</v>
      </c>
      <c r="I273" s="49">
        <f>INDEX(PeakCalc!$L$10:$L$303,MATCH(tblPivotData[[#This Row],[Time]],PeakCalc!$G$10:$G$303,0))</f>
        <v>1</v>
      </c>
    </row>
    <row r="274" spans="1:9" x14ac:dyDescent="0.25">
      <c r="A274" t="s">
        <v>95</v>
      </c>
      <c r="B274" t="s">
        <v>101</v>
      </c>
      <c r="C274" t="s">
        <v>93</v>
      </c>
      <c r="D274" t="s">
        <v>90</v>
      </c>
      <c r="E274" t="s">
        <v>44</v>
      </c>
      <c r="F274" s="6">
        <v>0.66666666666666663</v>
      </c>
      <c r="G274">
        <v>12</v>
      </c>
      <c r="H274" s="6">
        <f>FLOOR(tblPivotData[[#This Row],[Time]],Summary!$B$6/1440)</f>
        <v>0.66666666666666663</v>
      </c>
      <c r="I274" s="49">
        <f>INDEX(PeakCalc!$L$10:$L$303,MATCH(tblPivotData[[#This Row],[Time]],PeakCalc!$G$10:$G$303,0))</f>
        <v>0</v>
      </c>
    </row>
    <row r="275" spans="1:9" x14ac:dyDescent="0.25">
      <c r="A275" t="s">
        <v>95</v>
      </c>
      <c r="B275" t="s">
        <v>101</v>
      </c>
      <c r="C275" t="s">
        <v>93</v>
      </c>
      <c r="D275" t="s">
        <v>90</v>
      </c>
      <c r="E275" t="s">
        <v>44</v>
      </c>
      <c r="F275" s="6">
        <v>0.67708333333333337</v>
      </c>
      <c r="G275">
        <v>9</v>
      </c>
      <c r="H275" s="6">
        <f>FLOOR(tblPivotData[[#This Row],[Time]],Summary!$B$6/1440)</f>
        <v>0.67708333333333326</v>
      </c>
      <c r="I275" s="49">
        <f>INDEX(PeakCalc!$L$10:$L$303,MATCH(tblPivotData[[#This Row],[Time]],PeakCalc!$G$10:$G$303,0))</f>
        <v>0</v>
      </c>
    </row>
    <row r="276" spans="1:9" x14ac:dyDescent="0.25">
      <c r="A276" t="s">
        <v>95</v>
      </c>
      <c r="B276" t="s">
        <v>101</v>
      </c>
      <c r="C276" t="s">
        <v>93</v>
      </c>
      <c r="D276" t="s">
        <v>90</v>
      </c>
      <c r="E276" t="s">
        <v>44</v>
      </c>
      <c r="F276" s="6">
        <v>0.6875</v>
      </c>
      <c r="G276">
        <v>13</v>
      </c>
      <c r="H276" s="6">
        <f>FLOOR(tblPivotData[[#This Row],[Time]],Summary!$B$6/1440)</f>
        <v>0.6875</v>
      </c>
      <c r="I276" s="49">
        <f>INDEX(PeakCalc!$L$10:$L$303,MATCH(tblPivotData[[#This Row],[Time]],PeakCalc!$G$10:$G$303,0))</f>
        <v>1</v>
      </c>
    </row>
    <row r="277" spans="1:9" x14ac:dyDescent="0.25">
      <c r="A277" t="s">
        <v>95</v>
      </c>
      <c r="B277" t="s">
        <v>101</v>
      </c>
      <c r="C277" t="s">
        <v>93</v>
      </c>
      <c r="D277" t="s">
        <v>90</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95</v>
      </c>
      <c r="B278" t="s">
        <v>101</v>
      </c>
      <c r="C278" t="s">
        <v>93</v>
      </c>
      <c r="D278" t="s">
        <v>90</v>
      </c>
      <c r="E278" t="s">
        <v>44</v>
      </c>
      <c r="F278" s="6">
        <v>0.70833333333333337</v>
      </c>
      <c r="G278">
        <v>11</v>
      </c>
      <c r="H278" s="6">
        <f>FLOOR(tblPivotData[[#This Row],[Time]],Summary!$B$6/1440)</f>
        <v>0.70833333333333326</v>
      </c>
      <c r="I278" s="49">
        <f>INDEX(PeakCalc!$L$10:$L$303,MATCH(tblPivotData[[#This Row],[Time]],PeakCalc!$G$10:$G$303,0))</f>
        <v>1</v>
      </c>
    </row>
    <row r="279" spans="1:9" x14ac:dyDescent="0.25">
      <c r="A279" t="s">
        <v>95</v>
      </c>
      <c r="B279" t="s">
        <v>101</v>
      </c>
      <c r="C279" t="s">
        <v>93</v>
      </c>
      <c r="D279" t="s">
        <v>90</v>
      </c>
      <c r="E279" t="s">
        <v>44</v>
      </c>
      <c r="F279" s="6">
        <v>0.71875</v>
      </c>
      <c r="G279">
        <v>4</v>
      </c>
      <c r="H279" s="6">
        <f>FLOOR(tblPivotData[[#This Row],[Time]],Summary!$B$6/1440)</f>
        <v>0.71875</v>
      </c>
      <c r="I279" s="49">
        <f>INDEX(PeakCalc!$L$10:$L$303,MATCH(tblPivotData[[#This Row],[Time]],PeakCalc!$G$10:$G$303,0))</f>
        <v>1</v>
      </c>
    </row>
    <row r="280" spans="1:9" x14ac:dyDescent="0.25">
      <c r="A280" t="s">
        <v>95</v>
      </c>
      <c r="B280" t="s">
        <v>101</v>
      </c>
      <c r="C280" t="s">
        <v>93</v>
      </c>
      <c r="D280" t="s">
        <v>90</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95</v>
      </c>
      <c r="B281" t="s">
        <v>101</v>
      </c>
      <c r="C281" t="s">
        <v>93</v>
      </c>
      <c r="D281" t="s">
        <v>90</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95</v>
      </c>
      <c r="B282" t="s">
        <v>101</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101</v>
      </c>
      <c r="C283" t="s">
        <v>93</v>
      </c>
      <c r="D283" t="s">
        <v>88</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95</v>
      </c>
      <c r="B284" t="s">
        <v>101</v>
      </c>
      <c r="C284" t="s">
        <v>93</v>
      </c>
      <c r="D284" t="s">
        <v>88</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101</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101</v>
      </c>
      <c r="C286" t="s">
        <v>93</v>
      </c>
      <c r="D286" t="s">
        <v>88</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101</v>
      </c>
      <c r="C287" t="s">
        <v>93</v>
      </c>
      <c r="D287" t="s">
        <v>88</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101</v>
      </c>
      <c r="C288" t="s">
        <v>93</v>
      </c>
      <c r="D288" t="s">
        <v>88</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101</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101</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101</v>
      </c>
      <c r="C291" t="s">
        <v>93</v>
      </c>
      <c r="D291" t="s">
        <v>88</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95</v>
      </c>
      <c r="B292" t="s">
        <v>101</v>
      </c>
      <c r="C292" t="s">
        <v>93</v>
      </c>
      <c r="D292" t="s">
        <v>88</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101</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101</v>
      </c>
      <c r="C295" t="s">
        <v>93</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101</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101</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101</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101</v>
      </c>
      <c r="C299" t="s">
        <v>93</v>
      </c>
      <c r="D299" t="s">
        <v>88</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101</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101</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100</v>
      </c>
      <c r="C302" t="s">
        <v>94</v>
      </c>
      <c r="D302" t="s">
        <v>79</v>
      </c>
      <c r="E302" t="s">
        <v>43</v>
      </c>
      <c r="F302" s="6">
        <v>0.29166666666666669</v>
      </c>
      <c r="G302">
        <v>10</v>
      </c>
      <c r="H302" s="6">
        <f>FLOOR(tblPivotData[[#This Row],[Time]],Summary!$B$6/1440)</f>
        <v>0.29166666666666663</v>
      </c>
      <c r="I302" s="49">
        <f>INDEX(PeakCalc!$L$10:$L$303,MATCH(tblPivotData[[#This Row],[Time]],PeakCalc!$G$10:$G$303,0))</f>
        <v>0</v>
      </c>
    </row>
    <row r="303" spans="1:9" x14ac:dyDescent="0.25">
      <c r="A303" t="s">
        <v>95</v>
      </c>
      <c r="B303" t="s">
        <v>100</v>
      </c>
      <c r="C303" t="s">
        <v>94</v>
      </c>
      <c r="D303" t="s">
        <v>79</v>
      </c>
      <c r="E303" t="s">
        <v>43</v>
      </c>
      <c r="F303" s="6">
        <v>0.30208333333333331</v>
      </c>
      <c r="G303">
        <v>13</v>
      </c>
      <c r="H303" s="6">
        <f>FLOOR(tblPivotData[[#This Row],[Time]],Summary!$B$6/1440)</f>
        <v>0.30208333333333331</v>
      </c>
      <c r="I303" s="49">
        <f>INDEX(PeakCalc!$L$10:$L$303,MATCH(tblPivotData[[#This Row],[Time]],PeakCalc!$G$10:$G$303,0))</f>
        <v>1</v>
      </c>
    </row>
    <row r="304" spans="1:9" x14ac:dyDescent="0.25">
      <c r="A304" t="s">
        <v>95</v>
      </c>
      <c r="B304" t="s">
        <v>100</v>
      </c>
      <c r="C304" t="s">
        <v>94</v>
      </c>
      <c r="D304" t="s">
        <v>79</v>
      </c>
      <c r="E304" t="s">
        <v>43</v>
      </c>
      <c r="F304" s="6">
        <v>0.3125</v>
      </c>
      <c r="G304">
        <v>11</v>
      </c>
      <c r="H304" s="6">
        <f>FLOOR(tblPivotData[[#This Row],[Time]],Summary!$B$6/1440)</f>
        <v>0.3125</v>
      </c>
      <c r="I304" s="49">
        <f>INDEX(PeakCalc!$L$10:$L$303,MATCH(tblPivotData[[#This Row],[Time]],PeakCalc!$G$10:$G$303,0))</f>
        <v>1</v>
      </c>
    </row>
    <row r="305" spans="1:9" x14ac:dyDescent="0.25">
      <c r="A305" t="s">
        <v>95</v>
      </c>
      <c r="B305" t="s">
        <v>100</v>
      </c>
      <c r="C305" t="s">
        <v>94</v>
      </c>
      <c r="D305" t="s">
        <v>79</v>
      </c>
      <c r="E305" t="s">
        <v>43</v>
      </c>
      <c r="F305" s="6">
        <v>0.32291666666666669</v>
      </c>
      <c r="G305">
        <v>13</v>
      </c>
      <c r="H305" s="6">
        <f>FLOOR(tblPivotData[[#This Row],[Time]],Summary!$B$6/1440)</f>
        <v>0.32291666666666663</v>
      </c>
      <c r="I305" s="49">
        <f>INDEX(PeakCalc!$L$10:$L$303,MATCH(tblPivotData[[#This Row],[Time]],PeakCalc!$G$10:$G$303,0))</f>
        <v>1</v>
      </c>
    </row>
    <row r="306" spans="1:9" x14ac:dyDescent="0.25">
      <c r="A306" t="s">
        <v>95</v>
      </c>
      <c r="B306" t="s">
        <v>100</v>
      </c>
      <c r="C306" t="s">
        <v>94</v>
      </c>
      <c r="D306" t="s">
        <v>79</v>
      </c>
      <c r="E306" t="s">
        <v>43</v>
      </c>
      <c r="F306" s="6">
        <v>0.33333333333333331</v>
      </c>
      <c r="G306">
        <v>17</v>
      </c>
      <c r="H306" s="6">
        <f>FLOOR(tblPivotData[[#This Row],[Time]],Summary!$B$6/1440)</f>
        <v>0.33333333333333331</v>
      </c>
      <c r="I306" s="49">
        <f>INDEX(PeakCalc!$L$10:$L$303,MATCH(tblPivotData[[#This Row],[Time]],PeakCalc!$G$10:$G$303,0))</f>
        <v>1</v>
      </c>
    </row>
    <row r="307" spans="1:9" x14ac:dyDescent="0.25">
      <c r="A307" t="s">
        <v>95</v>
      </c>
      <c r="B307" t="s">
        <v>100</v>
      </c>
      <c r="C307" t="s">
        <v>94</v>
      </c>
      <c r="D307" t="s">
        <v>79</v>
      </c>
      <c r="E307" t="s">
        <v>43</v>
      </c>
      <c r="F307" s="6">
        <v>0.34375</v>
      </c>
      <c r="G307">
        <v>23</v>
      </c>
      <c r="H307" s="6">
        <f>FLOOR(tblPivotData[[#This Row],[Time]],Summary!$B$6/1440)</f>
        <v>0.34375</v>
      </c>
      <c r="I307" s="49">
        <f>INDEX(PeakCalc!$L$10:$L$303,MATCH(tblPivotData[[#This Row],[Time]],PeakCalc!$G$10:$G$303,0))</f>
        <v>0</v>
      </c>
    </row>
    <row r="308" spans="1:9" x14ac:dyDescent="0.25">
      <c r="A308" t="s">
        <v>95</v>
      </c>
      <c r="B308" t="s">
        <v>100</v>
      </c>
      <c r="C308" t="s">
        <v>94</v>
      </c>
      <c r="D308" t="s">
        <v>79</v>
      </c>
      <c r="E308" t="s">
        <v>43</v>
      </c>
      <c r="F308" s="6">
        <v>0.35416666666666669</v>
      </c>
      <c r="G308">
        <v>13</v>
      </c>
      <c r="H308" s="6">
        <f>FLOOR(tblPivotData[[#This Row],[Time]],Summary!$B$6/1440)</f>
        <v>0.35416666666666663</v>
      </c>
      <c r="I308" s="49">
        <f>INDEX(PeakCalc!$L$10:$L$303,MATCH(tblPivotData[[#This Row],[Time]],PeakCalc!$G$10:$G$303,0))</f>
        <v>0</v>
      </c>
    </row>
    <row r="309" spans="1:9" x14ac:dyDescent="0.25">
      <c r="A309" t="s">
        <v>95</v>
      </c>
      <c r="B309" t="s">
        <v>100</v>
      </c>
      <c r="C309" t="s">
        <v>94</v>
      </c>
      <c r="D309" t="s">
        <v>79</v>
      </c>
      <c r="E309" t="s">
        <v>43</v>
      </c>
      <c r="F309" s="6">
        <v>0.36458333333333331</v>
      </c>
      <c r="G309">
        <v>11</v>
      </c>
      <c r="H309" s="6">
        <f>FLOOR(tblPivotData[[#This Row],[Time]],Summary!$B$6/1440)</f>
        <v>0.36458333333333331</v>
      </c>
      <c r="I309" s="49">
        <f>INDEX(PeakCalc!$L$10:$L$303,MATCH(tblPivotData[[#This Row],[Time]],PeakCalc!$G$10:$G$303,0))</f>
        <v>0</v>
      </c>
    </row>
    <row r="310" spans="1:9" x14ac:dyDescent="0.25">
      <c r="A310" t="s">
        <v>95</v>
      </c>
      <c r="B310" t="s">
        <v>100</v>
      </c>
      <c r="C310" t="s">
        <v>94</v>
      </c>
      <c r="D310" t="s">
        <v>79</v>
      </c>
      <c r="E310" t="s">
        <v>91</v>
      </c>
      <c r="F310" s="6">
        <v>0.54166666666666663</v>
      </c>
      <c r="G310">
        <v>16</v>
      </c>
      <c r="H310" s="6">
        <f>FLOOR(tblPivotData[[#This Row],[Time]],Summary!$B$6/1440)</f>
        <v>0.54166666666666663</v>
      </c>
      <c r="I310" s="49">
        <f>INDEX(PeakCalc!$L$10:$L$303,MATCH(tblPivotData[[#This Row],[Time]],PeakCalc!$G$10:$G$303,0))</f>
        <v>1</v>
      </c>
    </row>
    <row r="311" spans="1:9" x14ac:dyDescent="0.25">
      <c r="A311" t="s">
        <v>95</v>
      </c>
      <c r="B311" t="s">
        <v>100</v>
      </c>
      <c r="C311" t="s">
        <v>94</v>
      </c>
      <c r="D311" t="s">
        <v>79</v>
      </c>
      <c r="E311" t="s">
        <v>91</v>
      </c>
      <c r="F311" s="6">
        <v>0.55208333333333337</v>
      </c>
      <c r="G311">
        <v>17</v>
      </c>
      <c r="H311" s="6">
        <f>FLOOR(tblPivotData[[#This Row],[Time]],Summary!$B$6/1440)</f>
        <v>0.55208333333333326</v>
      </c>
      <c r="I311" s="49">
        <f>INDEX(PeakCalc!$L$10:$L$303,MATCH(tblPivotData[[#This Row],[Time]],PeakCalc!$G$10:$G$303,0))</f>
        <v>1</v>
      </c>
    </row>
    <row r="312" spans="1:9" x14ac:dyDescent="0.25">
      <c r="A312" t="s">
        <v>95</v>
      </c>
      <c r="B312" t="s">
        <v>100</v>
      </c>
      <c r="C312" t="s">
        <v>94</v>
      </c>
      <c r="D312" t="s">
        <v>79</v>
      </c>
      <c r="E312" t="s">
        <v>91</v>
      </c>
      <c r="F312" s="6">
        <v>0.5625</v>
      </c>
      <c r="G312">
        <v>21</v>
      </c>
      <c r="H312" s="6">
        <f>FLOOR(tblPivotData[[#This Row],[Time]],Summary!$B$6/1440)</f>
        <v>0.5625</v>
      </c>
      <c r="I312" s="49">
        <f>INDEX(PeakCalc!$L$10:$L$303,MATCH(tblPivotData[[#This Row],[Time]],PeakCalc!$G$10:$G$303,0))</f>
        <v>1</v>
      </c>
    </row>
    <row r="313" spans="1:9" x14ac:dyDescent="0.25">
      <c r="A313" t="s">
        <v>95</v>
      </c>
      <c r="B313" t="s">
        <v>100</v>
      </c>
      <c r="C313" t="s">
        <v>94</v>
      </c>
      <c r="D313" t="s">
        <v>79</v>
      </c>
      <c r="E313" t="s">
        <v>91</v>
      </c>
      <c r="F313" s="6">
        <v>0.57291666666666663</v>
      </c>
      <c r="G313">
        <v>15</v>
      </c>
      <c r="H313" s="6">
        <f>FLOOR(tblPivotData[[#This Row],[Time]],Summary!$B$6/1440)</f>
        <v>0.57291666666666663</v>
      </c>
      <c r="I313" s="49">
        <f>INDEX(PeakCalc!$L$10:$L$303,MATCH(tblPivotData[[#This Row],[Time]],PeakCalc!$G$10:$G$303,0))</f>
        <v>1</v>
      </c>
    </row>
    <row r="314" spans="1:9" x14ac:dyDescent="0.25">
      <c r="A314" t="s">
        <v>95</v>
      </c>
      <c r="B314" t="s">
        <v>100</v>
      </c>
      <c r="C314" t="s">
        <v>94</v>
      </c>
      <c r="D314" t="s">
        <v>79</v>
      </c>
      <c r="E314" t="s">
        <v>44</v>
      </c>
      <c r="F314" s="6">
        <v>0.66666666666666663</v>
      </c>
      <c r="G314">
        <v>25</v>
      </c>
      <c r="H314" s="6">
        <f>FLOOR(tblPivotData[[#This Row],[Time]],Summary!$B$6/1440)</f>
        <v>0.66666666666666663</v>
      </c>
      <c r="I314" s="49">
        <f>INDEX(PeakCalc!$L$10:$L$303,MATCH(tblPivotData[[#This Row],[Time]],PeakCalc!$G$10:$G$303,0))</f>
        <v>0</v>
      </c>
    </row>
    <row r="315" spans="1:9" x14ac:dyDescent="0.25">
      <c r="A315" t="s">
        <v>95</v>
      </c>
      <c r="B315" t="s">
        <v>100</v>
      </c>
      <c r="C315" t="s">
        <v>94</v>
      </c>
      <c r="D315" t="s">
        <v>79</v>
      </c>
      <c r="E315" t="s">
        <v>44</v>
      </c>
      <c r="F315" s="6">
        <v>0.67708333333333337</v>
      </c>
      <c r="G315">
        <v>16</v>
      </c>
      <c r="H315" s="6">
        <f>FLOOR(tblPivotData[[#This Row],[Time]],Summary!$B$6/1440)</f>
        <v>0.67708333333333326</v>
      </c>
      <c r="I315" s="49">
        <f>INDEX(PeakCalc!$L$10:$L$303,MATCH(tblPivotData[[#This Row],[Time]],PeakCalc!$G$10:$G$303,0))</f>
        <v>0</v>
      </c>
    </row>
    <row r="316" spans="1:9" x14ac:dyDescent="0.25">
      <c r="A316" t="s">
        <v>95</v>
      </c>
      <c r="B316" t="s">
        <v>100</v>
      </c>
      <c r="C316" t="s">
        <v>94</v>
      </c>
      <c r="D316" t="s">
        <v>79</v>
      </c>
      <c r="E316" t="s">
        <v>44</v>
      </c>
      <c r="F316" s="6">
        <v>0.6875</v>
      </c>
      <c r="G316">
        <v>10</v>
      </c>
      <c r="H316" s="6">
        <f>FLOOR(tblPivotData[[#This Row],[Time]],Summary!$B$6/1440)</f>
        <v>0.6875</v>
      </c>
      <c r="I316" s="49">
        <f>INDEX(PeakCalc!$L$10:$L$303,MATCH(tblPivotData[[#This Row],[Time]],PeakCalc!$G$10:$G$303,0))</f>
        <v>1</v>
      </c>
    </row>
    <row r="317" spans="1:9" x14ac:dyDescent="0.25">
      <c r="A317" t="s">
        <v>95</v>
      </c>
      <c r="B317" t="s">
        <v>100</v>
      </c>
      <c r="C317" t="s">
        <v>94</v>
      </c>
      <c r="D317" t="s">
        <v>79</v>
      </c>
      <c r="E317" t="s">
        <v>44</v>
      </c>
      <c r="F317" s="6">
        <v>0.69791666666666663</v>
      </c>
      <c r="G317">
        <v>15</v>
      </c>
      <c r="H317" s="6">
        <f>FLOOR(tblPivotData[[#This Row],[Time]],Summary!$B$6/1440)</f>
        <v>0.69791666666666663</v>
      </c>
      <c r="I317" s="49">
        <f>INDEX(PeakCalc!$L$10:$L$303,MATCH(tblPivotData[[#This Row],[Time]],PeakCalc!$G$10:$G$303,0))</f>
        <v>1</v>
      </c>
    </row>
    <row r="318" spans="1:9" x14ac:dyDescent="0.25">
      <c r="A318" t="s">
        <v>95</v>
      </c>
      <c r="B318" t="s">
        <v>100</v>
      </c>
      <c r="C318" t="s">
        <v>94</v>
      </c>
      <c r="D318" t="s">
        <v>79</v>
      </c>
      <c r="E318" t="s">
        <v>44</v>
      </c>
      <c r="F318" s="6">
        <v>0.70833333333333337</v>
      </c>
      <c r="G318">
        <v>19</v>
      </c>
      <c r="H318" s="6">
        <f>FLOOR(tblPivotData[[#This Row],[Time]],Summary!$B$6/1440)</f>
        <v>0.70833333333333326</v>
      </c>
      <c r="I318" s="49">
        <f>INDEX(PeakCalc!$L$10:$L$303,MATCH(tblPivotData[[#This Row],[Time]],PeakCalc!$G$10:$G$303,0))</f>
        <v>1</v>
      </c>
    </row>
    <row r="319" spans="1:9" x14ac:dyDescent="0.25">
      <c r="A319" t="s">
        <v>95</v>
      </c>
      <c r="B319" t="s">
        <v>100</v>
      </c>
      <c r="C319" t="s">
        <v>94</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95</v>
      </c>
      <c r="B320" t="s">
        <v>100</v>
      </c>
      <c r="C320" t="s">
        <v>94</v>
      </c>
      <c r="D320" t="s">
        <v>79</v>
      </c>
      <c r="E320" t="s">
        <v>44</v>
      </c>
      <c r="F320" s="6">
        <v>0.72916666666666663</v>
      </c>
      <c r="G320">
        <v>21</v>
      </c>
      <c r="H320" s="6">
        <f>FLOOR(tblPivotData[[#This Row],[Time]],Summary!$B$6/1440)</f>
        <v>0.72916666666666663</v>
      </c>
      <c r="I320" s="49">
        <f>INDEX(PeakCalc!$L$10:$L$303,MATCH(tblPivotData[[#This Row],[Time]],PeakCalc!$G$10:$G$303,0))</f>
        <v>0</v>
      </c>
    </row>
    <row r="321" spans="1:9" x14ac:dyDescent="0.25">
      <c r="A321" t="s">
        <v>95</v>
      </c>
      <c r="B321" t="s">
        <v>100</v>
      </c>
      <c r="C321" t="s">
        <v>94</v>
      </c>
      <c r="D321" t="s">
        <v>79</v>
      </c>
      <c r="E321" t="s">
        <v>44</v>
      </c>
      <c r="F321" s="6">
        <v>0.73958333333333337</v>
      </c>
      <c r="G321">
        <v>14</v>
      </c>
      <c r="H321" s="6">
        <f>FLOOR(tblPivotData[[#This Row],[Time]],Summary!$B$6/1440)</f>
        <v>0.73958333333333326</v>
      </c>
      <c r="I321" s="49">
        <f>INDEX(PeakCalc!$L$10:$L$303,MATCH(tblPivotData[[#This Row],[Time]],PeakCalc!$G$10:$G$303,0))</f>
        <v>0</v>
      </c>
    </row>
    <row r="322" spans="1:9" x14ac:dyDescent="0.25">
      <c r="A322" t="s">
        <v>95</v>
      </c>
      <c r="B322" t="s">
        <v>100</v>
      </c>
      <c r="C322" t="s">
        <v>94</v>
      </c>
      <c r="D322" t="s">
        <v>90</v>
      </c>
      <c r="E322" t="s">
        <v>43</v>
      </c>
      <c r="F322" s="6">
        <v>0.29166666666666669</v>
      </c>
      <c r="G322">
        <v>6</v>
      </c>
      <c r="H322" s="6">
        <f>FLOOR(tblPivotData[[#This Row],[Time]],Summary!$B$6/1440)</f>
        <v>0.29166666666666663</v>
      </c>
      <c r="I322" s="49">
        <f>INDEX(PeakCalc!$L$10:$L$303,MATCH(tblPivotData[[#This Row],[Time]],PeakCalc!$G$10:$G$303,0))</f>
        <v>0</v>
      </c>
    </row>
    <row r="323" spans="1:9" x14ac:dyDescent="0.25">
      <c r="A323" t="s">
        <v>95</v>
      </c>
      <c r="B323" t="s">
        <v>100</v>
      </c>
      <c r="C323" t="s">
        <v>94</v>
      </c>
      <c r="D323" t="s">
        <v>90</v>
      </c>
      <c r="E323" t="s">
        <v>43</v>
      </c>
      <c r="F323" s="6">
        <v>0.30208333333333331</v>
      </c>
      <c r="G323">
        <v>5</v>
      </c>
      <c r="H323" s="6">
        <f>FLOOR(tblPivotData[[#This Row],[Time]],Summary!$B$6/1440)</f>
        <v>0.30208333333333331</v>
      </c>
      <c r="I323" s="49">
        <f>INDEX(PeakCalc!$L$10:$L$303,MATCH(tblPivotData[[#This Row],[Time]],PeakCalc!$G$10:$G$303,0))</f>
        <v>1</v>
      </c>
    </row>
    <row r="324" spans="1:9" x14ac:dyDescent="0.25">
      <c r="A324" t="s">
        <v>95</v>
      </c>
      <c r="B324" t="s">
        <v>100</v>
      </c>
      <c r="C324" t="s">
        <v>94</v>
      </c>
      <c r="D324" t="s">
        <v>90</v>
      </c>
      <c r="E324" t="s">
        <v>43</v>
      </c>
      <c r="F324" s="6">
        <v>0.3125</v>
      </c>
      <c r="G324">
        <v>6</v>
      </c>
      <c r="H324" s="6">
        <f>FLOOR(tblPivotData[[#This Row],[Time]],Summary!$B$6/1440)</f>
        <v>0.3125</v>
      </c>
      <c r="I324" s="49">
        <f>INDEX(PeakCalc!$L$10:$L$303,MATCH(tblPivotData[[#This Row],[Time]],PeakCalc!$G$10:$G$303,0))</f>
        <v>1</v>
      </c>
    </row>
    <row r="325" spans="1:9" x14ac:dyDescent="0.25">
      <c r="A325" t="s">
        <v>95</v>
      </c>
      <c r="B325" t="s">
        <v>100</v>
      </c>
      <c r="C325" t="s">
        <v>94</v>
      </c>
      <c r="D325" t="s">
        <v>90</v>
      </c>
      <c r="E325" t="s">
        <v>43</v>
      </c>
      <c r="F325" s="6">
        <v>0.32291666666666669</v>
      </c>
      <c r="G325">
        <v>9</v>
      </c>
      <c r="H325" s="6">
        <f>FLOOR(tblPivotData[[#This Row],[Time]],Summary!$B$6/1440)</f>
        <v>0.32291666666666663</v>
      </c>
      <c r="I325" s="49">
        <f>INDEX(PeakCalc!$L$10:$L$303,MATCH(tblPivotData[[#This Row],[Time]],PeakCalc!$G$10:$G$303,0))</f>
        <v>1</v>
      </c>
    </row>
    <row r="326" spans="1:9" x14ac:dyDescent="0.25">
      <c r="A326" t="s">
        <v>95</v>
      </c>
      <c r="B326" t="s">
        <v>100</v>
      </c>
      <c r="C326" t="s">
        <v>94</v>
      </c>
      <c r="D326" t="s">
        <v>90</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95</v>
      </c>
      <c r="B327" t="s">
        <v>100</v>
      </c>
      <c r="C327" t="s">
        <v>94</v>
      </c>
      <c r="D327" t="s">
        <v>90</v>
      </c>
      <c r="E327" t="s">
        <v>43</v>
      </c>
      <c r="F327" s="6">
        <v>0.34375</v>
      </c>
      <c r="G327">
        <v>4</v>
      </c>
      <c r="H327" s="6">
        <f>FLOOR(tblPivotData[[#This Row],[Time]],Summary!$B$6/1440)</f>
        <v>0.34375</v>
      </c>
      <c r="I327" s="49">
        <f>INDEX(PeakCalc!$L$10:$L$303,MATCH(tblPivotData[[#This Row],[Time]],PeakCalc!$G$10:$G$303,0))</f>
        <v>0</v>
      </c>
    </row>
    <row r="328" spans="1:9" x14ac:dyDescent="0.25">
      <c r="A328" t="s">
        <v>95</v>
      </c>
      <c r="B328" t="s">
        <v>100</v>
      </c>
      <c r="C328" t="s">
        <v>94</v>
      </c>
      <c r="D328" t="s">
        <v>90</v>
      </c>
      <c r="E328" t="s">
        <v>43</v>
      </c>
      <c r="F328" s="6">
        <v>0.35416666666666669</v>
      </c>
      <c r="G328">
        <v>7</v>
      </c>
      <c r="H328" s="6">
        <f>FLOOR(tblPivotData[[#This Row],[Time]],Summary!$B$6/1440)</f>
        <v>0.35416666666666663</v>
      </c>
      <c r="I328" s="49">
        <f>INDEX(PeakCalc!$L$10:$L$303,MATCH(tblPivotData[[#This Row],[Time]],PeakCalc!$G$10:$G$303,0))</f>
        <v>0</v>
      </c>
    </row>
    <row r="329" spans="1:9" x14ac:dyDescent="0.25">
      <c r="A329" t="s">
        <v>95</v>
      </c>
      <c r="B329" t="s">
        <v>100</v>
      </c>
      <c r="C329" t="s">
        <v>94</v>
      </c>
      <c r="D329" t="s">
        <v>90</v>
      </c>
      <c r="E329" t="s">
        <v>43</v>
      </c>
      <c r="F329" s="6">
        <v>0.36458333333333331</v>
      </c>
      <c r="G329">
        <v>5</v>
      </c>
      <c r="H329" s="6">
        <f>FLOOR(tblPivotData[[#This Row],[Time]],Summary!$B$6/1440)</f>
        <v>0.36458333333333331</v>
      </c>
      <c r="I329" s="49">
        <f>INDEX(PeakCalc!$L$10:$L$303,MATCH(tblPivotData[[#This Row],[Time]],PeakCalc!$G$10:$G$303,0))</f>
        <v>0</v>
      </c>
    </row>
    <row r="330" spans="1:9" x14ac:dyDescent="0.25">
      <c r="A330" t="s">
        <v>95</v>
      </c>
      <c r="B330" t="s">
        <v>100</v>
      </c>
      <c r="C330" t="s">
        <v>94</v>
      </c>
      <c r="D330" t="s">
        <v>90</v>
      </c>
      <c r="E330" t="s">
        <v>91</v>
      </c>
      <c r="F330" s="6">
        <v>0.54166666666666663</v>
      </c>
      <c r="G330">
        <v>5</v>
      </c>
      <c r="H330" s="6">
        <f>FLOOR(tblPivotData[[#This Row],[Time]],Summary!$B$6/1440)</f>
        <v>0.54166666666666663</v>
      </c>
      <c r="I330" s="49">
        <f>INDEX(PeakCalc!$L$10:$L$303,MATCH(tblPivotData[[#This Row],[Time]],PeakCalc!$G$10:$G$303,0))</f>
        <v>1</v>
      </c>
    </row>
    <row r="331" spans="1:9" x14ac:dyDescent="0.25">
      <c r="A331" t="s">
        <v>95</v>
      </c>
      <c r="B331" t="s">
        <v>100</v>
      </c>
      <c r="C331" t="s">
        <v>94</v>
      </c>
      <c r="D331" t="s">
        <v>90</v>
      </c>
      <c r="E331" t="s">
        <v>91</v>
      </c>
      <c r="F331" s="6">
        <v>0.55208333333333337</v>
      </c>
      <c r="G331">
        <v>9</v>
      </c>
      <c r="H331" s="6">
        <f>FLOOR(tblPivotData[[#This Row],[Time]],Summary!$B$6/1440)</f>
        <v>0.55208333333333326</v>
      </c>
      <c r="I331" s="49">
        <f>INDEX(PeakCalc!$L$10:$L$303,MATCH(tblPivotData[[#This Row],[Time]],PeakCalc!$G$10:$G$303,0))</f>
        <v>1</v>
      </c>
    </row>
    <row r="332" spans="1:9" x14ac:dyDescent="0.25">
      <c r="A332" t="s">
        <v>95</v>
      </c>
      <c r="B332" t="s">
        <v>100</v>
      </c>
      <c r="C332" t="s">
        <v>94</v>
      </c>
      <c r="D332" t="s">
        <v>90</v>
      </c>
      <c r="E332" t="s">
        <v>91</v>
      </c>
      <c r="F332" s="6">
        <v>0.5625</v>
      </c>
      <c r="G332">
        <v>10</v>
      </c>
      <c r="H332" s="6">
        <f>FLOOR(tblPivotData[[#This Row],[Time]],Summary!$B$6/1440)</f>
        <v>0.5625</v>
      </c>
      <c r="I332" s="49">
        <f>INDEX(PeakCalc!$L$10:$L$303,MATCH(tblPivotData[[#This Row],[Time]],PeakCalc!$G$10:$G$303,0))</f>
        <v>1</v>
      </c>
    </row>
    <row r="333" spans="1:9" x14ac:dyDescent="0.25">
      <c r="A333" t="s">
        <v>95</v>
      </c>
      <c r="B333" t="s">
        <v>100</v>
      </c>
      <c r="C333" t="s">
        <v>94</v>
      </c>
      <c r="D333" t="s">
        <v>90</v>
      </c>
      <c r="E333" t="s">
        <v>91</v>
      </c>
      <c r="F333" s="6">
        <v>0.57291666666666663</v>
      </c>
      <c r="G333">
        <v>6</v>
      </c>
      <c r="H333" s="6">
        <f>FLOOR(tblPivotData[[#This Row],[Time]],Summary!$B$6/1440)</f>
        <v>0.57291666666666663</v>
      </c>
      <c r="I333" s="49">
        <f>INDEX(PeakCalc!$L$10:$L$303,MATCH(tblPivotData[[#This Row],[Time]],PeakCalc!$G$10:$G$303,0))</f>
        <v>1</v>
      </c>
    </row>
    <row r="334" spans="1:9" x14ac:dyDescent="0.25">
      <c r="A334" t="s">
        <v>95</v>
      </c>
      <c r="B334" t="s">
        <v>100</v>
      </c>
      <c r="C334" t="s">
        <v>94</v>
      </c>
      <c r="D334" t="s">
        <v>90</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95</v>
      </c>
      <c r="B335" t="s">
        <v>100</v>
      </c>
      <c r="C335" t="s">
        <v>94</v>
      </c>
      <c r="D335" t="s">
        <v>90</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95</v>
      </c>
      <c r="B336" t="s">
        <v>100</v>
      </c>
      <c r="C336" t="s">
        <v>94</v>
      </c>
      <c r="D336" t="s">
        <v>90</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100</v>
      </c>
      <c r="C337" t="s">
        <v>94</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100</v>
      </c>
      <c r="C338" t="s">
        <v>94</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100</v>
      </c>
      <c r="C339" t="s">
        <v>94</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100</v>
      </c>
      <c r="C340" t="s">
        <v>94</v>
      </c>
      <c r="D340" t="s">
        <v>90</v>
      </c>
      <c r="E340" t="s">
        <v>44</v>
      </c>
      <c r="F340" s="6">
        <v>0.72916666666666663</v>
      </c>
      <c r="G340">
        <v>3</v>
      </c>
      <c r="H340" s="6">
        <f>FLOOR(tblPivotData[[#This Row],[Time]],Summary!$B$6/1440)</f>
        <v>0.72916666666666663</v>
      </c>
      <c r="I340" s="49">
        <f>INDEX(PeakCalc!$L$10:$L$303,MATCH(tblPivotData[[#This Row],[Time]],PeakCalc!$G$10:$G$303,0))</f>
        <v>0</v>
      </c>
    </row>
    <row r="341" spans="1:9" x14ac:dyDescent="0.25">
      <c r="A341" t="s">
        <v>95</v>
      </c>
      <c r="B341" t="s">
        <v>100</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100</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100</v>
      </c>
      <c r="C343" t="s">
        <v>94</v>
      </c>
      <c r="D343" t="s">
        <v>88</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100</v>
      </c>
      <c r="C344" t="s">
        <v>94</v>
      </c>
      <c r="D344" t="s">
        <v>88</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100</v>
      </c>
      <c r="C345" t="s">
        <v>94</v>
      </c>
      <c r="D345" t="s">
        <v>88</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95</v>
      </c>
      <c r="B346" t="s">
        <v>100</v>
      </c>
      <c r="C346" t="s">
        <v>94</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100</v>
      </c>
      <c r="C347" t="s">
        <v>94</v>
      </c>
      <c r="D347" t="s">
        <v>88</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100</v>
      </c>
      <c r="C348" t="s">
        <v>94</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100</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100</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100</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100</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100</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100</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100</v>
      </c>
      <c r="C355" t="s">
        <v>94</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100</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100</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100</v>
      </c>
      <c r="C358" t="s">
        <v>94</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100</v>
      </c>
      <c r="C359" t="s">
        <v>94</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100</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100</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101</v>
      </c>
      <c r="V12" s="54"/>
      <c r="W12" s="54"/>
      <c r="X12" s="53" t="s">
        <v>110</v>
      </c>
      <c r="Y12" s="53" t="s">
        <v>100</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21</v>
      </c>
      <c r="D14" s="49">
        <v>2</v>
      </c>
      <c r="E14" s="49">
        <v>0</v>
      </c>
      <c r="F14" s="49">
        <v>23</v>
      </c>
      <c r="G14" s="49">
        <v>702</v>
      </c>
      <c r="H14" s="49">
        <v>144</v>
      </c>
      <c r="I14" s="49">
        <v>0</v>
      </c>
      <c r="J14" s="49">
        <v>846</v>
      </c>
      <c r="K14" s="49">
        <v>869</v>
      </c>
      <c r="L14" s="49">
        <v>173</v>
      </c>
      <c r="M14" s="49">
        <v>24</v>
      </c>
      <c r="N14" s="49">
        <v>3</v>
      </c>
      <c r="O14" s="49">
        <v>200</v>
      </c>
      <c r="P14" s="49">
        <v>26</v>
      </c>
      <c r="Q14" s="49">
        <v>8</v>
      </c>
      <c r="R14" s="49">
        <v>0</v>
      </c>
      <c r="S14" s="49">
        <v>34</v>
      </c>
      <c r="T14" s="49">
        <v>234</v>
      </c>
      <c r="U14" s="49">
        <v>183</v>
      </c>
      <c r="V14" s="49">
        <v>97</v>
      </c>
      <c r="W14" s="49">
        <v>1</v>
      </c>
      <c r="X14" s="49">
        <v>281</v>
      </c>
      <c r="Y14" s="49">
        <v>111</v>
      </c>
      <c r="Z14" s="49">
        <v>45</v>
      </c>
      <c r="AA14" s="49">
        <v>1</v>
      </c>
      <c r="AB14" s="49">
        <v>157</v>
      </c>
      <c r="AC14" s="49">
        <v>438</v>
      </c>
      <c r="AD14" s="49">
        <v>1541</v>
      </c>
    </row>
    <row r="15" spans="2:30" x14ac:dyDescent="0.25">
      <c r="B15" s="11">
        <v>0.29166666666666669</v>
      </c>
      <c r="C15" s="49">
        <v>2</v>
      </c>
      <c r="D15" s="49">
        <v>0</v>
      </c>
      <c r="E15" s="49">
        <v>0</v>
      </c>
      <c r="F15" s="49">
        <v>2</v>
      </c>
      <c r="G15" s="49">
        <v>101</v>
      </c>
      <c r="H15" s="49">
        <v>22</v>
      </c>
      <c r="I15" s="49">
        <v>0</v>
      </c>
      <c r="J15" s="49">
        <v>123</v>
      </c>
      <c r="K15" s="49">
        <v>125</v>
      </c>
      <c r="L15" s="49">
        <v>10</v>
      </c>
      <c r="M15" s="49">
        <v>3</v>
      </c>
      <c r="N15" s="49">
        <v>0</v>
      </c>
      <c r="O15" s="49">
        <v>13</v>
      </c>
      <c r="P15" s="49">
        <v>4</v>
      </c>
      <c r="Q15" s="49">
        <v>0</v>
      </c>
      <c r="R15" s="49">
        <v>0</v>
      </c>
      <c r="S15" s="49">
        <v>4</v>
      </c>
      <c r="T15" s="49">
        <v>17</v>
      </c>
      <c r="U15" s="49">
        <v>17</v>
      </c>
      <c r="V15" s="49">
        <v>6</v>
      </c>
      <c r="W15" s="49">
        <v>0</v>
      </c>
      <c r="X15" s="49">
        <v>23</v>
      </c>
      <c r="Y15" s="49">
        <v>10</v>
      </c>
      <c r="Z15" s="49">
        <v>6</v>
      </c>
      <c r="AA15" s="49">
        <v>0</v>
      </c>
      <c r="AB15" s="49">
        <v>16</v>
      </c>
      <c r="AC15" s="49">
        <v>39</v>
      </c>
      <c r="AD15" s="49">
        <v>181</v>
      </c>
    </row>
    <row r="16" spans="2:30" x14ac:dyDescent="0.25">
      <c r="B16" s="11">
        <v>0.30208333333333331</v>
      </c>
      <c r="C16" s="49">
        <v>1</v>
      </c>
      <c r="D16" s="49">
        <v>0</v>
      </c>
      <c r="E16" s="49">
        <v>0</v>
      </c>
      <c r="F16" s="49">
        <v>1</v>
      </c>
      <c r="G16" s="49">
        <v>117</v>
      </c>
      <c r="H16" s="49">
        <v>11</v>
      </c>
      <c r="I16" s="49">
        <v>0</v>
      </c>
      <c r="J16" s="49">
        <v>128</v>
      </c>
      <c r="K16" s="49">
        <v>129</v>
      </c>
      <c r="L16" s="49">
        <v>14</v>
      </c>
      <c r="M16" s="49">
        <v>1</v>
      </c>
      <c r="N16" s="49">
        <v>0</v>
      </c>
      <c r="O16" s="49">
        <v>15</v>
      </c>
      <c r="P16" s="49">
        <v>4</v>
      </c>
      <c r="Q16" s="49">
        <v>1</v>
      </c>
      <c r="R16" s="49">
        <v>0</v>
      </c>
      <c r="S16" s="49">
        <v>5</v>
      </c>
      <c r="T16" s="49">
        <v>20</v>
      </c>
      <c r="U16" s="49">
        <v>16</v>
      </c>
      <c r="V16" s="49">
        <v>10</v>
      </c>
      <c r="W16" s="49">
        <v>0</v>
      </c>
      <c r="X16" s="49">
        <v>26</v>
      </c>
      <c r="Y16" s="49">
        <v>13</v>
      </c>
      <c r="Z16" s="49">
        <v>5</v>
      </c>
      <c r="AA16" s="49">
        <v>0</v>
      </c>
      <c r="AB16" s="49">
        <v>18</v>
      </c>
      <c r="AC16" s="49">
        <v>44</v>
      </c>
      <c r="AD16" s="49">
        <v>193</v>
      </c>
    </row>
    <row r="17" spans="2:30" x14ac:dyDescent="0.25">
      <c r="B17" s="11">
        <v>0.3125</v>
      </c>
      <c r="C17" s="49">
        <v>2</v>
      </c>
      <c r="D17" s="49">
        <v>0</v>
      </c>
      <c r="E17" s="49">
        <v>0</v>
      </c>
      <c r="F17" s="49">
        <v>2</v>
      </c>
      <c r="G17" s="49">
        <v>120</v>
      </c>
      <c r="H17" s="49">
        <v>11</v>
      </c>
      <c r="I17" s="49">
        <v>0</v>
      </c>
      <c r="J17" s="49">
        <v>131</v>
      </c>
      <c r="K17" s="49">
        <v>133</v>
      </c>
      <c r="L17" s="49">
        <v>22</v>
      </c>
      <c r="M17" s="49">
        <v>2</v>
      </c>
      <c r="N17" s="49">
        <v>0</v>
      </c>
      <c r="O17" s="49">
        <v>24</v>
      </c>
      <c r="P17" s="49">
        <v>3</v>
      </c>
      <c r="Q17" s="49">
        <v>1</v>
      </c>
      <c r="R17" s="49">
        <v>0</v>
      </c>
      <c r="S17" s="49">
        <v>4</v>
      </c>
      <c r="T17" s="49">
        <v>28</v>
      </c>
      <c r="U17" s="49">
        <v>32</v>
      </c>
      <c r="V17" s="49">
        <v>11</v>
      </c>
      <c r="W17" s="49">
        <v>0</v>
      </c>
      <c r="X17" s="49">
        <v>43</v>
      </c>
      <c r="Y17" s="49">
        <v>11</v>
      </c>
      <c r="Z17" s="49">
        <v>6</v>
      </c>
      <c r="AA17" s="49">
        <v>0</v>
      </c>
      <c r="AB17" s="49">
        <v>17</v>
      </c>
      <c r="AC17" s="49">
        <v>60</v>
      </c>
      <c r="AD17" s="49">
        <v>221</v>
      </c>
    </row>
    <row r="18" spans="2:30" x14ac:dyDescent="0.25">
      <c r="B18" s="11">
        <v>0.32291666666666669</v>
      </c>
      <c r="C18" s="49">
        <v>3</v>
      </c>
      <c r="D18" s="49">
        <v>1</v>
      </c>
      <c r="E18" s="49">
        <v>0</v>
      </c>
      <c r="F18" s="49">
        <v>4</v>
      </c>
      <c r="G18" s="49">
        <v>103</v>
      </c>
      <c r="H18" s="49">
        <v>21</v>
      </c>
      <c r="I18" s="49">
        <v>0</v>
      </c>
      <c r="J18" s="49">
        <v>124</v>
      </c>
      <c r="K18" s="49">
        <v>128</v>
      </c>
      <c r="L18" s="49">
        <v>33</v>
      </c>
      <c r="M18" s="49">
        <v>4</v>
      </c>
      <c r="N18" s="49">
        <v>1</v>
      </c>
      <c r="O18" s="49">
        <v>38</v>
      </c>
      <c r="P18" s="49">
        <v>2</v>
      </c>
      <c r="Q18" s="49">
        <v>1</v>
      </c>
      <c r="R18" s="49">
        <v>0</v>
      </c>
      <c r="S18" s="49">
        <v>3</v>
      </c>
      <c r="T18" s="49">
        <v>41</v>
      </c>
      <c r="U18" s="49">
        <v>20</v>
      </c>
      <c r="V18" s="49">
        <v>9</v>
      </c>
      <c r="W18" s="49">
        <v>0</v>
      </c>
      <c r="X18" s="49">
        <v>29</v>
      </c>
      <c r="Y18" s="49">
        <v>13</v>
      </c>
      <c r="Z18" s="49">
        <v>9</v>
      </c>
      <c r="AA18" s="49">
        <v>1</v>
      </c>
      <c r="AB18" s="49">
        <v>23</v>
      </c>
      <c r="AC18" s="49">
        <v>52</v>
      </c>
      <c r="AD18" s="49">
        <v>221</v>
      </c>
    </row>
    <row r="19" spans="2:30" x14ac:dyDescent="0.25">
      <c r="B19" s="11">
        <v>0.33333333333333331</v>
      </c>
      <c r="C19" s="49">
        <v>0</v>
      </c>
      <c r="D19" s="49">
        <v>0</v>
      </c>
      <c r="E19" s="49">
        <v>0</v>
      </c>
      <c r="F19" s="49">
        <v>0</v>
      </c>
      <c r="G19" s="49">
        <v>70</v>
      </c>
      <c r="H19" s="49">
        <v>26</v>
      </c>
      <c r="I19" s="49">
        <v>0</v>
      </c>
      <c r="J19" s="49">
        <v>96</v>
      </c>
      <c r="K19" s="49">
        <v>96</v>
      </c>
      <c r="L19" s="49">
        <v>23</v>
      </c>
      <c r="M19" s="49">
        <v>2</v>
      </c>
      <c r="N19" s="49">
        <v>0</v>
      </c>
      <c r="O19" s="49">
        <v>25</v>
      </c>
      <c r="P19" s="49">
        <v>1</v>
      </c>
      <c r="Q19" s="49">
        <v>1</v>
      </c>
      <c r="R19" s="49">
        <v>0</v>
      </c>
      <c r="S19" s="49">
        <v>2</v>
      </c>
      <c r="T19" s="49">
        <v>27</v>
      </c>
      <c r="U19" s="49">
        <v>32</v>
      </c>
      <c r="V19" s="49">
        <v>24</v>
      </c>
      <c r="W19" s="49">
        <v>1</v>
      </c>
      <c r="X19" s="49">
        <v>57</v>
      </c>
      <c r="Y19" s="49">
        <v>17</v>
      </c>
      <c r="Z19" s="49">
        <v>3</v>
      </c>
      <c r="AA19" s="49">
        <v>0</v>
      </c>
      <c r="AB19" s="49">
        <v>20</v>
      </c>
      <c r="AC19" s="49">
        <v>77</v>
      </c>
      <c r="AD19" s="49">
        <v>200</v>
      </c>
    </row>
    <row r="20" spans="2:30" x14ac:dyDescent="0.25">
      <c r="B20" s="11">
        <v>0.34375</v>
      </c>
      <c r="C20" s="49">
        <v>4</v>
      </c>
      <c r="D20" s="49">
        <v>0</v>
      </c>
      <c r="E20" s="49">
        <v>0</v>
      </c>
      <c r="F20" s="49">
        <v>4</v>
      </c>
      <c r="G20" s="49">
        <v>61</v>
      </c>
      <c r="H20" s="49">
        <v>16</v>
      </c>
      <c r="I20" s="49">
        <v>0</v>
      </c>
      <c r="J20" s="49">
        <v>77</v>
      </c>
      <c r="K20" s="49">
        <v>81</v>
      </c>
      <c r="L20" s="49">
        <v>28</v>
      </c>
      <c r="M20" s="49">
        <v>4</v>
      </c>
      <c r="N20" s="49">
        <v>0</v>
      </c>
      <c r="O20" s="49">
        <v>32</v>
      </c>
      <c r="P20" s="49">
        <v>7</v>
      </c>
      <c r="Q20" s="49">
        <v>2</v>
      </c>
      <c r="R20" s="49">
        <v>0</v>
      </c>
      <c r="S20" s="49">
        <v>9</v>
      </c>
      <c r="T20" s="49">
        <v>41</v>
      </c>
      <c r="U20" s="49">
        <v>24</v>
      </c>
      <c r="V20" s="49">
        <v>14</v>
      </c>
      <c r="W20" s="49">
        <v>0</v>
      </c>
      <c r="X20" s="49">
        <v>38</v>
      </c>
      <c r="Y20" s="49">
        <v>23</v>
      </c>
      <c r="Z20" s="49">
        <v>4</v>
      </c>
      <c r="AA20" s="49">
        <v>0</v>
      </c>
      <c r="AB20" s="49">
        <v>27</v>
      </c>
      <c r="AC20" s="49">
        <v>65</v>
      </c>
      <c r="AD20" s="49">
        <v>187</v>
      </c>
    </row>
    <row r="21" spans="2:30" x14ac:dyDescent="0.25">
      <c r="B21" s="11">
        <v>0.35416666666666669</v>
      </c>
      <c r="C21" s="49">
        <v>6</v>
      </c>
      <c r="D21" s="49">
        <v>0</v>
      </c>
      <c r="E21" s="49">
        <v>0</v>
      </c>
      <c r="F21" s="49">
        <v>6</v>
      </c>
      <c r="G21" s="49">
        <v>73</v>
      </c>
      <c r="H21" s="49">
        <v>22</v>
      </c>
      <c r="I21" s="49">
        <v>0</v>
      </c>
      <c r="J21" s="49">
        <v>95</v>
      </c>
      <c r="K21" s="49">
        <v>101</v>
      </c>
      <c r="L21" s="49">
        <v>24</v>
      </c>
      <c r="M21" s="49">
        <v>6</v>
      </c>
      <c r="N21" s="49">
        <v>1</v>
      </c>
      <c r="O21" s="49">
        <v>31</v>
      </c>
      <c r="P21" s="49">
        <v>1</v>
      </c>
      <c r="Q21" s="49">
        <v>1</v>
      </c>
      <c r="R21" s="49">
        <v>0</v>
      </c>
      <c r="S21" s="49">
        <v>2</v>
      </c>
      <c r="T21" s="49">
        <v>33</v>
      </c>
      <c r="U21" s="49">
        <v>20</v>
      </c>
      <c r="V21" s="49">
        <v>10</v>
      </c>
      <c r="W21" s="49">
        <v>0</v>
      </c>
      <c r="X21" s="49">
        <v>30</v>
      </c>
      <c r="Y21" s="49">
        <v>13</v>
      </c>
      <c r="Z21" s="49">
        <v>7</v>
      </c>
      <c r="AA21" s="49">
        <v>0</v>
      </c>
      <c r="AB21" s="49">
        <v>20</v>
      </c>
      <c r="AC21" s="49">
        <v>50</v>
      </c>
      <c r="AD21" s="49">
        <v>184</v>
      </c>
    </row>
    <row r="22" spans="2:30" x14ac:dyDescent="0.25">
      <c r="B22" s="11">
        <v>0.36458333333333331</v>
      </c>
      <c r="C22" s="49">
        <v>3</v>
      </c>
      <c r="D22" s="49">
        <v>1</v>
      </c>
      <c r="E22" s="49">
        <v>0</v>
      </c>
      <c r="F22" s="49">
        <v>4</v>
      </c>
      <c r="G22" s="49">
        <v>57</v>
      </c>
      <c r="H22" s="49">
        <v>15</v>
      </c>
      <c r="I22" s="49">
        <v>0</v>
      </c>
      <c r="J22" s="49">
        <v>72</v>
      </c>
      <c r="K22" s="49">
        <v>76</v>
      </c>
      <c r="L22" s="49">
        <v>19</v>
      </c>
      <c r="M22" s="49">
        <v>2</v>
      </c>
      <c r="N22" s="49">
        <v>1</v>
      </c>
      <c r="O22" s="49">
        <v>22</v>
      </c>
      <c r="P22" s="49">
        <v>4</v>
      </c>
      <c r="Q22" s="49">
        <v>1</v>
      </c>
      <c r="R22" s="49">
        <v>0</v>
      </c>
      <c r="S22" s="49">
        <v>5</v>
      </c>
      <c r="T22" s="49">
        <v>27</v>
      </c>
      <c r="U22" s="49">
        <v>22</v>
      </c>
      <c r="V22" s="49">
        <v>13</v>
      </c>
      <c r="W22" s="49">
        <v>0</v>
      </c>
      <c r="X22" s="49">
        <v>35</v>
      </c>
      <c r="Y22" s="49">
        <v>11</v>
      </c>
      <c r="Z22" s="49">
        <v>5</v>
      </c>
      <c r="AA22" s="49">
        <v>0</v>
      </c>
      <c r="AB22" s="49">
        <v>16</v>
      </c>
      <c r="AC22" s="49">
        <v>51</v>
      </c>
      <c r="AD22" s="49">
        <v>154</v>
      </c>
    </row>
    <row r="23" spans="2:30" x14ac:dyDescent="0.25">
      <c r="B23" s="10" t="s">
        <v>44</v>
      </c>
      <c r="C23" s="49">
        <v>9</v>
      </c>
      <c r="D23" s="49">
        <v>0</v>
      </c>
      <c r="E23" s="49">
        <v>0</v>
      </c>
      <c r="F23" s="49">
        <v>9</v>
      </c>
      <c r="G23" s="49">
        <v>354</v>
      </c>
      <c r="H23" s="49">
        <v>62</v>
      </c>
      <c r="I23" s="49">
        <v>0</v>
      </c>
      <c r="J23" s="49">
        <v>416</v>
      </c>
      <c r="K23" s="49">
        <v>425</v>
      </c>
      <c r="L23" s="49">
        <v>163</v>
      </c>
      <c r="M23" s="49">
        <v>9</v>
      </c>
      <c r="N23" s="49">
        <v>3</v>
      </c>
      <c r="O23" s="49">
        <v>175</v>
      </c>
      <c r="P23" s="49">
        <v>139</v>
      </c>
      <c r="Q23" s="49">
        <v>10</v>
      </c>
      <c r="R23" s="49">
        <v>0</v>
      </c>
      <c r="S23" s="49">
        <v>149</v>
      </c>
      <c r="T23" s="49">
        <v>324</v>
      </c>
      <c r="U23" s="49">
        <v>973</v>
      </c>
      <c r="V23" s="49">
        <v>64</v>
      </c>
      <c r="W23" s="49">
        <v>0</v>
      </c>
      <c r="X23" s="49">
        <v>1037</v>
      </c>
      <c r="Y23" s="49">
        <v>139</v>
      </c>
      <c r="Z23" s="49">
        <v>8</v>
      </c>
      <c r="AA23" s="49">
        <v>0</v>
      </c>
      <c r="AB23" s="49">
        <v>147</v>
      </c>
      <c r="AC23" s="49">
        <v>1184</v>
      </c>
      <c r="AD23" s="49">
        <v>1933</v>
      </c>
    </row>
    <row r="24" spans="2:30" x14ac:dyDescent="0.25">
      <c r="B24" s="11">
        <v>0.66666666666666663</v>
      </c>
      <c r="C24" s="49">
        <v>1</v>
      </c>
      <c r="D24" s="49">
        <v>0</v>
      </c>
      <c r="E24" s="49">
        <v>0</v>
      </c>
      <c r="F24" s="49">
        <v>1</v>
      </c>
      <c r="G24" s="49">
        <v>35</v>
      </c>
      <c r="H24" s="49">
        <v>14</v>
      </c>
      <c r="I24" s="49">
        <v>0</v>
      </c>
      <c r="J24" s="49">
        <v>49</v>
      </c>
      <c r="K24" s="49">
        <v>50</v>
      </c>
      <c r="L24" s="49">
        <v>22</v>
      </c>
      <c r="M24" s="49">
        <v>4</v>
      </c>
      <c r="N24" s="49">
        <v>0</v>
      </c>
      <c r="O24" s="49">
        <v>26</v>
      </c>
      <c r="P24" s="49">
        <v>5</v>
      </c>
      <c r="Q24" s="49">
        <v>3</v>
      </c>
      <c r="R24" s="49">
        <v>0</v>
      </c>
      <c r="S24" s="49">
        <v>8</v>
      </c>
      <c r="T24" s="49">
        <v>34</v>
      </c>
      <c r="U24" s="49">
        <v>124</v>
      </c>
      <c r="V24" s="49">
        <v>12</v>
      </c>
      <c r="W24" s="49">
        <v>0</v>
      </c>
      <c r="X24" s="49">
        <v>136</v>
      </c>
      <c r="Y24" s="49">
        <v>25</v>
      </c>
      <c r="Z24" s="49">
        <v>2</v>
      </c>
      <c r="AA24" s="49">
        <v>0</v>
      </c>
      <c r="AB24" s="49">
        <v>27</v>
      </c>
      <c r="AC24" s="49">
        <v>163</v>
      </c>
      <c r="AD24" s="49">
        <v>247</v>
      </c>
    </row>
    <row r="25" spans="2:30" x14ac:dyDescent="0.25">
      <c r="B25" s="11">
        <v>0.67708333333333337</v>
      </c>
      <c r="C25" s="49">
        <v>1</v>
      </c>
      <c r="D25" s="49">
        <v>0</v>
      </c>
      <c r="E25" s="49">
        <v>0</v>
      </c>
      <c r="F25" s="49">
        <v>1</v>
      </c>
      <c r="G25" s="49">
        <v>34</v>
      </c>
      <c r="H25" s="49">
        <v>11</v>
      </c>
      <c r="I25" s="49">
        <v>0</v>
      </c>
      <c r="J25" s="49">
        <v>45</v>
      </c>
      <c r="K25" s="49">
        <v>46</v>
      </c>
      <c r="L25" s="49">
        <v>19</v>
      </c>
      <c r="M25" s="49">
        <v>1</v>
      </c>
      <c r="N25" s="49">
        <v>0</v>
      </c>
      <c r="O25" s="49">
        <v>20</v>
      </c>
      <c r="P25" s="49">
        <v>14</v>
      </c>
      <c r="Q25" s="49">
        <v>1</v>
      </c>
      <c r="R25" s="49">
        <v>0</v>
      </c>
      <c r="S25" s="49">
        <v>15</v>
      </c>
      <c r="T25" s="49">
        <v>35</v>
      </c>
      <c r="U25" s="49">
        <v>115</v>
      </c>
      <c r="V25" s="49">
        <v>9</v>
      </c>
      <c r="W25" s="49">
        <v>0</v>
      </c>
      <c r="X25" s="49">
        <v>124</v>
      </c>
      <c r="Y25" s="49">
        <v>16</v>
      </c>
      <c r="Z25" s="49">
        <v>2</v>
      </c>
      <c r="AA25" s="49">
        <v>0</v>
      </c>
      <c r="AB25" s="49">
        <v>18</v>
      </c>
      <c r="AC25" s="49">
        <v>142</v>
      </c>
      <c r="AD25" s="49">
        <v>223</v>
      </c>
    </row>
    <row r="26" spans="2:30" x14ac:dyDescent="0.25">
      <c r="B26" s="11">
        <v>0.6875</v>
      </c>
      <c r="C26" s="49">
        <v>1</v>
      </c>
      <c r="D26" s="49">
        <v>0</v>
      </c>
      <c r="E26" s="49">
        <v>0</v>
      </c>
      <c r="F26" s="49">
        <v>1</v>
      </c>
      <c r="G26" s="49">
        <v>57</v>
      </c>
      <c r="H26" s="49">
        <v>8</v>
      </c>
      <c r="I26" s="49">
        <v>0</v>
      </c>
      <c r="J26" s="49">
        <v>65</v>
      </c>
      <c r="K26" s="49">
        <v>66</v>
      </c>
      <c r="L26" s="49">
        <v>20</v>
      </c>
      <c r="M26" s="49">
        <v>1</v>
      </c>
      <c r="N26" s="49">
        <v>1</v>
      </c>
      <c r="O26" s="49">
        <v>22</v>
      </c>
      <c r="P26" s="49">
        <v>22</v>
      </c>
      <c r="Q26" s="49">
        <v>1</v>
      </c>
      <c r="R26" s="49">
        <v>0</v>
      </c>
      <c r="S26" s="49">
        <v>23</v>
      </c>
      <c r="T26" s="49">
        <v>45</v>
      </c>
      <c r="U26" s="49">
        <v>131</v>
      </c>
      <c r="V26" s="49">
        <v>13</v>
      </c>
      <c r="W26" s="49">
        <v>0</v>
      </c>
      <c r="X26" s="49">
        <v>144</v>
      </c>
      <c r="Y26" s="49">
        <v>10</v>
      </c>
      <c r="Z26" s="49">
        <v>1</v>
      </c>
      <c r="AA26" s="49">
        <v>0</v>
      </c>
      <c r="AB26" s="49">
        <v>11</v>
      </c>
      <c r="AC26" s="49">
        <v>155</v>
      </c>
      <c r="AD26" s="49">
        <v>266</v>
      </c>
    </row>
    <row r="27" spans="2:30" x14ac:dyDescent="0.25">
      <c r="B27" s="11">
        <v>0.69791666666666663</v>
      </c>
      <c r="C27" s="49">
        <v>1</v>
      </c>
      <c r="D27" s="49">
        <v>0</v>
      </c>
      <c r="E27" s="49">
        <v>0</v>
      </c>
      <c r="F27" s="49">
        <v>1</v>
      </c>
      <c r="G27" s="49">
        <v>56</v>
      </c>
      <c r="H27" s="49">
        <v>4</v>
      </c>
      <c r="I27" s="49">
        <v>0</v>
      </c>
      <c r="J27" s="49">
        <v>60</v>
      </c>
      <c r="K27" s="49">
        <v>61</v>
      </c>
      <c r="L27" s="49">
        <v>25</v>
      </c>
      <c r="M27" s="49">
        <v>2</v>
      </c>
      <c r="N27" s="49">
        <v>2</v>
      </c>
      <c r="O27" s="49">
        <v>29</v>
      </c>
      <c r="P27" s="49">
        <v>29</v>
      </c>
      <c r="Q27" s="49">
        <v>1</v>
      </c>
      <c r="R27" s="49">
        <v>0</v>
      </c>
      <c r="S27" s="49">
        <v>30</v>
      </c>
      <c r="T27" s="49">
        <v>59</v>
      </c>
      <c r="U27" s="49">
        <v>132</v>
      </c>
      <c r="V27" s="49">
        <v>7</v>
      </c>
      <c r="W27" s="49">
        <v>0</v>
      </c>
      <c r="X27" s="49">
        <v>139</v>
      </c>
      <c r="Y27" s="49">
        <v>15</v>
      </c>
      <c r="Z27" s="49">
        <v>0</v>
      </c>
      <c r="AA27" s="49">
        <v>0</v>
      </c>
      <c r="AB27" s="49">
        <v>15</v>
      </c>
      <c r="AC27" s="49">
        <v>154</v>
      </c>
      <c r="AD27" s="49">
        <v>274</v>
      </c>
    </row>
    <row r="28" spans="2:30" x14ac:dyDescent="0.25">
      <c r="B28" s="11">
        <v>0.70833333333333337</v>
      </c>
      <c r="C28" s="49">
        <v>1</v>
      </c>
      <c r="D28" s="49">
        <v>0</v>
      </c>
      <c r="E28" s="49">
        <v>0</v>
      </c>
      <c r="F28" s="49">
        <v>1</v>
      </c>
      <c r="G28" s="49">
        <v>65</v>
      </c>
      <c r="H28" s="49">
        <v>7</v>
      </c>
      <c r="I28" s="49">
        <v>0</v>
      </c>
      <c r="J28" s="49">
        <v>72</v>
      </c>
      <c r="K28" s="49">
        <v>73</v>
      </c>
      <c r="L28" s="49">
        <v>32</v>
      </c>
      <c r="M28" s="49">
        <v>1</v>
      </c>
      <c r="N28" s="49">
        <v>0</v>
      </c>
      <c r="O28" s="49">
        <v>33</v>
      </c>
      <c r="P28" s="49">
        <v>32</v>
      </c>
      <c r="Q28" s="49">
        <v>1</v>
      </c>
      <c r="R28" s="49">
        <v>0</v>
      </c>
      <c r="S28" s="49">
        <v>33</v>
      </c>
      <c r="T28" s="49">
        <v>66</v>
      </c>
      <c r="U28" s="49">
        <v>146</v>
      </c>
      <c r="V28" s="49">
        <v>11</v>
      </c>
      <c r="W28" s="49">
        <v>0</v>
      </c>
      <c r="X28" s="49">
        <v>157</v>
      </c>
      <c r="Y28" s="49">
        <v>19</v>
      </c>
      <c r="Z28" s="49">
        <v>0</v>
      </c>
      <c r="AA28" s="49">
        <v>0</v>
      </c>
      <c r="AB28" s="49">
        <v>19</v>
      </c>
      <c r="AC28" s="49">
        <v>176</v>
      </c>
      <c r="AD28" s="49">
        <v>315</v>
      </c>
    </row>
    <row r="29" spans="2:30" x14ac:dyDescent="0.25">
      <c r="B29" s="11">
        <v>0.71875</v>
      </c>
      <c r="C29" s="49">
        <v>1</v>
      </c>
      <c r="D29" s="49">
        <v>0</v>
      </c>
      <c r="E29" s="49">
        <v>0</v>
      </c>
      <c r="F29" s="49">
        <v>1</v>
      </c>
      <c r="G29" s="49">
        <v>47</v>
      </c>
      <c r="H29" s="49">
        <v>5</v>
      </c>
      <c r="I29" s="49">
        <v>0</v>
      </c>
      <c r="J29" s="49">
        <v>52</v>
      </c>
      <c r="K29" s="49">
        <v>53</v>
      </c>
      <c r="L29" s="49">
        <v>23</v>
      </c>
      <c r="M29" s="49">
        <v>0</v>
      </c>
      <c r="N29" s="49">
        <v>0</v>
      </c>
      <c r="O29" s="49">
        <v>23</v>
      </c>
      <c r="P29" s="49">
        <v>16</v>
      </c>
      <c r="Q29" s="49">
        <v>2</v>
      </c>
      <c r="R29" s="49">
        <v>0</v>
      </c>
      <c r="S29" s="49">
        <v>18</v>
      </c>
      <c r="T29" s="49">
        <v>41</v>
      </c>
      <c r="U29" s="49">
        <v>148</v>
      </c>
      <c r="V29" s="49">
        <v>4</v>
      </c>
      <c r="W29" s="49">
        <v>0</v>
      </c>
      <c r="X29" s="49">
        <v>152</v>
      </c>
      <c r="Y29" s="49">
        <v>19</v>
      </c>
      <c r="Z29" s="49">
        <v>0</v>
      </c>
      <c r="AA29" s="49">
        <v>0</v>
      </c>
      <c r="AB29" s="49">
        <v>19</v>
      </c>
      <c r="AC29" s="49">
        <v>171</v>
      </c>
      <c r="AD29" s="49">
        <v>265</v>
      </c>
    </row>
    <row r="30" spans="2:30" x14ac:dyDescent="0.25">
      <c r="B30" s="11">
        <v>0.72916666666666663</v>
      </c>
      <c r="C30" s="49">
        <v>1</v>
      </c>
      <c r="D30" s="49">
        <v>0</v>
      </c>
      <c r="E30" s="49">
        <v>0</v>
      </c>
      <c r="F30" s="49">
        <v>1</v>
      </c>
      <c r="G30" s="49">
        <v>34</v>
      </c>
      <c r="H30" s="49">
        <v>5</v>
      </c>
      <c r="I30" s="49">
        <v>0</v>
      </c>
      <c r="J30" s="49">
        <v>39</v>
      </c>
      <c r="K30" s="49">
        <v>40</v>
      </c>
      <c r="L30" s="49">
        <v>12</v>
      </c>
      <c r="M30" s="49">
        <v>0</v>
      </c>
      <c r="N30" s="49">
        <v>0</v>
      </c>
      <c r="O30" s="49">
        <v>12</v>
      </c>
      <c r="P30" s="49">
        <v>14</v>
      </c>
      <c r="Q30" s="49">
        <v>0</v>
      </c>
      <c r="R30" s="49">
        <v>0</v>
      </c>
      <c r="S30" s="49">
        <v>14</v>
      </c>
      <c r="T30" s="49">
        <v>26</v>
      </c>
      <c r="U30" s="49">
        <v>114</v>
      </c>
      <c r="V30" s="49">
        <v>4</v>
      </c>
      <c r="W30" s="49">
        <v>0</v>
      </c>
      <c r="X30" s="49">
        <v>118</v>
      </c>
      <c r="Y30" s="49">
        <v>21</v>
      </c>
      <c r="Z30" s="49">
        <v>3</v>
      </c>
      <c r="AA30" s="49">
        <v>0</v>
      </c>
      <c r="AB30" s="49">
        <v>24</v>
      </c>
      <c r="AC30" s="49">
        <v>142</v>
      </c>
      <c r="AD30" s="49">
        <v>208</v>
      </c>
    </row>
    <row r="31" spans="2:30" x14ac:dyDescent="0.25">
      <c r="B31" s="11">
        <v>0.73958333333333337</v>
      </c>
      <c r="C31" s="49">
        <v>2</v>
      </c>
      <c r="D31" s="49">
        <v>0</v>
      </c>
      <c r="E31" s="49">
        <v>0</v>
      </c>
      <c r="F31" s="49">
        <v>2</v>
      </c>
      <c r="G31" s="49">
        <v>26</v>
      </c>
      <c r="H31" s="49">
        <v>8</v>
      </c>
      <c r="I31" s="49">
        <v>0</v>
      </c>
      <c r="J31" s="49">
        <v>34</v>
      </c>
      <c r="K31" s="49">
        <v>36</v>
      </c>
      <c r="L31" s="49">
        <v>10</v>
      </c>
      <c r="M31" s="49">
        <v>0</v>
      </c>
      <c r="N31" s="49">
        <v>0</v>
      </c>
      <c r="O31" s="49">
        <v>10</v>
      </c>
      <c r="P31" s="49">
        <v>7</v>
      </c>
      <c r="Q31" s="49">
        <v>1</v>
      </c>
      <c r="R31" s="49">
        <v>0</v>
      </c>
      <c r="S31" s="49">
        <v>8</v>
      </c>
      <c r="T31" s="49">
        <v>18</v>
      </c>
      <c r="U31" s="49">
        <v>63</v>
      </c>
      <c r="V31" s="49">
        <v>4</v>
      </c>
      <c r="W31" s="49">
        <v>0</v>
      </c>
      <c r="X31" s="49">
        <v>67</v>
      </c>
      <c r="Y31" s="49">
        <v>14</v>
      </c>
      <c r="Z31" s="49">
        <v>0</v>
      </c>
      <c r="AA31" s="49">
        <v>0</v>
      </c>
      <c r="AB31" s="49">
        <v>14</v>
      </c>
      <c r="AC31" s="49">
        <v>81</v>
      </c>
      <c r="AD31" s="49">
        <v>135</v>
      </c>
    </row>
    <row r="32" spans="2:30" x14ac:dyDescent="0.25">
      <c r="B32" s="10" t="s">
        <v>91</v>
      </c>
      <c r="C32" s="49">
        <v>5</v>
      </c>
      <c r="D32" s="49">
        <v>0</v>
      </c>
      <c r="E32" s="49">
        <v>0</v>
      </c>
      <c r="F32" s="49">
        <v>5</v>
      </c>
      <c r="G32" s="49">
        <v>86</v>
      </c>
      <c r="H32" s="49">
        <v>60</v>
      </c>
      <c r="I32" s="49">
        <v>0</v>
      </c>
      <c r="J32" s="49">
        <v>146</v>
      </c>
      <c r="K32" s="49">
        <v>151</v>
      </c>
      <c r="L32" s="49">
        <v>50</v>
      </c>
      <c r="M32" s="49">
        <v>10</v>
      </c>
      <c r="N32" s="49">
        <v>1</v>
      </c>
      <c r="O32" s="49">
        <v>61</v>
      </c>
      <c r="P32" s="49">
        <v>17</v>
      </c>
      <c r="Q32" s="49">
        <v>3</v>
      </c>
      <c r="R32" s="49">
        <v>0</v>
      </c>
      <c r="S32" s="49">
        <v>20</v>
      </c>
      <c r="T32" s="49">
        <v>81</v>
      </c>
      <c r="U32" s="49">
        <v>87</v>
      </c>
      <c r="V32" s="49">
        <v>42</v>
      </c>
      <c r="W32" s="49">
        <v>2</v>
      </c>
      <c r="X32" s="49">
        <v>131</v>
      </c>
      <c r="Y32" s="49">
        <v>69</v>
      </c>
      <c r="Z32" s="49">
        <v>30</v>
      </c>
      <c r="AA32" s="49">
        <v>0</v>
      </c>
      <c r="AB32" s="49">
        <v>99</v>
      </c>
      <c r="AC32" s="49">
        <v>230</v>
      </c>
      <c r="AD32" s="49">
        <v>462</v>
      </c>
    </row>
    <row r="33" spans="2:30" x14ac:dyDescent="0.25">
      <c r="B33" s="11">
        <v>0.54166666666666663</v>
      </c>
      <c r="C33" s="49">
        <v>2</v>
      </c>
      <c r="D33" s="49">
        <v>0</v>
      </c>
      <c r="E33" s="49">
        <v>0</v>
      </c>
      <c r="F33" s="49">
        <v>2</v>
      </c>
      <c r="G33" s="49">
        <v>19</v>
      </c>
      <c r="H33" s="49">
        <v>18</v>
      </c>
      <c r="I33" s="49">
        <v>0</v>
      </c>
      <c r="J33" s="49">
        <v>37</v>
      </c>
      <c r="K33" s="49">
        <v>39</v>
      </c>
      <c r="L33" s="49">
        <v>15</v>
      </c>
      <c r="M33" s="49">
        <v>2</v>
      </c>
      <c r="N33" s="49">
        <v>1</v>
      </c>
      <c r="O33" s="49">
        <v>18</v>
      </c>
      <c r="P33" s="49">
        <v>3</v>
      </c>
      <c r="Q33" s="49">
        <v>1</v>
      </c>
      <c r="R33" s="49">
        <v>0</v>
      </c>
      <c r="S33" s="49">
        <v>4</v>
      </c>
      <c r="T33" s="49">
        <v>22</v>
      </c>
      <c r="U33" s="49">
        <v>15</v>
      </c>
      <c r="V33" s="49">
        <v>10</v>
      </c>
      <c r="W33" s="49">
        <v>0</v>
      </c>
      <c r="X33" s="49">
        <v>25</v>
      </c>
      <c r="Y33" s="49">
        <v>16</v>
      </c>
      <c r="Z33" s="49">
        <v>5</v>
      </c>
      <c r="AA33" s="49">
        <v>0</v>
      </c>
      <c r="AB33" s="49">
        <v>21</v>
      </c>
      <c r="AC33" s="49">
        <v>46</v>
      </c>
      <c r="AD33" s="49">
        <v>107</v>
      </c>
    </row>
    <row r="34" spans="2:30" x14ac:dyDescent="0.25">
      <c r="B34" s="11">
        <v>0.55208333333333337</v>
      </c>
      <c r="C34" s="49">
        <v>1</v>
      </c>
      <c r="D34" s="49">
        <v>0</v>
      </c>
      <c r="E34" s="49">
        <v>0</v>
      </c>
      <c r="F34" s="49">
        <v>1</v>
      </c>
      <c r="G34" s="49">
        <v>23</v>
      </c>
      <c r="H34" s="49">
        <v>18</v>
      </c>
      <c r="I34" s="49">
        <v>0</v>
      </c>
      <c r="J34" s="49">
        <v>41</v>
      </c>
      <c r="K34" s="49">
        <v>42</v>
      </c>
      <c r="L34" s="49">
        <v>5</v>
      </c>
      <c r="M34" s="49">
        <v>6</v>
      </c>
      <c r="N34" s="49">
        <v>0</v>
      </c>
      <c r="O34" s="49">
        <v>11</v>
      </c>
      <c r="P34" s="49">
        <v>5</v>
      </c>
      <c r="Q34" s="49">
        <v>1</v>
      </c>
      <c r="R34" s="49">
        <v>0</v>
      </c>
      <c r="S34" s="49">
        <v>6</v>
      </c>
      <c r="T34" s="49">
        <v>17</v>
      </c>
      <c r="U34" s="49">
        <v>20</v>
      </c>
      <c r="V34" s="49">
        <v>10</v>
      </c>
      <c r="W34" s="49">
        <v>1</v>
      </c>
      <c r="X34" s="49">
        <v>31</v>
      </c>
      <c r="Y34" s="49">
        <v>17</v>
      </c>
      <c r="Z34" s="49">
        <v>9</v>
      </c>
      <c r="AA34" s="49">
        <v>0</v>
      </c>
      <c r="AB34" s="49">
        <v>26</v>
      </c>
      <c r="AC34" s="49">
        <v>57</v>
      </c>
      <c r="AD34" s="49">
        <v>116</v>
      </c>
    </row>
    <row r="35" spans="2:30" x14ac:dyDescent="0.25">
      <c r="B35" s="11">
        <v>0.5625</v>
      </c>
      <c r="C35" s="49">
        <v>1</v>
      </c>
      <c r="D35" s="49">
        <v>0</v>
      </c>
      <c r="E35" s="49">
        <v>0</v>
      </c>
      <c r="F35" s="49">
        <v>1</v>
      </c>
      <c r="G35" s="49">
        <v>24</v>
      </c>
      <c r="H35" s="49">
        <v>10</v>
      </c>
      <c r="I35" s="49">
        <v>0</v>
      </c>
      <c r="J35" s="49">
        <v>34</v>
      </c>
      <c r="K35" s="49">
        <v>35</v>
      </c>
      <c r="L35" s="49">
        <v>9</v>
      </c>
      <c r="M35" s="49">
        <v>2</v>
      </c>
      <c r="N35" s="49">
        <v>0</v>
      </c>
      <c r="O35" s="49">
        <v>11</v>
      </c>
      <c r="P35" s="49">
        <v>3</v>
      </c>
      <c r="Q35" s="49">
        <v>0</v>
      </c>
      <c r="R35" s="49">
        <v>0</v>
      </c>
      <c r="S35" s="49">
        <v>3</v>
      </c>
      <c r="T35" s="49">
        <v>14</v>
      </c>
      <c r="U35" s="49">
        <v>26</v>
      </c>
      <c r="V35" s="49">
        <v>17</v>
      </c>
      <c r="W35" s="49">
        <v>1</v>
      </c>
      <c r="X35" s="49">
        <v>44</v>
      </c>
      <c r="Y35" s="49">
        <v>21</v>
      </c>
      <c r="Z35" s="49">
        <v>10</v>
      </c>
      <c r="AA35" s="49">
        <v>0</v>
      </c>
      <c r="AB35" s="49">
        <v>31</v>
      </c>
      <c r="AC35" s="49">
        <v>75</v>
      </c>
      <c r="AD35" s="49">
        <v>124</v>
      </c>
    </row>
    <row r="36" spans="2:30" x14ac:dyDescent="0.25">
      <c r="B36" s="11">
        <v>0.57291666666666663</v>
      </c>
      <c r="C36" s="49">
        <v>1</v>
      </c>
      <c r="D36" s="49">
        <v>0</v>
      </c>
      <c r="E36" s="49">
        <v>0</v>
      </c>
      <c r="F36" s="49">
        <v>1</v>
      </c>
      <c r="G36" s="49">
        <v>20</v>
      </c>
      <c r="H36" s="49">
        <v>14</v>
      </c>
      <c r="I36" s="49">
        <v>0</v>
      </c>
      <c r="J36" s="49">
        <v>34</v>
      </c>
      <c r="K36" s="49">
        <v>35</v>
      </c>
      <c r="L36" s="49">
        <v>21</v>
      </c>
      <c r="M36" s="49">
        <v>0</v>
      </c>
      <c r="N36" s="49">
        <v>0</v>
      </c>
      <c r="O36" s="49">
        <v>21</v>
      </c>
      <c r="P36" s="49">
        <v>6</v>
      </c>
      <c r="Q36" s="49">
        <v>1</v>
      </c>
      <c r="R36" s="49">
        <v>0</v>
      </c>
      <c r="S36" s="49">
        <v>7</v>
      </c>
      <c r="T36" s="49">
        <v>28</v>
      </c>
      <c r="U36" s="49">
        <v>26</v>
      </c>
      <c r="V36" s="49">
        <v>5</v>
      </c>
      <c r="W36" s="49">
        <v>0</v>
      </c>
      <c r="X36" s="49">
        <v>31</v>
      </c>
      <c r="Y36" s="49">
        <v>15</v>
      </c>
      <c r="Z36" s="49">
        <v>6</v>
      </c>
      <c r="AA36" s="49">
        <v>0</v>
      </c>
      <c r="AB36" s="49">
        <v>21</v>
      </c>
      <c r="AC36" s="49">
        <v>52</v>
      </c>
      <c r="AD36" s="49">
        <v>115</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835</v>
      </c>
      <c r="I5">
        <f>MAX(I11:I303)</f>
        <v>462</v>
      </c>
      <c r="J5">
        <f>MAX(J11:J303)</f>
        <v>1120</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835 vehicles between 07:15 and 08:15</v>
      </c>
      <c r="I8" s="6" t="str">
        <f>IF(I5=0,"","The peak hour for " &amp;I10&amp;" is "&amp;I5&amp;" vehicles between " &amp; TEXT(I6, "hh:mm")&amp; " and " &amp;TEXT(I7,"hh:mm"))</f>
        <v>The peak hour for INT is 462 vehicles between 13:00 and 14:00</v>
      </c>
      <c r="J8" s="6" t="str">
        <f>IF(J5=0,"","The peak hour for " &amp;J10&amp;" is "&amp;J5&amp;" vehicles between " &amp; TEXT(J6, "hh:mm")&amp; " and " &amp;TEXT(J7,"hh:mm"))</f>
        <v>The peak hour for PM is 1120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181</v>
      </c>
      <c r="C11" s="49"/>
      <c r="D11" s="49"/>
      <c r="G11" s="7">
        <f>A11</f>
        <v>0.29166666666666669</v>
      </c>
      <c r="H11">
        <f>IF(B11&lt;&gt;0,SUMIF($G$11:$G11,"&gt;"&amp;$G11-1/24,B$11:B11),0)</f>
        <v>181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181</v>
      </c>
      <c r="Q11">
        <f>P11*L11</f>
        <v>0</v>
      </c>
      <c r="S11" s="9">
        <v>0.29166666666666669</v>
      </c>
      <c r="T11" s="49">
        <v>181</v>
      </c>
      <c r="U11" s="49">
        <v>0</v>
      </c>
    </row>
    <row r="12" spans="1:21" x14ac:dyDescent="0.25">
      <c r="A12" s="9">
        <v>0.30208333333333331</v>
      </c>
      <c r="B12" s="49">
        <v>193</v>
      </c>
      <c r="C12" s="49"/>
      <c r="D12" s="49"/>
      <c r="G12" s="7">
        <f t="shared" ref="G12:G26" si="3">A12</f>
        <v>0.30208333333333331</v>
      </c>
      <c r="H12">
        <f>IF(B12&lt;&gt;0,SUMIF($G$11:$G12,"&gt;"&amp;$G12-1/24,B$11:B12),0)</f>
        <v>374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193</v>
      </c>
      <c r="Q12">
        <f t="shared" ref="Q12:Q75" si="7">P12*L12</f>
        <v>193</v>
      </c>
      <c r="S12" s="9">
        <v>0.30208333333333331</v>
      </c>
      <c r="T12" s="49">
        <v>193</v>
      </c>
      <c r="U12" s="49">
        <v>193</v>
      </c>
    </row>
    <row r="13" spans="1:21" x14ac:dyDescent="0.25">
      <c r="A13" s="9">
        <v>0.3125</v>
      </c>
      <c r="B13" s="49">
        <v>221</v>
      </c>
      <c r="C13" s="49"/>
      <c r="D13" s="49"/>
      <c r="G13" s="7">
        <f t="shared" si="3"/>
        <v>0.3125</v>
      </c>
      <c r="H13">
        <f>IF(B13&lt;&gt;0,SUMIF($G$11:$G13,"&gt;"&amp;$G13-1/24,B$11:B13),0)</f>
        <v>595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221</v>
      </c>
      <c r="Q13">
        <f t="shared" si="7"/>
        <v>221</v>
      </c>
      <c r="S13" s="9">
        <v>0.3125</v>
      </c>
      <c r="T13" s="49">
        <v>221</v>
      </c>
      <c r="U13" s="49">
        <v>221</v>
      </c>
    </row>
    <row r="14" spans="1:21" x14ac:dyDescent="0.25">
      <c r="A14" s="9">
        <v>0.32291666666666669</v>
      </c>
      <c r="B14" s="49">
        <v>221</v>
      </c>
      <c r="C14" s="49"/>
      <c r="D14" s="49"/>
      <c r="G14" s="7">
        <f t="shared" si="3"/>
        <v>0.32291666666666669</v>
      </c>
      <c r="H14">
        <f>IF(B14&lt;&gt;0,SUMIF($G$11:$G14,"&gt;"&amp;$G14-1/24,B$11:B14),0)</f>
        <v>816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221</v>
      </c>
      <c r="Q14">
        <f t="shared" si="7"/>
        <v>221</v>
      </c>
      <c r="S14" s="9">
        <v>0.32291666666666669</v>
      </c>
      <c r="T14" s="49">
        <v>221</v>
      </c>
      <c r="U14" s="49">
        <v>221</v>
      </c>
    </row>
    <row r="15" spans="1:21" x14ac:dyDescent="0.25">
      <c r="A15" s="9">
        <v>0.33333333333333331</v>
      </c>
      <c r="B15" s="49">
        <v>200</v>
      </c>
      <c r="C15" s="49"/>
      <c r="D15" s="49"/>
      <c r="G15" s="7">
        <f t="shared" si="3"/>
        <v>0.33333333333333331</v>
      </c>
      <c r="H15">
        <f>IF(B15&lt;&gt;0,SUMIF($G$11:$G15,"&gt;"&amp;$G15-1/24,B$11:B15),0)</f>
        <v>835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200</v>
      </c>
      <c r="Q15">
        <f t="shared" si="7"/>
        <v>200</v>
      </c>
      <c r="S15" s="9">
        <v>0.33333333333333331</v>
      </c>
      <c r="T15" s="49">
        <v>200</v>
      </c>
      <c r="U15" s="49">
        <v>200</v>
      </c>
    </row>
    <row r="16" spans="1:21" x14ac:dyDescent="0.25">
      <c r="A16" s="9">
        <v>0.34375</v>
      </c>
      <c r="B16" s="49">
        <v>187</v>
      </c>
      <c r="C16" s="49"/>
      <c r="D16" s="49"/>
      <c r="G16" s="7">
        <f t="shared" si="3"/>
        <v>0.34375</v>
      </c>
      <c r="H16">
        <f>IF(B16&lt;&gt;0,SUMIF($G$11:$G16,"&gt;"&amp;$G16-1/24,B$11:B16),0)</f>
        <v>829</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187</v>
      </c>
      <c r="Q16">
        <f t="shared" si="7"/>
        <v>0</v>
      </c>
      <c r="S16" s="9">
        <v>0.34375</v>
      </c>
      <c r="T16" s="49">
        <v>187</v>
      </c>
      <c r="U16" s="49">
        <v>0</v>
      </c>
    </row>
    <row r="17" spans="1:21" x14ac:dyDescent="0.25">
      <c r="A17" s="9">
        <v>0.35416666666666669</v>
      </c>
      <c r="B17" s="49">
        <v>184</v>
      </c>
      <c r="C17" s="49"/>
      <c r="D17" s="49"/>
      <c r="G17" s="7">
        <f t="shared" si="3"/>
        <v>0.35416666666666669</v>
      </c>
      <c r="H17">
        <f>IF(B17&lt;&gt;0,SUMIF($G$11:$G17,"&gt;"&amp;$G17-1/24,B$11:B17),0)</f>
        <v>792</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184</v>
      </c>
      <c r="Q17">
        <f t="shared" si="7"/>
        <v>0</v>
      </c>
      <c r="S17" s="9">
        <v>0.35416666666666669</v>
      </c>
      <c r="T17" s="49">
        <v>184</v>
      </c>
      <c r="U17" s="49">
        <v>0</v>
      </c>
    </row>
    <row r="18" spans="1:21" x14ac:dyDescent="0.25">
      <c r="A18" s="9">
        <v>0.36458333333333331</v>
      </c>
      <c r="B18" s="49">
        <v>154</v>
      </c>
      <c r="C18" s="49"/>
      <c r="D18" s="49"/>
      <c r="G18" s="7">
        <f t="shared" si="3"/>
        <v>0.36458333333333331</v>
      </c>
      <c r="H18">
        <f>IF(B18&lt;&gt;0,SUMIF($G$11:$G18,"&gt;"&amp;$G18-1/24,B$11:B18),0)</f>
        <v>725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154</v>
      </c>
      <c r="Q18">
        <f t="shared" si="7"/>
        <v>0</v>
      </c>
      <c r="S18" s="9">
        <v>0.36458333333333331</v>
      </c>
      <c r="T18" s="49">
        <v>154</v>
      </c>
      <c r="U18" s="49">
        <v>0</v>
      </c>
    </row>
    <row r="19" spans="1:21" x14ac:dyDescent="0.25">
      <c r="A19" s="9">
        <v>0.54166666666666663</v>
      </c>
      <c r="B19" s="49"/>
      <c r="C19" s="49">
        <v>107</v>
      </c>
      <c r="D19" s="49"/>
      <c r="G19" s="7">
        <f t="shared" si="3"/>
        <v>0.54166666666666663</v>
      </c>
      <c r="H19">
        <f>IF(B19&lt;&gt;0,SUMIF($G$11:$G19,"&gt;"&amp;$G19-1/24,B$11:B19),0)</f>
        <v>0</v>
      </c>
      <c r="I19">
        <f>IF(C19&lt;&gt;0,SUMIF($G$11:$G19,"&gt;"&amp;$G19-1/24,C$11:C19),0)</f>
        <v>107</v>
      </c>
      <c r="J19">
        <f>IF(D19&lt;&gt;0,SUMIF($G$11:$G19,"&gt;"&amp;$G19-1/24,D$11:D19),0)</f>
        <v>0</v>
      </c>
      <c r="K19">
        <f>IF(E19&lt;&gt;0,SUMIF($G$11:$G19,"&gt;"&amp;$G19-1/24,E$11:E19),0)</f>
        <v>0</v>
      </c>
      <c r="L19">
        <f t="shared" si="4"/>
        <v>1</v>
      </c>
      <c r="N19" t="str">
        <f t="shared" si="5"/>
        <v>INT</v>
      </c>
      <c r="O19" s="7">
        <f t="shared" si="2"/>
        <v>0.54166666666666663</v>
      </c>
      <c r="P19">
        <f t="shared" si="6"/>
        <v>107</v>
      </c>
      <c r="Q19">
        <f t="shared" si="7"/>
        <v>107</v>
      </c>
      <c r="S19" s="9" t="s">
        <v>49</v>
      </c>
      <c r="T19" s="49">
        <v>1541</v>
      </c>
      <c r="U19" s="49">
        <v>835</v>
      </c>
    </row>
    <row r="20" spans="1:21" x14ac:dyDescent="0.25">
      <c r="A20" s="9">
        <v>0.55208333333333337</v>
      </c>
      <c r="B20" s="49"/>
      <c r="C20" s="49">
        <v>116</v>
      </c>
      <c r="D20" s="49"/>
      <c r="G20" s="7">
        <f t="shared" si="3"/>
        <v>0.55208333333333337</v>
      </c>
      <c r="H20">
        <f>IF(B20&lt;&gt;0,SUMIF($G$11:$G20,"&gt;"&amp;$G20-1/24,B$11:B20),0)</f>
        <v>0</v>
      </c>
      <c r="I20">
        <f>IF(C20&lt;&gt;0,SUMIF($G$11:$G20,"&gt;"&amp;$G20-1/24,C$11:C20),0)</f>
        <v>223</v>
      </c>
      <c r="J20">
        <f>IF(D20&lt;&gt;0,SUMIF($G$11:$G20,"&gt;"&amp;$G20-1/24,D$11:D20),0)</f>
        <v>0</v>
      </c>
      <c r="K20">
        <f>IF(E20&lt;&gt;0,SUMIF($G$11:$G20,"&gt;"&amp;$G20-1/24,E$11:E20),0)</f>
        <v>0</v>
      </c>
      <c r="L20">
        <f t="shared" si="4"/>
        <v>1</v>
      </c>
      <c r="N20" t="str">
        <f t="shared" si="5"/>
        <v>INT</v>
      </c>
      <c r="O20" s="7">
        <f t="shared" si="2"/>
        <v>0.55208333333333337</v>
      </c>
      <c r="P20">
        <f t="shared" si="6"/>
        <v>116</v>
      </c>
      <c r="Q20">
        <f t="shared" si="7"/>
        <v>116</v>
      </c>
    </row>
    <row r="21" spans="1:21" x14ac:dyDescent="0.25">
      <c r="A21" s="9">
        <v>0.5625</v>
      </c>
      <c r="B21" s="49"/>
      <c r="C21" s="49">
        <v>124</v>
      </c>
      <c r="D21" s="49"/>
      <c r="G21" s="7">
        <f t="shared" si="3"/>
        <v>0.5625</v>
      </c>
      <c r="H21">
        <f>IF(B21&lt;&gt;0,SUMIF($G$11:$G21,"&gt;"&amp;$G21-1/24,B$11:B21),0)</f>
        <v>0</v>
      </c>
      <c r="I21">
        <f>IF(C21&lt;&gt;0,SUMIF($G$11:$G21,"&gt;"&amp;$G21-1/24,C$11:C21),0)</f>
        <v>347</v>
      </c>
      <c r="J21">
        <f>IF(D21&lt;&gt;0,SUMIF($G$11:$G21,"&gt;"&amp;$G21-1/24,D$11:D21),0)</f>
        <v>0</v>
      </c>
      <c r="K21">
        <f>IF(E21&lt;&gt;0,SUMIF($G$11:$G21,"&gt;"&amp;$G21-1/24,E$11:E21),0)</f>
        <v>0</v>
      </c>
      <c r="L21">
        <f t="shared" si="4"/>
        <v>1</v>
      </c>
      <c r="N21" t="str">
        <f t="shared" si="5"/>
        <v>INT</v>
      </c>
      <c r="O21" s="7">
        <f t="shared" si="2"/>
        <v>0.5625</v>
      </c>
      <c r="P21">
        <f t="shared" si="6"/>
        <v>124</v>
      </c>
      <c r="Q21">
        <f t="shared" si="7"/>
        <v>124</v>
      </c>
    </row>
    <row r="22" spans="1:21" x14ac:dyDescent="0.25">
      <c r="A22" s="9">
        <v>0.57291666666666663</v>
      </c>
      <c r="B22" s="49"/>
      <c r="C22" s="49">
        <v>115</v>
      </c>
      <c r="D22" s="49"/>
      <c r="G22" s="7">
        <f t="shared" si="3"/>
        <v>0.57291666666666663</v>
      </c>
      <c r="H22">
        <f>IF(B22&lt;&gt;0,SUMIF($G$11:$G22,"&gt;"&amp;$G22-1/24,B$11:B22),0)</f>
        <v>0</v>
      </c>
      <c r="I22">
        <f>IF(C22&lt;&gt;0,SUMIF($G$11:$G22,"&gt;"&amp;$G22-1/24,C$11:C22),0)</f>
        <v>462</v>
      </c>
      <c r="J22">
        <f>IF(D22&lt;&gt;0,SUMIF($G$11:$G22,"&gt;"&amp;$G22-1/24,D$11:D22),0)</f>
        <v>0</v>
      </c>
      <c r="K22">
        <f>IF(E22&lt;&gt;0,SUMIF($G$11:$G22,"&gt;"&amp;$G22-1/24,E$11:E22),0)</f>
        <v>0</v>
      </c>
      <c r="L22">
        <f t="shared" si="4"/>
        <v>1</v>
      </c>
      <c r="N22" t="str">
        <f t="shared" si="5"/>
        <v>INT</v>
      </c>
      <c r="O22" s="7">
        <f t="shared" si="2"/>
        <v>0.57291666666666663</v>
      </c>
      <c r="P22">
        <f t="shared" si="6"/>
        <v>115</v>
      </c>
      <c r="Q22">
        <f t="shared" si="7"/>
        <v>115</v>
      </c>
    </row>
    <row r="23" spans="1:21" x14ac:dyDescent="0.25">
      <c r="A23" s="9">
        <v>0.66666666666666663</v>
      </c>
      <c r="B23" s="49"/>
      <c r="C23" s="49"/>
      <c r="D23" s="49">
        <v>247</v>
      </c>
      <c r="G23" s="7">
        <f t="shared" si="3"/>
        <v>0.66666666666666663</v>
      </c>
      <c r="H23">
        <f>IF(B23&lt;&gt;0,SUMIF($G$11:$G23,"&gt;"&amp;$G23-1/24,B$11:B23),0)</f>
        <v>0</v>
      </c>
      <c r="I23">
        <f>IF(C23&lt;&gt;0,SUMIF($G$11:$G23,"&gt;"&amp;$G23-1/24,C$11:C23),0)</f>
        <v>0</v>
      </c>
      <c r="J23">
        <f>IF(D23&lt;&gt;0,SUMIF($G$11:$G23,"&gt;"&amp;$G23-1/24,D$11:D23),0)</f>
        <v>247</v>
      </c>
      <c r="K23">
        <f>IF(E23&lt;&gt;0,SUMIF($G$11:$G23,"&gt;"&amp;$G23-1/24,E$11:E23),0)</f>
        <v>0</v>
      </c>
      <c r="L23">
        <f t="shared" si="4"/>
        <v>0</v>
      </c>
      <c r="N23" t="str">
        <f t="shared" si="5"/>
        <v>PM</v>
      </c>
      <c r="O23" s="7">
        <f t="shared" si="2"/>
        <v>0.66666666666666663</v>
      </c>
      <c r="P23">
        <f t="shared" si="6"/>
        <v>247</v>
      </c>
      <c r="Q23">
        <f t="shared" si="7"/>
        <v>0</v>
      </c>
    </row>
    <row r="24" spans="1:21" x14ac:dyDescent="0.25">
      <c r="A24" s="9">
        <v>0.67708333333333337</v>
      </c>
      <c r="B24" s="49"/>
      <c r="C24" s="49"/>
      <c r="D24" s="49">
        <v>223</v>
      </c>
      <c r="G24" s="7">
        <f t="shared" si="3"/>
        <v>0.67708333333333337</v>
      </c>
      <c r="H24">
        <f>IF(B24&lt;&gt;0,SUMIF($G$11:$G24,"&gt;"&amp;$G24-1/24,B$11:B24),0)</f>
        <v>0</v>
      </c>
      <c r="I24">
        <f>IF(C24&lt;&gt;0,SUMIF($G$11:$G24,"&gt;"&amp;$G24-1/24,C$11:C24),0)</f>
        <v>0</v>
      </c>
      <c r="J24">
        <f>IF(D24&lt;&gt;0,SUMIF($G$11:$G24,"&gt;"&amp;$G24-1/24,D$11:D24),0)</f>
        <v>470</v>
      </c>
      <c r="K24">
        <f>IF(E24&lt;&gt;0,SUMIF($G$11:$G24,"&gt;"&amp;$G24-1/24,E$11:E24),0)</f>
        <v>0</v>
      </c>
      <c r="L24">
        <f t="shared" si="4"/>
        <v>0</v>
      </c>
      <c r="N24" t="str">
        <f t="shared" si="5"/>
        <v>PM</v>
      </c>
      <c r="O24" s="7">
        <f t="shared" si="2"/>
        <v>0.67708333333333337</v>
      </c>
      <c r="P24">
        <f t="shared" si="6"/>
        <v>223</v>
      </c>
      <c r="Q24">
        <f t="shared" si="7"/>
        <v>0</v>
      </c>
    </row>
    <row r="25" spans="1:21" x14ac:dyDescent="0.25">
      <c r="A25" s="9">
        <v>0.6875</v>
      </c>
      <c r="B25" s="49"/>
      <c r="C25" s="49"/>
      <c r="D25" s="49">
        <v>266</v>
      </c>
      <c r="G25" s="7">
        <f t="shared" si="3"/>
        <v>0.6875</v>
      </c>
      <c r="H25">
        <f>IF(B25&lt;&gt;0,SUMIF($G$11:$G25,"&gt;"&amp;$G25-1/24,B$11:B25),0)</f>
        <v>0</v>
      </c>
      <c r="I25">
        <f>IF(C25&lt;&gt;0,SUMIF($G$11:$G25,"&gt;"&amp;$G25-1/24,C$11:C25),0)</f>
        <v>0</v>
      </c>
      <c r="J25">
        <f>IF(D25&lt;&gt;0,SUMIF($G$11:$G25,"&gt;"&amp;$G25-1/24,D$11:D25),0)</f>
        <v>736</v>
      </c>
      <c r="K25">
        <f>IF(E25&lt;&gt;0,SUMIF($G$11:$G25,"&gt;"&amp;$G25-1/24,E$11:E25),0)</f>
        <v>0</v>
      </c>
      <c r="L25">
        <f t="shared" si="4"/>
        <v>1</v>
      </c>
      <c r="N25" t="str">
        <f t="shared" si="5"/>
        <v>PM</v>
      </c>
      <c r="O25" s="7">
        <f t="shared" si="2"/>
        <v>0.6875</v>
      </c>
      <c r="P25">
        <f t="shared" si="6"/>
        <v>266</v>
      </c>
      <c r="Q25">
        <f t="shared" si="7"/>
        <v>266</v>
      </c>
    </row>
    <row r="26" spans="1:21" x14ac:dyDescent="0.25">
      <c r="A26" s="9">
        <v>0.69791666666666663</v>
      </c>
      <c r="B26" s="49"/>
      <c r="C26" s="49"/>
      <c r="D26" s="49">
        <v>274</v>
      </c>
      <c r="G26" s="7">
        <f t="shared" si="3"/>
        <v>0.69791666666666663</v>
      </c>
      <c r="H26">
        <f>IF(B26&lt;&gt;0,SUMIF($G$11:$G26,"&gt;"&amp;$G26-1/24,B$11:B26),0)</f>
        <v>0</v>
      </c>
      <c r="I26">
        <f>IF(C26&lt;&gt;0,SUMIF($G$11:$G26,"&gt;"&amp;$G26-1/24,C$11:C26),0)</f>
        <v>0</v>
      </c>
      <c r="J26">
        <f>IF(D26&lt;&gt;0,SUMIF($G$11:$G26,"&gt;"&amp;$G26-1/24,D$11:D26),0)</f>
        <v>1010</v>
      </c>
      <c r="K26">
        <f>IF(E26&lt;&gt;0,SUMIF($G$11:$G26,"&gt;"&amp;$G26-1/24,E$11:E26),0)</f>
        <v>0</v>
      </c>
      <c r="L26">
        <f t="shared" si="4"/>
        <v>1</v>
      </c>
      <c r="N26" t="str">
        <f t="shared" si="5"/>
        <v>PM</v>
      </c>
      <c r="O26" s="7">
        <f t="shared" si="2"/>
        <v>0.69791666666666663</v>
      </c>
      <c r="P26">
        <f t="shared" si="6"/>
        <v>274</v>
      </c>
      <c r="Q26">
        <f t="shared" si="7"/>
        <v>274</v>
      </c>
    </row>
    <row r="27" spans="1:21" x14ac:dyDescent="0.25">
      <c r="A27" s="9">
        <v>0.70833333333333337</v>
      </c>
      <c r="B27" s="49"/>
      <c r="C27" s="49"/>
      <c r="D27" s="49">
        <v>315</v>
      </c>
      <c r="G27" s="7">
        <f t="shared" ref="G27:G90" si="8">A27</f>
        <v>0.70833333333333337</v>
      </c>
      <c r="H27">
        <f>IF(B27&lt;&gt;0,SUMIF($G$11:$G27,"&gt;"&amp;$G27-1/24,B$11:B27),0)</f>
        <v>0</v>
      </c>
      <c r="I27">
        <f>IF(C27&lt;&gt;0,SUMIF($G$11:$G27,"&gt;"&amp;$G27-1/24,C$11:C27),0)</f>
        <v>0</v>
      </c>
      <c r="J27">
        <f>IF(D27&lt;&gt;0,SUMIF($G$11:$G27,"&gt;"&amp;$G27-1/24,D$11:D27),0)</f>
        <v>1078</v>
      </c>
      <c r="K27">
        <f>IF(E27&lt;&gt;0,SUMIF($G$11:$G27,"&gt;"&amp;$G27-1/24,E$11:E27),0)</f>
        <v>0</v>
      </c>
      <c r="L27">
        <f t="shared" si="4"/>
        <v>1</v>
      </c>
      <c r="N27" t="str">
        <f t="shared" si="5"/>
        <v>PM</v>
      </c>
      <c r="O27" s="7">
        <f t="shared" si="2"/>
        <v>0.70833333333333337</v>
      </c>
      <c r="P27">
        <f t="shared" si="6"/>
        <v>315</v>
      </c>
      <c r="Q27">
        <f t="shared" si="7"/>
        <v>315</v>
      </c>
    </row>
    <row r="28" spans="1:21" x14ac:dyDescent="0.25">
      <c r="A28" s="9">
        <v>0.71875</v>
      </c>
      <c r="B28" s="49"/>
      <c r="C28" s="49"/>
      <c r="D28" s="49">
        <v>265</v>
      </c>
      <c r="G28" s="7">
        <f t="shared" si="8"/>
        <v>0.71875</v>
      </c>
      <c r="H28">
        <f>IF(B28&lt;&gt;0,SUMIF($G$11:$G28,"&gt;"&amp;$G28-1/24,B$11:B28),0)</f>
        <v>0</v>
      </c>
      <c r="I28">
        <f>IF(C28&lt;&gt;0,SUMIF($G$11:$G28,"&gt;"&amp;$G28-1/24,C$11:C28),0)</f>
        <v>0</v>
      </c>
      <c r="J28">
        <f>IF(D28&lt;&gt;0,SUMIF($G$11:$G28,"&gt;"&amp;$G28-1/24,D$11:D28),0)</f>
        <v>1120</v>
      </c>
      <c r="K28">
        <f>IF(E28&lt;&gt;0,SUMIF($G$11:$G28,"&gt;"&amp;$G28-1/24,E$11:E28),0)</f>
        <v>0</v>
      </c>
      <c r="L28">
        <f t="shared" si="4"/>
        <v>1</v>
      </c>
      <c r="N28" t="str">
        <f t="shared" si="5"/>
        <v>PM</v>
      </c>
      <c r="O28" s="7">
        <f t="shared" si="2"/>
        <v>0.71875</v>
      </c>
      <c r="P28">
        <f t="shared" si="6"/>
        <v>265</v>
      </c>
      <c r="Q28">
        <f t="shared" si="7"/>
        <v>265</v>
      </c>
    </row>
    <row r="29" spans="1:21" x14ac:dyDescent="0.25">
      <c r="A29" s="9">
        <v>0.72916666666666663</v>
      </c>
      <c r="B29" s="49"/>
      <c r="C29" s="49"/>
      <c r="D29" s="49">
        <v>208</v>
      </c>
      <c r="G29" s="7">
        <f t="shared" si="8"/>
        <v>0.72916666666666663</v>
      </c>
      <c r="H29">
        <f>IF(B29&lt;&gt;0,SUMIF($G$11:$G29,"&gt;"&amp;$G29-1/24,B$11:B29),0)</f>
        <v>0</v>
      </c>
      <c r="I29">
        <f>IF(C29&lt;&gt;0,SUMIF($G$11:$G29,"&gt;"&amp;$G29-1/24,C$11:C29),0)</f>
        <v>0</v>
      </c>
      <c r="J29">
        <f>IF(D29&lt;&gt;0,SUMIF($G$11:$G29,"&gt;"&amp;$G29-1/24,D$11:D29),0)</f>
        <v>1062</v>
      </c>
      <c r="K29">
        <f>IF(E29&lt;&gt;0,SUMIF($G$11:$G29,"&gt;"&amp;$G29-1/24,E$11:E29),0)</f>
        <v>0</v>
      </c>
      <c r="L29">
        <f t="shared" si="4"/>
        <v>0</v>
      </c>
      <c r="N29" t="str">
        <f t="shared" si="5"/>
        <v>PM</v>
      </c>
      <c r="O29" s="7">
        <f t="shared" si="2"/>
        <v>0.72916666666666663</v>
      </c>
      <c r="P29">
        <f t="shared" si="6"/>
        <v>208</v>
      </c>
      <c r="Q29">
        <f t="shared" si="7"/>
        <v>0</v>
      </c>
    </row>
    <row r="30" spans="1:21" x14ac:dyDescent="0.25">
      <c r="A30" s="9">
        <v>0.73958333333333337</v>
      </c>
      <c r="B30" s="49"/>
      <c r="C30" s="49"/>
      <c r="D30" s="49">
        <v>135</v>
      </c>
      <c r="G30" s="7">
        <f t="shared" si="8"/>
        <v>0.73958333333333337</v>
      </c>
      <c r="H30">
        <f>IF(B30&lt;&gt;0,SUMIF($G$11:$G30,"&gt;"&amp;$G30-1/24,B$11:B30),0)</f>
        <v>0</v>
      </c>
      <c r="I30">
        <f>IF(C30&lt;&gt;0,SUMIF($G$11:$G30,"&gt;"&amp;$G30-1/24,C$11:C30),0)</f>
        <v>0</v>
      </c>
      <c r="J30">
        <f>IF(D30&lt;&gt;0,SUMIF($G$11:$G30,"&gt;"&amp;$G30-1/24,D$11:D30),0)</f>
        <v>923</v>
      </c>
      <c r="K30">
        <f>IF(E30&lt;&gt;0,SUMIF($G$11:$G30,"&gt;"&amp;$G30-1/24,E$11:E30),0)</f>
        <v>0</v>
      </c>
      <c r="L30">
        <f t="shared" si="4"/>
        <v>0</v>
      </c>
      <c r="N30" t="str">
        <f t="shared" si="5"/>
        <v>PM</v>
      </c>
      <c r="O30" s="7">
        <f t="shared" si="2"/>
        <v>0.73958333333333337</v>
      </c>
      <c r="P30">
        <f t="shared" si="6"/>
        <v>135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181</v>
      </c>
      <c r="E5" t="str">
        <f>"Vehicle Count by Exit Leg for "&amp;C2&amp;" Period"</f>
        <v>Vehicle Count by Exit Leg for AM Period</v>
      </c>
    </row>
    <row r="6" spans="2:5" x14ac:dyDescent="0.25">
      <c r="B6" s="9">
        <v>0.30208333333333331</v>
      </c>
      <c r="C6" s="49">
        <v>193</v>
      </c>
    </row>
    <row r="7" spans="2:5" x14ac:dyDescent="0.25">
      <c r="B7" s="9">
        <v>0.3125</v>
      </c>
      <c r="C7" s="49">
        <v>221</v>
      </c>
    </row>
    <row r="8" spans="2:5" x14ac:dyDescent="0.25">
      <c r="B8" s="9">
        <v>0.32291666666666669</v>
      </c>
      <c r="C8" s="49">
        <v>221</v>
      </c>
    </row>
    <row r="9" spans="2:5" x14ac:dyDescent="0.25">
      <c r="B9" s="9">
        <v>0.33333333333333331</v>
      </c>
      <c r="C9" s="49">
        <v>200</v>
      </c>
    </row>
    <row r="10" spans="2:5" x14ac:dyDescent="0.25">
      <c r="B10" s="9">
        <v>0.34375</v>
      </c>
      <c r="C10" s="49">
        <v>187</v>
      </c>
    </row>
    <row r="11" spans="2:5" x14ac:dyDescent="0.25">
      <c r="B11" s="9">
        <v>0.35416666666666669</v>
      </c>
      <c r="C11" s="49">
        <v>184</v>
      </c>
    </row>
    <row r="12" spans="2:5" x14ac:dyDescent="0.25">
      <c r="B12" s="9">
        <v>0.36458333333333331</v>
      </c>
      <c r="C12" s="49">
        <v>154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28515625" bestFit="1" customWidth="1"/>
    <col min="12" max="13" width="25.28515625" bestFit="1" customWidth="1"/>
    <col min="14" max="14" width="8.28515625" customWidth="1"/>
    <col min="15" max="15" width="5.5703125" customWidth="1"/>
    <col min="16" max="18" width="3.28515625" customWidth="1"/>
    <col min="19" max="19" width="11.28515625" bestFit="1" customWidth="1"/>
    <col min="20" max="20" width="17.28515625" bestFit="1" customWidth="1"/>
    <col min="21" max="22" width="25.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181</v>
      </c>
      <c r="J26" s="9">
        <v>0.29166666666666669</v>
      </c>
      <c r="K26" s="50">
        <v>125</v>
      </c>
      <c r="L26" s="50">
        <v>39</v>
      </c>
      <c r="M26" s="50">
        <v>17</v>
      </c>
      <c r="S26" s="9">
        <v>0.29166666666666669</v>
      </c>
      <c r="T26" s="50">
        <v>27</v>
      </c>
      <c r="U26" s="50">
        <v>136</v>
      </c>
      <c r="V26" s="50">
        <v>18</v>
      </c>
    </row>
    <row r="27" spans="2:24" x14ac:dyDescent="0.25">
      <c r="B27" s="9">
        <v>0.30208333333333331</v>
      </c>
      <c r="C27" s="50">
        <v>193</v>
      </c>
      <c r="J27" s="9">
        <v>0.30208333333333331</v>
      </c>
      <c r="K27" s="50">
        <v>129</v>
      </c>
      <c r="L27" s="50">
        <v>44</v>
      </c>
      <c r="M27" s="50">
        <v>20</v>
      </c>
      <c r="S27" s="9">
        <v>0.30208333333333331</v>
      </c>
      <c r="T27" s="50">
        <v>31</v>
      </c>
      <c r="U27" s="50">
        <v>143</v>
      </c>
      <c r="V27" s="50">
        <v>19</v>
      </c>
    </row>
    <row r="28" spans="2:24" x14ac:dyDescent="0.25">
      <c r="B28" s="9">
        <v>0.3125</v>
      </c>
      <c r="C28" s="50">
        <v>221</v>
      </c>
      <c r="J28" s="9">
        <v>0.3125</v>
      </c>
      <c r="K28" s="50">
        <v>133</v>
      </c>
      <c r="L28" s="50">
        <v>60</v>
      </c>
      <c r="M28" s="50">
        <v>28</v>
      </c>
      <c r="S28" s="9">
        <v>0.3125</v>
      </c>
      <c r="T28" s="50">
        <v>47</v>
      </c>
      <c r="U28" s="50">
        <v>155</v>
      </c>
      <c r="V28" s="50">
        <v>19</v>
      </c>
    </row>
    <row r="29" spans="2:24" x14ac:dyDescent="0.25">
      <c r="B29" s="9">
        <v>0.32291666666666669</v>
      </c>
      <c r="C29" s="50">
        <v>221</v>
      </c>
      <c r="J29" s="9">
        <v>0.32291666666666669</v>
      </c>
      <c r="K29" s="50">
        <v>128</v>
      </c>
      <c r="L29" s="50">
        <v>52</v>
      </c>
      <c r="M29" s="50">
        <v>41</v>
      </c>
      <c r="S29" s="9">
        <v>0.32291666666666669</v>
      </c>
      <c r="T29" s="50">
        <v>32</v>
      </c>
      <c r="U29" s="50">
        <v>162</v>
      </c>
      <c r="V29" s="50">
        <v>27</v>
      </c>
    </row>
    <row r="30" spans="2:24" x14ac:dyDescent="0.25">
      <c r="B30" s="9">
        <v>0.33333333333333331</v>
      </c>
      <c r="C30" s="50">
        <v>200</v>
      </c>
      <c r="J30" s="9">
        <v>0.33333333333333331</v>
      </c>
      <c r="K30" s="50">
        <v>96</v>
      </c>
      <c r="L30" s="50">
        <v>77</v>
      </c>
      <c r="M30" s="50">
        <v>27</v>
      </c>
      <c r="S30" s="9">
        <v>0.33333333333333331</v>
      </c>
      <c r="T30" s="50">
        <v>59</v>
      </c>
      <c r="U30" s="50">
        <v>121</v>
      </c>
      <c r="V30" s="50">
        <v>20</v>
      </c>
    </row>
    <row r="31" spans="2:24" x14ac:dyDescent="0.25">
      <c r="B31" s="9">
        <v>0.34375</v>
      </c>
      <c r="C31" s="50">
        <v>187</v>
      </c>
      <c r="J31" s="9">
        <v>0.34375</v>
      </c>
      <c r="K31" s="50">
        <v>81</v>
      </c>
      <c r="L31" s="50">
        <v>65</v>
      </c>
      <c r="M31" s="50">
        <v>41</v>
      </c>
      <c r="S31" s="9">
        <v>0.34375</v>
      </c>
      <c r="T31" s="50">
        <v>47</v>
      </c>
      <c r="U31" s="50">
        <v>109</v>
      </c>
      <c r="V31" s="50">
        <v>31</v>
      </c>
    </row>
    <row r="32" spans="2:24" x14ac:dyDescent="0.25">
      <c r="B32" s="9">
        <v>0.35416666666666669</v>
      </c>
      <c r="C32" s="50">
        <v>184</v>
      </c>
      <c r="J32" s="9">
        <v>0.35416666666666669</v>
      </c>
      <c r="K32" s="50">
        <v>101</v>
      </c>
      <c r="L32" s="50">
        <v>50</v>
      </c>
      <c r="M32" s="50">
        <v>33</v>
      </c>
      <c r="S32" s="9">
        <v>0.35416666666666669</v>
      </c>
      <c r="T32" s="50">
        <v>32</v>
      </c>
      <c r="U32" s="50">
        <v>126</v>
      </c>
      <c r="V32" s="50">
        <v>26</v>
      </c>
    </row>
    <row r="33" spans="2:22" x14ac:dyDescent="0.25">
      <c r="B33" s="9">
        <v>0.36458333333333331</v>
      </c>
      <c r="C33" s="50">
        <v>154</v>
      </c>
      <c r="J33" s="9">
        <v>0.36458333333333331</v>
      </c>
      <c r="K33" s="50">
        <v>76</v>
      </c>
      <c r="L33" s="50">
        <v>51</v>
      </c>
      <c r="M33" s="50">
        <v>27</v>
      </c>
      <c r="S33" s="9">
        <v>0.36458333333333331</v>
      </c>
      <c r="T33" s="50">
        <v>40</v>
      </c>
      <c r="U33" s="50">
        <v>94</v>
      </c>
      <c r="V33" s="50">
        <v>20</v>
      </c>
    </row>
    <row r="34" spans="2:22" x14ac:dyDescent="0.25">
      <c r="B34" s="9" t="s">
        <v>49</v>
      </c>
      <c r="C34" s="50">
        <v>1541</v>
      </c>
      <c r="J34" s="9" t="s">
        <v>49</v>
      </c>
      <c r="K34" s="50">
        <v>869</v>
      </c>
      <c r="L34" s="50">
        <v>438</v>
      </c>
      <c r="M34" s="50">
        <v>234</v>
      </c>
      <c r="S34" s="9" t="s">
        <v>49</v>
      </c>
      <c r="T34" s="50">
        <v>315</v>
      </c>
      <c r="U34" s="50">
        <v>1046</v>
      </c>
      <c r="V34" s="50">
        <v>180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5.8554687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835 vehicles between 07:15 and 08:15</v>
      </c>
    </row>
    <row r="5" spans="2:2" x14ac:dyDescent="0.25">
      <c r="B5" s="6" t="str">
        <f>PeakCalc!I8</f>
        <v>The peak hour for INT is 462 vehicles between 13:00 and 14:00</v>
      </c>
    </row>
    <row r="6" spans="2:2" x14ac:dyDescent="0.25">
      <c r="B6" s="6" t="str">
        <f>PeakCalc!J8</f>
        <v>The peak hour for PM is 1120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416</v>
      </c>
      <c r="D32" s="49">
        <v>70</v>
      </c>
      <c r="E32" s="49">
        <v>0</v>
      </c>
      <c r="F32" s="49">
        <v>486</v>
      </c>
      <c r="G32" s="49">
        <v>229</v>
      </c>
      <c r="H32" s="49">
        <v>24</v>
      </c>
      <c r="I32" s="49">
        <v>0</v>
      </c>
      <c r="J32" s="49">
        <v>253</v>
      </c>
      <c r="K32" s="49">
        <v>91</v>
      </c>
      <c r="L32" s="49">
        <v>60</v>
      </c>
      <c r="M32" s="49">
        <v>0</v>
      </c>
      <c r="N32" s="49">
        <v>151</v>
      </c>
    </row>
    <row r="33" spans="2:14" x14ac:dyDescent="0.25">
      <c r="B33" s="14" t="s">
        <v>96</v>
      </c>
      <c r="C33" s="49">
        <v>6</v>
      </c>
      <c r="D33" s="49">
        <v>1</v>
      </c>
      <c r="E33" s="49">
        <v>0</v>
      </c>
      <c r="F33" s="49">
        <v>7</v>
      </c>
      <c r="G33" s="49">
        <v>4</v>
      </c>
      <c r="H33" s="49">
        <v>0</v>
      </c>
      <c r="I33" s="49">
        <v>0</v>
      </c>
      <c r="J33" s="49">
        <v>4</v>
      </c>
      <c r="K33" s="49">
        <v>5</v>
      </c>
      <c r="L33" s="49">
        <v>0</v>
      </c>
      <c r="M33" s="49">
        <v>0</v>
      </c>
      <c r="N33" s="49">
        <v>5</v>
      </c>
    </row>
    <row r="34" spans="2:14" x14ac:dyDescent="0.25">
      <c r="B34" s="14" t="s">
        <v>97</v>
      </c>
      <c r="C34" s="49">
        <v>410</v>
      </c>
      <c r="D34" s="49">
        <v>69</v>
      </c>
      <c r="E34" s="49">
        <v>0</v>
      </c>
      <c r="F34" s="49">
        <v>479</v>
      </c>
      <c r="G34" s="49">
        <v>225</v>
      </c>
      <c r="H34" s="49">
        <v>24</v>
      </c>
      <c r="I34" s="49">
        <v>0</v>
      </c>
      <c r="J34" s="49">
        <v>249</v>
      </c>
      <c r="K34" s="49">
        <v>86</v>
      </c>
      <c r="L34" s="49">
        <v>60</v>
      </c>
      <c r="M34" s="49">
        <v>0</v>
      </c>
      <c r="N34" s="49">
        <v>146</v>
      </c>
    </row>
    <row r="35" spans="2:14" x14ac:dyDescent="0.25">
      <c r="B35" s="10" t="s">
        <v>94</v>
      </c>
      <c r="C35" s="49">
        <v>102</v>
      </c>
      <c r="D35" s="49">
        <v>13</v>
      </c>
      <c r="E35" s="49">
        <v>1</v>
      </c>
      <c r="F35" s="49">
        <v>116</v>
      </c>
      <c r="G35" s="49">
        <v>199</v>
      </c>
      <c r="H35" s="49">
        <v>9</v>
      </c>
      <c r="I35" s="49">
        <v>3</v>
      </c>
      <c r="J35" s="49">
        <v>211</v>
      </c>
      <c r="K35" s="49">
        <v>67</v>
      </c>
      <c r="L35" s="49">
        <v>13</v>
      </c>
      <c r="M35" s="49">
        <v>1</v>
      </c>
      <c r="N35" s="49">
        <v>81</v>
      </c>
    </row>
    <row r="36" spans="2:14" x14ac:dyDescent="0.25">
      <c r="B36" s="14" t="s">
        <v>98</v>
      </c>
      <c r="C36" s="49">
        <v>92</v>
      </c>
      <c r="D36" s="49">
        <v>9</v>
      </c>
      <c r="E36" s="49">
        <v>1</v>
      </c>
      <c r="F36" s="49">
        <v>102</v>
      </c>
      <c r="G36" s="49">
        <v>100</v>
      </c>
      <c r="H36" s="49">
        <v>4</v>
      </c>
      <c r="I36" s="49">
        <v>3</v>
      </c>
      <c r="J36" s="49">
        <v>107</v>
      </c>
      <c r="K36" s="49">
        <v>50</v>
      </c>
      <c r="L36" s="49">
        <v>10</v>
      </c>
      <c r="M36" s="49">
        <v>1</v>
      </c>
      <c r="N36" s="49">
        <v>61</v>
      </c>
    </row>
    <row r="37" spans="2:14" x14ac:dyDescent="0.25">
      <c r="B37" s="14" t="s">
        <v>99</v>
      </c>
      <c r="C37" s="49">
        <v>10</v>
      </c>
      <c r="D37" s="49">
        <v>4</v>
      </c>
      <c r="E37" s="49">
        <v>0</v>
      </c>
      <c r="F37" s="49">
        <v>14</v>
      </c>
      <c r="G37" s="49">
        <v>99</v>
      </c>
      <c r="H37" s="49">
        <v>5</v>
      </c>
      <c r="I37" s="49">
        <v>0</v>
      </c>
      <c r="J37" s="49">
        <v>104</v>
      </c>
      <c r="K37" s="49">
        <v>17</v>
      </c>
      <c r="L37" s="49">
        <v>3</v>
      </c>
      <c r="M37" s="49">
        <v>0</v>
      </c>
      <c r="N37" s="49">
        <v>20</v>
      </c>
    </row>
    <row r="38" spans="2:14" x14ac:dyDescent="0.25">
      <c r="B38" s="10" t="s">
        <v>95</v>
      </c>
      <c r="C38" s="49">
        <v>154</v>
      </c>
      <c r="D38" s="49">
        <v>77</v>
      </c>
      <c r="E38" s="49">
        <v>2</v>
      </c>
      <c r="F38" s="49">
        <v>233</v>
      </c>
      <c r="G38" s="49">
        <v>620</v>
      </c>
      <c r="H38" s="49">
        <v>36</v>
      </c>
      <c r="I38" s="49">
        <v>0</v>
      </c>
      <c r="J38" s="49">
        <v>656</v>
      </c>
      <c r="K38" s="49">
        <v>156</v>
      </c>
      <c r="L38" s="49">
        <v>72</v>
      </c>
      <c r="M38" s="49">
        <v>2</v>
      </c>
      <c r="N38" s="49">
        <v>230</v>
      </c>
    </row>
    <row r="39" spans="2:14" x14ac:dyDescent="0.25">
      <c r="B39" s="14" t="s">
        <v>101</v>
      </c>
      <c r="C39" s="49">
        <v>100</v>
      </c>
      <c r="D39" s="49">
        <v>54</v>
      </c>
      <c r="E39" s="49">
        <v>1</v>
      </c>
      <c r="F39" s="49">
        <v>155</v>
      </c>
      <c r="G39" s="49">
        <v>557</v>
      </c>
      <c r="H39" s="49">
        <v>35</v>
      </c>
      <c r="I39" s="49">
        <v>0</v>
      </c>
      <c r="J39" s="49">
        <v>592</v>
      </c>
      <c r="K39" s="49">
        <v>87</v>
      </c>
      <c r="L39" s="49">
        <v>42</v>
      </c>
      <c r="M39" s="49">
        <v>2</v>
      </c>
      <c r="N39" s="49">
        <v>131</v>
      </c>
    </row>
    <row r="40" spans="2:14" x14ac:dyDescent="0.25">
      <c r="B40" s="14" t="s">
        <v>100</v>
      </c>
      <c r="C40" s="49">
        <v>54</v>
      </c>
      <c r="D40" s="49">
        <v>23</v>
      </c>
      <c r="E40" s="49">
        <v>1</v>
      </c>
      <c r="F40" s="49">
        <v>78</v>
      </c>
      <c r="G40" s="49">
        <v>63</v>
      </c>
      <c r="H40" s="49">
        <v>1</v>
      </c>
      <c r="I40" s="49">
        <v>0</v>
      </c>
      <c r="J40" s="49">
        <v>64</v>
      </c>
      <c r="K40" s="49">
        <v>69</v>
      </c>
      <c r="L40" s="49">
        <v>30</v>
      </c>
      <c r="M40" s="49">
        <v>0</v>
      </c>
      <c r="N40" s="49">
        <v>99</v>
      </c>
    </row>
    <row r="41" spans="2:14" x14ac:dyDescent="0.25">
      <c r="B41" s="10" t="s">
        <v>49</v>
      </c>
      <c r="C41" s="49">
        <v>672</v>
      </c>
      <c r="D41" s="49">
        <v>160</v>
      </c>
      <c r="E41" s="49">
        <v>3</v>
      </c>
      <c r="F41" s="49">
        <v>835</v>
      </c>
      <c r="G41" s="49">
        <v>1048</v>
      </c>
      <c r="H41" s="49">
        <v>69</v>
      </c>
      <c r="I41" s="49">
        <v>3</v>
      </c>
      <c r="J41" s="49">
        <v>1120</v>
      </c>
      <c r="K41" s="49">
        <v>314</v>
      </c>
      <c r="L41" s="49">
        <v>145</v>
      </c>
      <c r="M41" s="49">
        <v>3</v>
      </c>
      <c r="N41" s="49">
        <v>462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8B8D-053C-432A-9737-C9E2E41708F8}">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152</v>
      </c>
      <c r="AA12" s="60"/>
      <c r="AB12" s="60"/>
      <c r="AC12" s="60"/>
      <c r="AD12" s="60"/>
      <c r="AE12" s="60"/>
      <c r="AF12" s="60"/>
      <c r="AG12" s="61"/>
      <c r="AH12" s="59" t="s">
        <v>151</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v>2</v>
      </c>
      <c r="L15" s="51" t="s">
        <v>113</v>
      </c>
      <c r="M15" s="51" t="s">
        <v>113</v>
      </c>
      <c r="N15" s="51" t="s">
        <v>113</v>
      </c>
      <c r="O15" s="51">
        <v>101</v>
      </c>
      <c r="P15" s="51" t="s">
        <v>113</v>
      </c>
      <c r="Q15" s="51">
        <v>2</v>
      </c>
      <c r="R15" s="51" t="s">
        <v>113</v>
      </c>
      <c r="S15" s="51" t="s">
        <v>113</v>
      </c>
      <c r="T15" s="51" t="s">
        <v>113</v>
      </c>
      <c r="U15" s="51" t="s">
        <v>113</v>
      </c>
      <c r="V15" s="51" t="s">
        <v>113</v>
      </c>
      <c r="W15" s="51" t="s">
        <v>113</v>
      </c>
      <c r="X15" s="51" t="s">
        <v>113</v>
      </c>
      <c r="Y15" s="51" t="s">
        <v>113</v>
      </c>
      <c r="Z15" s="51" t="s">
        <v>113</v>
      </c>
      <c r="AA15" s="51" t="s">
        <v>113</v>
      </c>
      <c r="AB15" s="51" t="s">
        <v>113</v>
      </c>
      <c r="AC15" s="51">
        <v>10</v>
      </c>
      <c r="AD15" s="51" t="s">
        <v>113</v>
      </c>
      <c r="AE15" s="51">
        <v>4</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17</v>
      </c>
      <c r="BH15" s="51" t="s">
        <v>113</v>
      </c>
      <c r="BI15" s="51">
        <v>10</v>
      </c>
      <c r="BJ15" s="51" t="s">
        <v>113</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v>1</v>
      </c>
      <c r="L16" s="51" t="s">
        <v>113</v>
      </c>
      <c r="M16" s="51" t="s">
        <v>113</v>
      </c>
      <c r="N16" s="51" t="s">
        <v>113</v>
      </c>
      <c r="O16" s="51">
        <v>117</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v>14</v>
      </c>
      <c r="AD16" s="51" t="s">
        <v>113</v>
      </c>
      <c r="AE16" s="51">
        <v>4</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16</v>
      </c>
      <c r="BH16" s="51" t="s">
        <v>113</v>
      </c>
      <c r="BI16" s="51">
        <v>13</v>
      </c>
      <c r="BJ16" s="51" t="s">
        <v>113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v>2</v>
      </c>
      <c r="L17" s="51" t="s">
        <v>113</v>
      </c>
      <c r="M17" s="51" t="s">
        <v>113</v>
      </c>
      <c r="N17" s="51" t="s">
        <v>113</v>
      </c>
      <c r="O17" s="51">
        <v>120</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v>22</v>
      </c>
      <c r="AD17" s="51" t="s">
        <v>113</v>
      </c>
      <c r="AE17" s="51">
        <v>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32</v>
      </c>
      <c r="BH17" s="51" t="s">
        <v>113</v>
      </c>
      <c r="BI17" s="51">
        <v>11</v>
      </c>
      <c r="BJ17" s="51" t="s">
        <v>113</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v>3</v>
      </c>
      <c r="L18" s="51" t="s">
        <v>113</v>
      </c>
      <c r="M18" s="51" t="s">
        <v>113</v>
      </c>
      <c r="N18" s="51" t="s">
        <v>113</v>
      </c>
      <c r="O18" s="51">
        <v>103</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v>33</v>
      </c>
      <c r="AD18" s="51" t="s">
        <v>113</v>
      </c>
      <c r="AE18" s="51">
        <v>2</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20</v>
      </c>
      <c r="BH18" s="51" t="s">
        <v>113</v>
      </c>
      <c r="BI18" s="51">
        <v>13</v>
      </c>
      <c r="BJ18" s="51" t="s">
        <v>113</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v>0</v>
      </c>
      <c r="L19" s="51" t="s">
        <v>113</v>
      </c>
      <c r="M19" s="51" t="s">
        <v>113</v>
      </c>
      <c r="N19" s="51" t="s">
        <v>113</v>
      </c>
      <c r="O19" s="51">
        <v>70</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v>23</v>
      </c>
      <c r="AD19" s="51" t="s">
        <v>113</v>
      </c>
      <c r="AE19" s="51">
        <v>1</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32</v>
      </c>
      <c r="BH19" s="51" t="s">
        <v>113</v>
      </c>
      <c r="BI19" s="51">
        <v>17</v>
      </c>
      <c r="BJ19" s="51" t="s">
        <v>113</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v>4</v>
      </c>
      <c r="L20" s="51" t="s">
        <v>113</v>
      </c>
      <c r="M20" s="51" t="s">
        <v>113</v>
      </c>
      <c r="N20" s="51" t="s">
        <v>113</v>
      </c>
      <c r="O20" s="51">
        <v>61</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v>28</v>
      </c>
      <c r="AD20" s="51" t="s">
        <v>113</v>
      </c>
      <c r="AE20" s="51">
        <v>7</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24</v>
      </c>
      <c r="BH20" s="51" t="s">
        <v>113</v>
      </c>
      <c r="BI20" s="51">
        <v>23</v>
      </c>
      <c r="BJ20" s="51" t="s">
        <v>113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v>6</v>
      </c>
      <c r="L21" s="51" t="s">
        <v>113</v>
      </c>
      <c r="M21" s="51" t="s">
        <v>113</v>
      </c>
      <c r="N21" s="51" t="s">
        <v>113</v>
      </c>
      <c r="O21" s="51">
        <v>73</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v>24</v>
      </c>
      <c r="AD21" s="51" t="s">
        <v>113</v>
      </c>
      <c r="AE21" s="51">
        <v>1</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20</v>
      </c>
      <c r="BH21" s="51" t="s">
        <v>113</v>
      </c>
      <c r="BI21" s="51">
        <v>13</v>
      </c>
      <c r="BJ21" s="51" t="s">
        <v>113</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v>3</v>
      </c>
      <c r="L22" s="51" t="s">
        <v>113</v>
      </c>
      <c r="M22" s="51" t="s">
        <v>113</v>
      </c>
      <c r="N22" s="51" t="s">
        <v>113</v>
      </c>
      <c r="O22" s="51">
        <v>57</v>
      </c>
      <c r="P22" s="51" t="s">
        <v>113</v>
      </c>
      <c r="Q22" s="51">
        <v>1</v>
      </c>
      <c r="R22" s="51" t="s">
        <v>113</v>
      </c>
      <c r="S22" s="51" t="s">
        <v>113</v>
      </c>
      <c r="T22" s="51" t="s">
        <v>113</v>
      </c>
      <c r="U22" s="51" t="s">
        <v>113</v>
      </c>
      <c r="V22" s="51" t="s">
        <v>113</v>
      </c>
      <c r="W22" s="51" t="s">
        <v>113</v>
      </c>
      <c r="X22" s="51" t="s">
        <v>113</v>
      </c>
      <c r="Y22" s="51" t="s">
        <v>113</v>
      </c>
      <c r="Z22" s="51" t="s">
        <v>113</v>
      </c>
      <c r="AA22" s="51" t="s">
        <v>113</v>
      </c>
      <c r="AB22" s="51" t="s">
        <v>113</v>
      </c>
      <c r="AC22" s="51">
        <v>19</v>
      </c>
      <c r="AD22" s="51" t="s">
        <v>113</v>
      </c>
      <c r="AE22" s="51">
        <v>4</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22</v>
      </c>
      <c r="BH22" s="51" t="s">
        <v>113</v>
      </c>
      <c r="BI22" s="51">
        <v>11</v>
      </c>
      <c r="BJ22" s="51" t="s">
        <v>113</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v>2</v>
      </c>
      <c r="L23" s="51" t="s">
        <v>113</v>
      </c>
      <c r="M23" s="51" t="s">
        <v>113</v>
      </c>
      <c r="N23" s="51" t="s">
        <v>113</v>
      </c>
      <c r="O23" s="51">
        <v>19</v>
      </c>
      <c r="P23" s="51" t="s">
        <v>113</v>
      </c>
      <c r="Q23" s="51">
        <v>1</v>
      </c>
      <c r="R23" s="51" t="s">
        <v>113</v>
      </c>
      <c r="S23" s="51" t="s">
        <v>113</v>
      </c>
      <c r="T23" s="51" t="s">
        <v>113</v>
      </c>
      <c r="U23" s="51" t="s">
        <v>113</v>
      </c>
      <c r="V23" s="51" t="s">
        <v>113</v>
      </c>
      <c r="W23" s="51" t="s">
        <v>113</v>
      </c>
      <c r="X23" s="51" t="s">
        <v>113</v>
      </c>
      <c r="Y23" s="51" t="s">
        <v>113</v>
      </c>
      <c r="Z23" s="51" t="s">
        <v>113</v>
      </c>
      <c r="AA23" s="51" t="s">
        <v>113</v>
      </c>
      <c r="AB23" s="51" t="s">
        <v>113</v>
      </c>
      <c r="AC23" s="51">
        <v>15</v>
      </c>
      <c r="AD23" s="51" t="s">
        <v>113</v>
      </c>
      <c r="AE23" s="51">
        <v>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15</v>
      </c>
      <c r="BH23" s="51" t="s">
        <v>113</v>
      </c>
      <c r="BI23" s="51">
        <v>16</v>
      </c>
      <c r="BJ23" s="51" t="s">
        <v>113</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v>1</v>
      </c>
      <c r="L24" s="51" t="s">
        <v>113</v>
      </c>
      <c r="M24" s="51" t="s">
        <v>113</v>
      </c>
      <c r="N24" s="51" t="s">
        <v>113</v>
      </c>
      <c r="O24" s="51">
        <v>23</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v>5</v>
      </c>
      <c r="AD24" s="51" t="s">
        <v>113</v>
      </c>
      <c r="AE24" s="51">
        <v>5</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20</v>
      </c>
      <c r="BH24" s="51" t="s">
        <v>113</v>
      </c>
      <c r="BI24" s="51">
        <v>17</v>
      </c>
      <c r="BJ24" s="51" t="s">
        <v>113</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v>1</v>
      </c>
      <c r="L25" s="51" t="s">
        <v>113</v>
      </c>
      <c r="M25" s="51" t="s">
        <v>113</v>
      </c>
      <c r="N25" s="51" t="s">
        <v>113</v>
      </c>
      <c r="O25" s="51">
        <v>24</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v>9</v>
      </c>
      <c r="AD25" s="51" t="s">
        <v>113</v>
      </c>
      <c r="AE25" s="51">
        <v>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26</v>
      </c>
      <c r="BH25" s="51" t="s">
        <v>113</v>
      </c>
      <c r="BI25" s="51">
        <v>21</v>
      </c>
      <c r="BJ25" s="51" t="s">
        <v>113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v>1</v>
      </c>
      <c r="L26" s="51" t="s">
        <v>113</v>
      </c>
      <c r="M26" s="51" t="s">
        <v>113</v>
      </c>
      <c r="N26" s="51" t="s">
        <v>113</v>
      </c>
      <c r="O26" s="51">
        <v>20</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v>21</v>
      </c>
      <c r="AD26" s="51" t="s">
        <v>113</v>
      </c>
      <c r="AE26" s="51">
        <v>6</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26</v>
      </c>
      <c r="BH26" s="51" t="s">
        <v>113</v>
      </c>
      <c r="BI26" s="51">
        <v>15</v>
      </c>
      <c r="BJ26" s="51" t="s">
        <v>113</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v>1</v>
      </c>
      <c r="L27" s="51" t="s">
        <v>113</v>
      </c>
      <c r="M27" s="51" t="s">
        <v>113</v>
      </c>
      <c r="N27" s="51" t="s">
        <v>113</v>
      </c>
      <c r="O27" s="51">
        <v>35</v>
      </c>
      <c r="P27" s="51" t="s">
        <v>113</v>
      </c>
      <c r="Q27" s="51">
        <v>1</v>
      </c>
      <c r="R27" s="51" t="s">
        <v>113</v>
      </c>
      <c r="S27" s="51" t="s">
        <v>113</v>
      </c>
      <c r="T27" s="51" t="s">
        <v>113</v>
      </c>
      <c r="U27" s="51" t="s">
        <v>113</v>
      </c>
      <c r="V27" s="51" t="s">
        <v>113</v>
      </c>
      <c r="W27" s="51" t="s">
        <v>113</v>
      </c>
      <c r="X27" s="51" t="s">
        <v>113</v>
      </c>
      <c r="Y27" s="51" t="s">
        <v>113</v>
      </c>
      <c r="Z27" s="51" t="s">
        <v>113</v>
      </c>
      <c r="AA27" s="51" t="s">
        <v>113</v>
      </c>
      <c r="AB27" s="51" t="s">
        <v>113</v>
      </c>
      <c r="AC27" s="51">
        <v>22</v>
      </c>
      <c r="AD27" s="51" t="s">
        <v>113</v>
      </c>
      <c r="AE27" s="51">
        <v>5</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124</v>
      </c>
      <c r="BH27" s="51" t="s">
        <v>113</v>
      </c>
      <c r="BI27" s="51">
        <v>25</v>
      </c>
      <c r="BJ27" s="51" t="s">
        <v>113</v>
      </c>
      <c r="BK27" s="51" t="s">
        <v>113</v>
      </c>
      <c r="BL27" s="51" t="s">
        <v>113</v>
      </c>
      <c r="BM27" s="51">
        <v>1</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v>1</v>
      </c>
      <c r="L28" s="51" t="s">
        <v>113</v>
      </c>
      <c r="M28" s="51" t="s">
        <v>113</v>
      </c>
      <c r="N28" s="51" t="s">
        <v>113</v>
      </c>
      <c r="O28" s="51">
        <v>34</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v>19</v>
      </c>
      <c r="AD28" s="51" t="s">
        <v>113</v>
      </c>
      <c r="AE28" s="51">
        <v>14</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115</v>
      </c>
      <c r="BH28" s="51" t="s">
        <v>113</v>
      </c>
      <c r="BI28" s="51">
        <v>16</v>
      </c>
      <c r="BJ28" s="51" t="s">
        <v>113</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v>1</v>
      </c>
      <c r="L29" s="51" t="s">
        <v>113</v>
      </c>
      <c r="M29" s="51" t="s">
        <v>113</v>
      </c>
      <c r="N29" s="51" t="s">
        <v>113</v>
      </c>
      <c r="O29" s="51">
        <v>57</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v>20</v>
      </c>
      <c r="AD29" s="51" t="s">
        <v>113</v>
      </c>
      <c r="AE29" s="51">
        <v>22</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131</v>
      </c>
      <c r="BH29" s="51" t="s">
        <v>113</v>
      </c>
      <c r="BI29" s="51">
        <v>10</v>
      </c>
      <c r="BJ29" s="51" t="s">
        <v>113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v>1</v>
      </c>
      <c r="L30" s="51" t="s">
        <v>113</v>
      </c>
      <c r="M30" s="51" t="s">
        <v>113</v>
      </c>
      <c r="N30" s="51" t="s">
        <v>113</v>
      </c>
      <c r="O30" s="51">
        <v>56</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v>25</v>
      </c>
      <c r="AD30" s="51" t="s">
        <v>113</v>
      </c>
      <c r="AE30" s="51">
        <v>29</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132</v>
      </c>
      <c r="BH30" s="51" t="s">
        <v>113</v>
      </c>
      <c r="BI30" s="51">
        <v>15</v>
      </c>
      <c r="BJ30" s="51" t="s">
        <v>113</v>
      </c>
      <c r="BK30" s="51" t="s">
        <v>113</v>
      </c>
      <c r="BL30" s="51" t="s">
        <v>113</v>
      </c>
      <c r="BM30" s="51">
        <v>1</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v>1</v>
      </c>
      <c r="L31" s="51" t="s">
        <v>113</v>
      </c>
      <c r="M31" s="51" t="s">
        <v>113</v>
      </c>
      <c r="N31" s="51" t="s">
        <v>113</v>
      </c>
      <c r="O31" s="51">
        <v>65</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v>32</v>
      </c>
      <c r="AD31" s="51" t="s">
        <v>113</v>
      </c>
      <c r="AE31" s="51">
        <v>32</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146</v>
      </c>
      <c r="BH31" s="51" t="s">
        <v>113</v>
      </c>
      <c r="BI31" s="51">
        <v>19</v>
      </c>
      <c r="BJ31" s="51" t="s">
        <v>113</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v>1</v>
      </c>
      <c r="L32" s="51" t="s">
        <v>113</v>
      </c>
      <c r="M32" s="51" t="s">
        <v>113</v>
      </c>
      <c r="N32" s="51" t="s">
        <v>113</v>
      </c>
      <c r="O32" s="51">
        <v>47</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v>23</v>
      </c>
      <c r="AD32" s="51" t="s">
        <v>113</v>
      </c>
      <c r="AE32" s="51">
        <v>16</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148</v>
      </c>
      <c r="BH32" s="51" t="s">
        <v>113</v>
      </c>
      <c r="BI32" s="51">
        <v>19</v>
      </c>
      <c r="BJ32" s="51" t="s">
        <v>113</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v>1</v>
      </c>
      <c r="L33" s="51" t="s">
        <v>113</v>
      </c>
      <c r="M33" s="51" t="s">
        <v>113</v>
      </c>
      <c r="N33" s="51" t="s">
        <v>113</v>
      </c>
      <c r="O33" s="51">
        <v>34</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v>12</v>
      </c>
      <c r="AD33" s="51" t="s">
        <v>113</v>
      </c>
      <c r="AE33" s="51">
        <v>14</v>
      </c>
      <c r="AF33" s="51" t="s">
        <v>113</v>
      </c>
      <c r="AG33" s="51">
        <v>1</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114</v>
      </c>
      <c r="BH33" s="51" t="s">
        <v>113</v>
      </c>
      <c r="BI33" s="51">
        <v>21</v>
      </c>
      <c r="BJ33" s="51" t="s">
        <v>113</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v>2</v>
      </c>
      <c r="L34" s="51" t="s">
        <v>113</v>
      </c>
      <c r="M34" s="51" t="s">
        <v>113</v>
      </c>
      <c r="N34" s="51" t="s">
        <v>113</v>
      </c>
      <c r="O34" s="51">
        <v>26</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v>10</v>
      </c>
      <c r="AD34" s="51" t="s">
        <v>113</v>
      </c>
      <c r="AE34" s="51">
        <v>7</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63</v>
      </c>
      <c r="BH34" s="51" t="s">
        <v>113</v>
      </c>
      <c r="BI34" s="51">
        <v>14</v>
      </c>
      <c r="BJ34" s="51" t="s">
        <v>113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686E1-12F5-43C8-BA83-0FB3B04ED4FA}">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152</v>
      </c>
      <c r="AA12" s="60"/>
      <c r="AB12" s="60"/>
      <c r="AC12" s="60"/>
      <c r="AD12" s="60"/>
      <c r="AE12" s="60"/>
      <c r="AF12" s="60"/>
      <c r="AG12" s="61"/>
      <c r="AH12" s="59" t="s">
        <v>151</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v>0</v>
      </c>
      <c r="L15" s="51" t="s">
        <v>113</v>
      </c>
      <c r="M15" s="51" t="s">
        <v>113</v>
      </c>
      <c r="N15" s="51" t="s">
        <v>113</v>
      </c>
      <c r="O15" s="51">
        <v>22</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v>3</v>
      </c>
      <c r="AD15" s="51" t="s">
        <v>113</v>
      </c>
      <c r="AE15" s="51">
        <v>0</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6</v>
      </c>
      <c r="BH15" s="51" t="s">
        <v>113</v>
      </c>
      <c r="BI15" s="51">
        <v>6</v>
      </c>
      <c r="BJ15" s="51" t="s">
        <v>113</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v>0</v>
      </c>
      <c r="L16" s="51" t="s">
        <v>113</v>
      </c>
      <c r="M16" s="51" t="s">
        <v>113</v>
      </c>
      <c r="N16" s="51" t="s">
        <v>113</v>
      </c>
      <c r="O16" s="51">
        <v>11</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v>1</v>
      </c>
      <c r="AD16" s="51" t="s">
        <v>113</v>
      </c>
      <c r="AE16" s="51">
        <v>1</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10</v>
      </c>
      <c r="BH16" s="51" t="s">
        <v>113</v>
      </c>
      <c r="BI16" s="51">
        <v>5</v>
      </c>
      <c r="BJ16" s="51" t="s">
        <v>113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v>0</v>
      </c>
      <c r="L17" s="51" t="s">
        <v>113</v>
      </c>
      <c r="M17" s="51" t="s">
        <v>113</v>
      </c>
      <c r="N17" s="51" t="s">
        <v>113</v>
      </c>
      <c r="O17" s="51">
        <v>11</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v>2</v>
      </c>
      <c r="AD17" s="51" t="s">
        <v>113</v>
      </c>
      <c r="AE17" s="51">
        <v>1</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11</v>
      </c>
      <c r="BH17" s="51" t="s">
        <v>113</v>
      </c>
      <c r="BI17" s="51">
        <v>6</v>
      </c>
      <c r="BJ17" s="51" t="s">
        <v>113</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v>1</v>
      </c>
      <c r="L18" s="51" t="s">
        <v>113</v>
      </c>
      <c r="M18" s="51" t="s">
        <v>113</v>
      </c>
      <c r="N18" s="51" t="s">
        <v>113</v>
      </c>
      <c r="O18" s="51">
        <v>21</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v>4</v>
      </c>
      <c r="AD18" s="51" t="s">
        <v>113</v>
      </c>
      <c r="AE18" s="51">
        <v>1</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9</v>
      </c>
      <c r="BH18" s="51" t="s">
        <v>113</v>
      </c>
      <c r="BI18" s="51">
        <v>9</v>
      </c>
      <c r="BJ18" s="51" t="s">
        <v>113</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v>0</v>
      </c>
      <c r="L19" s="51" t="s">
        <v>113</v>
      </c>
      <c r="M19" s="51" t="s">
        <v>113</v>
      </c>
      <c r="N19" s="51" t="s">
        <v>113</v>
      </c>
      <c r="O19" s="51">
        <v>26</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v>2</v>
      </c>
      <c r="AD19" s="51" t="s">
        <v>113</v>
      </c>
      <c r="AE19" s="51">
        <v>1</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24</v>
      </c>
      <c r="BH19" s="51" t="s">
        <v>113</v>
      </c>
      <c r="BI19" s="51">
        <v>3</v>
      </c>
      <c r="BJ19" s="51" t="s">
        <v>113</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v>0</v>
      </c>
      <c r="L20" s="51" t="s">
        <v>113</v>
      </c>
      <c r="M20" s="51" t="s">
        <v>113</v>
      </c>
      <c r="N20" s="51" t="s">
        <v>113</v>
      </c>
      <c r="O20" s="51">
        <v>16</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v>4</v>
      </c>
      <c r="AD20" s="51" t="s">
        <v>113</v>
      </c>
      <c r="AE20" s="51">
        <v>2</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14</v>
      </c>
      <c r="BH20" s="51" t="s">
        <v>113</v>
      </c>
      <c r="BI20" s="51">
        <v>4</v>
      </c>
      <c r="BJ20" s="51" t="s">
        <v>113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v>0</v>
      </c>
      <c r="L21" s="51" t="s">
        <v>113</v>
      </c>
      <c r="M21" s="51" t="s">
        <v>113</v>
      </c>
      <c r="N21" s="51" t="s">
        <v>113</v>
      </c>
      <c r="O21" s="51">
        <v>22</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v>6</v>
      </c>
      <c r="AD21" s="51" t="s">
        <v>113</v>
      </c>
      <c r="AE21" s="51">
        <v>1</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10</v>
      </c>
      <c r="BH21" s="51" t="s">
        <v>113</v>
      </c>
      <c r="BI21" s="51">
        <v>7</v>
      </c>
      <c r="BJ21" s="51" t="s">
        <v>113</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v>1</v>
      </c>
      <c r="L22" s="51" t="s">
        <v>113</v>
      </c>
      <c r="M22" s="51" t="s">
        <v>113</v>
      </c>
      <c r="N22" s="51" t="s">
        <v>113</v>
      </c>
      <c r="O22" s="51">
        <v>15</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v>2</v>
      </c>
      <c r="AD22" s="51" t="s">
        <v>113</v>
      </c>
      <c r="AE22" s="51">
        <v>1</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13</v>
      </c>
      <c r="BH22" s="51" t="s">
        <v>113</v>
      </c>
      <c r="BI22" s="51">
        <v>5</v>
      </c>
      <c r="BJ22" s="51" t="s">
        <v>113</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v>0</v>
      </c>
      <c r="L23" s="51" t="s">
        <v>113</v>
      </c>
      <c r="M23" s="51" t="s">
        <v>113</v>
      </c>
      <c r="N23" s="51" t="s">
        <v>113</v>
      </c>
      <c r="O23" s="51">
        <v>18</v>
      </c>
      <c r="P23" s="51" t="s">
        <v>113</v>
      </c>
      <c r="Q23" s="51">
        <v>1</v>
      </c>
      <c r="R23" s="51" t="s">
        <v>113</v>
      </c>
      <c r="S23" s="51" t="s">
        <v>113</v>
      </c>
      <c r="T23" s="51" t="s">
        <v>113</v>
      </c>
      <c r="U23" s="51" t="s">
        <v>113</v>
      </c>
      <c r="V23" s="51" t="s">
        <v>113</v>
      </c>
      <c r="W23" s="51" t="s">
        <v>113</v>
      </c>
      <c r="X23" s="51" t="s">
        <v>113</v>
      </c>
      <c r="Y23" s="51" t="s">
        <v>113</v>
      </c>
      <c r="Z23" s="51" t="s">
        <v>113</v>
      </c>
      <c r="AA23" s="51" t="s">
        <v>113</v>
      </c>
      <c r="AB23" s="51" t="s">
        <v>113</v>
      </c>
      <c r="AC23" s="51">
        <v>2</v>
      </c>
      <c r="AD23" s="51" t="s">
        <v>113</v>
      </c>
      <c r="AE23" s="51">
        <v>1</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10</v>
      </c>
      <c r="BH23" s="51" t="s">
        <v>113</v>
      </c>
      <c r="BI23" s="51">
        <v>5</v>
      </c>
      <c r="BJ23" s="51" t="s">
        <v>113</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v>0</v>
      </c>
      <c r="L24" s="51" t="s">
        <v>113</v>
      </c>
      <c r="M24" s="51" t="s">
        <v>113</v>
      </c>
      <c r="N24" s="51" t="s">
        <v>113</v>
      </c>
      <c r="O24" s="51">
        <v>18</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v>6</v>
      </c>
      <c r="AD24" s="51" t="s">
        <v>113</v>
      </c>
      <c r="AE24" s="51">
        <v>1</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10</v>
      </c>
      <c r="BH24" s="51" t="s">
        <v>113</v>
      </c>
      <c r="BI24" s="51">
        <v>9</v>
      </c>
      <c r="BJ24" s="51" t="s">
        <v>113</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v>0</v>
      </c>
      <c r="L25" s="51" t="s">
        <v>113</v>
      </c>
      <c r="M25" s="51" t="s">
        <v>113</v>
      </c>
      <c r="N25" s="51" t="s">
        <v>113</v>
      </c>
      <c r="O25" s="51">
        <v>10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v>2</v>
      </c>
      <c r="AD25" s="51" t="s">
        <v>113</v>
      </c>
      <c r="AE25" s="51">
        <v>0</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17</v>
      </c>
      <c r="BH25" s="51" t="s">
        <v>113</v>
      </c>
      <c r="BI25" s="51">
        <v>10</v>
      </c>
      <c r="BJ25" s="51" t="s">
        <v>113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v>0</v>
      </c>
      <c r="L26" s="51" t="s">
        <v>113</v>
      </c>
      <c r="M26" s="51" t="s">
        <v>113</v>
      </c>
      <c r="N26" s="51" t="s">
        <v>113</v>
      </c>
      <c r="O26" s="51">
        <v>14</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v>0</v>
      </c>
      <c r="AD26" s="51" t="s">
        <v>113</v>
      </c>
      <c r="AE26" s="51">
        <v>1</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5</v>
      </c>
      <c r="BH26" s="51" t="s">
        <v>113</v>
      </c>
      <c r="BI26" s="51">
        <v>6</v>
      </c>
      <c r="BJ26" s="51" t="s">
        <v>113</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v>0</v>
      </c>
      <c r="L27" s="51" t="s">
        <v>113</v>
      </c>
      <c r="M27" s="51" t="s">
        <v>113</v>
      </c>
      <c r="N27" s="51" t="s">
        <v>113</v>
      </c>
      <c r="O27" s="51">
        <v>14</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v>4</v>
      </c>
      <c r="AD27" s="51" t="s">
        <v>113</v>
      </c>
      <c r="AE27" s="51">
        <v>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12</v>
      </c>
      <c r="BH27" s="51" t="s">
        <v>113</v>
      </c>
      <c r="BI27" s="51">
        <v>2</v>
      </c>
      <c r="BJ27" s="51" t="s">
        <v>113</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v>0</v>
      </c>
      <c r="L28" s="51" t="s">
        <v>113</v>
      </c>
      <c r="M28" s="51" t="s">
        <v>113</v>
      </c>
      <c r="N28" s="51" t="s">
        <v>113</v>
      </c>
      <c r="O28" s="51">
        <v>11</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v>1</v>
      </c>
      <c r="AD28" s="51" t="s">
        <v>113</v>
      </c>
      <c r="AE28" s="51">
        <v>1</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9</v>
      </c>
      <c r="BH28" s="51" t="s">
        <v>113</v>
      </c>
      <c r="BI28" s="51">
        <v>2</v>
      </c>
      <c r="BJ28" s="51" t="s">
        <v>113</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v>0</v>
      </c>
      <c r="L29" s="51" t="s">
        <v>113</v>
      </c>
      <c r="M29" s="51" t="s">
        <v>113</v>
      </c>
      <c r="N29" s="51" t="s">
        <v>113</v>
      </c>
      <c r="O29" s="51">
        <v>8</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v>1</v>
      </c>
      <c r="AD29" s="51" t="s">
        <v>113</v>
      </c>
      <c r="AE29" s="51">
        <v>1</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13</v>
      </c>
      <c r="BH29" s="51" t="s">
        <v>113</v>
      </c>
      <c r="BI29" s="51">
        <v>1</v>
      </c>
      <c r="BJ29" s="51" t="s">
        <v>113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v>0</v>
      </c>
      <c r="L30" s="51" t="s">
        <v>113</v>
      </c>
      <c r="M30" s="51" t="s">
        <v>113</v>
      </c>
      <c r="N30" s="51" t="s">
        <v>113</v>
      </c>
      <c r="O30" s="51">
        <v>4</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v>2</v>
      </c>
      <c r="AD30" s="51" t="s">
        <v>113</v>
      </c>
      <c r="AE30" s="51">
        <v>1</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7</v>
      </c>
      <c r="BH30" s="51" t="s">
        <v>113</v>
      </c>
      <c r="BI30" s="51">
        <v>0</v>
      </c>
      <c r="BJ30" s="51" t="s">
        <v>113</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v>0</v>
      </c>
      <c r="L31" s="51" t="s">
        <v>113</v>
      </c>
      <c r="M31" s="51" t="s">
        <v>113</v>
      </c>
      <c r="N31" s="51" t="s">
        <v>113</v>
      </c>
      <c r="O31" s="51">
        <v>7</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v>1</v>
      </c>
      <c r="AD31" s="51" t="s">
        <v>113</v>
      </c>
      <c r="AE31" s="51">
        <v>1</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11</v>
      </c>
      <c r="BH31" s="51" t="s">
        <v>113</v>
      </c>
      <c r="BI31" s="51">
        <v>0</v>
      </c>
      <c r="BJ31" s="51" t="s">
        <v>113</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v>0</v>
      </c>
      <c r="L32" s="51" t="s">
        <v>113</v>
      </c>
      <c r="M32" s="51" t="s">
        <v>113</v>
      </c>
      <c r="N32" s="51" t="s">
        <v>113</v>
      </c>
      <c r="O32" s="51">
        <v>5</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v>0</v>
      </c>
      <c r="AD32" s="51" t="s">
        <v>113</v>
      </c>
      <c r="AE32" s="51">
        <v>2</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4</v>
      </c>
      <c r="BH32" s="51" t="s">
        <v>113</v>
      </c>
      <c r="BI32" s="51">
        <v>0</v>
      </c>
      <c r="BJ32" s="51" t="s">
        <v>113</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v>0</v>
      </c>
      <c r="L33" s="51" t="s">
        <v>113</v>
      </c>
      <c r="M33" s="51" t="s">
        <v>113</v>
      </c>
      <c r="N33" s="51" t="s">
        <v>113</v>
      </c>
      <c r="O33" s="51">
        <v>5</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v>0</v>
      </c>
      <c r="AD33" s="51" t="s">
        <v>113</v>
      </c>
      <c r="AE33" s="51">
        <v>0</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4</v>
      </c>
      <c r="BH33" s="51" t="s">
        <v>113</v>
      </c>
      <c r="BI33" s="51">
        <v>3</v>
      </c>
      <c r="BJ33" s="51" t="s">
        <v>113</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v>0</v>
      </c>
      <c r="L34" s="51" t="s">
        <v>113</v>
      </c>
      <c r="M34" s="51" t="s">
        <v>113</v>
      </c>
      <c r="N34" s="51" t="s">
        <v>113</v>
      </c>
      <c r="O34" s="51">
        <v>8</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v>0</v>
      </c>
      <c r="AD34" s="51" t="s">
        <v>113</v>
      </c>
      <c r="AE34" s="51">
        <v>1</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4</v>
      </c>
      <c r="BH34" s="51" t="s">
        <v>113</v>
      </c>
      <c r="BI34" s="51">
        <v>0</v>
      </c>
      <c r="BJ34" s="51" t="s">
        <v>113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14790-4E8F-4728-992A-674D6B8E3898}">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152</v>
      </c>
      <c r="AA12" s="60"/>
      <c r="AB12" s="60"/>
      <c r="AC12" s="60"/>
      <c r="AD12" s="60"/>
      <c r="AE12" s="60"/>
      <c r="AF12" s="60"/>
      <c r="AG12" s="61"/>
      <c r="AH12" s="59" t="s">
        <v>151</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v>0</v>
      </c>
      <c r="L15" s="51" t="s">
        <v>113</v>
      </c>
      <c r="M15" s="51" t="s">
        <v>113</v>
      </c>
      <c r="N15" s="51" t="s">
        <v>113</v>
      </c>
      <c r="O15" s="51">
        <v>0</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v>0</v>
      </c>
      <c r="AD15" s="51" t="s">
        <v>113</v>
      </c>
      <c r="AE15" s="51">
        <v>0</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0</v>
      </c>
      <c r="BH15" s="51" t="s">
        <v>113</v>
      </c>
      <c r="BI15" s="51">
        <v>0</v>
      </c>
      <c r="BJ15" s="51" t="s">
        <v>113</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v>0</v>
      </c>
      <c r="L16" s="51" t="s">
        <v>113</v>
      </c>
      <c r="M16" s="51" t="s">
        <v>113</v>
      </c>
      <c r="N16" s="51" t="s">
        <v>113</v>
      </c>
      <c r="O16" s="51">
        <v>0</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v>0</v>
      </c>
      <c r="AD16" s="51" t="s">
        <v>113</v>
      </c>
      <c r="AE16" s="51">
        <v>0</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0</v>
      </c>
      <c r="BH16" s="51" t="s">
        <v>113</v>
      </c>
      <c r="BI16" s="51">
        <v>0</v>
      </c>
      <c r="BJ16" s="51" t="s">
        <v>113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v>0</v>
      </c>
      <c r="L17" s="51" t="s">
        <v>113</v>
      </c>
      <c r="M17" s="51" t="s">
        <v>113</v>
      </c>
      <c r="N17" s="51" t="s">
        <v>113</v>
      </c>
      <c r="O17" s="51">
        <v>0</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v>0</v>
      </c>
      <c r="AD17" s="51" t="s">
        <v>113</v>
      </c>
      <c r="AE17" s="51">
        <v>0</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0</v>
      </c>
      <c r="BH17" s="51" t="s">
        <v>113</v>
      </c>
      <c r="BI17" s="51">
        <v>0</v>
      </c>
      <c r="BJ17" s="51" t="s">
        <v>113</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v>0</v>
      </c>
      <c r="L18" s="51" t="s">
        <v>113</v>
      </c>
      <c r="M18" s="51" t="s">
        <v>113</v>
      </c>
      <c r="N18" s="51" t="s">
        <v>113</v>
      </c>
      <c r="O18" s="51">
        <v>0</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v>1</v>
      </c>
      <c r="AD18" s="51" t="s">
        <v>113</v>
      </c>
      <c r="AE18" s="51">
        <v>0</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0</v>
      </c>
      <c r="BH18" s="51" t="s">
        <v>113</v>
      </c>
      <c r="BI18" s="51">
        <v>1</v>
      </c>
      <c r="BJ18" s="51" t="s">
        <v>113</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v>0</v>
      </c>
      <c r="L19" s="51" t="s">
        <v>113</v>
      </c>
      <c r="M19" s="51" t="s">
        <v>113</v>
      </c>
      <c r="N19" s="51" t="s">
        <v>113</v>
      </c>
      <c r="O19" s="51">
        <v>0</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v>0</v>
      </c>
      <c r="AD19" s="51" t="s">
        <v>113</v>
      </c>
      <c r="AE19" s="51">
        <v>0</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1</v>
      </c>
      <c r="BH19" s="51" t="s">
        <v>113</v>
      </c>
      <c r="BI19" s="51">
        <v>0</v>
      </c>
      <c r="BJ19" s="51" t="s">
        <v>113</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v>0</v>
      </c>
      <c r="L20" s="51" t="s">
        <v>113</v>
      </c>
      <c r="M20" s="51" t="s">
        <v>113</v>
      </c>
      <c r="N20" s="51" t="s">
        <v>113</v>
      </c>
      <c r="O20" s="51">
        <v>0</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v>0</v>
      </c>
      <c r="AD20" s="51" t="s">
        <v>113</v>
      </c>
      <c r="AE20" s="51">
        <v>0</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0</v>
      </c>
      <c r="BH20" s="51" t="s">
        <v>113</v>
      </c>
      <c r="BI20" s="51">
        <v>0</v>
      </c>
      <c r="BJ20" s="51" t="s">
        <v>113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v>0</v>
      </c>
      <c r="L21" s="51" t="s">
        <v>113</v>
      </c>
      <c r="M21" s="51" t="s">
        <v>113</v>
      </c>
      <c r="N21" s="51" t="s">
        <v>113</v>
      </c>
      <c r="O21" s="51">
        <v>0</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v>1</v>
      </c>
      <c r="AD21" s="51" t="s">
        <v>113</v>
      </c>
      <c r="AE21" s="51">
        <v>0</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0</v>
      </c>
      <c r="BH21" s="51" t="s">
        <v>113</v>
      </c>
      <c r="BI21" s="51">
        <v>0</v>
      </c>
      <c r="BJ21" s="51" t="s">
        <v>113</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v>0</v>
      </c>
      <c r="L22" s="51" t="s">
        <v>113</v>
      </c>
      <c r="M22" s="51" t="s">
        <v>113</v>
      </c>
      <c r="N22" s="51" t="s">
        <v>113</v>
      </c>
      <c r="O22" s="51">
        <v>0</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v>1</v>
      </c>
      <c r="AD22" s="51" t="s">
        <v>113</v>
      </c>
      <c r="AE22" s="51">
        <v>0</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0</v>
      </c>
      <c r="BH22" s="51" t="s">
        <v>113</v>
      </c>
      <c r="BI22" s="51">
        <v>0</v>
      </c>
      <c r="BJ22" s="51" t="s">
        <v>113</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v>0</v>
      </c>
      <c r="L23" s="51" t="s">
        <v>113</v>
      </c>
      <c r="M23" s="51" t="s">
        <v>113</v>
      </c>
      <c r="N23" s="51" t="s">
        <v>113</v>
      </c>
      <c r="O23" s="51">
        <v>0</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v>1</v>
      </c>
      <c r="AD23" s="51" t="s">
        <v>113</v>
      </c>
      <c r="AE23" s="51">
        <v>0</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0</v>
      </c>
      <c r="BH23" s="51" t="s">
        <v>113</v>
      </c>
      <c r="BI23" s="51">
        <v>0</v>
      </c>
      <c r="BJ23" s="51" t="s">
        <v>113</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v>0</v>
      </c>
      <c r="L24" s="51" t="s">
        <v>113</v>
      </c>
      <c r="M24" s="51" t="s">
        <v>113</v>
      </c>
      <c r="N24" s="51" t="s">
        <v>113</v>
      </c>
      <c r="O24" s="51">
        <v>0</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v>0</v>
      </c>
      <c r="AD24" s="51" t="s">
        <v>113</v>
      </c>
      <c r="AE24" s="51">
        <v>0</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1</v>
      </c>
      <c r="BH24" s="51" t="s">
        <v>113</v>
      </c>
      <c r="BI24" s="51">
        <v>0</v>
      </c>
      <c r="BJ24" s="51" t="s">
        <v>113</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v>0</v>
      </c>
      <c r="L25" s="51" t="s">
        <v>113</v>
      </c>
      <c r="M25" s="51" t="s">
        <v>113</v>
      </c>
      <c r="N25" s="51" t="s">
        <v>113</v>
      </c>
      <c r="O25" s="51">
        <v>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v>0</v>
      </c>
      <c r="AD25" s="51" t="s">
        <v>113</v>
      </c>
      <c r="AE25" s="51">
        <v>0</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1</v>
      </c>
      <c r="BH25" s="51" t="s">
        <v>113</v>
      </c>
      <c r="BI25" s="51">
        <v>0</v>
      </c>
      <c r="BJ25" s="51" t="s">
        <v>113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v>0</v>
      </c>
      <c r="L26" s="51" t="s">
        <v>113</v>
      </c>
      <c r="M26" s="51" t="s">
        <v>113</v>
      </c>
      <c r="N26" s="51" t="s">
        <v>113</v>
      </c>
      <c r="O26" s="51">
        <v>0</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v>0</v>
      </c>
      <c r="AD26" s="51" t="s">
        <v>113</v>
      </c>
      <c r="AE26" s="51">
        <v>0</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0</v>
      </c>
      <c r="BH26" s="51" t="s">
        <v>113</v>
      </c>
      <c r="BI26" s="51">
        <v>0</v>
      </c>
      <c r="BJ26" s="51" t="s">
        <v>113</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v>0</v>
      </c>
      <c r="L27" s="51" t="s">
        <v>113</v>
      </c>
      <c r="M27" s="51" t="s">
        <v>113</v>
      </c>
      <c r="N27" s="51" t="s">
        <v>113</v>
      </c>
      <c r="O27" s="51">
        <v>0</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v>0</v>
      </c>
      <c r="AD27" s="51" t="s">
        <v>113</v>
      </c>
      <c r="AE27" s="51">
        <v>0</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0</v>
      </c>
      <c r="BH27" s="51" t="s">
        <v>113</v>
      </c>
      <c r="BI27" s="51">
        <v>0</v>
      </c>
      <c r="BJ27" s="51" t="s">
        <v>113</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v>0</v>
      </c>
      <c r="L28" s="51" t="s">
        <v>113</v>
      </c>
      <c r="M28" s="51" t="s">
        <v>113</v>
      </c>
      <c r="N28" s="51" t="s">
        <v>113</v>
      </c>
      <c r="O28" s="51">
        <v>0</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v>0</v>
      </c>
      <c r="AD28" s="51" t="s">
        <v>113</v>
      </c>
      <c r="AE28" s="51">
        <v>0</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0</v>
      </c>
      <c r="BH28" s="51" t="s">
        <v>113</v>
      </c>
      <c r="BI28" s="51">
        <v>0</v>
      </c>
      <c r="BJ28" s="51" t="s">
        <v>113</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v>0</v>
      </c>
      <c r="L29" s="51" t="s">
        <v>113</v>
      </c>
      <c r="M29" s="51" t="s">
        <v>113</v>
      </c>
      <c r="N29" s="51" t="s">
        <v>113</v>
      </c>
      <c r="O29" s="51">
        <v>0</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v>1</v>
      </c>
      <c r="AD29" s="51" t="s">
        <v>113</v>
      </c>
      <c r="AE29" s="51">
        <v>0</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0</v>
      </c>
      <c r="BH29" s="51" t="s">
        <v>113</v>
      </c>
      <c r="BI29" s="51">
        <v>0</v>
      </c>
      <c r="BJ29" s="51" t="s">
        <v>113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v>0</v>
      </c>
      <c r="L30" s="51" t="s">
        <v>113</v>
      </c>
      <c r="M30" s="51" t="s">
        <v>113</v>
      </c>
      <c r="N30" s="51" t="s">
        <v>113</v>
      </c>
      <c r="O30" s="51">
        <v>0</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v>2</v>
      </c>
      <c r="AD30" s="51" t="s">
        <v>113</v>
      </c>
      <c r="AE30" s="51">
        <v>0</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0</v>
      </c>
      <c r="BH30" s="51" t="s">
        <v>113</v>
      </c>
      <c r="BI30" s="51">
        <v>0</v>
      </c>
      <c r="BJ30" s="51" t="s">
        <v>113</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v>0</v>
      </c>
      <c r="L31" s="51" t="s">
        <v>113</v>
      </c>
      <c r="M31" s="51" t="s">
        <v>113</v>
      </c>
      <c r="N31" s="51" t="s">
        <v>113</v>
      </c>
      <c r="O31" s="51">
        <v>0</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v>0</v>
      </c>
      <c r="AD31" s="51" t="s">
        <v>113</v>
      </c>
      <c r="AE31" s="51">
        <v>0</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0</v>
      </c>
      <c r="BH31" s="51" t="s">
        <v>113</v>
      </c>
      <c r="BI31" s="51">
        <v>0</v>
      </c>
      <c r="BJ31" s="51" t="s">
        <v>113</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v>0</v>
      </c>
      <c r="L32" s="51" t="s">
        <v>113</v>
      </c>
      <c r="M32" s="51" t="s">
        <v>113</v>
      </c>
      <c r="N32" s="51" t="s">
        <v>113</v>
      </c>
      <c r="O32" s="51">
        <v>0</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v>0</v>
      </c>
      <c r="AD32" s="51" t="s">
        <v>113</v>
      </c>
      <c r="AE32" s="51">
        <v>0</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0</v>
      </c>
      <c r="BH32" s="51" t="s">
        <v>113</v>
      </c>
      <c r="BI32" s="51">
        <v>0</v>
      </c>
      <c r="BJ32" s="51" t="s">
        <v>113</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v>0</v>
      </c>
      <c r="L33" s="51" t="s">
        <v>113</v>
      </c>
      <c r="M33" s="51" t="s">
        <v>113</v>
      </c>
      <c r="N33" s="51" t="s">
        <v>113</v>
      </c>
      <c r="O33" s="51">
        <v>0</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v>0</v>
      </c>
      <c r="AD33" s="51" t="s">
        <v>113</v>
      </c>
      <c r="AE33" s="51">
        <v>0</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0</v>
      </c>
      <c r="BH33" s="51" t="s">
        <v>113</v>
      </c>
      <c r="BI33" s="51">
        <v>0</v>
      </c>
      <c r="BJ33" s="51" t="s">
        <v>113</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v>0</v>
      </c>
      <c r="L34" s="51" t="s">
        <v>113</v>
      </c>
      <c r="M34" s="51" t="s">
        <v>113</v>
      </c>
      <c r="N34" s="51" t="s">
        <v>113</v>
      </c>
      <c r="O34" s="51">
        <v>0</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v>0</v>
      </c>
      <c r="AD34" s="51" t="s">
        <v>113</v>
      </c>
      <c r="AE34" s="51">
        <v>0</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0</v>
      </c>
      <c r="BH34" s="51" t="s">
        <v>113</v>
      </c>
      <c r="BI34" s="51">
        <v>0</v>
      </c>
      <c r="BJ34" s="51" t="s">
        <v>113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616E-5082-488E-8339-432C753B2DFB}">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152</v>
      </c>
      <c r="AA12" s="60"/>
      <c r="AB12" s="60"/>
      <c r="AC12" s="60"/>
      <c r="AD12" s="60"/>
      <c r="AE12" s="60"/>
      <c r="AF12" s="60"/>
      <c r="AG12" s="61"/>
      <c r="AH12" s="59" t="s">
        <v>151</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v>2</v>
      </c>
      <c r="L15" s="51" t="s">
        <v>113</v>
      </c>
      <c r="M15" s="51" t="s">
        <v>113</v>
      </c>
      <c r="N15" s="51" t="s">
        <v>113</v>
      </c>
      <c r="O15" s="51">
        <v>123</v>
      </c>
      <c r="P15" s="51" t="s">
        <v>113</v>
      </c>
      <c r="Q15" s="51">
        <v>2</v>
      </c>
      <c r="R15" s="51" t="s">
        <v>113</v>
      </c>
      <c r="S15" s="51" t="s">
        <v>113</v>
      </c>
      <c r="T15" s="51" t="s">
        <v>113</v>
      </c>
      <c r="U15" s="51" t="s">
        <v>113</v>
      </c>
      <c r="V15" s="51" t="s">
        <v>113</v>
      </c>
      <c r="W15" s="51" t="s">
        <v>113</v>
      </c>
      <c r="X15" s="51" t="s">
        <v>113</v>
      </c>
      <c r="Y15" s="51" t="s">
        <v>113</v>
      </c>
      <c r="Z15" s="51" t="s">
        <v>113</v>
      </c>
      <c r="AA15" s="51" t="s">
        <v>113</v>
      </c>
      <c r="AB15" s="51" t="s">
        <v>113</v>
      </c>
      <c r="AC15" s="51">
        <v>13</v>
      </c>
      <c r="AD15" s="51" t="s">
        <v>113</v>
      </c>
      <c r="AE15" s="51">
        <v>4</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23</v>
      </c>
      <c r="BH15" s="51" t="s">
        <v>113</v>
      </c>
      <c r="BI15" s="51">
        <v>16</v>
      </c>
      <c r="BJ15" s="51" t="s">
        <v>113</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v>1</v>
      </c>
      <c r="L16" s="51" t="s">
        <v>113</v>
      </c>
      <c r="M16" s="51" t="s">
        <v>113</v>
      </c>
      <c r="N16" s="51" t="s">
        <v>113</v>
      </c>
      <c r="O16" s="51">
        <v>128</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v>15</v>
      </c>
      <c r="AD16" s="51" t="s">
        <v>113</v>
      </c>
      <c r="AE16" s="51">
        <v>5</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26</v>
      </c>
      <c r="BH16" s="51" t="s">
        <v>113</v>
      </c>
      <c r="BI16" s="51">
        <v>18</v>
      </c>
      <c r="BJ16" s="51" t="s">
        <v>113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v>2</v>
      </c>
      <c r="L17" s="51" t="s">
        <v>113</v>
      </c>
      <c r="M17" s="51" t="s">
        <v>113</v>
      </c>
      <c r="N17" s="51" t="s">
        <v>113</v>
      </c>
      <c r="O17" s="51">
        <v>131</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v>24</v>
      </c>
      <c r="AD17" s="51" t="s">
        <v>113</v>
      </c>
      <c r="AE17" s="51">
        <v>4</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43</v>
      </c>
      <c r="BH17" s="51" t="s">
        <v>113</v>
      </c>
      <c r="BI17" s="51">
        <v>17</v>
      </c>
      <c r="BJ17" s="51" t="s">
        <v>113</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v>4</v>
      </c>
      <c r="L18" s="51" t="s">
        <v>113</v>
      </c>
      <c r="M18" s="51" t="s">
        <v>113</v>
      </c>
      <c r="N18" s="51" t="s">
        <v>113</v>
      </c>
      <c r="O18" s="51">
        <v>124</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v>38</v>
      </c>
      <c r="AD18" s="51" t="s">
        <v>113</v>
      </c>
      <c r="AE18" s="51">
        <v>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29</v>
      </c>
      <c r="BH18" s="51" t="s">
        <v>113</v>
      </c>
      <c r="BI18" s="51">
        <v>23</v>
      </c>
      <c r="BJ18" s="51" t="s">
        <v>113</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v>0</v>
      </c>
      <c r="L19" s="51" t="s">
        <v>113</v>
      </c>
      <c r="M19" s="51" t="s">
        <v>113</v>
      </c>
      <c r="N19" s="51" t="s">
        <v>113</v>
      </c>
      <c r="O19" s="51">
        <v>96</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v>25</v>
      </c>
      <c r="AD19" s="51" t="s">
        <v>113</v>
      </c>
      <c r="AE19" s="51">
        <v>2</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57</v>
      </c>
      <c r="BH19" s="51" t="s">
        <v>113</v>
      </c>
      <c r="BI19" s="51">
        <v>20</v>
      </c>
      <c r="BJ19" s="51" t="s">
        <v>113</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v>4</v>
      </c>
      <c r="L20" s="51" t="s">
        <v>113</v>
      </c>
      <c r="M20" s="51" t="s">
        <v>113</v>
      </c>
      <c r="N20" s="51" t="s">
        <v>113</v>
      </c>
      <c r="O20" s="51">
        <v>77</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v>32</v>
      </c>
      <c r="AD20" s="51" t="s">
        <v>113</v>
      </c>
      <c r="AE20" s="51">
        <v>9</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38</v>
      </c>
      <c r="BH20" s="51" t="s">
        <v>113</v>
      </c>
      <c r="BI20" s="51">
        <v>27</v>
      </c>
      <c r="BJ20" s="51" t="s">
        <v>113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v>6</v>
      </c>
      <c r="L21" s="51" t="s">
        <v>113</v>
      </c>
      <c r="M21" s="51" t="s">
        <v>113</v>
      </c>
      <c r="N21" s="51" t="s">
        <v>113</v>
      </c>
      <c r="O21" s="51">
        <v>95</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v>31</v>
      </c>
      <c r="AD21" s="51" t="s">
        <v>113</v>
      </c>
      <c r="AE21" s="51">
        <v>2</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30</v>
      </c>
      <c r="BH21" s="51" t="s">
        <v>113</v>
      </c>
      <c r="BI21" s="51">
        <v>20</v>
      </c>
      <c r="BJ21" s="51" t="s">
        <v>113</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v>4</v>
      </c>
      <c r="L22" s="51" t="s">
        <v>113</v>
      </c>
      <c r="M22" s="51" t="s">
        <v>113</v>
      </c>
      <c r="N22" s="51" t="s">
        <v>113</v>
      </c>
      <c r="O22" s="51">
        <v>72</v>
      </c>
      <c r="P22" s="51" t="s">
        <v>113</v>
      </c>
      <c r="Q22" s="51">
        <v>1</v>
      </c>
      <c r="R22" s="51" t="s">
        <v>113</v>
      </c>
      <c r="S22" s="51" t="s">
        <v>113</v>
      </c>
      <c r="T22" s="51" t="s">
        <v>113</v>
      </c>
      <c r="U22" s="51" t="s">
        <v>113</v>
      </c>
      <c r="V22" s="51" t="s">
        <v>113</v>
      </c>
      <c r="W22" s="51" t="s">
        <v>113</v>
      </c>
      <c r="X22" s="51" t="s">
        <v>113</v>
      </c>
      <c r="Y22" s="51" t="s">
        <v>113</v>
      </c>
      <c r="Z22" s="51" t="s">
        <v>113</v>
      </c>
      <c r="AA22" s="51" t="s">
        <v>113</v>
      </c>
      <c r="AB22" s="51" t="s">
        <v>113</v>
      </c>
      <c r="AC22" s="51">
        <v>22</v>
      </c>
      <c r="AD22" s="51" t="s">
        <v>113</v>
      </c>
      <c r="AE22" s="51">
        <v>5</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35</v>
      </c>
      <c r="BH22" s="51" t="s">
        <v>113</v>
      </c>
      <c r="BI22" s="51">
        <v>16</v>
      </c>
      <c r="BJ22" s="51" t="s">
        <v>113</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v>2</v>
      </c>
      <c r="L23" s="51" t="s">
        <v>113</v>
      </c>
      <c r="M23" s="51" t="s">
        <v>113</v>
      </c>
      <c r="N23" s="51" t="s">
        <v>113</v>
      </c>
      <c r="O23" s="51">
        <v>37</v>
      </c>
      <c r="P23" s="51" t="s">
        <v>113</v>
      </c>
      <c r="Q23" s="51">
        <v>2</v>
      </c>
      <c r="R23" s="51" t="s">
        <v>113</v>
      </c>
      <c r="S23" s="51" t="s">
        <v>113</v>
      </c>
      <c r="T23" s="51" t="s">
        <v>113</v>
      </c>
      <c r="U23" s="51" t="s">
        <v>113</v>
      </c>
      <c r="V23" s="51" t="s">
        <v>113</v>
      </c>
      <c r="W23" s="51" t="s">
        <v>113</v>
      </c>
      <c r="X23" s="51" t="s">
        <v>113</v>
      </c>
      <c r="Y23" s="51" t="s">
        <v>113</v>
      </c>
      <c r="Z23" s="51" t="s">
        <v>113</v>
      </c>
      <c r="AA23" s="51" t="s">
        <v>113</v>
      </c>
      <c r="AB23" s="51" t="s">
        <v>113</v>
      </c>
      <c r="AC23" s="51">
        <v>18</v>
      </c>
      <c r="AD23" s="51" t="s">
        <v>113</v>
      </c>
      <c r="AE23" s="51">
        <v>4</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25</v>
      </c>
      <c r="BH23" s="51" t="s">
        <v>113</v>
      </c>
      <c r="BI23" s="51">
        <v>21</v>
      </c>
      <c r="BJ23" s="51" t="s">
        <v>113</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v>1</v>
      </c>
      <c r="L24" s="51" t="s">
        <v>113</v>
      </c>
      <c r="M24" s="51" t="s">
        <v>113</v>
      </c>
      <c r="N24" s="51" t="s">
        <v>113</v>
      </c>
      <c r="O24" s="51">
        <v>41</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v>11</v>
      </c>
      <c r="AD24" s="51" t="s">
        <v>113</v>
      </c>
      <c r="AE24" s="51">
        <v>6</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31</v>
      </c>
      <c r="BH24" s="51" t="s">
        <v>113</v>
      </c>
      <c r="BI24" s="51">
        <v>26</v>
      </c>
      <c r="BJ24" s="51" t="s">
        <v>113</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v>1</v>
      </c>
      <c r="L25" s="51" t="s">
        <v>113</v>
      </c>
      <c r="M25" s="51" t="s">
        <v>113</v>
      </c>
      <c r="N25" s="51" t="s">
        <v>113</v>
      </c>
      <c r="O25" s="51">
        <v>34</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v>11</v>
      </c>
      <c r="AD25" s="51" t="s">
        <v>113</v>
      </c>
      <c r="AE25" s="51">
        <v>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44</v>
      </c>
      <c r="BH25" s="51" t="s">
        <v>113</v>
      </c>
      <c r="BI25" s="51">
        <v>31</v>
      </c>
      <c r="BJ25" s="51" t="s">
        <v>113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v>1</v>
      </c>
      <c r="L26" s="51" t="s">
        <v>113</v>
      </c>
      <c r="M26" s="51" t="s">
        <v>113</v>
      </c>
      <c r="N26" s="51" t="s">
        <v>113</v>
      </c>
      <c r="O26" s="51">
        <v>34</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v>21</v>
      </c>
      <c r="AD26" s="51" t="s">
        <v>113</v>
      </c>
      <c r="AE26" s="51">
        <v>7</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31</v>
      </c>
      <c r="BH26" s="51" t="s">
        <v>113</v>
      </c>
      <c r="BI26" s="51">
        <v>21</v>
      </c>
      <c r="BJ26" s="51" t="s">
        <v>113</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v>1</v>
      </c>
      <c r="L27" s="51" t="s">
        <v>113</v>
      </c>
      <c r="M27" s="51" t="s">
        <v>113</v>
      </c>
      <c r="N27" s="51" t="s">
        <v>113</v>
      </c>
      <c r="O27" s="51">
        <v>49</v>
      </c>
      <c r="P27" s="51" t="s">
        <v>113</v>
      </c>
      <c r="Q27" s="51">
        <v>1</v>
      </c>
      <c r="R27" s="51" t="s">
        <v>113</v>
      </c>
      <c r="S27" s="51" t="s">
        <v>113</v>
      </c>
      <c r="T27" s="51" t="s">
        <v>113</v>
      </c>
      <c r="U27" s="51" t="s">
        <v>113</v>
      </c>
      <c r="V27" s="51" t="s">
        <v>113</v>
      </c>
      <c r="W27" s="51" t="s">
        <v>113</v>
      </c>
      <c r="X27" s="51" t="s">
        <v>113</v>
      </c>
      <c r="Y27" s="51" t="s">
        <v>113</v>
      </c>
      <c r="Z27" s="51" t="s">
        <v>113</v>
      </c>
      <c r="AA27" s="51" t="s">
        <v>113</v>
      </c>
      <c r="AB27" s="51" t="s">
        <v>113</v>
      </c>
      <c r="AC27" s="51">
        <v>26</v>
      </c>
      <c r="AD27" s="51" t="s">
        <v>113</v>
      </c>
      <c r="AE27" s="51">
        <v>8</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136</v>
      </c>
      <c r="BH27" s="51" t="s">
        <v>113</v>
      </c>
      <c r="BI27" s="51">
        <v>27</v>
      </c>
      <c r="BJ27" s="51" t="s">
        <v>113</v>
      </c>
      <c r="BK27" s="51" t="s">
        <v>113</v>
      </c>
      <c r="BL27" s="51" t="s">
        <v>113</v>
      </c>
      <c r="BM27" s="51">
        <v>1</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v>1</v>
      </c>
      <c r="L28" s="51" t="s">
        <v>113</v>
      </c>
      <c r="M28" s="51" t="s">
        <v>113</v>
      </c>
      <c r="N28" s="51" t="s">
        <v>113</v>
      </c>
      <c r="O28" s="51">
        <v>45</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v>20</v>
      </c>
      <c r="AD28" s="51" t="s">
        <v>113</v>
      </c>
      <c r="AE28" s="51">
        <v>15</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124</v>
      </c>
      <c r="BH28" s="51" t="s">
        <v>113</v>
      </c>
      <c r="BI28" s="51">
        <v>18</v>
      </c>
      <c r="BJ28" s="51" t="s">
        <v>113</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v>1</v>
      </c>
      <c r="L29" s="51" t="s">
        <v>113</v>
      </c>
      <c r="M29" s="51" t="s">
        <v>113</v>
      </c>
      <c r="N29" s="51" t="s">
        <v>113</v>
      </c>
      <c r="O29" s="51">
        <v>65</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v>22</v>
      </c>
      <c r="AD29" s="51" t="s">
        <v>113</v>
      </c>
      <c r="AE29" s="51">
        <v>23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144</v>
      </c>
      <c r="BH29" s="51" t="s">
        <v>113</v>
      </c>
      <c r="BI29" s="51">
        <v>11</v>
      </c>
      <c r="BJ29" s="51" t="s">
        <v>113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v>1</v>
      </c>
      <c r="L30" s="51" t="s">
        <v>113</v>
      </c>
      <c r="M30" s="51" t="s">
        <v>113</v>
      </c>
      <c r="N30" s="51" t="s">
        <v>113</v>
      </c>
      <c r="O30" s="51">
        <v>60</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v>29</v>
      </c>
      <c r="AD30" s="51" t="s">
        <v>113</v>
      </c>
      <c r="AE30" s="51">
        <v>30</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139</v>
      </c>
      <c r="BH30" s="51" t="s">
        <v>113</v>
      </c>
      <c r="BI30" s="51">
        <v>15</v>
      </c>
      <c r="BJ30" s="51" t="s">
        <v>113</v>
      </c>
      <c r="BK30" s="51" t="s">
        <v>113</v>
      </c>
      <c r="BL30" s="51" t="s">
        <v>113</v>
      </c>
      <c r="BM30" s="51">
        <v>1</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v>1</v>
      </c>
      <c r="L31" s="51" t="s">
        <v>113</v>
      </c>
      <c r="M31" s="51" t="s">
        <v>113</v>
      </c>
      <c r="N31" s="51" t="s">
        <v>113</v>
      </c>
      <c r="O31" s="51">
        <v>72</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v>33</v>
      </c>
      <c r="AD31" s="51" t="s">
        <v>113</v>
      </c>
      <c r="AE31" s="51">
        <v>33</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157</v>
      </c>
      <c r="BH31" s="51" t="s">
        <v>113</v>
      </c>
      <c r="BI31" s="51">
        <v>19</v>
      </c>
      <c r="BJ31" s="51" t="s">
        <v>113</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v>1</v>
      </c>
      <c r="L32" s="51" t="s">
        <v>113</v>
      </c>
      <c r="M32" s="51" t="s">
        <v>113</v>
      </c>
      <c r="N32" s="51" t="s">
        <v>113</v>
      </c>
      <c r="O32" s="51">
        <v>52</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v>23</v>
      </c>
      <c r="AD32" s="51" t="s">
        <v>113</v>
      </c>
      <c r="AE32" s="51">
        <v>18</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152</v>
      </c>
      <c r="BH32" s="51" t="s">
        <v>113</v>
      </c>
      <c r="BI32" s="51">
        <v>19</v>
      </c>
      <c r="BJ32" s="51" t="s">
        <v>113</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v>1</v>
      </c>
      <c r="L33" s="51" t="s">
        <v>113</v>
      </c>
      <c r="M33" s="51" t="s">
        <v>113</v>
      </c>
      <c r="N33" s="51" t="s">
        <v>113</v>
      </c>
      <c r="O33" s="51">
        <v>39</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v>12</v>
      </c>
      <c r="AD33" s="51" t="s">
        <v>113</v>
      </c>
      <c r="AE33" s="51">
        <v>14</v>
      </c>
      <c r="AF33" s="51" t="s">
        <v>113</v>
      </c>
      <c r="AG33" s="51">
        <v>1</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118</v>
      </c>
      <c r="BH33" s="51" t="s">
        <v>113</v>
      </c>
      <c r="BI33" s="51">
        <v>24</v>
      </c>
      <c r="BJ33" s="51" t="s">
        <v>113</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v>2</v>
      </c>
      <c r="L34" s="51" t="s">
        <v>113</v>
      </c>
      <c r="M34" s="51" t="s">
        <v>113</v>
      </c>
      <c r="N34" s="51" t="s">
        <v>113</v>
      </c>
      <c r="O34" s="51">
        <v>34</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v>10</v>
      </c>
      <c r="AD34" s="51" t="s">
        <v>113</v>
      </c>
      <c r="AE34" s="51">
        <v>8</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67</v>
      </c>
      <c r="BH34" s="51" t="s">
        <v>113</v>
      </c>
      <c r="BI34" s="51">
        <v>14</v>
      </c>
      <c r="BJ34" s="51" t="s">
        <v>113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2020-11-16T23:57:25Z</dcterms:modified>
</cp:coreProperties>
</file>