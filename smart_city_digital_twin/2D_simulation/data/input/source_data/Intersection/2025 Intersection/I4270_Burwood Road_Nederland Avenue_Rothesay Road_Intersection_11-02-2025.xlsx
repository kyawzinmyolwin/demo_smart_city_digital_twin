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C8BB3CC-1212-40FB-8988-B0A52DFCB85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Q118" i="6" s="1"/>
  <c r="L272" i="6"/>
  <c r="L200" i="6"/>
  <c r="L303" i="6"/>
  <c r="Q303" i="6" s="1"/>
  <c r="L271" i="6"/>
  <c r="Q271" i="6" s="1"/>
  <c r="L239" i="6"/>
  <c r="L207" i="6"/>
  <c r="Q207" i="6" s="1"/>
  <c r="L175" i="6"/>
  <c r="Q175" i="6" s="1"/>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Q96" i="6" s="1"/>
  <c r="L64" i="6"/>
  <c r="Q64" i="6" s="1"/>
  <c r="L256" i="6"/>
  <c r="L197" i="6"/>
  <c r="Q197" i="6" s="1"/>
  <c r="L109" i="6"/>
  <c r="L45" i="6"/>
  <c r="Q45" i="6" s="1"/>
  <c r="L245" i="6"/>
  <c r="Q245" i="6" s="1"/>
  <c r="L14" i="6"/>
  <c r="L244" i="6"/>
  <c r="Q244" i="6" s="1"/>
  <c r="L180" i="6"/>
  <c r="L116" i="6"/>
  <c r="L52" i="6"/>
  <c r="Q52" i="6" s="1"/>
  <c r="L219" i="6"/>
  <c r="Q219" i="6" s="1"/>
  <c r="L83" i="6"/>
  <c r="Q83" i="6" s="1"/>
  <c r="L13" i="6"/>
  <c r="L211" i="6"/>
  <c r="Q211" i="6" s="1"/>
  <c r="L107" i="6"/>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1" i="6"/>
  <c r="Q253" i="6"/>
  <c r="Q173" i="6"/>
  <c r="Q117" i="6"/>
  <c r="Q109" i="6"/>
  <c r="Q243" i="6"/>
  <c r="Q187" i="6"/>
  <c r="Q107" i="6"/>
  <c r="Q282" i="6"/>
  <c r="Q162" i="6"/>
  <c r="Q90" i="6"/>
  <c r="Q280" i="6"/>
  <c r="Q216" i="6"/>
  <c r="Q177" i="6"/>
  <c r="Q110" i="6"/>
  <c r="Q71" i="6"/>
  <c r="Q73" i="6"/>
  <c r="Q302" i="6"/>
  <c r="Q135" i="6"/>
  <c r="Q287" i="6"/>
  <c r="Q248" i="6"/>
  <c r="Q239" i="6"/>
  <c r="Q200" i="6"/>
  <c r="Q111" i="6"/>
  <c r="Q224" i="6"/>
  <c r="Q272" i="6"/>
  <c r="Q233" i="6"/>
  <c r="Q132" i="6"/>
  <c r="Q256" i="6"/>
  <c r="Q246" i="6"/>
  <c r="Q116" i="6"/>
  <c r="Q95" i="6"/>
  <c r="Q54" i="6"/>
  <c r="Q180" i="6"/>
  <c r="Q104" i="6"/>
  <c r="H8" i="6"/>
  <c r="B4" i="7" s="1"/>
  <c r="O6" i="6"/>
  <c r="I2" i="4" l="1"/>
  <c r="I322" i="4"/>
  <c r="I102" i="4"/>
  <c r="I202" i="4"/>
  <c r="I522" i="4"/>
  <c r="I302" i="4"/>
  <c r="I82" i="4"/>
  <c r="I402" i="4"/>
  <c r="I182" i="4"/>
  <c r="I502" i="4"/>
  <c r="I282" i="4"/>
  <c r="I62" i="4"/>
  <c r="I382" i="4"/>
  <c r="I622" i="4"/>
  <c r="I162" i="4"/>
  <c r="I482" i="4"/>
  <c r="I42" i="4"/>
  <c r="I362" i="4"/>
  <c r="I142" i="4"/>
  <c r="I462" i="4"/>
  <c r="I702" i="4"/>
  <c r="I642" i="4"/>
  <c r="I242" i="4"/>
  <c r="I562" i="4"/>
  <c r="I22" i="4"/>
  <c r="I342" i="4"/>
  <c r="I602" i="4"/>
  <c r="I682" i="4"/>
  <c r="I122" i="4"/>
  <c r="I542" i="4"/>
  <c r="I222" i="4"/>
  <c r="I262" i="4"/>
  <c r="I422" i="4"/>
  <c r="I662" i="4"/>
  <c r="I442" i="4"/>
  <c r="I582" i="4"/>
  <c r="I24" i="4"/>
  <c r="I344" i="4"/>
  <c r="I484" i="4"/>
  <c r="I224" i="4"/>
  <c r="I544" i="4"/>
  <c r="I4" i="4"/>
  <c r="I104" i="4"/>
  <c r="I424" i="4"/>
  <c r="I204" i="4"/>
  <c r="I184" i="4"/>
  <c r="I504" i="4"/>
  <c r="I244" i="4"/>
  <c r="I704" i="4"/>
  <c r="I64" i="4"/>
  <c r="I384" i="4"/>
  <c r="I264" i="4"/>
  <c r="I84" i="4"/>
  <c r="I364" i="4"/>
  <c r="I404" i="4"/>
  <c r="I444" i="4"/>
  <c r="I304" i="4"/>
  <c r="I464" i="4"/>
  <c r="I164" i="4"/>
  <c r="I564" i="4"/>
  <c r="I144" i="4"/>
  <c r="I684" i="4"/>
  <c r="I644" i="4"/>
  <c r="I324" i="4"/>
  <c r="I524" i="4"/>
  <c r="I284" i="4"/>
  <c r="I604" i="4"/>
  <c r="I44" i="4"/>
  <c r="I624" i="4"/>
  <c r="I664" i="4"/>
  <c r="I584" i="4"/>
  <c r="I124" i="4"/>
  <c r="I152" i="4"/>
  <c r="I472" i="4"/>
  <c r="I12" i="4"/>
  <c r="I32" i="4"/>
  <c r="I352" i="4"/>
  <c r="I172" i="4"/>
  <c r="I532" i="4"/>
  <c r="I232" i="4"/>
  <c r="I552" i="4"/>
  <c r="I292" i="4"/>
  <c r="I312" i="4"/>
  <c r="I632" i="4"/>
  <c r="I192" i="4"/>
  <c r="I512" i="4"/>
  <c r="I132" i="4"/>
  <c r="I432" i="4"/>
  <c r="I592" i="4"/>
  <c r="I652" i="4"/>
  <c r="I372" i="4"/>
  <c r="I412" i="4"/>
  <c r="I112" i="4"/>
  <c r="I272" i="4"/>
  <c r="I712" i="4"/>
  <c r="I252" i="4"/>
  <c r="I692" i="4"/>
  <c r="I612" i="4"/>
  <c r="I332" i="4"/>
  <c r="I212" i="4"/>
  <c r="I492" i="4"/>
  <c r="I392" i="4"/>
  <c r="I452" i="4"/>
  <c r="I672" i="4"/>
  <c r="I92" i="4"/>
  <c r="I572" i="4"/>
  <c r="I72" i="4"/>
  <c r="I52" i="4"/>
  <c r="I85" i="4"/>
  <c r="I405" i="4"/>
  <c r="I285" i="4"/>
  <c r="I605" i="4"/>
  <c r="I165" i="4"/>
  <c r="I485" i="4"/>
  <c r="I385" i="4"/>
  <c r="I425" i="4"/>
  <c r="I685" i="4"/>
  <c r="I45" i="4"/>
  <c r="I365" i="4"/>
  <c r="I465" i="4"/>
  <c r="I245" i="4"/>
  <c r="I565" i="4"/>
  <c r="I125" i="4"/>
  <c r="I445" i="4"/>
  <c r="I265" i="4"/>
  <c r="I185" i="4"/>
  <c r="I5" i="4"/>
  <c r="I325" i="4"/>
  <c r="I665" i="4"/>
  <c r="I145" i="4"/>
  <c r="I645" i="4"/>
  <c r="I505" i="4"/>
  <c r="I105" i="4"/>
  <c r="I625" i="4"/>
  <c r="I525" i="4"/>
  <c r="I305" i="4"/>
  <c r="I585" i="4"/>
  <c r="I65" i="4"/>
  <c r="I225" i="4"/>
  <c r="I25" i="4"/>
  <c r="I545" i="4"/>
  <c r="I345" i="4"/>
  <c r="I205" i="4"/>
  <c r="I705" i="4"/>
  <c r="I149" i="4"/>
  <c r="I469" i="4"/>
  <c r="I29" i="4"/>
  <c r="I349" i="4"/>
  <c r="I229" i="4"/>
  <c r="I549" i="4"/>
  <c r="I169" i="4"/>
  <c r="I109" i="4"/>
  <c r="I429" i="4"/>
  <c r="I209" i="4"/>
  <c r="I309" i="4"/>
  <c r="I189" i="4"/>
  <c r="I509" i="4"/>
  <c r="I9" i="4"/>
  <c r="I709" i="4"/>
  <c r="I69" i="4"/>
  <c r="I389" i="4"/>
  <c r="I649" i="4"/>
  <c r="I609" i="4"/>
  <c r="I449" i="4"/>
  <c r="I689" i="4"/>
  <c r="I249" i="4"/>
  <c r="I129" i="4"/>
  <c r="I589" i="4"/>
  <c r="I329" i="4"/>
  <c r="I569" i="4"/>
  <c r="I529" i="4"/>
  <c r="I49" i="4"/>
  <c r="I369" i="4"/>
  <c r="I629" i="4"/>
  <c r="I489" i="4"/>
  <c r="I669" i="4"/>
  <c r="I89" i="4"/>
  <c r="I289" i="4"/>
  <c r="I269" i="4"/>
  <c r="I409" i="4"/>
  <c r="I277" i="4"/>
  <c r="I597" i="4"/>
  <c r="I157" i="4"/>
  <c r="I477" i="4"/>
  <c r="I137" i="4"/>
  <c r="I677" i="4"/>
  <c r="I37" i="4"/>
  <c r="I357" i="4"/>
  <c r="I237" i="4"/>
  <c r="I557" i="4"/>
  <c r="I457" i="4"/>
  <c r="I117" i="4"/>
  <c r="I437" i="4"/>
  <c r="I317" i="4"/>
  <c r="I577" i="4"/>
  <c r="I257" i="4"/>
  <c r="I17" i="4"/>
  <c r="I197" i="4"/>
  <c r="I517" i="4"/>
  <c r="I297" i="4"/>
  <c r="I537" i="4"/>
  <c r="I497" i="4"/>
  <c r="I97" i="4"/>
  <c r="I397" i="4"/>
  <c r="I177" i="4"/>
  <c r="I217" i="4"/>
  <c r="I617" i="4"/>
  <c r="I657" i="4"/>
  <c r="I697" i="4"/>
  <c r="I637" i="4"/>
  <c r="I77" i="4"/>
  <c r="I337" i="4"/>
  <c r="I417" i="4"/>
  <c r="I717" i="4"/>
  <c r="I57" i="4"/>
  <c r="I377" i="4"/>
  <c r="I216" i="4"/>
  <c r="I536" i="4"/>
  <c r="I596" i="4"/>
  <c r="I96" i="4"/>
  <c r="I416" i="4"/>
  <c r="I296" i="4"/>
  <c r="I36" i="4"/>
  <c r="I716" i="4"/>
  <c r="I56" i="4"/>
  <c r="I376" i="4"/>
  <c r="I356" i="4"/>
  <c r="I516" i="4"/>
  <c r="I256" i="4"/>
  <c r="I576" i="4"/>
  <c r="I676" i="4"/>
  <c r="I636" i="4"/>
  <c r="I236" i="4"/>
  <c r="I156" i="4"/>
  <c r="I456" i="4"/>
  <c r="I116" i="4"/>
  <c r="I696" i="4"/>
  <c r="I136" i="4"/>
  <c r="I396" i="4"/>
  <c r="I436" i="4"/>
  <c r="I476" i="4"/>
  <c r="I496" i="4"/>
  <c r="I196" i="4"/>
  <c r="I176" i="4"/>
  <c r="I336" i="4"/>
  <c r="I16" i="4"/>
  <c r="I276" i="4"/>
  <c r="I316" i="4"/>
  <c r="I616" i="4"/>
  <c r="I656" i="4"/>
  <c r="I556" i="4"/>
  <c r="I76" i="4"/>
  <c r="I59" i="4"/>
  <c r="I379" i="4"/>
  <c r="I259" i="4"/>
  <c r="I579" i="4"/>
  <c r="I119" i="4"/>
  <c r="I439" i="4"/>
  <c r="I139" i="4"/>
  <c r="I459" i="4"/>
  <c r="I319" i="4"/>
  <c r="I639" i="4"/>
  <c r="I19" i="4"/>
  <c r="I339" i="4"/>
  <c r="I659" i="4"/>
  <c r="I199" i="4"/>
  <c r="I519" i="4"/>
  <c r="I219" i="4"/>
  <c r="I539" i="4"/>
  <c r="I99" i="4"/>
  <c r="I419" i="4"/>
  <c r="I279" i="4"/>
  <c r="I599" i="4"/>
  <c r="I299" i="4"/>
  <c r="I619" i="4"/>
  <c r="I159" i="4"/>
  <c r="I479" i="4"/>
  <c r="I499" i="4"/>
  <c r="I359" i="4"/>
  <c r="I39" i="4"/>
  <c r="I399" i="4"/>
  <c r="I559" i="4"/>
  <c r="I179" i="4"/>
  <c r="I79" i="4"/>
  <c r="I239" i="4"/>
  <c r="I679" i="4"/>
  <c r="I699" i="4"/>
  <c r="I719" i="4"/>
  <c r="I258" i="4"/>
  <c r="I578" i="4"/>
  <c r="I38" i="4"/>
  <c r="I138" i="4"/>
  <c r="I458" i="4"/>
  <c r="I238" i="4"/>
  <c r="I518" i="4"/>
  <c r="I718" i="4"/>
  <c r="I18" i="4"/>
  <c r="I338" i="4"/>
  <c r="I118" i="4"/>
  <c r="I438" i="4"/>
  <c r="I218" i="4"/>
  <c r="I538" i="4"/>
  <c r="I318" i="4"/>
  <c r="I598" i="4"/>
  <c r="I98" i="4"/>
  <c r="I418" i="4"/>
  <c r="I298" i="4"/>
  <c r="I78" i="4"/>
  <c r="I398" i="4"/>
  <c r="I178" i="4"/>
  <c r="I498" i="4"/>
  <c r="I278" i="4"/>
  <c r="I58" i="4"/>
  <c r="I618" i="4"/>
  <c r="I198" i="4"/>
  <c r="I358" i="4"/>
  <c r="I658" i="4"/>
  <c r="I698" i="4"/>
  <c r="I638" i="4"/>
  <c r="I378" i="4"/>
  <c r="I678" i="4"/>
  <c r="I478" i="4"/>
  <c r="I158" i="4"/>
  <c r="I558" i="4"/>
  <c r="I213" i="4"/>
  <c r="I533" i="4"/>
  <c r="I93" i="4"/>
  <c r="I413" i="4"/>
  <c r="I193" i="4"/>
  <c r="I393" i="4"/>
  <c r="I293" i="4"/>
  <c r="I613" i="4"/>
  <c r="I513" i="4"/>
  <c r="I173" i="4"/>
  <c r="I493" i="4"/>
  <c r="I593" i="4"/>
  <c r="I693" i="4"/>
  <c r="I53" i="4"/>
  <c r="I373" i="4"/>
  <c r="I253" i="4"/>
  <c r="I573" i="4"/>
  <c r="I273" i="4"/>
  <c r="I133" i="4"/>
  <c r="I453" i="4"/>
  <c r="I333" i="4"/>
  <c r="I153" i="4"/>
  <c r="I473" i="4"/>
  <c r="I73" i="4"/>
  <c r="I353" i="4"/>
  <c r="I553" i="4"/>
  <c r="I33" i="4"/>
  <c r="I13" i="4"/>
  <c r="I233" i="4"/>
  <c r="I653" i="4"/>
  <c r="I313" i="4"/>
  <c r="I713" i="4"/>
  <c r="I113" i="4"/>
  <c r="I433" i="4"/>
  <c r="I633" i="4"/>
  <c r="I673" i="4"/>
  <c r="I130" i="4"/>
  <c r="I450" i="4"/>
  <c r="I10" i="4"/>
  <c r="I330" i="4"/>
  <c r="I110" i="4"/>
  <c r="I430" i="4"/>
  <c r="I630" i="4"/>
  <c r="I210" i="4"/>
  <c r="I530" i="4"/>
  <c r="I310" i="4"/>
  <c r="I610" i="4"/>
  <c r="I90" i="4"/>
  <c r="I410" i="4"/>
  <c r="I190" i="4"/>
  <c r="I290" i="4"/>
  <c r="I70" i="4"/>
  <c r="I170" i="4"/>
  <c r="I490" i="4"/>
  <c r="I270" i="4"/>
  <c r="I710" i="4"/>
  <c r="I50" i="4"/>
  <c r="I370" i="4"/>
  <c r="I150" i="4"/>
  <c r="I470" i="4"/>
  <c r="I570" i="4"/>
  <c r="I350" i="4"/>
  <c r="I690" i="4"/>
  <c r="I390" i="4"/>
  <c r="I670" i="4"/>
  <c r="I250" i="4"/>
  <c r="I230" i="4"/>
  <c r="I30" i="4"/>
  <c r="I650" i="4"/>
  <c r="I550" i="4"/>
  <c r="I590" i="4"/>
  <c r="I510" i="4"/>
  <c r="I187" i="4"/>
  <c r="I507" i="4"/>
  <c r="I67" i="4"/>
  <c r="I387" i="4"/>
  <c r="I247" i="4"/>
  <c r="I567" i="4"/>
  <c r="I267" i="4"/>
  <c r="I587" i="4"/>
  <c r="I127" i="4"/>
  <c r="I447" i="4"/>
  <c r="I147" i="4"/>
  <c r="I467" i="4"/>
  <c r="I7" i="4"/>
  <c r="I327" i="4"/>
  <c r="I647" i="4"/>
  <c r="I27" i="4"/>
  <c r="I347" i="4"/>
  <c r="I667" i="4"/>
  <c r="I227" i="4"/>
  <c r="I547" i="4"/>
  <c r="I87" i="4"/>
  <c r="I407" i="4"/>
  <c r="I107" i="4"/>
  <c r="I427" i="4"/>
  <c r="I287" i="4"/>
  <c r="I607" i="4"/>
  <c r="I527" i="4"/>
  <c r="I207" i="4"/>
  <c r="I367" i="4"/>
  <c r="I627" i="4"/>
  <c r="I47" i="4"/>
  <c r="I707" i="4"/>
  <c r="I687" i="4"/>
  <c r="I307" i="4"/>
  <c r="I487" i="4"/>
  <c r="I167" i="4"/>
  <c r="I280" i="4"/>
  <c r="I600" i="4"/>
  <c r="I700" i="4"/>
  <c r="I160" i="4"/>
  <c r="I480" i="4"/>
  <c r="I260" i="4"/>
  <c r="I140" i="4"/>
  <c r="I40" i="4"/>
  <c r="I360" i="4"/>
  <c r="I660" i="4"/>
  <c r="I120" i="4"/>
  <c r="I440" i="4"/>
  <c r="I100" i="4"/>
  <c r="I640" i="4"/>
  <c r="I300" i="4"/>
  <c r="I500" i="4"/>
  <c r="I60" i="4"/>
  <c r="I320" i="4"/>
  <c r="I80" i="4"/>
  <c r="I580" i="4"/>
  <c r="I620" i="4"/>
  <c r="I220" i="4"/>
  <c r="I460" i="4"/>
  <c r="I180" i="4"/>
  <c r="I720" i="4"/>
  <c r="I520" i="4"/>
  <c r="I200" i="4"/>
  <c r="I420" i="4"/>
  <c r="I560" i="4"/>
  <c r="I540" i="4"/>
  <c r="I20" i="4"/>
  <c r="I240" i="4"/>
  <c r="I400" i="4"/>
  <c r="I340" i="4"/>
  <c r="I680" i="4"/>
  <c r="I380" i="4"/>
  <c r="I194" i="4"/>
  <c r="I514" i="4"/>
  <c r="I74" i="4"/>
  <c r="I394" i="4"/>
  <c r="I174" i="4"/>
  <c r="I494" i="4"/>
  <c r="I274" i="4"/>
  <c r="I54" i="4"/>
  <c r="I374" i="4"/>
  <c r="I654" i="4"/>
  <c r="I154" i="4"/>
  <c r="I474" i="4"/>
  <c r="I254" i="4"/>
  <c r="I534" i="4"/>
  <c r="I34" i="4"/>
  <c r="I354" i="4"/>
  <c r="I134" i="4"/>
  <c r="I234" i="4"/>
  <c r="I554" i="4"/>
  <c r="I14" i="4"/>
  <c r="I334" i="4"/>
  <c r="I634" i="4"/>
  <c r="I114" i="4"/>
  <c r="I434" i="4"/>
  <c r="I214" i="4"/>
  <c r="I594" i="4"/>
  <c r="I414" i="4"/>
  <c r="I674" i="4"/>
  <c r="I314" i="4"/>
  <c r="I714" i="4"/>
  <c r="I454" i="4"/>
  <c r="I614" i="4"/>
  <c r="I574" i="4"/>
  <c r="I94" i="4"/>
  <c r="I294" i="4"/>
  <c r="I694" i="4"/>
  <c r="I251" i="4"/>
  <c r="I571" i="4"/>
  <c r="I131" i="4"/>
  <c r="I451" i="4"/>
  <c r="I311" i="4"/>
  <c r="I11" i="4"/>
  <c r="I331" i="4"/>
  <c r="I651" i="4"/>
  <c r="I191" i="4"/>
  <c r="I511" i="4"/>
  <c r="I211" i="4"/>
  <c r="I531" i="4"/>
  <c r="I71" i="4"/>
  <c r="I391" i="4"/>
  <c r="I91" i="4"/>
  <c r="I411" i="4"/>
  <c r="I291" i="4"/>
  <c r="I611" i="4"/>
  <c r="I151" i="4"/>
  <c r="I471" i="4"/>
  <c r="I711" i="4"/>
  <c r="I171" i="4"/>
  <c r="I491" i="4"/>
  <c r="I31" i="4"/>
  <c r="I351" i="4"/>
  <c r="I51" i="4"/>
  <c r="I551" i="4"/>
  <c r="I631" i="4"/>
  <c r="I691" i="4"/>
  <c r="I231" i="4"/>
  <c r="I591" i="4"/>
  <c r="I271" i="4"/>
  <c r="I431" i="4"/>
  <c r="I111" i="4"/>
  <c r="I371" i="4"/>
  <c r="I671" i="4"/>
  <c r="I88" i="4"/>
  <c r="I408" i="4"/>
  <c r="I228" i="4"/>
  <c r="I108" i="4"/>
  <c r="I288" i="4"/>
  <c r="I708" i="4"/>
  <c r="I168" i="4"/>
  <c r="I488" i="4"/>
  <c r="I648" i="4"/>
  <c r="I268" i="4"/>
  <c r="I248" i="4"/>
  <c r="I568" i="4"/>
  <c r="I428" i="4"/>
  <c r="I128" i="4"/>
  <c r="I448" i="4"/>
  <c r="I388" i="4"/>
  <c r="I588" i="4"/>
  <c r="I688" i="4"/>
  <c r="I68" i="4"/>
  <c r="I188" i="4"/>
  <c r="I608" i="4"/>
  <c r="I148" i="4"/>
  <c r="I628" i="4"/>
  <c r="I328" i="4"/>
  <c r="I668" i="4"/>
  <c r="I468" i="4"/>
  <c r="I548" i="4"/>
  <c r="I508" i="4"/>
  <c r="I8" i="4"/>
  <c r="I368" i="4"/>
  <c r="I528" i="4"/>
  <c r="I28" i="4"/>
  <c r="I48" i="4"/>
  <c r="I208" i="4"/>
  <c r="I308" i="4"/>
  <c r="I348" i="4"/>
  <c r="I315" i="4"/>
  <c r="I635" i="4"/>
  <c r="I195" i="4"/>
  <c r="I515" i="4"/>
  <c r="I55" i="4"/>
  <c r="I375" i="4"/>
  <c r="I75" i="4"/>
  <c r="I395" i="4"/>
  <c r="I255" i="4"/>
  <c r="I575" i="4"/>
  <c r="I275" i="4"/>
  <c r="I595" i="4"/>
  <c r="I135" i="4"/>
  <c r="I455" i="4"/>
  <c r="I155" i="4"/>
  <c r="I475" i="4"/>
  <c r="I35" i="4"/>
  <c r="I355" i="4"/>
  <c r="I675" i="4"/>
  <c r="I215" i="4"/>
  <c r="I535" i="4"/>
  <c r="I235" i="4"/>
  <c r="I555" i="4"/>
  <c r="I95" i="4"/>
  <c r="I415" i="4"/>
  <c r="I15" i="4"/>
  <c r="I175" i="4"/>
  <c r="I615" i="4"/>
  <c r="I115" i="4"/>
  <c r="I295" i="4"/>
  <c r="I695" i="4"/>
  <c r="I655" i="4"/>
  <c r="I435" i="4"/>
  <c r="I335" i="4"/>
  <c r="I495" i="4"/>
  <c r="I715" i="4"/>
  <c r="I66" i="4"/>
  <c r="I386" i="4"/>
  <c r="I266" i="4"/>
  <c r="I46" i="4"/>
  <c r="I366" i="4"/>
  <c r="I146" i="4"/>
  <c r="I466" i="4"/>
  <c r="I246" i="4"/>
  <c r="I26" i="4"/>
  <c r="I346" i="4"/>
  <c r="I126" i="4"/>
  <c r="I446" i="4"/>
  <c r="I226" i="4"/>
  <c r="I546" i="4"/>
  <c r="I6" i="4"/>
  <c r="I106" i="4"/>
  <c r="I426" i="4"/>
  <c r="I206" i="4"/>
  <c r="I666" i="4"/>
  <c r="I306" i="4"/>
  <c r="I86" i="4"/>
  <c r="I406" i="4"/>
  <c r="I166" i="4"/>
  <c r="I686" i="4"/>
  <c r="I606" i="4"/>
  <c r="I626" i="4"/>
  <c r="I186" i="4"/>
  <c r="I526" i="4"/>
  <c r="I706" i="4"/>
  <c r="I646" i="4"/>
  <c r="I286" i="4"/>
  <c r="I566" i="4"/>
  <c r="I506" i="4"/>
  <c r="I326" i="4"/>
  <c r="I486" i="4"/>
  <c r="I586" i="4"/>
  <c r="I21" i="4"/>
  <c r="I341" i="4"/>
  <c r="I221" i="4"/>
  <c r="I541" i="4"/>
  <c r="I321" i="4"/>
  <c r="I101" i="4"/>
  <c r="I421" i="4"/>
  <c r="I561" i="4"/>
  <c r="I641" i="4"/>
  <c r="I301" i="4"/>
  <c r="I621" i="4"/>
  <c r="I201" i="4"/>
  <c r="I681" i="4"/>
  <c r="I181" i="4"/>
  <c r="I501" i="4"/>
  <c r="I61" i="4"/>
  <c r="I381" i="4"/>
  <c r="I521" i="4"/>
  <c r="I441" i="4"/>
  <c r="I261" i="4"/>
  <c r="I581" i="4"/>
  <c r="I41" i="4"/>
  <c r="I721" i="4"/>
  <c r="I661" i="4"/>
  <c r="I461" i="4"/>
  <c r="I241" i="4"/>
  <c r="I281" i="4"/>
  <c r="I701" i="4"/>
  <c r="I601" i="4"/>
  <c r="I481" i="4"/>
  <c r="I141" i="4"/>
  <c r="I361" i="4"/>
  <c r="I161" i="4"/>
  <c r="I81" i="4"/>
  <c r="I401" i="4"/>
  <c r="I121" i="4"/>
  <c r="I123" i="4"/>
  <c r="I443" i="4"/>
  <c r="I3" i="4"/>
  <c r="I323" i="4"/>
  <c r="I643" i="4"/>
  <c r="I183" i="4"/>
  <c r="I503" i="4"/>
  <c r="I623" i="4"/>
  <c r="I203" i="4"/>
  <c r="I523" i="4"/>
  <c r="I63" i="4"/>
  <c r="I383" i="4"/>
  <c r="I83" i="4"/>
  <c r="I403" i="4"/>
  <c r="I263" i="4"/>
  <c r="I583" i="4"/>
  <c r="I283" i="4"/>
  <c r="I603" i="4"/>
  <c r="I163" i="4"/>
  <c r="I483" i="4"/>
  <c r="I23" i="4"/>
  <c r="I343" i="4"/>
  <c r="I683" i="4"/>
  <c r="I663" i="4"/>
  <c r="I43" i="4"/>
  <c r="I363" i="4"/>
  <c r="I223" i="4"/>
  <c r="I543" i="4"/>
  <c r="I563" i="4"/>
  <c r="I423" i="4"/>
  <c r="I243" i="4"/>
  <c r="I103" i="4"/>
  <c r="I463" i="4"/>
  <c r="I143" i="4"/>
  <c r="I303" i="4"/>
  <c r="I703"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<sst xmlns="http://schemas.openxmlformats.org/spreadsheetml/2006/main" count="8757" uniqueCount="181">
  <si>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</si>
  <si>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</si>
  <si>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</si>
  <si>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</si>
  <si>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</si>
  <si>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</si>
  <si>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</si>
  <si>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</si>
  <si>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</si>
  <si>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</si>
  <si>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</si>
  <si>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</si>
  <si>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</si>
  <si>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</si>
  <si>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</si>
  <si>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</si>
  <si>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</si>
  <si>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</si>
  <si>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</si>
  <si>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</si>
  <si>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</si>
  <si>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</si>
  <si>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</si>
  <si>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</si>
  <si>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</si>
  <si>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</si>
  <si>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</si>
  <si>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</si>
  <si>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</si>
  <si>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</si>
  <si>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</si>
  <si>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</si>
  <si>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</si>
  <si>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</si>
  <si>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</si>
  <si>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</si>
  <si>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</si>
  <si>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</si>
  <si>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</si>
  <si>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</si>
  <si>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</si>
  <si>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</si>
  <si>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</si>
  <si>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</si>
  <si>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</si>
  <si>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</si>
  <si>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</si>
  <si>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</si>
  <si>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</si>
  <si>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</si>
  <si>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</si>
  <si>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</si>
  <si>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</si>
  <si>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</si>
  <si>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</si>
  <si>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</si>
  <si>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</si>
  <si>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</si>
  <si>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</si>
  <si>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</si>
  <si>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</si>
  <si>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</si>
  <si>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</si>
  <si>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</si>
  <si>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</si>
  <si>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</si>
  <si>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</si>
  <si>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</si>
  <si>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</si>
  <si>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</si>
  <si>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</si>
  <si>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</si>
  <si>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</si>
  <si>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</si>
  <si>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</si>
  <si>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</si>
  <si>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</si>
  <si>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</si>
  <si>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</si>
  <si>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</si>
  <si>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</si>
  <si>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</si>
  <si>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</si>
  <si>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</si>
  <si>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</si>
  <si>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</si>
  <si>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</si>
  <si>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</si>
  <si>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</si>
  <si>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</si>
  <si>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</si>
  <si>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Burwood Road_Nederland Avenue_Rothesay Road_Intersection</t>
  </si>
  <si>
    <t>Burwood Road North</t>
  </si>
  <si>
    <t>Rothesay Road East</t>
  </si>
  <si>
    <t>Burwood Road South</t>
  </si>
  <si>
    <t>Nederland Avenue West</t>
  </si>
  <si>
    <t>Left into Rothesay Road East</t>
  </si>
  <si>
    <t>Thru to Burwood Road South</t>
  </si>
  <si>
    <t>Right into Nederland Avenue West</t>
  </si>
  <si>
    <t>Left into Burwood Road South</t>
  </si>
  <si>
    <t>Thru to Nederland Avenue West</t>
  </si>
  <si>
    <t>Right into Burwood Road North</t>
  </si>
  <si>
    <t>Left into Nederland Avenue West</t>
  </si>
  <si>
    <t>Thru to Burwood Road North</t>
  </si>
  <si>
    <t>Right into Rothesay Road East</t>
  </si>
  <si>
    <t>Left into Burwood Road North</t>
  </si>
  <si>
    <t>Thru to Rothesay Road East</t>
  </si>
  <si>
    <t>Right into Burwood Road South</t>
  </si>
  <si>
    <t>Burwood Road_Nederland Avenue_Rothesay Road_Intersection      Fine      11/02/2025</t>
  </si>
  <si>
    <t>Burwood Road North Total</t>
  </si>
  <si>
    <t>Rothesay Road East Total</t>
  </si>
  <si>
    <t>Burwood Road South Total</t>
  </si>
  <si>
    <t>Nederland Avenue West Total</t>
  </si>
  <si>
    <t>Left into Rothesay Road East Total</t>
  </si>
  <si>
    <t>Thru to Burwood Road South Total</t>
  </si>
  <si>
    <t>Right into Nederland Avenue West Total</t>
  </si>
  <si>
    <t>Left into Burwood Road South Total</t>
  </si>
  <si>
    <t>Thru to Nederland Avenue West Total</t>
  </si>
  <si>
    <t>Right into Burwood Road North Total</t>
  </si>
  <si>
    <t>Left into Nederland Avenue West Total</t>
  </si>
  <si>
    <t>Thru to Burwood Road North Total</t>
  </si>
  <si>
    <t>Right into Rothesay Road East Total</t>
  </si>
  <si>
    <t>Left into Burwood Road North Total</t>
  </si>
  <si>
    <t>Thru to Rothesay Road East Total</t>
  </si>
  <si>
    <t>Right into Burwood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</si>
  <si>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</si>
  <si>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</si>
  <si>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</si>
  <si>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</si>
  <si>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</si>
  <si>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</si>
  <si>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</si>
  <si>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</si>
  <si>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</si>
  <si>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</si>
  <si>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</si>
  <si>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</si>
  <si>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</si>
  <si>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</si>
  <si>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</si>
  <si>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</si>
  <si>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</si>
  <si>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</si>
  <si>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</si>
  <si>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</si>
  <si>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</si>
  <si>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</si>
  <si>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</si>
  <si>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</si>
  <si>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</si>
  <si>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</si>
  <si>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</si>
  <si>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</si>
  <si>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</si>
  <si>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</si>
  <si>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</si>
  <si>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</si>
  <si>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</si>
  <si>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</si>
  <si>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</si>
  <si>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</si>
  <si>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</si>
  <si>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</si>
  <si>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</si>
  <si>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</si>
  <si>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</si>
  <si>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Nederland Ave</t>
  </si>
  <si>
    <t>Burwood Rd Northbound</t>
  </si>
  <si>
    <t>Rothesay Rd</t>
  </si>
  <si>
    <t>Burwood Rd Southbound</t>
  </si>
  <si>
    <t>Classification</t>
  </si>
  <si>
    <t>Road</t>
  </si>
  <si>
    <t>Type</t>
  </si>
  <si>
    <t>Project</t>
  </si>
  <si>
    <t>Site Code</t>
  </si>
  <si>
    <t>02/11/2025</t>
  </si>
  <si>
    <t>Start Date</t>
  </si>
  <si>
    <t>CCC I4270 Burwood Rd - Nederland Ave - Rothesay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</si>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</sst>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2DB62F0-5FA2-4452-B1E8-E4DA61306BB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Road_Intersection_11-02-2025.xlsx]Graphs!pvtGraphApproach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57</c:v>
                </c:pt>
                <c:pt idx="1">
                  <c:v>76</c:v>
                </c:pt>
                <c:pt idx="2">
                  <c:v>98</c:v>
                </c:pt>
                <c:pt idx="3">
                  <c:v>112</c:v>
                </c:pt>
                <c:pt idx="4">
                  <c:v>111</c:v>
                </c:pt>
                <c:pt idx="5">
                  <c:v>111</c:v>
                </c:pt>
                <c:pt idx="6">
                  <c:v>84</c:v>
                </c:pt>
                <c:pt idx="7">
                  <c:v>81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62</c:v>
                </c:pt>
                <c:pt idx="2">
                  <c:v>51</c:v>
                </c:pt>
                <c:pt idx="3">
                  <c:v>67</c:v>
                </c:pt>
                <c:pt idx="4">
                  <c:v>83</c:v>
                </c:pt>
                <c:pt idx="5">
                  <c:v>75</c:v>
                </c:pt>
                <c:pt idx="6">
                  <c:v>99</c:v>
                </c:pt>
                <c:pt idx="7">
                  <c:v>76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Nederland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2</c:v>
                </c:pt>
                <c:pt idx="2">
                  <c:v>6</c:v>
                </c:pt>
                <c:pt idx="3">
                  <c:v>7</c:v>
                </c:pt>
                <c:pt idx="4">
                  <c:v>5</c:v>
                </c:pt>
                <c:pt idx="5">
                  <c:v>3</c:v>
                </c:pt>
                <c:pt idx="6">
                  <c:v>6</c:v>
                </c:pt>
                <c:pt idx="7">
                  <c:v>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Rothesay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94</c:v>
                </c:pt>
                <c:pt idx="2">
                  <c:v>84</c:v>
                </c:pt>
                <c:pt idx="3">
                  <c:v>99</c:v>
                </c:pt>
                <c:pt idx="4">
                  <c:v>82</c:v>
                </c:pt>
                <c:pt idx="5">
                  <c:v>85</c:v>
                </c:pt>
                <c:pt idx="6">
                  <c:v>74</c:v>
                </c:pt>
                <c:pt idx="7">
                  <c:v>53</c:v>
                </c:pt>
              </c:numCache>
            </c:numRef>
          </c:val>
          <c:smooth val="0"/>
          <c:extLst>
            <c:ext xmlns:c16="http://schemas.microsoft.com/office/drawing/2014/chart" uri="{C3380CC4-5D6E-409C-BE32-E72D297353CC}">
              <c16:uniqueId val="{00000000-87C6-4415-9A3B-A9B2FC8C6F1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Road_Intersection_11-02-2025.xlsx]Graphs!pvtGraphExit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104</c:v>
                </c:pt>
                <c:pt idx="2">
                  <c:v>91</c:v>
                </c:pt>
                <c:pt idx="3">
                  <c:v>111</c:v>
                </c:pt>
                <c:pt idx="4">
                  <c:v>112</c:v>
                </c:pt>
                <c:pt idx="5">
                  <c:v>108</c:v>
                </c:pt>
                <c:pt idx="6">
                  <c:v>133</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108</c:v>
                </c:pt>
                <c:pt idx="2">
                  <c:v>125</c:v>
                </c:pt>
                <c:pt idx="3">
                  <c:v>133</c:v>
                </c:pt>
                <c:pt idx="4">
                  <c:v>133</c:v>
                </c:pt>
                <c:pt idx="5">
                  <c:v>121</c:v>
                </c:pt>
                <c:pt idx="6">
                  <c:v>94</c:v>
                </c:pt>
                <c:pt idx="7">
                  <c:v>75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Nederland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2</c:v>
                </c:pt>
                <c:pt idx="2">
                  <c:v>1</c:v>
                </c:pt>
                <c:pt idx="3">
                  <c:v>0</c:v>
                </c:pt>
                <c:pt idx="4">
                  <c:v>3</c:v>
                </c:pt>
                <c:pt idx="5">
                  <c:v>1</c:v>
                </c:pt>
                <c:pt idx="6">
                  <c:v>0</c:v>
                </c:pt>
                <c:pt idx="7">
                  <c:v>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Rothesay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20</c:v>
                </c:pt>
                <c:pt idx="2">
                  <c:v>22</c:v>
                </c:pt>
                <c:pt idx="3">
                  <c:v>41</c:v>
                </c:pt>
                <c:pt idx="4">
                  <c:v>33</c:v>
                </c:pt>
                <c:pt idx="5">
                  <c:v>44</c:v>
                </c:pt>
                <c:pt idx="6">
                  <c:v>36</c:v>
                </c:pt>
                <c:pt idx="7">
                  <c:v>41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Road_Intersection_11-02-2025.xlsx]GraphData!PivotTable2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203</c:v>
                </c:pt>
                <c:pt idx="1">
                  <c:v>234</c:v>
                </c:pt>
                <c:pt idx="2">
                  <c:v>239</c:v>
                </c:pt>
                <c:pt idx="3">
                  <c:v>285</c:v>
                </c:pt>
                <c:pt idx="4">
                  <c:v>281</c:v>
                </c:pt>
                <c:pt idx="5">
                  <c:v>274</c:v>
                </c:pt>
                <c:pt idx="6">
                  <c:v>263</c:v>
                </c:pt>
                <c:pt idx="7">
                  <c:v>212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Road_Intersection_11-02-2025.xlsx]PeakCalc!pvtPeak2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203</c:v>
                </c:pt>
                <c:pt idx="1">
                  <c:v>234</c:v>
                </c:pt>
                <c:pt idx="2">
                  <c:v>239</c:v>
                </c:pt>
                <c:pt idx="3">
                  <c:v>285</c:v>
                </c:pt>
                <c:pt idx="4">
                  <c:v>281</c:v>
                </c:pt>
                <c:pt idx="5">
                  <c:v>274</c:v>
                </c:pt>
                <c:pt idx="6">
                  <c:v>263</c:v>
                </c:pt>
                <c:pt idx="7">
                  <c:v>212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285</c:v>
                </c:pt>
                <c:pt idx="4">
                  <c:v>281</c:v>
                </c:pt>
                <c:pt idx="5">
                  <c:v>274</c:v>
                </c:pt>
                <c:pt idx="6">
                  <c:v>263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1352389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1467697</xdr:colOff>
      <xdr:row>5</xdr:row>
      <xdr:rowOff>3175</xdr:rowOff>
    </xdr:from>
    <xdr:to>
      <xdr:col>20</xdr:col>
      <xdr:colOff>480322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575309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11429</xdr:colOff>
      <xdr:row>9</xdr:row>
      <xdr:rowOff>66673</xdr:rowOff>
    </xdr:from>
    <xdr:to>
      <xdr:col>18</xdr:col>
      <xdr:colOff>267254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6740601851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59"/>
    </cacheField>
    <cacheField name="Peak" numFmtId="0">
      <sharedItems containsSemiMixedTypes="0" containsString="0" containsNumber="1" containsInteger="1" minValue="0" maxValue="3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20.567491666669" createdVersion="5" refreshedVersion="8" minRefreshableVersion="3" recordCount="720" xr:uid="{00000000-000A-0000-FFFF-FFFF01000000}">
  <cacheSource type="worksheet">
    <worksheetSource name="tblPivotData"/>
  </cacheSource>
  <cacheFields count="9">
    <cacheField name="Approach" numFmtId="0">
      <sharedItems count="7">
        <s v="Burwood Road North"/>
        <s v="Rothesay Road East"/>
        <s v="Burwood Road South"/>
        <s v="Nederland Avenue West"/>
        <s v="Great south Rd (North)" u="1"/>
        <s v="Great south Rd (South)" u="1"/>
        <s v="Grange Rd" u="1"/>
      </sharedItems>
    </cacheField>
    <cacheField name="Movement" numFmtId="0">
      <sharedItems count="20">
        <s v="Left into Rothesay Road East"/>
        <s v="Thru to Burwood Road South"/>
        <s v="Right into Nederland Avenue West"/>
        <s v="Left into Burwood Road South"/>
        <s v="Thru to Nederland Avenue West"/>
        <s v="Right into Burwood Road North"/>
        <s v="Left into Nederland Avenue West"/>
        <s v="Thru to Burwood Road North"/>
        <s v="Right into Rothesay Road East"/>
        <s v="Left into Burwood Road North"/>
        <s v="Thru to Rothesay Road East"/>
        <s v="Right into Burwood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Rothesay Road East"/>
        <s v="Burwood Road South"/>
        <s v="Nederland Avenue West"/>
        <s v="Burwood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3"/>
    <n v="0"/>
  </r>
  <r>
    <x v="0"/>
    <x v="1"/>
    <n v="234"/>
    <n v="0"/>
  </r>
  <r>
    <x v="0"/>
    <x v="2"/>
    <n v="239"/>
    <n v="0"/>
  </r>
  <r>
    <x v="0"/>
    <x v="3"/>
    <n v="285"/>
    <n v="285"/>
  </r>
  <r>
    <x v="0"/>
    <x v="4"/>
    <n v="281"/>
    <n v="281"/>
  </r>
  <r>
    <x v="0"/>
    <x v="5"/>
    <n v="274"/>
    <n v="274"/>
  </r>
  <r>
    <x v="0"/>
    <x v="6"/>
    <n v="263"/>
    <n v="263"/>
  </r>
  <r>
    <x v="0"/>
    <x v="7"/>
    <n v="212"/>
    <n v="0"/>
  </r>
  <r>
    <x v="1"/>
    <x v="8"/>
    <n v="190"/>
    <n v="190"/>
  </r>
  <r>
    <x v="1"/>
    <x v="9"/>
    <n v="195"/>
    <n v="195"/>
  </r>
  <r>
    <x v="1"/>
    <x v="10"/>
    <n v="195"/>
    <n v="195"/>
  </r>
  <r>
    <x v="1"/>
    <x v="11"/>
    <n v="210"/>
    <n v="210"/>
  </r>
  <r>
    <x v="2"/>
    <x v="12"/>
    <n v="278"/>
    <n v="0"/>
  </r>
  <r>
    <x v="2"/>
    <x v="13"/>
    <n v="321"/>
    <n v="0"/>
  </r>
  <r>
    <x v="2"/>
    <x v="14"/>
    <n v="328"/>
    <n v="328"/>
  </r>
  <r>
    <x v="2"/>
    <x v="15"/>
    <n v="318"/>
    <n v="318"/>
  </r>
  <r>
    <x v="2"/>
    <x v="16"/>
    <n v="359"/>
    <n v="359"/>
  </r>
  <r>
    <x v="2"/>
    <x v="17"/>
    <n v="337"/>
    <n v="337"/>
  </r>
  <r>
    <x v="2"/>
    <x v="18"/>
    <n v="298"/>
    <n v="0"/>
  </r>
  <r>
    <x v="2"/>
    <x v="19"/>
    <n v="2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6"/>
    <x v="0"/>
    <x v="0"/>
  </r>
  <r>
    <x v="0"/>
    <x v="0"/>
    <x v="0"/>
    <x v="0"/>
    <x v="0"/>
    <x v="1"/>
    <n v="11"/>
    <x v="1"/>
    <x v="0"/>
  </r>
  <r>
    <x v="0"/>
    <x v="0"/>
    <x v="0"/>
    <x v="0"/>
    <x v="0"/>
    <x v="2"/>
    <n v="17"/>
    <x v="2"/>
    <x v="0"/>
  </r>
  <r>
    <x v="0"/>
    <x v="0"/>
    <x v="0"/>
    <x v="0"/>
    <x v="0"/>
    <x v="3"/>
    <n v="28"/>
    <x v="3"/>
    <x v="1"/>
  </r>
  <r>
    <x v="0"/>
    <x v="0"/>
    <x v="0"/>
    <x v="0"/>
    <x v="0"/>
    <x v="4"/>
    <n v="15"/>
    <x v="4"/>
    <x v="1"/>
  </r>
  <r>
    <x v="0"/>
    <x v="0"/>
    <x v="0"/>
    <x v="0"/>
    <x v="0"/>
    <x v="5"/>
    <n v="28"/>
    <x v="5"/>
    <x v="1"/>
  </r>
  <r>
    <x v="0"/>
    <x v="0"/>
    <x v="0"/>
    <x v="0"/>
    <x v="0"/>
    <x v="6"/>
    <n v="23"/>
    <x v="6"/>
    <x v="1"/>
  </r>
  <r>
    <x v="0"/>
    <x v="0"/>
    <x v="0"/>
    <x v="0"/>
    <x v="0"/>
    <x v="7"/>
    <n v="23"/>
    <x v="7"/>
    <x v="0"/>
  </r>
  <r>
    <x v="0"/>
    <x v="0"/>
    <x v="0"/>
    <x v="0"/>
    <x v="1"/>
    <x v="8"/>
    <n v="23"/>
    <x v="8"/>
    <x v="1"/>
  </r>
  <r>
    <x v="0"/>
    <x v="0"/>
    <x v="0"/>
    <x v="0"/>
    <x v="1"/>
    <x v="9"/>
    <n v="29"/>
    <x v="9"/>
    <x v="1"/>
  </r>
  <r>
    <x v="0"/>
    <x v="0"/>
    <x v="0"/>
    <x v="0"/>
    <x v="1"/>
    <x v="10"/>
    <n v="27"/>
    <x v="10"/>
    <x v="1"/>
  </r>
  <r>
    <x v="0"/>
    <x v="0"/>
    <x v="0"/>
    <x v="0"/>
    <x v="1"/>
    <x v="11"/>
    <n v="22"/>
    <x v="11"/>
    <x v="1"/>
  </r>
  <r>
    <x v="0"/>
    <x v="0"/>
    <x v="0"/>
    <x v="0"/>
    <x v="2"/>
    <x v="12"/>
    <n v="49"/>
    <x v="12"/>
    <x v="0"/>
  </r>
  <r>
    <x v="0"/>
    <x v="0"/>
    <x v="0"/>
    <x v="0"/>
    <x v="2"/>
    <x v="13"/>
    <n v="56"/>
    <x v="13"/>
    <x v="0"/>
  </r>
  <r>
    <x v="0"/>
    <x v="0"/>
    <x v="0"/>
    <x v="0"/>
    <x v="2"/>
    <x v="14"/>
    <n v="65"/>
    <x v="14"/>
    <x v="1"/>
  </r>
  <r>
    <x v="0"/>
    <x v="0"/>
    <x v="0"/>
    <x v="0"/>
    <x v="2"/>
    <x v="15"/>
    <n v="60"/>
    <x v="15"/>
    <x v="1"/>
  </r>
  <r>
    <x v="0"/>
    <x v="0"/>
    <x v="0"/>
    <x v="0"/>
    <x v="2"/>
    <x v="16"/>
    <n v="72"/>
    <x v="16"/>
    <x v="1"/>
  </r>
  <r>
    <x v="0"/>
    <x v="0"/>
    <x v="0"/>
    <x v="0"/>
    <x v="2"/>
    <x v="17"/>
    <n v="65"/>
    <x v="17"/>
    <x v="1"/>
  </r>
  <r>
    <x v="0"/>
    <x v="0"/>
    <x v="0"/>
    <x v="0"/>
    <x v="2"/>
    <x v="18"/>
    <n v="56"/>
    <x v="18"/>
    <x v="0"/>
  </r>
  <r>
    <x v="0"/>
    <x v="0"/>
    <x v="0"/>
    <x v="0"/>
    <x v="2"/>
    <x v="19"/>
    <n v="54"/>
    <x v="19"/>
    <x v="0"/>
  </r>
  <r>
    <x v="0"/>
    <x v="0"/>
    <x v="0"/>
    <x v="1"/>
    <x v="0"/>
    <x v="0"/>
    <n v="1"/>
    <x v="0"/>
    <x v="0"/>
  </r>
  <r>
    <x v="0"/>
    <x v="0"/>
    <x v="0"/>
    <x v="1"/>
    <x v="0"/>
    <x v="1"/>
    <n v="1"/>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1"/>
    <x v="3"/>
    <x v="1"/>
  </r>
  <r>
    <x v="0"/>
    <x v="0"/>
    <x v="0"/>
    <x v="2"/>
    <x v="0"/>
    <x v="4"/>
    <n v="0"/>
    <x v="4"/>
    <x v="1"/>
  </r>
  <r>
    <x v="0"/>
    <x v="0"/>
    <x v="0"/>
    <x v="2"/>
    <x v="0"/>
    <x v="5"/>
    <n v="0"/>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1"/>
    <x v="11"/>
    <x v="1"/>
  </r>
  <r>
    <x v="0"/>
    <x v="0"/>
    <x v="0"/>
    <x v="2"/>
    <x v="2"/>
    <x v="12"/>
    <n v="2"/>
    <x v="12"/>
    <x v="0"/>
  </r>
  <r>
    <x v="0"/>
    <x v="0"/>
    <x v="0"/>
    <x v="2"/>
    <x v="2"/>
    <x v="13"/>
    <n v="0"/>
    <x v="13"/>
    <x v="0"/>
  </r>
  <r>
    <x v="0"/>
    <x v="0"/>
    <x v="0"/>
    <x v="2"/>
    <x v="2"/>
    <x v="14"/>
    <n v="0"/>
    <x v="14"/>
    <x v="1"/>
  </r>
  <r>
    <x v="0"/>
    <x v="0"/>
    <x v="0"/>
    <x v="2"/>
    <x v="2"/>
    <x v="15"/>
    <n v="0"/>
    <x v="15"/>
    <x v="1"/>
  </r>
  <r>
    <x v="0"/>
    <x v="0"/>
    <x v="0"/>
    <x v="2"/>
    <x v="2"/>
    <x v="16"/>
    <n v="2"/>
    <x v="16"/>
    <x v="1"/>
  </r>
  <r>
    <x v="0"/>
    <x v="0"/>
    <x v="0"/>
    <x v="2"/>
    <x v="2"/>
    <x v="17"/>
    <n v="1"/>
    <x v="17"/>
    <x v="1"/>
  </r>
  <r>
    <x v="0"/>
    <x v="0"/>
    <x v="0"/>
    <x v="2"/>
    <x v="2"/>
    <x v="18"/>
    <n v="0"/>
    <x v="18"/>
    <x v="0"/>
  </r>
  <r>
    <x v="0"/>
    <x v="0"/>
    <x v="0"/>
    <x v="2"/>
    <x v="2"/>
    <x v="19"/>
    <n v="0"/>
    <x v="19"/>
    <x v="0"/>
  </r>
  <r>
    <x v="0"/>
    <x v="1"/>
    <x v="1"/>
    <x v="0"/>
    <x v="0"/>
    <x v="0"/>
    <n v="45"/>
    <x v="0"/>
    <x v="0"/>
  </r>
  <r>
    <x v="0"/>
    <x v="1"/>
    <x v="1"/>
    <x v="0"/>
    <x v="0"/>
    <x v="1"/>
    <n v="61"/>
    <x v="1"/>
    <x v="0"/>
  </r>
  <r>
    <x v="0"/>
    <x v="1"/>
    <x v="1"/>
    <x v="0"/>
    <x v="0"/>
    <x v="2"/>
    <n v="74"/>
    <x v="2"/>
    <x v="0"/>
  </r>
  <r>
    <x v="0"/>
    <x v="1"/>
    <x v="1"/>
    <x v="0"/>
    <x v="0"/>
    <x v="3"/>
    <n v="75"/>
    <x v="3"/>
    <x v="1"/>
  </r>
  <r>
    <x v="0"/>
    <x v="1"/>
    <x v="1"/>
    <x v="0"/>
    <x v="0"/>
    <x v="4"/>
    <n v="92"/>
    <x v="4"/>
    <x v="1"/>
  </r>
  <r>
    <x v="0"/>
    <x v="1"/>
    <x v="1"/>
    <x v="0"/>
    <x v="0"/>
    <x v="5"/>
    <n v="81"/>
    <x v="5"/>
    <x v="1"/>
  </r>
  <r>
    <x v="0"/>
    <x v="1"/>
    <x v="1"/>
    <x v="0"/>
    <x v="0"/>
    <x v="6"/>
    <n v="60"/>
    <x v="6"/>
    <x v="1"/>
  </r>
  <r>
    <x v="0"/>
    <x v="1"/>
    <x v="1"/>
    <x v="0"/>
    <x v="0"/>
    <x v="7"/>
    <n v="51"/>
    <x v="7"/>
    <x v="0"/>
  </r>
  <r>
    <x v="0"/>
    <x v="1"/>
    <x v="1"/>
    <x v="0"/>
    <x v="1"/>
    <x v="8"/>
    <n v="39"/>
    <x v="8"/>
    <x v="1"/>
  </r>
  <r>
    <x v="0"/>
    <x v="1"/>
    <x v="1"/>
    <x v="0"/>
    <x v="1"/>
    <x v="9"/>
    <n v="49"/>
    <x v="9"/>
    <x v="1"/>
  </r>
  <r>
    <x v="0"/>
    <x v="1"/>
    <x v="1"/>
    <x v="0"/>
    <x v="1"/>
    <x v="10"/>
    <n v="43"/>
    <x v="10"/>
    <x v="1"/>
  </r>
  <r>
    <x v="0"/>
    <x v="1"/>
    <x v="1"/>
    <x v="0"/>
    <x v="1"/>
    <x v="11"/>
    <n v="51"/>
    <x v="11"/>
    <x v="1"/>
  </r>
  <r>
    <x v="0"/>
    <x v="1"/>
    <x v="1"/>
    <x v="0"/>
    <x v="2"/>
    <x v="12"/>
    <n v="62"/>
    <x v="12"/>
    <x v="0"/>
  </r>
  <r>
    <x v="0"/>
    <x v="1"/>
    <x v="1"/>
    <x v="0"/>
    <x v="2"/>
    <x v="13"/>
    <n v="83"/>
    <x v="13"/>
    <x v="0"/>
  </r>
  <r>
    <x v="0"/>
    <x v="1"/>
    <x v="1"/>
    <x v="0"/>
    <x v="2"/>
    <x v="14"/>
    <n v="75"/>
    <x v="14"/>
    <x v="1"/>
  </r>
  <r>
    <x v="0"/>
    <x v="1"/>
    <x v="1"/>
    <x v="0"/>
    <x v="2"/>
    <x v="15"/>
    <n v="59"/>
    <x v="15"/>
    <x v="1"/>
  </r>
  <r>
    <x v="0"/>
    <x v="1"/>
    <x v="1"/>
    <x v="0"/>
    <x v="2"/>
    <x v="16"/>
    <n v="87"/>
    <x v="16"/>
    <x v="1"/>
  </r>
  <r>
    <x v="0"/>
    <x v="1"/>
    <x v="1"/>
    <x v="0"/>
    <x v="2"/>
    <x v="17"/>
    <n v="79"/>
    <x v="17"/>
    <x v="1"/>
  </r>
  <r>
    <x v="0"/>
    <x v="1"/>
    <x v="1"/>
    <x v="0"/>
    <x v="2"/>
    <x v="18"/>
    <n v="70"/>
    <x v="18"/>
    <x v="0"/>
  </r>
  <r>
    <x v="0"/>
    <x v="1"/>
    <x v="1"/>
    <x v="0"/>
    <x v="2"/>
    <x v="19"/>
    <n v="65"/>
    <x v="19"/>
    <x v="0"/>
  </r>
  <r>
    <x v="0"/>
    <x v="1"/>
    <x v="1"/>
    <x v="1"/>
    <x v="0"/>
    <x v="0"/>
    <n v="4"/>
    <x v="0"/>
    <x v="0"/>
  </r>
  <r>
    <x v="0"/>
    <x v="1"/>
    <x v="1"/>
    <x v="1"/>
    <x v="0"/>
    <x v="1"/>
    <n v="1"/>
    <x v="1"/>
    <x v="0"/>
  </r>
  <r>
    <x v="0"/>
    <x v="1"/>
    <x v="1"/>
    <x v="1"/>
    <x v="0"/>
    <x v="2"/>
    <n v="5"/>
    <x v="2"/>
    <x v="0"/>
  </r>
  <r>
    <x v="0"/>
    <x v="1"/>
    <x v="1"/>
    <x v="1"/>
    <x v="0"/>
    <x v="3"/>
    <n v="4"/>
    <x v="3"/>
    <x v="1"/>
  </r>
  <r>
    <x v="0"/>
    <x v="1"/>
    <x v="1"/>
    <x v="1"/>
    <x v="0"/>
    <x v="4"/>
    <n v="4"/>
    <x v="4"/>
    <x v="1"/>
  </r>
  <r>
    <x v="0"/>
    <x v="1"/>
    <x v="1"/>
    <x v="1"/>
    <x v="0"/>
    <x v="5"/>
    <n v="1"/>
    <x v="5"/>
    <x v="1"/>
  </r>
  <r>
    <x v="0"/>
    <x v="1"/>
    <x v="1"/>
    <x v="1"/>
    <x v="0"/>
    <x v="6"/>
    <n v="1"/>
    <x v="6"/>
    <x v="1"/>
  </r>
  <r>
    <x v="0"/>
    <x v="1"/>
    <x v="1"/>
    <x v="1"/>
    <x v="0"/>
    <x v="7"/>
    <n v="3"/>
    <x v="7"/>
    <x v="0"/>
  </r>
  <r>
    <x v="0"/>
    <x v="1"/>
    <x v="1"/>
    <x v="1"/>
    <x v="1"/>
    <x v="8"/>
    <n v="3"/>
    <x v="8"/>
    <x v="1"/>
  </r>
  <r>
    <x v="0"/>
    <x v="1"/>
    <x v="1"/>
    <x v="1"/>
    <x v="1"/>
    <x v="9"/>
    <n v="2"/>
    <x v="9"/>
    <x v="1"/>
  </r>
  <r>
    <x v="0"/>
    <x v="1"/>
    <x v="1"/>
    <x v="1"/>
    <x v="1"/>
    <x v="10"/>
    <n v="1"/>
    <x v="10"/>
    <x v="1"/>
  </r>
  <r>
    <x v="0"/>
    <x v="1"/>
    <x v="1"/>
    <x v="1"/>
    <x v="1"/>
    <x v="11"/>
    <n v="1"/>
    <x v="11"/>
    <x v="1"/>
  </r>
  <r>
    <x v="0"/>
    <x v="1"/>
    <x v="1"/>
    <x v="1"/>
    <x v="2"/>
    <x v="12"/>
    <n v="2"/>
    <x v="12"/>
    <x v="0"/>
  </r>
  <r>
    <x v="0"/>
    <x v="1"/>
    <x v="1"/>
    <x v="1"/>
    <x v="2"/>
    <x v="13"/>
    <n v="1"/>
    <x v="13"/>
    <x v="0"/>
  </r>
  <r>
    <x v="0"/>
    <x v="1"/>
    <x v="1"/>
    <x v="1"/>
    <x v="2"/>
    <x v="14"/>
    <n v="0"/>
    <x v="14"/>
    <x v="1"/>
  </r>
  <r>
    <x v="0"/>
    <x v="1"/>
    <x v="1"/>
    <x v="1"/>
    <x v="2"/>
    <x v="15"/>
    <n v="3"/>
    <x v="15"/>
    <x v="1"/>
  </r>
  <r>
    <x v="0"/>
    <x v="1"/>
    <x v="1"/>
    <x v="1"/>
    <x v="2"/>
    <x v="16"/>
    <n v="2"/>
    <x v="16"/>
    <x v="1"/>
  </r>
  <r>
    <x v="0"/>
    <x v="1"/>
    <x v="1"/>
    <x v="1"/>
    <x v="2"/>
    <x v="17"/>
    <n v="1"/>
    <x v="17"/>
    <x v="1"/>
  </r>
  <r>
    <x v="0"/>
    <x v="1"/>
    <x v="1"/>
    <x v="1"/>
    <x v="2"/>
    <x v="18"/>
    <n v="1"/>
    <x v="18"/>
    <x v="0"/>
  </r>
  <r>
    <x v="0"/>
    <x v="1"/>
    <x v="1"/>
    <x v="1"/>
    <x v="2"/>
    <x v="19"/>
    <n v="2"/>
    <x v="19"/>
    <x v="0"/>
  </r>
  <r>
    <x v="0"/>
    <x v="1"/>
    <x v="1"/>
    <x v="2"/>
    <x v="0"/>
    <x v="0"/>
    <n v="1"/>
    <x v="0"/>
    <x v="0"/>
  </r>
  <r>
    <x v="0"/>
    <x v="1"/>
    <x v="1"/>
    <x v="2"/>
    <x v="0"/>
    <x v="1"/>
    <n v="0"/>
    <x v="1"/>
    <x v="0"/>
  </r>
  <r>
    <x v="0"/>
    <x v="1"/>
    <x v="1"/>
    <x v="2"/>
    <x v="0"/>
    <x v="2"/>
    <n v="2"/>
    <x v="2"/>
    <x v="0"/>
  </r>
  <r>
    <x v="0"/>
    <x v="1"/>
    <x v="1"/>
    <x v="2"/>
    <x v="0"/>
    <x v="3"/>
    <n v="3"/>
    <x v="3"/>
    <x v="1"/>
  </r>
  <r>
    <x v="0"/>
    <x v="1"/>
    <x v="1"/>
    <x v="2"/>
    <x v="0"/>
    <x v="4"/>
    <n v="0"/>
    <x v="4"/>
    <x v="1"/>
  </r>
  <r>
    <x v="0"/>
    <x v="1"/>
    <x v="1"/>
    <x v="2"/>
    <x v="0"/>
    <x v="5"/>
    <n v="0"/>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0"/>
    <x v="13"/>
    <x v="0"/>
  </r>
  <r>
    <x v="0"/>
    <x v="1"/>
    <x v="1"/>
    <x v="2"/>
    <x v="2"/>
    <x v="14"/>
    <n v="1"/>
    <x v="14"/>
    <x v="1"/>
  </r>
  <r>
    <x v="0"/>
    <x v="1"/>
    <x v="1"/>
    <x v="2"/>
    <x v="2"/>
    <x v="15"/>
    <n v="0"/>
    <x v="15"/>
    <x v="1"/>
  </r>
  <r>
    <x v="0"/>
    <x v="1"/>
    <x v="1"/>
    <x v="2"/>
    <x v="2"/>
    <x v="16"/>
    <n v="0"/>
    <x v="16"/>
    <x v="1"/>
  </r>
  <r>
    <x v="0"/>
    <x v="1"/>
    <x v="1"/>
    <x v="2"/>
    <x v="2"/>
    <x v="17"/>
    <n v="0"/>
    <x v="17"/>
    <x v="1"/>
  </r>
  <r>
    <x v="0"/>
    <x v="1"/>
    <x v="1"/>
    <x v="2"/>
    <x v="2"/>
    <x v="18"/>
    <n v="1"/>
    <x v="18"/>
    <x v="0"/>
  </r>
  <r>
    <x v="0"/>
    <x v="1"/>
    <x v="1"/>
    <x v="2"/>
    <x v="2"/>
    <x v="19"/>
    <n v="0"/>
    <x v="19"/>
    <x v="0"/>
  </r>
  <r>
    <x v="0"/>
    <x v="2"/>
    <x v="2"/>
    <x v="0"/>
    <x v="0"/>
    <x v="0"/>
    <n v="0"/>
    <x v="0"/>
    <x v="0"/>
  </r>
  <r>
    <x v="0"/>
    <x v="2"/>
    <x v="2"/>
    <x v="0"/>
    <x v="0"/>
    <x v="1"/>
    <n v="1"/>
    <x v="1"/>
    <x v="0"/>
  </r>
  <r>
    <x v="0"/>
    <x v="2"/>
    <x v="2"/>
    <x v="0"/>
    <x v="0"/>
    <x v="2"/>
    <n v="0"/>
    <x v="2"/>
    <x v="0"/>
  </r>
  <r>
    <x v="0"/>
    <x v="2"/>
    <x v="2"/>
    <x v="0"/>
    <x v="0"/>
    <x v="3"/>
    <n v="0"/>
    <x v="3"/>
    <x v="1"/>
  </r>
  <r>
    <x v="0"/>
    <x v="2"/>
    <x v="2"/>
    <x v="0"/>
    <x v="0"/>
    <x v="4"/>
    <n v="0"/>
    <x v="4"/>
    <x v="1"/>
  </r>
  <r>
    <x v="0"/>
    <x v="2"/>
    <x v="2"/>
    <x v="0"/>
    <x v="0"/>
    <x v="5"/>
    <n v="1"/>
    <x v="5"/>
    <x v="1"/>
  </r>
  <r>
    <x v="0"/>
    <x v="2"/>
    <x v="2"/>
    <x v="0"/>
    <x v="0"/>
    <x v="6"/>
    <n v="0"/>
    <x v="6"/>
    <x v="1"/>
  </r>
  <r>
    <x v="0"/>
    <x v="2"/>
    <x v="2"/>
    <x v="0"/>
    <x v="0"/>
    <x v="7"/>
    <n v="1"/>
    <x v="7"/>
    <x v="0"/>
  </r>
  <r>
    <x v="0"/>
    <x v="2"/>
    <x v="2"/>
    <x v="0"/>
    <x v="1"/>
    <x v="8"/>
    <n v="1"/>
    <x v="8"/>
    <x v="1"/>
  </r>
  <r>
    <x v="0"/>
    <x v="2"/>
    <x v="2"/>
    <x v="0"/>
    <x v="1"/>
    <x v="9"/>
    <n v="2"/>
    <x v="9"/>
    <x v="1"/>
  </r>
  <r>
    <x v="0"/>
    <x v="2"/>
    <x v="2"/>
    <x v="0"/>
    <x v="1"/>
    <x v="10"/>
    <n v="0"/>
    <x v="10"/>
    <x v="1"/>
  </r>
  <r>
    <x v="0"/>
    <x v="2"/>
    <x v="2"/>
    <x v="0"/>
    <x v="1"/>
    <x v="11"/>
    <n v="1"/>
    <x v="11"/>
    <x v="1"/>
  </r>
  <r>
    <x v="0"/>
    <x v="2"/>
    <x v="2"/>
    <x v="0"/>
    <x v="2"/>
    <x v="12"/>
    <n v="0"/>
    <x v="12"/>
    <x v="0"/>
  </r>
  <r>
    <x v="0"/>
    <x v="2"/>
    <x v="2"/>
    <x v="0"/>
    <x v="2"/>
    <x v="13"/>
    <n v="2"/>
    <x v="13"/>
    <x v="0"/>
  </r>
  <r>
    <x v="0"/>
    <x v="2"/>
    <x v="2"/>
    <x v="0"/>
    <x v="2"/>
    <x v="14"/>
    <n v="2"/>
    <x v="14"/>
    <x v="1"/>
  </r>
  <r>
    <x v="0"/>
    <x v="2"/>
    <x v="2"/>
    <x v="0"/>
    <x v="2"/>
    <x v="15"/>
    <n v="1"/>
    <x v="15"/>
    <x v="1"/>
  </r>
  <r>
    <x v="0"/>
    <x v="2"/>
    <x v="2"/>
    <x v="0"/>
    <x v="2"/>
    <x v="16"/>
    <n v="2"/>
    <x v="16"/>
    <x v="1"/>
  </r>
  <r>
    <x v="0"/>
    <x v="2"/>
    <x v="2"/>
    <x v="0"/>
    <x v="2"/>
    <x v="17"/>
    <n v="1"/>
    <x v="17"/>
    <x v="1"/>
  </r>
  <r>
    <x v="0"/>
    <x v="2"/>
    <x v="2"/>
    <x v="0"/>
    <x v="2"/>
    <x v="18"/>
    <n v="2"/>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4"/>
    <x v="0"/>
    <x v="0"/>
  </r>
  <r>
    <x v="1"/>
    <x v="3"/>
    <x v="1"/>
    <x v="0"/>
    <x v="0"/>
    <x v="1"/>
    <n v="44"/>
    <x v="1"/>
    <x v="0"/>
  </r>
  <r>
    <x v="1"/>
    <x v="3"/>
    <x v="1"/>
    <x v="0"/>
    <x v="0"/>
    <x v="2"/>
    <n v="41"/>
    <x v="2"/>
    <x v="0"/>
  </r>
  <r>
    <x v="1"/>
    <x v="3"/>
    <x v="1"/>
    <x v="0"/>
    <x v="0"/>
    <x v="3"/>
    <n v="47"/>
    <x v="3"/>
    <x v="1"/>
  </r>
  <r>
    <x v="1"/>
    <x v="3"/>
    <x v="1"/>
    <x v="0"/>
    <x v="0"/>
    <x v="4"/>
    <n v="35"/>
    <x v="4"/>
    <x v="1"/>
  </r>
  <r>
    <x v="1"/>
    <x v="3"/>
    <x v="1"/>
    <x v="0"/>
    <x v="0"/>
    <x v="5"/>
    <n v="35"/>
    <x v="5"/>
    <x v="1"/>
  </r>
  <r>
    <x v="1"/>
    <x v="3"/>
    <x v="1"/>
    <x v="0"/>
    <x v="0"/>
    <x v="6"/>
    <n v="31"/>
    <x v="6"/>
    <x v="1"/>
  </r>
  <r>
    <x v="1"/>
    <x v="3"/>
    <x v="1"/>
    <x v="0"/>
    <x v="0"/>
    <x v="7"/>
    <n v="20"/>
    <x v="7"/>
    <x v="0"/>
  </r>
  <r>
    <x v="1"/>
    <x v="3"/>
    <x v="1"/>
    <x v="0"/>
    <x v="1"/>
    <x v="8"/>
    <n v="15"/>
    <x v="8"/>
    <x v="1"/>
  </r>
  <r>
    <x v="1"/>
    <x v="3"/>
    <x v="1"/>
    <x v="0"/>
    <x v="1"/>
    <x v="9"/>
    <n v="6"/>
    <x v="9"/>
    <x v="1"/>
  </r>
  <r>
    <x v="1"/>
    <x v="3"/>
    <x v="1"/>
    <x v="0"/>
    <x v="1"/>
    <x v="10"/>
    <n v="20"/>
    <x v="10"/>
    <x v="1"/>
  </r>
  <r>
    <x v="1"/>
    <x v="3"/>
    <x v="1"/>
    <x v="0"/>
    <x v="1"/>
    <x v="11"/>
    <n v="14"/>
    <x v="11"/>
    <x v="1"/>
  </r>
  <r>
    <x v="1"/>
    <x v="3"/>
    <x v="1"/>
    <x v="0"/>
    <x v="2"/>
    <x v="12"/>
    <n v="10"/>
    <x v="12"/>
    <x v="0"/>
  </r>
  <r>
    <x v="1"/>
    <x v="3"/>
    <x v="1"/>
    <x v="0"/>
    <x v="2"/>
    <x v="13"/>
    <n v="10"/>
    <x v="13"/>
    <x v="0"/>
  </r>
  <r>
    <x v="1"/>
    <x v="3"/>
    <x v="1"/>
    <x v="0"/>
    <x v="2"/>
    <x v="14"/>
    <n v="15"/>
    <x v="14"/>
    <x v="1"/>
  </r>
  <r>
    <x v="1"/>
    <x v="3"/>
    <x v="1"/>
    <x v="0"/>
    <x v="2"/>
    <x v="15"/>
    <n v="18"/>
    <x v="15"/>
    <x v="1"/>
  </r>
  <r>
    <x v="1"/>
    <x v="3"/>
    <x v="1"/>
    <x v="0"/>
    <x v="2"/>
    <x v="16"/>
    <n v="13"/>
    <x v="16"/>
    <x v="1"/>
  </r>
  <r>
    <x v="1"/>
    <x v="3"/>
    <x v="1"/>
    <x v="0"/>
    <x v="2"/>
    <x v="17"/>
    <n v="16"/>
    <x v="17"/>
    <x v="1"/>
  </r>
  <r>
    <x v="1"/>
    <x v="3"/>
    <x v="1"/>
    <x v="0"/>
    <x v="2"/>
    <x v="18"/>
    <n v="15"/>
    <x v="18"/>
    <x v="0"/>
  </r>
  <r>
    <x v="1"/>
    <x v="3"/>
    <x v="1"/>
    <x v="0"/>
    <x v="2"/>
    <x v="19"/>
    <n v="18"/>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3"/>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0"/>
    <x v="14"/>
    <x v="1"/>
  </r>
  <r>
    <x v="1"/>
    <x v="3"/>
    <x v="1"/>
    <x v="2"/>
    <x v="2"/>
    <x v="15"/>
    <n v="1"/>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1"/>
  </r>
  <r>
    <x v="1"/>
    <x v="4"/>
    <x v="2"/>
    <x v="0"/>
    <x v="0"/>
    <x v="4"/>
    <n v="1"/>
    <x v="4"/>
    <x v="1"/>
  </r>
  <r>
    <x v="1"/>
    <x v="4"/>
    <x v="2"/>
    <x v="0"/>
    <x v="0"/>
    <x v="5"/>
    <n v="0"/>
    <x v="5"/>
    <x v="1"/>
  </r>
  <r>
    <x v="1"/>
    <x v="4"/>
    <x v="2"/>
    <x v="0"/>
    <x v="0"/>
    <x v="6"/>
    <n v="0"/>
    <x v="6"/>
    <x v="1"/>
  </r>
  <r>
    <x v="1"/>
    <x v="4"/>
    <x v="2"/>
    <x v="0"/>
    <x v="0"/>
    <x v="7"/>
    <n v="0"/>
    <x v="7"/>
    <x v="0"/>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1"/>
    <x v="13"/>
    <x v="0"/>
  </r>
  <r>
    <x v="1"/>
    <x v="4"/>
    <x v="2"/>
    <x v="0"/>
    <x v="2"/>
    <x v="14"/>
    <n v="0"/>
    <x v="14"/>
    <x v="1"/>
  </r>
  <r>
    <x v="1"/>
    <x v="4"/>
    <x v="2"/>
    <x v="0"/>
    <x v="2"/>
    <x v="15"/>
    <n v="0"/>
    <x v="15"/>
    <x v="1"/>
  </r>
  <r>
    <x v="1"/>
    <x v="4"/>
    <x v="2"/>
    <x v="0"/>
    <x v="2"/>
    <x v="16"/>
    <n v="0"/>
    <x v="16"/>
    <x v="1"/>
  </r>
  <r>
    <x v="1"/>
    <x v="4"/>
    <x v="2"/>
    <x v="0"/>
    <x v="2"/>
    <x v="17"/>
    <n v="1"/>
    <x v="17"/>
    <x v="1"/>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54"/>
    <x v="0"/>
    <x v="0"/>
  </r>
  <r>
    <x v="1"/>
    <x v="5"/>
    <x v="3"/>
    <x v="0"/>
    <x v="0"/>
    <x v="1"/>
    <n v="47"/>
    <x v="1"/>
    <x v="0"/>
  </r>
  <r>
    <x v="1"/>
    <x v="5"/>
    <x v="3"/>
    <x v="0"/>
    <x v="0"/>
    <x v="2"/>
    <n v="43"/>
    <x v="2"/>
    <x v="0"/>
  </r>
  <r>
    <x v="1"/>
    <x v="5"/>
    <x v="3"/>
    <x v="0"/>
    <x v="0"/>
    <x v="3"/>
    <n v="52"/>
    <x v="3"/>
    <x v="1"/>
  </r>
  <r>
    <x v="1"/>
    <x v="5"/>
    <x v="3"/>
    <x v="0"/>
    <x v="0"/>
    <x v="4"/>
    <n v="45"/>
    <x v="4"/>
    <x v="1"/>
  </r>
  <r>
    <x v="1"/>
    <x v="5"/>
    <x v="3"/>
    <x v="0"/>
    <x v="0"/>
    <x v="5"/>
    <n v="47"/>
    <x v="5"/>
    <x v="1"/>
  </r>
  <r>
    <x v="1"/>
    <x v="5"/>
    <x v="3"/>
    <x v="0"/>
    <x v="0"/>
    <x v="6"/>
    <n v="43"/>
    <x v="6"/>
    <x v="1"/>
  </r>
  <r>
    <x v="1"/>
    <x v="5"/>
    <x v="3"/>
    <x v="0"/>
    <x v="0"/>
    <x v="7"/>
    <n v="33"/>
    <x v="7"/>
    <x v="0"/>
  </r>
  <r>
    <x v="1"/>
    <x v="5"/>
    <x v="3"/>
    <x v="0"/>
    <x v="1"/>
    <x v="8"/>
    <n v="31"/>
    <x v="8"/>
    <x v="1"/>
  </r>
  <r>
    <x v="1"/>
    <x v="5"/>
    <x v="3"/>
    <x v="0"/>
    <x v="1"/>
    <x v="9"/>
    <n v="29"/>
    <x v="9"/>
    <x v="1"/>
  </r>
  <r>
    <x v="1"/>
    <x v="5"/>
    <x v="3"/>
    <x v="0"/>
    <x v="1"/>
    <x v="10"/>
    <n v="21"/>
    <x v="10"/>
    <x v="1"/>
  </r>
  <r>
    <x v="1"/>
    <x v="5"/>
    <x v="3"/>
    <x v="0"/>
    <x v="1"/>
    <x v="11"/>
    <n v="23"/>
    <x v="11"/>
    <x v="1"/>
  </r>
  <r>
    <x v="1"/>
    <x v="5"/>
    <x v="3"/>
    <x v="0"/>
    <x v="2"/>
    <x v="12"/>
    <n v="24"/>
    <x v="12"/>
    <x v="0"/>
  </r>
  <r>
    <x v="1"/>
    <x v="5"/>
    <x v="3"/>
    <x v="0"/>
    <x v="2"/>
    <x v="13"/>
    <n v="32"/>
    <x v="13"/>
    <x v="0"/>
  </r>
  <r>
    <x v="1"/>
    <x v="5"/>
    <x v="3"/>
    <x v="0"/>
    <x v="2"/>
    <x v="14"/>
    <n v="33"/>
    <x v="14"/>
    <x v="1"/>
  </r>
  <r>
    <x v="1"/>
    <x v="5"/>
    <x v="3"/>
    <x v="0"/>
    <x v="2"/>
    <x v="15"/>
    <n v="22"/>
    <x v="15"/>
    <x v="1"/>
  </r>
  <r>
    <x v="1"/>
    <x v="5"/>
    <x v="3"/>
    <x v="0"/>
    <x v="2"/>
    <x v="16"/>
    <n v="34"/>
    <x v="16"/>
    <x v="1"/>
  </r>
  <r>
    <x v="1"/>
    <x v="5"/>
    <x v="3"/>
    <x v="0"/>
    <x v="2"/>
    <x v="17"/>
    <n v="35"/>
    <x v="17"/>
    <x v="1"/>
  </r>
  <r>
    <x v="1"/>
    <x v="5"/>
    <x v="3"/>
    <x v="0"/>
    <x v="2"/>
    <x v="18"/>
    <n v="27"/>
    <x v="18"/>
    <x v="0"/>
  </r>
  <r>
    <x v="1"/>
    <x v="5"/>
    <x v="3"/>
    <x v="0"/>
    <x v="2"/>
    <x v="19"/>
    <n v="34"/>
    <x v="19"/>
    <x v="0"/>
  </r>
  <r>
    <x v="1"/>
    <x v="5"/>
    <x v="3"/>
    <x v="1"/>
    <x v="0"/>
    <x v="0"/>
    <n v="0"/>
    <x v="0"/>
    <x v="0"/>
  </r>
  <r>
    <x v="1"/>
    <x v="5"/>
    <x v="3"/>
    <x v="1"/>
    <x v="0"/>
    <x v="1"/>
    <n v="2"/>
    <x v="1"/>
    <x v="0"/>
  </r>
  <r>
    <x v="1"/>
    <x v="5"/>
    <x v="3"/>
    <x v="1"/>
    <x v="0"/>
    <x v="2"/>
    <n v="0"/>
    <x v="2"/>
    <x v="0"/>
  </r>
  <r>
    <x v="1"/>
    <x v="5"/>
    <x v="3"/>
    <x v="1"/>
    <x v="0"/>
    <x v="3"/>
    <n v="0"/>
    <x v="3"/>
    <x v="1"/>
  </r>
  <r>
    <x v="1"/>
    <x v="5"/>
    <x v="3"/>
    <x v="1"/>
    <x v="0"/>
    <x v="4"/>
    <n v="1"/>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1"/>
    <x v="0"/>
    <x v="0"/>
  </r>
  <r>
    <x v="1"/>
    <x v="5"/>
    <x v="3"/>
    <x v="2"/>
    <x v="0"/>
    <x v="1"/>
    <n v="1"/>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3"/>
    <x v="17"/>
    <x v="1"/>
  </r>
  <r>
    <x v="1"/>
    <x v="5"/>
    <x v="3"/>
    <x v="2"/>
    <x v="2"/>
    <x v="18"/>
    <n v="1"/>
    <x v="18"/>
    <x v="0"/>
  </r>
  <r>
    <x v="1"/>
    <x v="5"/>
    <x v="3"/>
    <x v="2"/>
    <x v="2"/>
    <x v="19"/>
    <n v="0"/>
    <x v="19"/>
    <x v="0"/>
  </r>
  <r>
    <x v="2"/>
    <x v="6"/>
    <x v="2"/>
    <x v="0"/>
    <x v="0"/>
    <x v="0"/>
    <n v="1"/>
    <x v="0"/>
    <x v="0"/>
  </r>
  <r>
    <x v="2"/>
    <x v="6"/>
    <x v="2"/>
    <x v="0"/>
    <x v="0"/>
    <x v="1"/>
    <n v="1"/>
    <x v="1"/>
    <x v="0"/>
  </r>
  <r>
    <x v="2"/>
    <x v="6"/>
    <x v="2"/>
    <x v="0"/>
    <x v="0"/>
    <x v="2"/>
    <n v="1"/>
    <x v="2"/>
    <x v="0"/>
  </r>
  <r>
    <x v="2"/>
    <x v="6"/>
    <x v="2"/>
    <x v="0"/>
    <x v="0"/>
    <x v="3"/>
    <n v="0"/>
    <x v="3"/>
    <x v="1"/>
  </r>
  <r>
    <x v="2"/>
    <x v="6"/>
    <x v="2"/>
    <x v="0"/>
    <x v="0"/>
    <x v="4"/>
    <n v="2"/>
    <x v="4"/>
    <x v="1"/>
  </r>
  <r>
    <x v="2"/>
    <x v="6"/>
    <x v="2"/>
    <x v="0"/>
    <x v="0"/>
    <x v="5"/>
    <n v="0"/>
    <x v="5"/>
    <x v="1"/>
  </r>
  <r>
    <x v="2"/>
    <x v="6"/>
    <x v="2"/>
    <x v="0"/>
    <x v="0"/>
    <x v="6"/>
    <n v="0"/>
    <x v="6"/>
    <x v="1"/>
  </r>
  <r>
    <x v="2"/>
    <x v="6"/>
    <x v="2"/>
    <x v="0"/>
    <x v="0"/>
    <x v="7"/>
    <n v="0"/>
    <x v="7"/>
    <x v="0"/>
  </r>
  <r>
    <x v="2"/>
    <x v="6"/>
    <x v="2"/>
    <x v="0"/>
    <x v="1"/>
    <x v="8"/>
    <n v="2"/>
    <x v="8"/>
    <x v="1"/>
  </r>
  <r>
    <x v="2"/>
    <x v="6"/>
    <x v="2"/>
    <x v="0"/>
    <x v="1"/>
    <x v="9"/>
    <n v="2"/>
    <x v="9"/>
    <x v="1"/>
  </r>
  <r>
    <x v="2"/>
    <x v="6"/>
    <x v="2"/>
    <x v="0"/>
    <x v="1"/>
    <x v="10"/>
    <n v="1"/>
    <x v="10"/>
    <x v="1"/>
  </r>
  <r>
    <x v="2"/>
    <x v="6"/>
    <x v="2"/>
    <x v="0"/>
    <x v="1"/>
    <x v="11"/>
    <n v="3"/>
    <x v="11"/>
    <x v="1"/>
  </r>
  <r>
    <x v="2"/>
    <x v="6"/>
    <x v="2"/>
    <x v="0"/>
    <x v="2"/>
    <x v="12"/>
    <n v="1"/>
    <x v="12"/>
    <x v="0"/>
  </r>
  <r>
    <x v="2"/>
    <x v="6"/>
    <x v="2"/>
    <x v="0"/>
    <x v="2"/>
    <x v="13"/>
    <n v="1"/>
    <x v="13"/>
    <x v="0"/>
  </r>
  <r>
    <x v="2"/>
    <x v="6"/>
    <x v="2"/>
    <x v="0"/>
    <x v="2"/>
    <x v="14"/>
    <n v="0"/>
    <x v="14"/>
    <x v="1"/>
  </r>
  <r>
    <x v="2"/>
    <x v="6"/>
    <x v="2"/>
    <x v="0"/>
    <x v="2"/>
    <x v="15"/>
    <n v="1"/>
    <x v="15"/>
    <x v="1"/>
  </r>
  <r>
    <x v="2"/>
    <x v="6"/>
    <x v="2"/>
    <x v="0"/>
    <x v="2"/>
    <x v="16"/>
    <n v="5"/>
    <x v="16"/>
    <x v="1"/>
  </r>
  <r>
    <x v="2"/>
    <x v="6"/>
    <x v="2"/>
    <x v="0"/>
    <x v="2"/>
    <x v="17"/>
    <n v="2"/>
    <x v="17"/>
    <x v="1"/>
  </r>
  <r>
    <x v="2"/>
    <x v="6"/>
    <x v="2"/>
    <x v="0"/>
    <x v="2"/>
    <x v="18"/>
    <n v="3"/>
    <x v="18"/>
    <x v="0"/>
  </r>
  <r>
    <x v="2"/>
    <x v="6"/>
    <x v="2"/>
    <x v="0"/>
    <x v="2"/>
    <x v="19"/>
    <n v="2"/>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1"/>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48"/>
    <x v="0"/>
    <x v="0"/>
  </r>
  <r>
    <x v="2"/>
    <x v="7"/>
    <x v="3"/>
    <x v="0"/>
    <x v="0"/>
    <x v="1"/>
    <n v="53"/>
    <x v="1"/>
    <x v="0"/>
  </r>
  <r>
    <x v="2"/>
    <x v="7"/>
    <x v="3"/>
    <x v="0"/>
    <x v="0"/>
    <x v="2"/>
    <n v="43"/>
    <x v="2"/>
    <x v="0"/>
  </r>
  <r>
    <x v="2"/>
    <x v="7"/>
    <x v="3"/>
    <x v="0"/>
    <x v="0"/>
    <x v="3"/>
    <n v="55"/>
    <x v="3"/>
    <x v="1"/>
  </r>
  <r>
    <x v="2"/>
    <x v="7"/>
    <x v="3"/>
    <x v="0"/>
    <x v="0"/>
    <x v="4"/>
    <n v="59"/>
    <x v="4"/>
    <x v="1"/>
  </r>
  <r>
    <x v="2"/>
    <x v="7"/>
    <x v="3"/>
    <x v="0"/>
    <x v="0"/>
    <x v="5"/>
    <n v="60"/>
    <x v="5"/>
    <x v="1"/>
  </r>
  <r>
    <x v="2"/>
    <x v="7"/>
    <x v="3"/>
    <x v="0"/>
    <x v="0"/>
    <x v="6"/>
    <n v="78"/>
    <x v="6"/>
    <x v="1"/>
  </r>
  <r>
    <x v="2"/>
    <x v="7"/>
    <x v="3"/>
    <x v="0"/>
    <x v="0"/>
    <x v="7"/>
    <n v="59"/>
    <x v="7"/>
    <x v="0"/>
  </r>
  <r>
    <x v="2"/>
    <x v="7"/>
    <x v="3"/>
    <x v="0"/>
    <x v="1"/>
    <x v="8"/>
    <n v="63"/>
    <x v="8"/>
    <x v="1"/>
  </r>
  <r>
    <x v="2"/>
    <x v="7"/>
    <x v="3"/>
    <x v="0"/>
    <x v="1"/>
    <x v="9"/>
    <n v="60"/>
    <x v="9"/>
    <x v="1"/>
  </r>
  <r>
    <x v="2"/>
    <x v="7"/>
    <x v="3"/>
    <x v="0"/>
    <x v="1"/>
    <x v="10"/>
    <n v="69"/>
    <x v="10"/>
    <x v="1"/>
  </r>
  <r>
    <x v="2"/>
    <x v="7"/>
    <x v="3"/>
    <x v="0"/>
    <x v="1"/>
    <x v="11"/>
    <n v="73"/>
    <x v="11"/>
    <x v="1"/>
  </r>
  <r>
    <x v="2"/>
    <x v="7"/>
    <x v="3"/>
    <x v="0"/>
    <x v="2"/>
    <x v="12"/>
    <n v="98"/>
    <x v="12"/>
    <x v="0"/>
  </r>
  <r>
    <x v="2"/>
    <x v="7"/>
    <x v="3"/>
    <x v="0"/>
    <x v="2"/>
    <x v="13"/>
    <n v="105"/>
    <x v="13"/>
    <x v="0"/>
  </r>
  <r>
    <x v="2"/>
    <x v="7"/>
    <x v="3"/>
    <x v="0"/>
    <x v="2"/>
    <x v="14"/>
    <n v="107"/>
    <x v="14"/>
    <x v="1"/>
  </r>
  <r>
    <x v="2"/>
    <x v="7"/>
    <x v="3"/>
    <x v="0"/>
    <x v="2"/>
    <x v="15"/>
    <n v="106"/>
    <x v="15"/>
    <x v="1"/>
  </r>
  <r>
    <x v="2"/>
    <x v="7"/>
    <x v="3"/>
    <x v="0"/>
    <x v="2"/>
    <x v="16"/>
    <n v="105"/>
    <x v="16"/>
    <x v="1"/>
  </r>
  <r>
    <x v="2"/>
    <x v="7"/>
    <x v="3"/>
    <x v="0"/>
    <x v="2"/>
    <x v="17"/>
    <n v="104"/>
    <x v="17"/>
    <x v="1"/>
  </r>
  <r>
    <x v="2"/>
    <x v="7"/>
    <x v="3"/>
    <x v="0"/>
    <x v="2"/>
    <x v="18"/>
    <n v="82"/>
    <x v="18"/>
    <x v="0"/>
  </r>
  <r>
    <x v="2"/>
    <x v="7"/>
    <x v="3"/>
    <x v="0"/>
    <x v="2"/>
    <x v="19"/>
    <n v="78"/>
    <x v="19"/>
    <x v="0"/>
  </r>
  <r>
    <x v="2"/>
    <x v="7"/>
    <x v="3"/>
    <x v="1"/>
    <x v="0"/>
    <x v="0"/>
    <n v="4"/>
    <x v="0"/>
    <x v="0"/>
  </r>
  <r>
    <x v="2"/>
    <x v="7"/>
    <x v="3"/>
    <x v="1"/>
    <x v="0"/>
    <x v="1"/>
    <n v="0"/>
    <x v="1"/>
    <x v="0"/>
  </r>
  <r>
    <x v="2"/>
    <x v="7"/>
    <x v="3"/>
    <x v="1"/>
    <x v="0"/>
    <x v="2"/>
    <n v="2"/>
    <x v="2"/>
    <x v="0"/>
  </r>
  <r>
    <x v="2"/>
    <x v="7"/>
    <x v="3"/>
    <x v="1"/>
    <x v="0"/>
    <x v="3"/>
    <n v="1"/>
    <x v="3"/>
    <x v="1"/>
  </r>
  <r>
    <x v="2"/>
    <x v="7"/>
    <x v="3"/>
    <x v="1"/>
    <x v="0"/>
    <x v="4"/>
    <n v="4"/>
    <x v="4"/>
    <x v="1"/>
  </r>
  <r>
    <x v="2"/>
    <x v="7"/>
    <x v="3"/>
    <x v="1"/>
    <x v="0"/>
    <x v="5"/>
    <n v="0"/>
    <x v="5"/>
    <x v="1"/>
  </r>
  <r>
    <x v="2"/>
    <x v="7"/>
    <x v="3"/>
    <x v="1"/>
    <x v="0"/>
    <x v="6"/>
    <n v="9"/>
    <x v="6"/>
    <x v="1"/>
  </r>
  <r>
    <x v="2"/>
    <x v="7"/>
    <x v="3"/>
    <x v="1"/>
    <x v="0"/>
    <x v="7"/>
    <n v="1"/>
    <x v="7"/>
    <x v="0"/>
  </r>
  <r>
    <x v="2"/>
    <x v="7"/>
    <x v="3"/>
    <x v="1"/>
    <x v="1"/>
    <x v="8"/>
    <n v="5"/>
    <x v="8"/>
    <x v="1"/>
  </r>
  <r>
    <x v="2"/>
    <x v="7"/>
    <x v="3"/>
    <x v="1"/>
    <x v="1"/>
    <x v="9"/>
    <n v="5"/>
    <x v="9"/>
    <x v="1"/>
  </r>
  <r>
    <x v="2"/>
    <x v="7"/>
    <x v="3"/>
    <x v="1"/>
    <x v="1"/>
    <x v="10"/>
    <n v="2"/>
    <x v="10"/>
    <x v="1"/>
  </r>
  <r>
    <x v="2"/>
    <x v="7"/>
    <x v="3"/>
    <x v="1"/>
    <x v="1"/>
    <x v="11"/>
    <n v="0"/>
    <x v="11"/>
    <x v="1"/>
  </r>
  <r>
    <x v="2"/>
    <x v="7"/>
    <x v="3"/>
    <x v="1"/>
    <x v="2"/>
    <x v="12"/>
    <n v="2"/>
    <x v="12"/>
    <x v="0"/>
  </r>
  <r>
    <x v="2"/>
    <x v="7"/>
    <x v="3"/>
    <x v="1"/>
    <x v="2"/>
    <x v="13"/>
    <n v="2"/>
    <x v="13"/>
    <x v="0"/>
  </r>
  <r>
    <x v="2"/>
    <x v="7"/>
    <x v="3"/>
    <x v="1"/>
    <x v="2"/>
    <x v="14"/>
    <n v="0"/>
    <x v="14"/>
    <x v="1"/>
  </r>
  <r>
    <x v="2"/>
    <x v="7"/>
    <x v="3"/>
    <x v="1"/>
    <x v="2"/>
    <x v="15"/>
    <n v="0"/>
    <x v="15"/>
    <x v="1"/>
  </r>
  <r>
    <x v="2"/>
    <x v="7"/>
    <x v="3"/>
    <x v="1"/>
    <x v="2"/>
    <x v="16"/>
    <n v="2"/>
    <x v="16"/>
    <x v="1"/>
  </r>
  <r>
    <x v="2"/>
    <x v="7"/>
    <x v="3"/>
    <x v="1"/>
    <x v="2"/>
    <x v="17"/>
    <n v="0"/>
    <x v="17"/>
    <x v="1"/>
  </r>
  <r>
    <x v="2"/>
    <x v="7"/>
    <x v="3"/>
    <x v="1"/>
    <x v="2"/>
    <x v="18"/>
    <n v="1"/>
    <x v="18"/>
    <x v="0"/>
  </r>
  <r>
    <x v="2"/>
    <x v="7"/>
    <x v="3"/>
    <x v="1"/>
    <x v="2"/>
    <x v="19"/>
    <n v="3"/>
    <x v="19"/>
    <x v="0"/>
  </r>
  <r>
    <x v="2"/>
    <x v="7"/>
    <x v="3"/>
    <x v="2"/>
    <x v="0"/>
    <x v="0"/>
    <n v="1"/>
    <x v="0"/>
    <x v="0"/>
  </r>
  <r>
    <x v="2"/>
    <x v="7"/>
    <x v="3"/>
    <x v="2"/>
    <x v="0"/>
    <x v="1"/>
    <n v="1"/>
    <x v="1"/>
    <x v="0"/>
  </r>
  <r>
    <x v="2"/>
    <x v="7"/>
    <x v="3"/>
    <x v="2"/>
    <x v="0"/>
    <x v="2"/>
    <n v="0"/>
    <x v="2"/>
    <x v="0"/>
  </r>
  <r>
    <x v="2"/>
    <x v="7"/>
    <x v="3"/>
    <x v="2"/>
    <x v="0"/>
    <x v="3"/>
    <n v="1"/>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1"/>
    <x v="12"/>
    <x v="0"/>
  </r>
  <r>
    <x v="2"/>
    <x v="7"/>
    <x v="3"/>
    <x v="2"/>
    <x v="2"/>
    <x v="13"/>
    <n v="2"/>
    <x v="13"/>
    <x v="0"/>
  </r>
  <r>
    <x v="2"/>
    <x v="7"/>
    <x v="3"/>
    <x v="2"/>
    <x v="2"/>
    <x v="14"/>
    <n v="2"/>
    <x v="14"/>
    <x v="1"/>
  </r>
  <r>
    <x v="2"/>
    <x v="7"/>
    <x v="3"/>
    <x v="2"/>
    <x v="2"/>
    <x v="15"/>
    <n v="1"/>
    <x v="15"/>
    <x v="1"/>
  </r>
  <r>
    <x v="2"/>
    <x v="7"/>
    <x v="3"/>
    <x v="2"/>
    <x v="2"/>
    <x v="16"/>
    <n v="0"/>
    <x v="16"/>
    <x v="1"/>
  </r>
  <r>
    <x v="2"/>
    <x v="7"/>
    <x v="3"/>
    <x v="2"/>
    <x v="2"/>
    <x v="17"/>
    <n v="3"/>
    <x v="17"/>
    <x v="1"/>
  </r>
  <r>
    <x v="2"/>
    <x v="7"/>
    <x v="3"/>
    <x v="2"/>
    <x v="2"/>
    <x v="18"/>
    <n v="4"/>
    <x v="18"/>
    <x v="0"/>
  </r>
  <r>
    <x v="2"/>
    <x v="7"/>
    <x v="3"/>
    <x v="2"/>
    <x v="2"/>
    <x v="19"/>
    <n v="0"/>
    <x v="19"/>
    <x v="0"/>
  </r>
  <r>
    <x v="2"/>
    <x v="8"/>
    <x v="0"/>
    <x v="0"/>
    <x v="0"/>
    <x v="0"/>
    <n v="2"/>
    <x v="0"/>
    <x v="0"/>
  </r>
  <r>
    <x v="2"/>
    <x v="8"/>
    <x v="0"/>
    <x v="0"/>
    <x v="0"/>
    <x v="1"/>
    <n v="7"/>
    <x v="1"/>
    <x v="0"/>
  </r>
  <r>
    <x v="2"/>
    <x v="8"/>
    <x v="0"/>
    <x v="0"/>
    <x v="0"/>
    <x v="2"/>
    <n v="4"/>
    <x v="2"/>
    <x v="0"/>
  </r>
  <r>
    <x v="2"/>
    <x v="8"/>
    <x v="0"/>
    <x v="0"/>
    <x v="0"/>
    <x v="3"/>
    <n v="10"/>
    <x v="3"/>
    <x v="1"/>
  </r>
  <r>
    <x v="2"/>
    <x v="8"/>
    <x v="0"/>
    <x v="0"/>
    <x v="0"/>
    <x v="4"/>
    <n v="17"/>
    <x v="4"/>
    <x v="1"/>
  </r>
  <r>
    <x v="2"/>
    <x v="8"/>
    <x v="0"/>
    <x v="0"/>
    <x v="0"/>
    <x v="5"/>
    <n v="15"/>
    <x v="5"/>
    <x v="1"/>
  </r>
  <r>
    <x v="2"/>
    <x v="8"/>
    <x v="0"/>
    <x v="0"/>
    <x v="0"/>
    <x v="6"/>
    <n v="12"/>
    <x v="6"/>
    <x v="1"/>
  </r>
  <r>
    <x v="2"/>
    <x v="8"/>
    <x v="0"/>
    <x v="0"/>
    <x v="0"/>
    <x v="7"/>
    <n v="15"/>
    <x v="7"/>
    <x v="0"/>
  </r>
  <r>
    <x v="2"/>
    <x v="8"/>
    <x v="0"/>
    <x v="0"/>
    <x v="1"/>
    <x v="8"/>
    <n v="7"/>
    <x v="8"/>
    <x v="1"/>
  </r>
  <r>
    <x v="2"/>
    <x v="8"/>
    <x v="0"/>
    <x v="0"/>
    <x v="1"/>
    <x v="9"/>
    <n v="10"/>
    <x v="9"/>
    <x v="1"/>
  </r>
  <r>
    <x v="2"/>
    <x v="8"/>
    <x v="0"/>
    <x v="0"/>
    <x v="1"/>
    <x v="10"/>
    <n v="10"/>
    <x v="10"/>
    <x v="1"/>
  </r>
  <r>
    <x v="2"/>
    <x v="8"/>
    <x v="0"/>
    <x v="0"/>
    <x v="1"/>
    <x v="11"/>
    <n v="17"/>
    <x v="11"/>
    <x v="1"/>
  </r>
  <r>
    <x v="2"/>
    <x v="8"/>
    <x v="0"/>
    <x v="0"/>
    <x v="2"/>
    <x v="12"/>
    <n v="25"/>
    <x v="12"/>
    <x v="0"/>
  </r>
  <r>
    <x v="2"/>
    <x v="8"/>
    <x v="0"/>
    <x v="0"/>
    <x v="2"/>
    <x v="13"/>
    <n v="24"/>
    <x v="13"/>
    <x v="0"/>
  </r>
  <r>
    <x v="2"/>
    <x v="8"/>
    <x v="0"/>
    <x v="0"/>
    <x v="2"/>
    <x v="14"/>
    <n v="25"/>
    <x v="14"/>
    <x v="1"/>
  </r>
  <r>
    <x v="2"/>
    <x v="8"/>
    <x v="0"/>
    <x v="0"/>
    <x v="2"/>
    <x v="15"/>
    <n v="40"/>
    <x v="15"/>
    <x v="1"/>
  </r>
  <r>
    <x v="2"/>
    <x v="8"/>
    <x v="0"/>
    <x v="0"/>
    <x v="2"/>
    <x v="16"/>
    <n v="32"/>
    <x v="16"/>
    <x v="1"/>
  </r>
  <r>
    <x v="2"/>
    <x v="8"/>
    <x v="0"/>
    <x v="0"/>
    <x v="2"/>
    <x v="17"/>
    <n v="23"/>
    <x v="17"/>
    <x v="1"/>
  </r>
  <r>
    <x v="2"/>
    <x v="8"/>
    <x v="0"/>
    <x v="0"/>
    <x v="2"/>
    <x v="18"/>
    <n v="32"/>
    <x v="18"/>
    <x v="0"/>
  </r>
  <r>
    <x v="2"/>
    <x v="8"/>
    <x v="0"/>
    <x v="0"/>
    <x v="2"/>
    <x v="19"/>
    <n v="29"/>
    <x v="19"/>
    <x v="0"/>
  </r>
  <r>
    <x v="2"/>
    <x v="8"/>
    <x v="0"/>
    <x v="1"/>
    <x v="0"/>
    <x v="0"/>
    <n v="0"/>
    <x v="0"/>
    <x v="0"/>
  </r>
  <r>
    <x v="2"/>
    <x v="8"/>
    <x v="0"/>
    <x v="1"/>
    <x v="0"/>
    <x v="1"/>
    <n v="0"/>
    <x v="1"/>
    <x v="0"/>
  </r>
  <r>
    <x v="2"/>
    <x v="8"/>
    <x v="0"/>
    <x v="1"/>
    <x v="0"/>
    <x v="2"/>
    <n v="1"/>
    <x v="2"/>
    <x v="0"/>
  </r>
  <r>
    <x v="2"/>
    <x v="8"/>
    <x v="0"/>
    <x v="1"/>
    <x v="0"/>
    <x v="3"/>
    <n v="0"/>
    <x v="3"/>
    <x v="1"/>
  </r>
  <r>
    <x v="2"/>
    <x v="8"/>
    <x v="0"/>
    <x v="1"/>
    <x v="0"/>
    <x v="4"/>
    <n v="1"/>
    <x v="4"/>
    <x v="1"/>
  </r>
  <r>
    <x v="2"/>
    <x v="8"/>
    <x v="0"/>
    <x v="1"/>
    <x v="0"/>
    <x v="5"/>
    <n v="0"/>
    <x v="5"/>
    <x v="1"/>
  </r>
  <r>
    <x v="2"/>
    <x v="8"/>
    <x v="0"/>
    <x v="1"/>
    <x v="0"/>
    <x v="6"/>
    <n v="0"/>
    <x v="6"/>
    <x v="1"/>
  </r>
  <r>
    <x v="2"/>
    <x v="8"/>
    <x v="0"/>
    <x v="1"/>
    <x v="0"/>
    <x v="7"/>
    <n v="1"/>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1"/>
    <x v="10"/>
    <x v="1"/>
  </r>
  <r>
    <x v="2"/>
    <x v="8"/>
    <x v="0"/>
    <x v="2"/>
    <x v="1"/>
    <x v="11"/>
    <n v="1"/>
    <x v="11"/>
    <x v="1"/>
  </r>
  <r>
    <x v="2"/>
    <x v="8"/>
    <x v="0"/>
    <x v="2"/>
    <x v="2"/>
    <x v="12"/>
    <n v="0"/>
    <x v="12"/>
    <x v="0"/>
  </r>
  <r>
    <x v="2"/>
    <x v="8"/>
    <x v="0"/>
    <x v="2"/>
    <x v="2"/>
    <x v="13"/>
    <n v="0"/>
    <x v="13"/>
    <x v="0"/>
  </r>
  <r>
    <x v="2"/>
    <x v="8"/>
    <x v="0"/>
    <x v="2"/>
    <x v="2"/>
    <x v="14"/>
    <n v="1"/>
    <x v="14"/>
    <x v="1"/>
  </r>
  <r>
    <x v="2"/>
    <x v="8"/>
    <x v="0"/>
    <x v="2"/>
    <x v="2"/>
    <x v="15"/>
    <n v="1"/>
    <x v="15"/>
    <x v="1"/>
  </r>
  <r>
    <x v="2"/>
    <x v="8"/>
    <x v="0"/>
    <x v="2"/>
    <x v="2"/>
    <x v="16"/>
    <n v="0"/>
    <x v="16"/>
    <x v="1"/>
  </r>
  <r>
    <x v="2"/>
    <x v="8"/>
    <x v="0"/>
    <x v="2"/>
    <x v="2"/>
    <x v="17"/>
    <n v="0"/>
    <x v="17"/>
    <x v="1"/>
  </r>
  <r>
    <x v="2"/>
    <x v="8"/>
    <x v="0"/>
    <x v="2"/>
    <x v="2"/>
    <x v="18"/>
    <n v="0"/>
    <x v="18"/>
    <x v="0"/>
  </r>
  <r>
    <x v="2"/>
    <x v="8"/>
    <x v="0"/>
    <x v="2"/>
    <x v="2"/>
    <x v="19"/>
    <n v="0"/>
    <x v="19"/>
    <x v="0"/>
  </r>
  <r>
    <x v="3"/>
    <x v="9"/>
    <x v="3"/>
    <x v="0"/>
    <x v="0"/>
    <x v="0"/>
    <n v="0"/>
    <x v="0"/>
    <x v="0"/>
  </r>
  <r>
    <x v="3"/>
    <x v="9"/>
    <x v="3"/>
    <x v="0"/>
    <x v="0"/>
    <x v="1"/>
    <n v="0"/>
    <x v="1"/>
    <x v="0"/>
  </r>
  <r>
    <x v="3"/>
    <x v="9"/>
    <x v="3"/>
    <x v="0"/>
    <x v="0"/>
    <x v="2"/>
    <n v="3"/>
    <x v="2"/>
    <x v="0"/>
  </r>
  <r>
    <x v="3"/>
    <x v="9"/>
    <x v="3"/>
    <x v="0"/>
    <x v="0"/>
    <x v="3"/>
    <n v="2"/>
    <x v="3"/>
    <x v="1"/>
  </r>
  <r>
    <x v="3"/>
    <x v="9"/>
    <x v="3"/>
    <x v="0"/>
    <x v="0"/>
    <x v="4"/>
    <n v="3"/>
    <x v="4"/>
    <x v="1"/>
  </r>
  <r>
    <x v="3"/>
    <x v="9"/>
    <x v="3"/>
    <x v="0"/>
    <x v="0"/>
    <x v="5"/>
    <n v="1"/>
    <x v="5"/>
    <x v="1"/>
  </r>
  <r>
    <x v="3"/>
    <x v="9"/>
    <x v="3"/>
    <x v="0"/>
    <x v="0"/>
    <x v="6"/>
    <n v="3"/>
    <x v="6"/>
    <x v="1"/>
  </r>
  <r>
    <x v="3"/>
    <x v="9"/>
    <x v="3"/>
    <x v="0"/>
    <x v="0"/>
    <x v="7"/>
    <n v="2"/>
    <x v="7"/>
    <x v="0"/>
  </r>
  <r>
    <x v="3"/>
    <x v="9"/>
    <x v="3"/>
    <x v="0"/>
    <x v="1"/>
    <x v="8"/>
    <n v="0"/>
    <x v="8"/>
    <x v="1"/>
  </r>
  <r>
    <x v="3"/>
    <x v="9"/>
    <x v="3"/>
    <x v="0"/>
    <x v="1"/>
    <x v="9"/>
    <n v="0"/>
    <x v="9"/>
    <x v="1"/>
  </r>
  <r>
    <x v="3"/>
    <x v="9"/>
    <x v="3"/>
    <x v="0"/>
    <x v="1"/>
    <x v="10"/>
    <n v="0"/>
    <x v="10"/>
    <x v="1"/>
  </r>
  <r>
    <x v="3"/>
    <x v="9"/>
    <x v="3"/>
    <x v="0"/>
    <x v="1"/>
    <x v="11"/>
    <n v="1"/>
    <x v="11"/>
    <x v="1"/>
  </r>
  <r>
    <x v="3"/>
    <x v="9"/>
    <x v="3"/>
    <x v="0"/>
    <x v="2"/>
    <x v="12"/>
    <n v="1"/>
    <x v="12"/>
    <x v="0"/>
  </r>
  <r>
    <x v="3"/>
    <x v="9"/>
    <x v="3"/>
    <x v="0"/>
    <x v="2"/>
    <x v="13"/>
    <n v="0"/>
    <x v="13"/>
    <x v="0"/>
  </r>
  <r>
    <x v="3"/>
    <x v="9"/>
    <x v="3"/>
    <x v="0"/>
    <x v="2"/>
    <x v="14"/>
    <n v="1"/>
    <x v="14"/>
    <x v="1"/>
  </r>
  <r>
    <x v="3"/>
    <x v="9"/>
    <x v="3"/>
    <x v="0"/>
    <x v="2"/>
    <x v="15"/>
    <n v="3"/>
    <x v="15"/>
    <x v="1"/>
  </r>
  <r>
    <x v="3"/>
    <x v="9"/>
    <x v="3"/>
    <x v="0"/>
    <x v="2"/>
    <x v="16"/>
    <n v="2"/>
    <x v="16"/>
    <x v="1"/>
  </r>
  <r>
    <x v="3"/>
    <x v="9"/>
    <x v="3"/>
    <x v="0"/>
    <x v="2"/>
    <x v="17"/>
    <n v="2"/>
    <x v="17"/>
    <x v="1"/>
  </r>
  <r>
    <x v="3"/>
    <x v="9"/>
    <x v="3"/>
    <x v="0"/>
    <x v="2"/>
    <x v="18"/>
    <n v="1"/>
    <x v="18"/>
    <x v="0"/>
  </r>
  <r>
    <x v="3"/>
    <x v="9"/>
    <x v="3"/>
    <x v="0"/>
    <x v="2"/>
    <x v="19"/>
    <n v="2"/>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1"/>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0"/>
    <x v="0"/>
    <x v="0"/>
  </r>
  <r>
    <x v="3"/>
    <x v="10"/>
    <x v="0"/>
    <x v="0"/>
    <x v="0"/>
    <x v="1"/>
    <n v="0"/>
    <x v="1"/>
    <x v="0"/>
  </r>
  <r>
    <x v="3"/>
    <x v="10"/>
    <x v="0"/>
    <x v="0"/>
    <x v="0"/>
    <x v="2"/>
    <n v="0"/>
    <x v="2"/>
    <x v="0"/>
  </r>
  <r>
    <x v="3"/>
    <x v="10"/>
    <x v="0"/>
    <x v="0"/>
    <x v="0"/>
    <x v="3"/>
    <n v="0"/>
    <x v="3"/>
    <x v="1"/>
  </r>
  <r>
    <x v="3"/>
    <x v="10"/>
    <x v="0"/>
    <x v="0"/>
    <x v="0"/>
    <x v="4"/>
    <n v="0"/>
    <x v="4"/>
    <x v="1"/>
  </r>
  <r>
    <x v="3"/>
    <x v="10"/>
    <x v="0"/>
    <x v="0"/>
    <x v="0"/>
    <x v="5"/>
    <n v="1"/>
    <x v="5"/>
    <x v="1"/>
  </r>
  <r>
    <x v="3"/>
    <x v="10"/>
    <x v="0"/>
    <x v="0"/>
    <x v="0"/>
    <x v="6"/>
    <n v="1"/>
    <x v="6"/>
    <x v="1"/>
  </r>
  <r>
    <x v="3"/>
    <x v="10"/>
    <x v="0"/>
    <x v="0"/>
    <x v="0"/>
    <x v="7"/>
    <n v="0"/>
    <x v="7"/>
    <x v="0"/>
  </r>
  <r>
    <x v="3"/>
    <x v="10"/>
    <x v="0"/>
    <x v="0"/>
    <x v="1"/>
    <x v="8"/>
    <n v="0"/>
    <x v="8"/>
    <x v="1"/>
  </r>
  <r>
    <x v="3"/>
    <x v="10"/>
    <x v="0"/>
    <x v="0"/>
    <x v="1"/>
    <x v="9"/>
    <n v="0"/>
    <x v="9"/>
    <x v="1"/>
  </r>
  <r>
    <x v="3"/>
    <x v="10"/>
    <x v="0"/>
    <x v="0"/>
    <x v="1"/>
    <x v="10"/>
    <n v="0"/>
    <x v="10"/>
    <x v="1"/>
  </r>
  <r>
    <x v="3"/>
    <x v="10"/>
    <x v="0"/>
    <x v="0"/>
    <x v="1"/>
    <x v="11"/>
    <n v="0"/>
    <x v="11"/>
    <x v="1"/>
  </r>
  <r>
    <x v="3"/>
    <x v="10"/>
    <x v="0"/>
    <x v="0"/>
    <x v="2"/>
    <x v="12"/>
    <n v="0"/>
    <x v="12"/>
    <x v="0"/>
  </r>
  <r>
    <x v="3"/>
    <x v="10"/>
    <x v="0"/>
    <x v="0"/>
    <x v="2"/>
    <x v="13"/>
    <n v="1"/>
    <x v="13"/>
    <x v="0"/>
  </r>
  <r>
    <x v="3"/>
    <x v="10"/>
    <x v="0"/>
    <x v="0"/>
    <x v="2"/>
    <x v="14"/>
    <n v="0"/>
    <x v="14"/>
    <x v="1"/>
  </r>
  <r>
    <x v="3"/>
    <x v="10"/>
    <x v="0"/>
    <x v="0"/>
    <x v="2"/>
    <x v="15"/>
    <n v="0"/>
    <x v="15"/>
    <x v="1"/>
  </r>
  <r>
    <x v="3"/>
    <x v="10"/>
    <x v="0"/>
    <x v="0"/>
    <x v="2"/>
    <x v="16"/>
    <n v="0"/>
    <x v="16"/>
    <x v="1"/>
  </r>
  <r>
    <x v="3"/>
    <x v="10"/>
    <x v="0"/>
    <x v="0"/>
    <x v="2"/>
    <x v="17"/>
    <n v="1"/>
    <x v="17"/>
    <x v="1"/>
  </r>
  <r>
    <x v="3"/>
    <x v="10"/>
    <x v="0"/>
    <x v="0"/>
    <x v="2"/>
    <x v="18"/>
    <n v="0"/>
    <x v="18"/>
    <x v="0"/>
  </r>
  <r>
    <x v="3"/>
    <x v="10"/>
    <x v="0"/>
    <x v="0"/>
    <x v="2"/>
    <x v="19"/>
    <n v="0"/>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1"/>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0"/>
    <x v="0"/>
    <x v="0"/>
  </r>
  <r>
    <x v="3"/>
    <x v="11"/>
    <x v="1"/>
    <x v="0"/>
    <x v="0"/>
    <x v="1"/>
    <n v="2"/>
    <x v="1"/>
    <x v="0"/>
  </r>
  <r>
    <x v="3"/>
    <x v="11"/>
    <x v="1"/>
    <x v="0"/>
    <x v="0"/>
    <x v="2"/>
    <n v="3"/>
    <x v="2"/>
    <x v="0"/>
  </r>
  <r>
    <x v="3"/>
    <x v="11"/>
    <x v="1"/>
    <x v="0"/>
    <x v="0"/>
    <x v="3"/>
    <n v="4"/>
    <x v="3"/>
    <x v="1"/>
  </r>
  <r>
    <x v="3"/>
    <x v="11"/>
    <x v="1"/>
    <x v="0"/>
    <x v="0"/>
    <x v="4"/>
    <n v="2"/>
    <x v="4"/>
    <x v="1"/>
  </r>
  <r>
    <x v="3"/>
    <x v="11"/>
    <x v="1"/>
    <x v="0"/>
    <x v="0"/>
    <x v="5"/>
    <n v="1"/>
    <x v="5"/>
    <x v="1"/>
  </r>
  <r>
    <x v="3"/>
    <x v="11"/>
    <x v="1"/>
    <x v="0"/>
    <x v="0"/>
    <x v="6"/>
    <n v="2"/>
    <x v="6"/>
    <x v="1"/>
  </r>
  <r>
    <x v="3"/>
    <x v="11"/>
    <x v="1"/>
    <x v="0"/>
    <x v="0"/>
    <x v="7"/>
    <n v="0"/>
    <x v="7"/>
    <x v="0"/>
  </r>
  <r>
    <x v="3"/>
    <x v="11"/>
    <x v="1"/>
    <x v="0"/>
    <x v="1"/>
    <x v="8"/>
    <n v="1"/>
    <x v="8"/>
    <x v="1"/>
  </r>
  <r>
    <x v="3"/>
    <x v="11"/>
    <x v="1"/>
    <x v="0"/>
    <x v="1"/>
    <x v="9"/>
    <n v="1"/>
    <x v="9"/>
    <x v="1"/>
  </r>
  <r>
    <x v="3"/>
    <x v="11"/>
    <x v="1"/>
    <x v="0"/>
    <x v="1"/>
    <x v="10"/>
    <n v="0"/>
    <x v="10"/>
    <x v="1"/>
  </r>
  <r>
    <x v="3"/>
    <x v="11"/>
    <x v="1"/>
    <x v="0"/>
    <x v="1"/>
    <x v="11"/>
    <n v="1"/>
    <x v="11"/>
    <x v="1"/>
  </r>
  <r>
    <x v="3"/>
    <x v="11"/>
    <x v="1"/>
    <x v="0"/>
    <x v="2"/>
    <x v="12"/>
    <n v="1"/>
    <x v="12"/>
    <x v="0"/>
  </r>
  <r>
    <x v="3"/>
    <x v="11"/>
    <x v="1"/>
    <x v="0"/>
    <x v="2"/>
    <x v="13"/>
    <n v="0"/>
    <x v="13"/>
    <x v="0"/>
  </r>
  <r>
    <x v="3"/>
    <x v="11"/>
    <x v="1"/>
    <x v="0"/>
    <x v="2"/>
    <x v="14"/>
    <n v="0"/>
    <x v="14"/>
    <x v="1"/>
  </r>
  <r>
    <x v="3"/>
    <x v="11"/>
    <x v="1"/>
    <x v="0"/>
    <x v="2"/>
    <x v="15"/>
    <n v="2"/>
    <x v="15"/>
    <x v="1"/>
  </r>
  <r>
    <x v="3"/>
    <x v="11"/>
    <x v="1"/>
    <x v="0"/>
    <x v="2"/>
    <x v="16"/>
    <n v="0"/>
    <x v="16"/>
    <x v="1"/>
  </r>
  <r>
    <x v="3"/>
    <x v="11"/>
    <x v="1"/>
    <x v="0"/>
    <x v="2"/>
    <x v="17"/>
    <n v="0"/>
    <x v="17"/>
    <x v="1"/>
  </r>
  <r>
    <x v="3"/>
    <x v="11"/>
    <x v="1"/>
    <x v="0"/>
    <x v="2"/>
    <x v="18"/>
    <n v="1"/>
    <x v="18"/>
    <x v="0"/>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0" activePane="bottomLeft" state="frozen"/>
      <selection pane="bottomLeft" activeCell="E50" sqref="E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45699</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Burwood Road North</v>
      </c>
      <c r="C4" s="1" t="str">
        <f>Input!C31</f>
        <v>Rothesay Road East</v>
      </c>
      <c r="D4" s="1" t="str">
        <f>Input!C42</f>
        <v>Burwood Road South</v>
      </c>
      <c r="E4" s="1" t="str">
        <f>Input!C53</f>
        <v>Nederland Avenue West</v>
      </c>
      <c r="F4" s="1">
        <f>Input!C64</f>
        <v>0</v>
      </c>
      <c r="G4" s="1">
        <f>Input!C75</f>
        <v>0</v>
      </c>
      <c r="H4" s="1">
        <f>Input!C86</f>
        <v>0</v>
      </c>
    </row>
    <row r="6" spans="2:8" x14ac:dyDescent="0.3">
      <c r="B6" t="s">
        <v>18</v>
      </c>
    </row>
    <row r="8" spans="2:8" x14ac:dyDescent="0.3">
      <c r="B8" s="1" t="str">
        <f>Input!C22</f>
        <v>Left into Rothesay Road East</v>
      </c>
      <c r="C8" s="1" t="str">
        <f>Input!C33</f>
        <v>Left into Burwood Road South</v>
      </c>
      <c r="D8" s="1" t="str">
        <f>Input!C44</f>
        <v>Left into Nederland Avenue West</v>
      </c>
      <c r="E8" s="1" t="str">
        <f>Input!C55</f>
        <v>Left into Burwood Road North</v>
      </c>
      <c r="F8" s="1">
        <f>Input!C66</f>
        <v>0</v>
      </c>
      <c r="G8" s="1">
        <f>Input!C77</f>
        <v>0</v>
      </c>
      <c r="H8" s="1">
        <f>Input!C88</f>
        <v>0</v>
      </c>
    </row>
    <row r="9" spans="2:8" x14ac:dyDescent="0.3">
      <c r="B9" s="1" t="str">
        <f>Input!C23</f>
        <v>Thru to Burwood Road South</v>
      </c>
      <c r="C9" s="1" t="str">
        <f>Input!C34</f>
        <v>Thru to Nederland Avenue West</v>
      </c>
      <c r="D9" s="1" t="str">
        <f>Input!C45</f>
        <v>Thru to Burwood Road North</v>
      </c>
      <c r="E9" s="1" t="str">
        <f>Input!C56</f>
        <v>Thru to Rothesay Road East</v>
      </c>
      <c r="F9" s="1">
        <f>Input!C67</f>
        <v>0</v>
      </c>
      <c r="G9" s="1">
        <f>Input!C78</f>
        <v>0</v>
      </c>
      <c r="H9" s="1">
        <f>Input!C89</f>
        <v>0</v>
      </c>
    </row>
    <row r="10" spans="2:8" x14ac:dyDescent="0.3">
      <c r="B10" s="1" t="str">
        <f>Input!C24</f>
        <v>Right into Nederland Avenue West</v>
      </c>
      <c r="C10" s="1" t="str">
        <f>Input!C35</f>
        <v>Right into Burwood Road North</v>
      </c>
      <c r="D10" s="1" t="str">
        <f>Input!C46</f>
        <v>Right into Rothesay Road East</v>
      </c>
      <c r="E10" s="1" t="str">
        <f>Input!C57</f>
        <v>Right into Burwood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Rothesay Road East</v>
      </c>
      <c r="C18" s="1" t="str">
        <f>Input!E33</f>
        <v>Burwood Road South</v>
      </c>
      <c r="D18" s="1" t="str">
        <f>Input!E44</f>
        <v>Nederland Avenue West</v>
      </c>
      <c r="E18" s="1" t="str">
        <f>Input!E55</f>
        <v>Burwood Road North</v>
      </c>
      <c r="F18" s="1">
        <f>Input!E66</f>
        <v>0</v>
      </c>
      <c r="G18" s="1">
        <f>Input!E77</f>
        <v>0</v>
      </c>
      <c r="H18" s="1">
        <f>Input!E88</f>
        <v>0</v>
      </c>
    </row>
    <row r="19" spans="2:8" x14ac:dyDescent="0.3">
      <c r="B19" s="1" t="str">
        <f>Input!E23</f>
        <v>Burwood Road South</v>
      </c>
      <c r="C19" s="1" t="str">
        <f>Input!E34</f>
        <v>Nederland Avenue West</v>
      </c>
      <c r="D19" s="1" t="str">
        <f>Input!E45</f>
        <v>Burwood Road North</v>
      </c>
      <c r="E19" s="1" t="str">
        <f>Input!E56</f>
        <v>Rothesay Road East</v>
      </c>
      <c r="F19" s="1">
        <f>Input!E67</f>
        <v>0</v>
      </c>
      <c r="G19" s="1">
        <f>Input!E78</f>
        <v>0</v>
      </c>
      <c r="H19" s="1">
        <f>Input!E89</f>
        <v>0</v>
      </c>
    </row>
    <row r="20" spans="2:8" x14ac:dyDescent="0.3">
      <c r="B20" s="1" t="str">
        <f>Input!E24</f>
        <v>Nederland Avenue West</v>
      </c>
      <c r="C20" s="1" t="str">
        <f>Input!E35</f>
        <v>Burwood Road North</v>
      </c>
      <c r="D20" s="1" t="str">
        <f>Input!E46</f>
        <v>Rothesay Road East</v>
      </c>
      <c r="E20" s="1" t="str">
        <f>Input!E57</f>
        <v>Burwood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6</v>
      </c>
      <c r="D8">
        <v>1</v>
      </c>
      <c r="E8">
        <v>0</v>
      </c>
      <c r="F8" s="28">
        <v>45</v>
      </c>
      <c r="G8">
        <v>4</v>
      </c>
      <c r="H8">
        <v>1</v>
      </c>
      <c r="I8" s="28">
        <v>0</v>
      </c>
      <c r="J8">
        <v>0</v>
      </c>
      <c r="K8">
        <v>0</v>
      </c>
      <c r="L8" s="31">
        <v>34</v>
      </c>
      <c r="M8">
        <v>0</v>
      </c>
      <c r="N8">
        <v>0</v>
      </c>
      <c r="O8" s="28">
        <v>0</v>
      </c>
      <c r="P8">
        <v>0</v>
      </c>
      <c r="Q8">
        <v>0</v>
      </c>
      <c r="R8" s="28">
        <v>54</v>
      </c>
      <c r="S8">
        <v>0</v>
      </c>
      <c r="T8">
        <v>1</v>
      </c>
      <c r="U8" s="31">
        <v>1</v>
      </c>
      <c r="V8">
        <v>0</v>
      </c>
      <c r="W8">
        <v>0</v>
      </c>
      <c r="X8" s="28">
        <v>48</v>
      </c>
      <c r="Y8">
        <v>4</v>
      </c>
      <c r="Z8">
        <v>1</v>
      </c>
      <c r="AA8" s="28">
        <v>2</v>
      </c>
      <c r="AB8">
        <v>0</v>
      </c>
      <c r="AC8">
        <v>0</v>
      </c>
      <c r="AD8" s="31">
        <v>0</v>
      </c>
      <c r="AE8">
        <v>0</v>
      </c>
      <c r="AF8">
        <v>1</v>
      </c>
      <c r="AG8" s="28">
        <v>0</v>
      </c>
      <c r="AH8">
        <v>0</v>
      </c>
      <c r="AI8">
        <v>0</v>
      </c>
      <c r="AJ8" s="28">
        <v>0</v>
      </c>
      <c r="AK8">
        <v>0</v>
      </c>
      <c r="AL8" s="34">
        <v>0</v>
      </c>
    </row>
    <row r="9" spans="1:38" x14ac:dyDescent="0.3">
      <c r="A9" s="2" t="s">
        <v>43</v>
      </c>
      <c r="B9" s="7">
        <v>0.30208333333333331</v>
      </c>
      <c r="C9" s="31">
        <v>11</v>
      </c>
      <c r="D9">
        <v>1</v>
      </c>
      <c r="E9">
        <v>1</v>
      </c>
      <c r="F9" s="28">
        <v>61</v>
      </c>
      <c r="G9">
        <v>1</v>
      </c>
      <c r="H9">
        <v>0</v>
      </c>
      <c r="I9" s="28">
        <v>1</v>
      </c>
      <c r="J9">
        <v>0</v>
      </c>
      <c r="K9">
        <v>0</v>
      </c>
      <c r="L9" s="31">
        <v>44</v>
      </c>
      <c r="M9">
        <v>0</v>
      </c>
      <c r="N9">
        <v>0</v>
      </c>
      <c r="O9" s="28">
        <v>0</v>
      </c>
      <c r="P9">
        <v>0</v>
      </c>
      <c r="Q9">
        <v>0</v>
      </c>
      <c r="R9" s="28">
        <v>47</v>
      </c>
      <c r="S9">
        <v>2</v>
      </c>
      <c r="T9">
        <v>1</v>
      </c>
      <c r="U9" s="31">
        <v>1</v>
      </c>
      <c r="V9">
        <v>0</v>
      </c>
      <c r="W9">
        <v>0</v>
      </c>
      <c r="X9" s="28">
        <v>53</v>
      </c>
      <c r="Y9">
        <v>0</v>
      </c>
      <c r="Z9">
        <v>1</v>
      </c>
      <c r="AA9" s="28">
        <v>7</v>
      </c>
      <c r="AB9">
        <v>0</v>
      </c>
      <c r="AC9">
        <v>0</v>
      </c>
      <c r="AD9" s="31">
        <v>0</v>
      </c>
      <c r="AE9">
        <v>0</v>
      </c>
      <c r="AF9">
        <v>0</v>
      </c>
      <c r="AG9" s="28">
        <v>0</v>
      </c>
      <c r="AH9">
        <v>0</v>
      </c>
      <c r="AI9">
        <v>0</v>
      </c>
      <c r="AJ9" s="28">
        <v>2</v>
      </c>
      <c r="AK9">
        <v>0</v>
      </c>
      <c r="AL9" s="34">
        <v>0</v>
      </c>
    </row>
    <row r="10" spans="1:38" x14ac:dyDescent="0.3">
      <c r="A10" s="2" t="s">
        <v>43</v>
      </c>
      <c r="B10" s="7">
        <v>0.3125</v>
      </c>
      <c r="C10" s="31">
        <v>17</v>
      </c>
      <c r="D10">
        <v>0</v>
      </c>
      <c r="E10">
        <v>0</v>
      </c>
      <c r="F10" s="28">
        <v>74</v>
      </c>
      <c r="G10">
        <v>5</v>
      </c>
      <c r="H10">
        <v>2</v>
      </c>
      <c r="I10" s="28">
        <v>0</v>
      </c>
      <c r="J10">
        <v>0</v>
      </c>
      <c r="K10">
        <v>0</v>
      </c>
      <c r="L10" s="31">
        <v>41</v>
      </c>
      <c r="M10">
        <v>0</v>
      </c>
      <c r="N10">
        <v>0</v>
      </c>
      <c r="O10" s="28">
        <v>0</v>
      </c>
      <c r="P10">
        <v>0</v>
      </c>
      <c r="Q10">
        <v>0</v>
      </c>
      <c r="R10" s="28">
        <v>43</v>
      </c>
      <c r="S10">
        <v>0</v>
      </c>
      <c r="T10">
        <v>0</v>
      </c>
      <c r="U10" s="31">
        <v>1</v>
      </c>
      <c r="V10">
        <v>0</v>
      </c>
      <c r="W10">
        <v>0</v>
      </c>
      <c r="X10" s="28">
        <v>43</v>
      </c>
      <c r="Y10">
        <v>2</v>
      </c>
      <c r="Z10">
        <v>0</v>
      </c>
      <c r="AA10" s="28">
        <v>4</v>
      </c>
      <c r="AB10">
        <v>1</v>
      </c>
      <c r="AC10">
        <v>0</v>
      </c>
      <c r="AD10" s="31">
        <v>3</v>
      </c>
      <c r="AE10">
        <v>0</v>
      </c>
      <c r="AF10">
        <v>0</v>
      </c>
      <c r="AG10" s="28">
        <v>0</v>
      </c>
      <c r="AH10">
        <v>0</v>
      </c>
      <c r="AI10">
        <v>0</v>
      </c>
      <c r="AJ10" s="28">
        <v>3</v>
      </c>
      <c r="AK10">
        <v>0</v>
      </c>
      <c r="AL10" s="34">
        <v>0</v>
      </c>
    </row>
    <row r="11" spans="1:38" x14ac:dyDescent="0.3">
      <c r="A11" s="2" t="s">
        <v>43</v>
      </c>
      <c r="B11" s="7">
        <v>0.32291666666666669</v>
      </c>
      <c r="C11" s="31">
        <v>28</v>
      </c>
      <c r="D11">
        <v>1</v>
      </c>
      <c r="E11">
        <v>1</v>
      </c>
      <c r="F11" s="28">
        <v>75</v>
      </c>
      <c r="G11">
        <v>4</v>
      </c>
      <c r="H11">
        <v>3</v>
      </c>
      <c r="I11" s="28">
        <v>0</v>
      </c>
      <c r="J11">
        <v>0</v>
      </c>
      <c r="K11">
        <v>0</v>
      </c>
      <c r="L11" s="31">
        <v>47</v>
      </c>
      <c r="M11">
        <v>0</v>
      </c>
      <c r="N11">
        <v>0</v>
      </c>
      <c r="O11" s="28">
        <v>0</v>
      </c>
      <c r="P11">
        <v>0</v>
      </c>
      <c r="Q11">
        <v>0</v>
      </c>
      <c r="R11" s="28">
        <v>52</v>
      </c>
      <c r="S11">
        <v>0</v>
      </c>
      <c r="T11">
        <v>0</v>
      </c>
      <c r="U11" s="31">
        <v>0</v>
      </c>
      <c r="V11">
        <v>0</v>
      </c>
      <c r="W11">
        <v>0</v>
      </c>
      <c r="X11" s="28">
        <v>55</v>
      </c>
      <c r="Y11">
        <v>1</v>
      </c>
      <c r="Z11">
        <v>1</v>
      </c>
      <c r="AA11" s="28">
        <v>10</v>
      </c>
      <c r="AB11">
        <v>0</v>
      </c>
      <c r="AC11">
        <v>0</v>
      </c>
      <c r="AD11" s="31">
        <v>2</v>
      </c>
      <c r="AE11">
        <v>0</v>
      </c>
      <c r="AF11">
        <v>0</v>
      </c>
      <c r="AG11" s="28">
        <v>0</v>
      </c>
      <c r="AH11">
        <v>0</v>
      </c>
      <c r="AI11">
        <v>1</v>
      </c>
      <c r="AJ11" s="28">
        <v>4</v>
      </c>
      <c r="AK11">
        <v>0</v>
      </c>
      <c r="AL11" s="34">
        <v>0</v>
      </c>
    </row>
    <row r="12" spans="1:38" x14ac:dyDescent="0.3">
      <c r="A12" s="2" t="s">
        <v>43</v>
      </c>
      <c r="B12" s="7">
        <v>0.33333333333333331</v>
      </c>
      <c r="C12" s="31">
        <v>15</v>
      </c>
      <c r="D12">
        <v>0</v>
      </c>
      <c r="E12">
        <v>0</v>
      </c>
      <c r="F12" s="28">
        <v>92</v>
      </c>
      <c r="G12">
        <v>4</v>
      </c>
      <c r="H12">
        <v>0</v>
      </c>
      <c r="I12" s="28">
        <v>0</v>
      </c>
      <c r="J12">
        <v>0</v>
      </c>
      <c r="K12">
        <v>0</v>
      </c>
      <c r="L12" s="31">
        <v>35</v>
      </c>
      <c r="M12">
        <v>0</v>
      </c>
      <c r="N12">
        <v>0</v>
      </c>
      <c r="O12" s="28">
        <v>1</v>
      </c>
      <c r="P12">
        <v>0</v>
      </c>
      <c r="Q12">
        <v>0</v>
      </c>
      <c r="R12" s="28">
        <v>45</v>
      </c>
      <c r="S12">
        <v>1</v>
      </c>
      <c r="T12">
        <v>0</v>
      </c>
      <c r="U12" s="31">
        <v>2</v>
      </c>
      <c r="V12">
        <v>0</v>
      </c>
      <c r="W12">
        <v>0</v>
      </c>
      <c r="X12" s="28">
        <v>59</v>
      </c>
      <c r="Y12">
        <v>4</v>
      </c>
      <c r="Z12">
        <v>0</v>
      </c>
      <c r="AA12" s="28">
        <v>17</v>
      </c>
      <c r="AB12">
        <v>1</v>
      </c>
      <c r="AC12">
        <v>0</v>
      </c>
      <c r="AD12" s="31">
        <v>3</v>
      </c>
      <c r="AE12">
        <v>0</v>
      </c>
      <c r="AF12">
        <v>0</v>
      </c>
      <c r="AG12" s="28">
        <v>0</v>
      </c>
      <c r="AH12">
        <v>0</v>
      </c>
      <c r="AI12">
        <v>0</v>
      </c>
      <c r="AJ12" s="28">
        <v>2</v>
      </c>
      <c r="AK12">
        <v>0</v>
      </c>
      <c r="AL12" s="34">
        <v>0</v>
      </c>
    </row>
    <row r="13" spans="1:38" x14ac:dyDescent="0.3">
      <c r="A13" s="2" t="s">
        <v>43</v>
      </c>
      <c r="B13" s="7">
        <v>0.34375</v>
      </c>
      <c r="C13" s="31">
        <v>28</v>
      </c>
      <c r="D13">
        <v>0</v>
      </c>
      <c r="E13">
        <v>0</v>
      </c>
      <c r="F13" s="28">
        <v>81</v>
      </c>
      <c r="G13">
        <v>1</v>
      </c>
      <c r="H13">
        <v>0</v>
      </c>
      <c r="I13" s="28">
        <v>1</v>
      </c>
      <c r="J13">
        <v>0</v>
      </c>
      <c r="K13">
        <v>0</v>
      </c>
      <c r="L13" s="31">
        <v>35</v>
      </c>
      <c r="M13">
        <v>3</v>
      </c>
      <c r="N13">
        <v>0</v>
      </c>
      <c r="O13" s="28">
        <v>0</v>
      </c>
      <c r="P13">
        <v>0</v>
      </c>
      <c r="Q13">
        <v>0</v>
      </c>
      <c r="R13" s="28">
        <v>47</v>
      </c>
      <c r="S13">
        <v>0</v>
      </c>
      <c r="T13">
        <v>0</v>
      </c>
      <c r="U13" s="31">
        <v>0</v>
      </c>
      <c r="V13">
        <v>0</v>
      </c>
      <c r="W13">
        <v>0</v>
      </c>
      <c r="X13" s="28">
        <v>60</v>
      </c>
      <c r="Y13">
        <v>0</v>
      </c>
      <c r="Z13">
        <v>0</v>
      </c>
      <c r="AA13" s="28">
        <v>15</v>
      </c>
      <c r="AB13">
        <v>0</v>
      </c>
      <c r="AC13">
        <v>0</v>
      </c>
      <c r="AD13" s="31">
        <v>1</v>
      </c>
      <c r="AE13">
        <v>0</v>
      </c>
      <c r="AF13">
        <v>0</v>
      </c>
      <c r="AG13" s="28">
        <v>1</v>
      </c>
      <c r="AH13">
        <v>0</v>
      </c>
      <c r="AI13">
        <v>0</v>
      </c>
      <c r="AJ13" s="28">
        <v>1</v>
      </c>
      <c r="AK13">
        <v>0</v>
      </c>
      <c r="AL13" s="34">
        <v>0</v>
      </c>
    </row>
    <row r="14" spans="1:38" x14ac:dyDescent="0.3">
      <c r="A14" s="2" t="s">
        <v>43</v>
      </c>
      <c r="B14" s="7">
        <v>0.35416666666666669</v>
      </c>
      <c r="C14" s="31">
        <v>23</v>
      </c>
      <c r="D14">
        <v>0</v>
      </c>
      <c r="E14">
        <v>0</v>
      </c>
      <c r="F14" s="28">
        <v>60</v>
      </c>
      <c r="G14">
        <v>1</v>
      </c>
      <c r="H14">
        <v>0</v>
      </c>
      <c r="I14" s="28">
        <v>0</v>
      </c>
      <c r="J14">
        <v>0</v>
      </c>
      <c r="K14">
        <v>0</v>
      </c>
      <c r="L14" s="31">
        <v>31</v>
      </c>
      <c r="M14">
        <v>0</v>
      </c>
      <c r="N14">
        <v>0</v>
      </c>
      <c r="O14" s="28">
        <v>0</v>
      </c>
      <c r="P14">
        <v>0</v>
      </c>
      <c r="Q14">
        <v>0</v>
      </c>
      <c r="R14" s="28">
        <v>43</v>
      </c>
      <c r="S14">
        <v>0</v>
      </c>
      <c r="T14">
        <v>0</v>
      </c>
      <c r="U14" s="31">
        <v>0</v>
      </c>
      <c r="V14">
        <v>0</v>
      </c>
      <c r="W14">
        <v>0</v>
      </c>
      <c r="X14" s="28">
        <v>78</v>
      </c>
      <c r="Y14">
        <v>9</v>
      </c>
      <c r="Z14">
        <v>0</v>
      </c>
      <c r="AA14" s="28">
        <v>12</v>
      </c>
      <c r="AB14">
        <v>0</v>
      </c>
      <c r="AC14">
        <v>0</v>
      </c>
      <c r="AD14" s="31">
        <v>3</v>
      </c>
      <c r="AE14">
        <v>0</v>
      </c>
      <c r="AF14">
        <v>0</v>
      </c>
      <c r="AG14" s="28">
        <v>1</v>
      </c>
      <c r="AH14">
        <v>0</v>
      </c>
      <c r="AI14">
        <v>0</v>
      </c>
      <c r="AJ14" s="28">
        <v>2</v>
      </c>
      <c r="AK14">
        <v>0</v>
      </c>
      <c r="AL14" s="34">
        <v>0</v>
      </c>
    </row>
    <row r="15" spans="1:38" ht="15" thickBot="1" x14ac:dyDescent="0.35">
      <c r="A15" s="2" t="s">
        <v>43</v>
      </c>
      <c r="B15" s="7">
        <v>0.36458333333333331</v>
      </c>
      <c r="C15" s="31">
        <v>23</v>
      </c>
      <c r="D15">
        <v>1</v>
      </c>
      <c r="E15">
        <v>1</v>
      </c>
      <c r="F15" s="28">
        <v>51</v>
      </c>
      <c r="G15">
        <v>3</v>
      </c>
      <c r="H15">
        <v>1</v>
      </c>
      <c r="I15" s="28">
        <v>1</v>
      </c>
      <c r="J15">
        <v>0</v>
      </c>
      <c r="K15">
        <v>0</v>
      </c>
      <c r="L15" s="31">
        <v>20</v>
      </c>
      <c r="M15">
        <v>0</v>
      </c>
      <c r="N15">
        <v>0</v>
      </c>
      <c r="O15" s="28">
        <v>0</v>
      </c>
      <c r="P15">
        <v>0</v>
      </c>
      <c r="Q15">
        <v>0</v>
      </c>
      <c r="R15" s="28">
        <v>33</v>
      </c>
      <c r="S15">
        <v>0</v>
      </c>
      <c r="T15">
        <v>0</v>
      </c>
      <c r="U15" s="31">
        <v>0</v>
      </c>
      <c r="V15">
        <v>0</v>
      </c>
      <c r="W15">
        <v>0</v>
      </c>
      <c r="X15" s="28">
        <v>59</v>
      </c>
      <c r="Y15">
        <v>1</v>
      </c>
      <c r="Z15">
        <v>0</v>
      </c>
      <c r="AA15" s="28">
        <v>15</v>
      </c>
      <c r="AB15">
        <v>1</v>
      </c>
      <c r="AC15">
        <v>0</v>
      </c>
      <c r="AD15" s="31">
        <v>2</v>
      </c>
      <c r="AE15">
        <v>0</v>
      </c>
      <c r="AF15">
        <v>0</v>
      </c>
      <c r="AG15" s="28">
        <v>0</v>
      </c>
      <c r="AH15">
        <v>0</v>
      </c>
      <c r="AI15">
        <v>0</v>
      </c>
      <c r="AJ15" s="28">
        <v>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23</v>
      </c>
      <c r="D17">
        <v>0</v>
      </c>
      <c r="E17">
        <v>0</v>
      </c>
      <c r="F17" s="28">
        <v>39</v>
      </c>
      <c r="G17">
        <v>3</v>
      </c>
      <c r="H17">
        <v>0</v>
      </c>
      <c r="I17" s="28">
        <v>1</v>
      </c>
      <c r="J17">
        <v>0</v>
      </c>
      <c r="K17">
        <v>0</v>
      </c>
      <c r="L17" s="31">
        <v>15</v>
      </c>
      <c r="M17">
        <v>0</v>
      </c>
      <c r="N17">
        <v>0</v>
      </c>
      <c r="O17" s="28">
        <v>0</v>
      </c>
      <c r="P17">
        <v>0</v>
      </c>
      <c r="Q17">
        <v>0</v>
      </c>
      <c r="R17" s="28">
        <v>31</v>
      </c>
      <c r="S17">
        <v>0</v>
      </c>
      <c r="T17">
        <v>0</v>
      </c>
      <c r="U17" s="31">
        <v>2</v>
      </c>
      <c r="V17">
        <v>0</v>
      </c>
      <c r="W17">
        <v>0</v>
      </c>
      <c r="X17" s="28">
        <v>63</v>
      </c>
      <c r="Y17">
        <v>5</v>
      </c>
      <c r="Z17">
        <v>0</v>
      </c>
      <c r="AA17" s="28">
        <v>7</v>
      </c>
      <c r="AB17">
        <v>0</v>
      </c>
      <c r="AC17">
        <v>0</v>
      </c>
      <c r="AD17" s="31">
        <v>0</v>
      </c>
      <c r="AE17">
        <v>0</v>
      </c>
      <c r="AF17">
        <v>0</v>
      </c>
      <c r="AG17" s="28">
        <v>0</v>
      </c>
      <c r="AH17">
        <v>0</v>
      </c>
      <c r="AI17">
        <v>0</v>
      </c>
      <c r="AJ17" s="28">
        <v>1</v>
      </c>
      <c r="AK17">
        <v>0</v>
      </c>
      <c r="AL17" s="34">
        <v>0</v>
      </c>
    </row>
    <row r="18" spans="1:38" x14ac:dyDescent="0.3">
      <c r="A18" s="2" t="s">
        <v>87</v>
      </c>
      <c r="B18" s="7">
        <v>0.55208333333333337</v>
      </c>
      <c r="C18" s="31">
        <v>29</v>
      </c>
      <c r="D18">
        <v>0</v>
      </c>
      <c r="E18">
        <v>0</v>
      </c>
      <c r="F18" s="28">
        <v>49</v>
      </c>
      <c r="G18">
        <v>2</v>
      </c>
      <c r="H18">
        <v>0</v>
      </c>
      <c r="I18" s="28">
        <v>2</v>
      </c>
      <c r="J18">
        <v>0</v>
      </c>
      <c r="K18">
        <v>0</v>
      </c>
      <c r="L18" s="31">
        <v>6</v>
      </c>
      <c r="M18">
        <v>0</v>
      </c>
      <c r="N18">
        <v>0</v>
      </c>
      <c r="O18" s="28">
        <v>0</v>
      </c>
      <c r="P18">
        <v>0</v>
      </c>
      <c r="Q18">
        <v>0</v>
      </c>
      <c r="R18" s="28">
        <v>29</v>
      </c>
      <c r="S18">
        <v>0</v>
      </c>
      <c r="T18">
        <v>0</v>
      </c>
      <c r="U18" s="31">
        <v>2</v>
      </c>
      <c r="V18">
        <v>0</v>
      </c>
      <c r="W18">
        <v>0</v>
      </c>
      <c r="X18" s="28">
        <v>60</v>
      </c>
      <c r="Y18">
        <v>5</v>
      </c>
      <c r="Z18">
        <v>0</v>
      </c>
      <c r="AA18" s="28">
        <v>10</v>
      </c>
      <c r="AB18">
        <v>0</v>
      </c>
      <c r="AC18">
        <v>0</v>
      </c>
      <c r="AD18" s="31">
        <v>0</v>
      </c>
      <c r="AE18">
        <v>0</v>
      </c>
      <c r="AF18">
        <v>0</v>
      </c>
      <c r="AG18" s="28">
        <v>0</v>
      </c>
      <c r="AH18">
        <v>0</v>
      </c>
      <c r="AI18">
        <v>0</v>
      </c>
      <c r="AJ18" s="28">
        <v>1</v>
      </c>
      <c r="AK18">
        <v>0</v>
      </c>
      <c r="AL18" s="34">
        <v>0</v>
      </c>
    </row>
    <row r="19" spans="1:38" x14ac:dyDescent="0.3">
      <c r="A19" s="2" t="s">
        <v>87</v>
      </c>
      <c r="B19" s="7">
        <v>0.5625</v>
      </c>
      <c r="C19" s="31">
        <v>27</v>
      </c>
      <c r="D19">
        <v>0</v>
      </c>
      <c r="E19">
        <v>0</v>
      </c>
      <c r="F19" s="28">
        <v>43</v>
      </c>
      <c r="G19">
        <v>1</v>
      </c>
      <c r="H19">
        <v>0</v>
      </c>
      <c r="I19" s="28">
        <v>0</v>
      </c>
      <c r="J19">
        <v>0</v>
      </c>
      <c r="K19">
        <v>0</v>
      </c>
      <c r="L19" s="31">
        <v>20</v>
      </c>
      <c r="M19">
        <v>0</v>
      </c>
      <c r="N19">
        <v>0</v>
      </c>
      <c r="O19" s="28">
        <v>0</v>
      </c>
      <c r="P19">
        <v>0</v>
      </c>
      <c r="Q19">
        <v>0</v>
      </c>
      <c r="R19" s="28">
        <v>21</v>
      </c>
      <c r="S19">
        <v>0</v>
      </c>
      <c r="T19">
        <v>0</v>
      </c>
      <c r="U19" s="31">
        <v>1</v>
      </c>
      <c r="V19">
        <v>0</v>
      </c>
      <c r="W19">
        <v>0</v>
      </c>
      <c r="X19" s="28">
        <v>69</v>
      </c>
      <c r="Y19">
        <v>2</v>
      </c>
      <c r="Z19">
        <v>0</v>
      </c>
      <c r="AA19" s="28">
        <v>10</v>
      </c>
      <c r="AB19">
        <v>0</v>
      </c>
      <c r="AC19">
        <v>1</v>
      </c>
      <c r="AD19" s="31">
        <v>0</v>
      </c>
      <c r="AE19">
        <v>0</v>
      </c>
      <c r="AF19">
        <v>0</v>
      </c>
      <c r="AG19" s="28">
        <v>0</v>
      </c>
      <c r="AH19">
        <v>0</v>
      </c>
      <c r="AI19">
        <v>0</v>
      </c>
      <c r="AJ19" s="28">
        <v>0</v>
      </c>
      <c r="AK19">
        <v>0</v>
      </c>
      <c r="AL19" s="34">
        <v>0</v>
      </c>
    </row>
    <row r="20" spans="1:38" ht="15" thickBot="1" x14ac:dyDescent="0.35">
      <c r="A20" s="2" t="s">
        <v>87</v>
      </c>
      <c r="B20" s="7">
        <v>0.57291666666666663</v>
      </c>
      <c r="C20" s="31">
        <v>22</v>
      </c>
      <c r="D20">
        <v>0</v>
      </c>
      <c r="E20">
        <v>1</v>
      </c>
      <c r="F20" s="28">
        <v>51</v>
      </c>
      <c r="G20">
        <v>1</v>
      </c>
      <c r="H20">
        <v>1</v>
      </c>
      <c r="I20" s="28">
        <v>1</v>
      </c>
      <c r="J20">
        <v>0</v>
      </c>
      <c r="K20">
        <v>0</v>
      </c>
      <c r="L20" s="31">
        <v>14</v>
      </c>
      <c r="M20">
        <v>0</v>
      </c>
      <c r="N20">
        <v>0</v>
      </c>
      <c r="O20" s="28">
        <v>0</v>
      </c>
      <c r="P20">
        <v>0</v>
      </c>
      <c r="Q20">
        <v>0</v>
      </c>
      <c r="R20" s="28">
        <v>23</v>
      </c>
      <c r="S20">
        <v>0</v>
      </c>
      <c r="T20">
        <v>0</v>
      </c>
      <c r="U20" s="31">
        <v>3</v>
      </c>
      <c r="V20">
        <v>0</v>
      </c>
      <c r="W20">
        <v>0</v>
      </c>
      <c r="X20" s="28">
        <v>73</v>
      </c>
      <c r="Y20">
        <v>0</v>
      </c>
      <c r="Z20">
        <v>0</v>
      </c>
      <c r="AA20" s="28">
        <v>17</v>
      </c>
      <c r="AB20">
        <v>0</v>
      </c>
      <c r="AC20">
        <v>1</v>
      </c>
      <c r="AD20" s="31">
        <v>1</v>
      </c>
      <c r="AE20">
        <v>0</v>
      </c>
      <c r="AF20">
        <v>0</v>
      </c>
      <c r="AG20" s="28">
        <v>0</v>
      </c>
      <c r="AH20">
        <v>0</v>
      </c>
      <c r="AI20">
        <v>0</v>
      </c>
      <c r="AJ20" s="28">
        <v>1</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49</v>
      </c>
      <c r="D22">
        <v>0</v>
      </c>
      <c r="E22">
        <v>2</v>
      </c>
      <c r="F22" s="28">
        <v>62</v>
      </c>
      <c r="G22">
        <v>2</v>
      </c>
      <c r="H22">
        <v>0</v>
      </c>
      <c r="I22" s="28">
        <v>0</v>
      </c>
      <c r="J22">
        <v>0</v>
      </c>
      <c r="K22">
        <v>0</v>
      </c>
      <c r="L22" s="31">
        <v>10</v>
      </c>
      <c r="M22">
        <v>0</v>
      </c>
      <c r="N22">
        <v>0</v>
      </c>
      <c r="O22" s="28">
        <v>0</v>
      </c>
      <c r="P22">
        <v>0</v>
      </c>
      <c r="Q22">
        <v>0</v>
      </c>
      <c r="R22" s="28">
        <v>24</v>
      </c>
      <c r="S22">
        <v>0</v>
      </c>
      <c r="T22">
        <v>0</v>
      </c>
      <c r="U22" s="31">
        <v>1</v>
      </c>
      <c r="V22">
        <v>0</v>
      </c>
      <c r="W22">
        <v>0</v>
      </c>
      <c r="X22" s="28">
        <v>98</v>
      </c>
      <c r="Y22">
        <v>2</v>
      </c>
      <c r="Z22">
        <v>1</v>
      </c>
      <c r="AA22" s="28">
        <v>25</v>
      </c>
      <c r="AB22">
        <v>0</v>
      </c>
      <c r="AC22">
        <v>0</v>
      </c>
      <c r="AD22" s="31">
        <v>1</v>
      </c>
      <c r="AE22">
        <v>0</v>
      </c>
      <c r="AF22">
        <v>0</v>
      </c>
      <c r="AG22" s="28">
        <v>0</v>
      </c>
      <c r="AH22">
        <v>0</v>
      </c>
      <c r="AI22">
        <v>0</v>
      </c>
      <c r="AJ22" s="28">
        <v>1</v>
      </c>
      <c r="AK22">
        <v>0</v>
      </c>
      <c r="AL22" s="34">
        <v>0</v>
      </c>
    </row>
    <row r="23" spans="1:38" x14ac:dyDescent="0.3">
      <c r="A23" s="2" t="s">
        <v>44</v>
      </c>
      <c r="B23" s="7">
        <v>0.67708333333333337</v>
      </c>
      <c r="C23" s="31">
        <v>56</v>
      </c>
      <c r="D23">
        <v>0</v>
      </c>
      <c r="E23">
        <v>0</v>
      </c>
      <c r="F23" s="28">
        <v>83</v>
      </c>
      <c r="G23">
        <v>1</v>
      </c>
      <c r="H23">
        <v>0</v>
      </c>
      <c r="I23" s="28">
        <v>2</v>
      </c>
      <c r="J23">
        <v>0</v>
      </c>
      <c r="K23">
        <v>0</v>
      </c>
      <c r="L23" s="31">
        <v>10</v>
      </c>
      <c r="M23">
        <v>0</v>
      </c>
      <c r="N23">
        <v>1</v>
      </c>
      <c r="O23" s="28">
        <v>1</v>
      </c>
      <c r="P23">
        <v>0</v>
      </c>
      <c r="Q23">
        <v>0</v>
      </c>
      <c r="R23" s="28">
        <v>32</v>
      </c>
      <c r="S23">
        <v>0</v>
      </c>
      <c r="T23">
        <v>0</v>
      </c>
      <c r="U23" s="31">
        <v>1</v>
      </c>
      <c r="V23">
        <v>0</v>
      </c>
      <c r="W23">
        <v>0</v>
      </c>
      <c r="X23" s="28">
        <v>105</v>
      </c>
      <c r="Y23">
        <v>2</v>
      </c>
      <c r="Z23">
        <v>2</v>
      </c>
      <c r="AA23" s="28">
        <v>24</v>
      </c>
      <c r="AB23">
        <v>0</v>
      </c>
      <c r="AC23">
        <v>0</v>
      </c>
      <c r="AD23" s="31">
        <v>0</v>
      </c>
      <c r="AE23">
        <v>0</v>
      </c>
      <c r="AF23">
        <v>0</v>
      </c>
      <c r="AG23" s="28">
        <v>1</v>
      </c>
      <c r="AH23">
        <v>0</v>
      </c>
      <c r="AI23">
        <v>0</v>
      </c>
      <c r="AJ23" s="28">
        <v>0</v>
      </c>
      <c r="AK23">
        <v>0</v>
      </c>
      <c r="AL23" s="34">
        <v>0</v>
      </c>
    </row>
    <row r="24" spans="1:38" x14ac:dyDescent="0.3">
      <c r="A24" s="2" t="s">
        <v>44</v>
      </c>
      <c r="B24" s="7">
        <v>0.6875</v>
      </c>
      <c r="C24" s="31">
        <v>65</v>
      </c>
      <c r="D24">
        <v>1</v>
      </c>
      <c r="E24">
        <v>0</v>
      </c>
      <c r="F24" s="28">
        <v>75</v>
      </c>
      <c r="G24">
        <v>0</v>
      </c>
      <c r="H24">
        <v>1</v>
      </c>
      <c r="I24" s="28">
        <v>2</v>
      </c>
      <c r="J24">
        <v>0</v>
      </c>
      <c r="K24">
        <v>0</v>
      </c>
      <c r="L24" s="31">
        <v>15</v>
      </c>
      <c r="M24">
        <v>0</v>
      </c>
      <c r="N24">
        <v>0</v>
      </c>
      <c r="O24" s="28">
        <v>0</v>
      </c>
      <c r="P24">
        <v>0</v>
      </c>
      <c r="Q24">
        <v>0</v>
      </c>
      <c r="R24" s="28">
        <v>33</v>
      </c>
      <c r="S24">
        <v>0</v>
      </c>
      <c r="T24">
        <v>0</v>
      </c>
      <c r="U24" s="31">
        <v>0</v>
      </c>
      <c r="V24">
        <v>0</v>
      </c>
      <c r="W24">
        <v>0</v>
      </c>
      <c r="X24" s="28">
        <v>107</v>
      </c>
      <c r="Y24">
        <v>0</v>
      </c>
      <c r="Z24">
        <v>2</v>
      </c>
      <c r="AA24" s="28">
        <v>25</v>
      </c>
      <c r="AB24">
        <v>0</v>
      </c>
      <c r="AC24">
        <v>1</v>
      </c>
      <c r="AD24" s="31">
        <v>1</v>
      </c>
      <c r="AE24">
        <v>0</v>
      </c>
      <c r="AF24">
        <v>0</v>
      </c>
      <c r="AG24" s="28">
        <v>0</v>
      </c>
      <c r="AH24">
        <v>0</v>
      </c>
      <c r="AI24">
        <v>0</v>
      </c>
      <c r="AJ24" s="28">
        <v>0</v>
      </c>
      <c r="AK24">
        <v>0</v>
      </c>
      <c r="AL24" s="34">
        <v>0</v>
      </c>
    </row>
    <row r="25" spans="1:38" x14ac:dyDescent="0.3">
      <c r="A25" s="2" t="s">
        <v>44</v>
      </c>
      <c r="B25" s="7">
        <v>0.69791666666666663</v>
      </c>
      <c r="C25" s="31">
        <v>60</v>
      </c>
      <c r="D25">
        <v>0</v>
      </c>
      <c r="E25">
        <v>0</v>
      </c>
      <c r="F25" s="28">
        <v>59</v>
      </c>
      <c r="G25">
        <v>3</v>
      </c>
      <c r="H25">
        <v>0</v>
      </c>
      <c r="I25" s="28">
        <v>1</v>
      </c>
      <c r="J25">
        <v>0</v>
      </c>
      <c r="K25">
        <v>0</v>
      </c>
      <c r="L25" s="31">
        <v>18</v>
      </c>
      <c r="M25">
        <v>0</v>
      </c>
      <c r="N25">
        <v>1</v>
      </c>
      <c r="O25" s="28">
        <v>0</v>
      </c>
      <c r="P25">
        <v>0</v>
      </c>
      <c r="Q25">
        <v>0</v>
      </c>
      <c r="R25" s="28">
        <v>22</v>
      </c>
      <c r="S25">
        <v>0</v>
      </c>
      <c r="T25">
        <v>0</v>
      </c>
      <c r="U25" s="31">
        <v>1</v>
      </c>
      <c r="V25">
        <v>0</v>
      </c>
      <c r="W25">
        <v>0</v>
      </c>
      <c r="X25" s="28">
        <v>106</v>
      </c>
      <c r="Y25">
        <v>0</v>
      </c>
      <c r="Z25">
        <v>1</v>
      </c>
      <c r="AA25" s="28">
        <v>40</v>
      </c>
      <c r="AB25">
        <v>0</v>
      </c>
      <c r="AC25">
        <v>1</v>
      </c>
      <c r="AD25" s="31">
        <v>3</v>
      </c>
      <c r="AE25">
        <v>0</v>
      </c>
      <c r="AF25">
        <v>0</v>
      </c>
      <c r="AG25" s="28">
        <v>0</v>
      </c>
      <c r="AH25">
        <v>0</v>
      </c>
      <c r="AI25">
        <v>0</v>
      </c>
      <c r="AJ25" s="28">
        <v>2</v>
      </c>
      <c r="AK25">
        <v>0</v>
      </c>
      <c r="AL25" s="34">
        <v>0</v>
      </c>
    </row>
    <row r="26" spans="1:38" x14ac:dyDescent="0.3">
      <c r="A26" s="2" t="s">
        <v>44</v>
      </c>
      <c r="B26" s="7">
        <v>0.70833333333333337</v>
      </c>
      <c r="C26" s="31">
        <v>72</v>
      </c>
      <c r="D26">
        <v>0</v>
      </c>
      <c r="E26">
        <v>2</v>
      </c>
      <c r="F26" s="28">
        <v>87</v>
      </c>
      <c r="G26">
        <v>2</v>
      </c>
      <c r="H26">
        <v>0</v>
      </c>
      <c r="I26" s="28">
        <v>2</v>
      </c>
      <c r="J26">
        <v>0</v>
      </c>
      <c r="K26">
        <v>0</v>
      </c>
      <c r="L26" s="31">
        <v>13</v>
      </c>
      <c r="M26">
        <v>0</v>
      </c>
      <c r="N26">
        <v>0</v>
      </c>
      <c r="O26" s="28">
        <v>0</v>
      </c>
      <c r="P26">
        <v>0</v>
      </c>
      <c r="Q26">
        <v>0</v>
      </c>
      <c r="R26" s="28">
        <v>34</v>
      </c>
      <c r="S26">
        <v>0</v>
      </c>
      <c r="T26">
        <v>0</v>
      </c>
      <c r="U26" s="31">
        <v>5</v>
      </c>
      <c r="V26">
        <v>1</v>
      </c>
      <c r="W26">
        <v>0</v>
      </c>
      <c r="X26" s="28">
        <v>105</v>
      </c>
      <c r="Y26">
        <v>2</v>
      </c>
      <c r="Z26">
        <v>0</v>
      </c>
      <c r="AA26" s="28">
        <v>32</v>
      </c>
      <c r="AB26">
        <v>0</v>
      </c>
      <c r="AC26">
        <v>0</v>
      </c>
      <c r="AD26" s="31">
        <v>2</v>
      </c>
      <c r="AE26">
        <v>0</v>
      </c>
      <c r="AF26">
        <v>0</v>
      </c>
      <c r="AG26" s="28">
        <v>0</v>
      </c>
      <c r="AH26">
        <v>0</v>
      </c>
      <c r="AI26">
        <v>0</v>
      </c>
      <c r="AJ26" s="28">
        <v>0</v>
      </c>
      <c r="AK26">
        <v>0</v>
      </c>
      <c r="AL26" s="34">
        <v>0</v>
      </c>
    </row>
    <row r="27" spans="1:38" x14ac:dyDescent="0.3">
      <c r="A27" s="2" t="s">
        <v>44</v>
      </c>
      <c r="B27" s="7">
        <v>0.71875</v>
      </c>
      <c r="C27" s="31">
        <v>65</v>
      </c>
      <c r="D27">
        <v>0</v>
      </c>
      <c r="E27">
        <v>1</v>
      </c>
      <c r="F27" s="28">
        <v>79</v>
      </c>
      <c r="G27">
        <v>1</v>
      </c>
      <c r="H27">
        <v>0</v>
      </c>
      <c r="I27" s="28">
        <v>1</v>
      </c>
      <c r="J27">
        <v>0</v>
      </c>
      <c r="K27">
        <v>0</v>
      </c>
      <c r="L27" s="31">
        <v>16</v>
      </c>
      <c r="M27">
        <v>0</v>
      </c>
      <c r="N27">
        <v>0</v>
      </c>
      <c r="O27" s="28">
        <v>1</v>
      </c>
      <c r="P27">
        <v>0</v>
      </c>
      <c r="Q27">
        <v>0</v>
      </c>
      <c r="R27" s="28">
        <v>35</v>
      </c>
      <c r="S27">
        <v>0</v>
      </c>
      <c r="T27">
        <v>3</v>
      </c>
      <c r="U27" s="31">
        <v>2</v>
      </c>
      <c r="V27">
        <v>0</v>
      </c>
      <c r="W27">
        <v>0</v>
      </c>
      <c r="X27" s="28">
        <v>104</v>
      </c>
      <c r="Y27">
        <v>0</v>
      </c>
      <c r="Z27">
        <v>3</v>
      </c>
      <c r="AA27" s="28">
        <v>23</v>
      </c>
      <c r="AB27">
        <v>0</v>
      </c>
      <c r="AC27">
        <v>0</v>
      </c>
      <c r="AD27" s="31">
        <v>2</v>
      </c>
      <c r="AE27">
        <v>0</v>
      </c>
      <c r="AF27">
        <v>0</v>
      </c>
      <c r="AG27" s="28">
        <v>1</v>
      </c>
      <c r="AH27">
        <v>0</v>
      </c>
      <c r="AI27">
        <v>0</v>
      </c>
      <c r="AJ27" s="28">
        <v>0</v>
      </c>
      <c r="AK27">
        <v>0</v>
      </c>
      <c r="AL27" s="34">
        <v>0</v>
      </c>
    </row>
    <row r="28" spans="1:38" x14ac:dyDescent="0.3">
      <c r="A28" s="2" t="s">
        <v>44</v>
      </c>
      <c r="B28" s="7">
        <v>0.72916666666666663</v>
      </c>
      <c r="C28" s="31">
        <v>56</v>
      </c>
      <c r="D28">
        <v>0</v>
      </c>
      <c r="E28">
        <v>0</v>
      </c>
      <c r="F28" s="28">
        <v>70</v>
      </c>
      <c r="G28">
        <v>1</v>
      </c>
      <c r="H28">
        <v>1</v>
      </c>
      <c r="I28" s="28">
        <v>2</v>
      </c>
      <c r="J28">
        <v>0</v>
      </c>
      <c r="K28">
        <v>0</v>
      </c>
      <c r="L28" s="31">
        <v>15</v>
      </c>
      <c r="M28">
        <v>1</v>
      </c>
      <c r="N28">
        <v>0</v>
      </c>
      <c r="O28" s="28">
        <v>0</v>
      </c>
      <c r="P28">
        <v>0</v>
      </c>
      <c r="Q28">
        <v>0</v>
      </c>
      <c r="R28" s="28">
        <v>27</v>
      </c>
      <c r="S28">
        <v>0</v>
      </c>
      <c r="T28">
        <v>1</v>
      </c>
      <c r="U28" s="31">
        <v>3</v>
      </c>
      <c r="V28">
        <v>0</v>
      </c>
      <c r="W28">
        <v>0</v>
      </c>
      <c r="X28" s="28">
        <v>82</v>
      </c>
      <c r="Y28">
        <v>1</v>
      </c>
      <c r="Z28">
        <v>4</v>
      </c>
      <c r="AA28" s="28">
        <v>32</v>
      </c>
      <c r="AB28">
        <v>0</v>
      </c>
      <c r="AC28">
        <v>0</v>
      </c>
      <c r="AD28" s="31">
        <v>1</v>
      </c>
      <c r="AE28">
        <v>0</v>
      </c>
      <c r="AF28">
        <v>0</v>
      </c>
      <c r="AG28" s="28">
        <v>0</v>
      </c>
      <c r="AH28">
        <v>0</v>
      </c>
      <c r="AI28">
        <v>0</v>
      </c>
      <c r="AJ28" s="28">
        <v>1</v>
      </c>
      <c r="AK28">
        <v>0</v>
      </c>
      <c r="AL28" s="34">
        <v>0</v>
      </c>
    </row>
    <row r="29" spans="1:38" ht="15" thickBot="1" x14ac:dyDescent="0.35">
      <c r="A29" s="23" t="s">
        <v>44</v>
      </c>
      <c r="B29" s="48">
        <v>0.73958333333333337</v>
      </c>
      <c r="C29" s="39">
        <v>54</v>
      </c>
      <c r="D29" s="38">
        <v>0</v>
      </c>
      <c r="E29" s="38">
        <v>0</v>
      </c>
      <c r="F29" s="40">
        <v>65</v>
      </c>
      <c r="G29" s="38">
        <v>2</v>
      </c>
      <c r="H29" s="38">
        <v>0</v>
      </c>
      <c r="I29" s="40">
        <v>0</v>
      </c>
      <c r="J29" s="38">
        <v>0</v>
      </c>
      <c r="K29" s="38">
        <v>0</v>
      </c>
      <c r="L29" s="39">
        <v>18</v>
      </c>
      <c r="M29" s="38">
        <v>0</v>
      </c>
      <c r="N29" s="38">
        <v>0</v>
      </c>
      <c r="O29" s="40">
        <v>0</v>
      </c>
      <c r="P29" s="38">
        <v>0</v>
      </c>
      <c r="Q29" s="38">
        <v>0</v>
      </c>
      <c r="R29" s="40">
        <v>34</v>
      </c>
      <c r="S29" s="38">
        <v>0</v>
      </c>
      <c r="T29" s="38">
        <v>0</v>
      </c>
      <c r="U29" s="39">
        <v>2</v>
      </c>
      <c r="V29" s="38">
        <v>0</v>
      </c>
      <c r="W29" s="38">
        <v>0</v>
      </c>
      <c r="X29" s="40">
        <v>78</v>
      </c>
      <c r="Y29" s="38">
        <v>3</v>
      </c>
      <c r="Z29" s="38">
        <v>0</v>
      </c>
      <c r="AA29" s="40">
        <v>29</v>
      </c>
      <c r="AB29" s="38">
        <v>0</v>
      </c>
      <c r="AC29" s="38">
        <v>0</v>
      </c>
      <c r="AD29" s="39">
        <v>2</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6</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11</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17</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28</v>
      </c>
      <c r="H5" s="6">
        <f>FLOOR(tblPivotData[[#This Row],[Time]],Summary!$B$6/1440)</f>
        <v>0.32291666666666663</v>
      </c>
      <c r="I5">
        <f>INDEX(PeakCalc!$L$10:$L$303,MATCH(tblPivotData[[#This Row],[Time]],PeakCalc!$G$10:$G$303,0))</f>
        <v>1</v>
      </c>
    </row>
    <row r="6" spans="1:9" x14ac:dyDescent="0.3">
      <c r="A6" t="s">
        <v>92</v>
      </c>
      <c r="B6" t="s">
        <v>96</v>
      </c>
      <c r="C6" t="s">
        <v>93</v>
      </c>
      <c r="D6" t="s">
        <v>88</v>
      </c>
      <c r="E6" t="s">
        <v>43</v>
      </c>
      <c r="F6" s="6">
        <v>0.33333333333333331</v>
      </c>
      <c r="G6">
        <v>15</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28</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23</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23</v>
      </c>
      <c r="H9" s="6">
        <f>FLOOR(tblPivotData[[#This Row],[Time]],Summary!$B$6/1440)</f>
        <v>0.36458333333333331</v>
      </c>
      <c r="I9">
        <f>INDEX(PeakCalc!$L$10:$L$303,MATCH(tblPivotData[[#This Row],[Time]],PeakCalc!$G$10:$G$303,0))</f>
        <v>0</v>
      </c>
    </row>
    <row r="10" spans="1:9" x14ac:dyDescent="0.3">
      <c r="A10" t="s">
        <v>92</v>
      </c>
      <c r="B10" t="s">
        <v>96</v>
      </c>
      <c r="C10" t="s">
        <v>93</v>
      </c>
      <c r="D10" t="s">
        <v>88</v>
      </c>
      <c r="E10" t="s">
        <v>87</v>
      </c>
      <c r="F10" s="6">
        <v>0.54166666666666663</v>
      </c>
      <c r="G10">
        <v>23</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29</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27</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22</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49</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56</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65</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60</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72</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65</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56</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54</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1</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1</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2</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2</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45</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61</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74</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75</v>
      </c>
      <c r="H65" s="6">
        <f>FLOOR(tblPivotData[[#This Row],[Time]],Summary!$B$6/1440)</f>
        <v>0.32291666666666663</v>
      </c>
      <c r="I65">
        <f>INDEX(PeakCalc!$L$10:$L$303,MATCH(tblPivotData[[#This Row],[Time]],PeakCalc!$G$10:$G$303,0))</f>
        <v>1</v>
      </c>
    </row>
    <row r="66" spans="1:9" x14ac:dyDescent="0.3">
      <c r="A66" t="s">
        <v>92</v>
      </c>
      <c r="B66" t="s">
        <v>97</v>
      </c>
      <c r="C66" t="s">
        <v>94</v>
      </c>
      <c r="D66" t="s">
        <v>88</v>
      </c>
      <c r="E66" t="s">
        <v>43</v>
      </c>
      <c r="F66" s="6">
        <v>0.33333333333333331</v>
      </c>
      <c r="G66">
        <v>92</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81</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60</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51</v>
      </c>
      <c r="H69" s="6">
        <f>FLOOR(tblPivotData[[#This Row],[Time]],Summary!$B$6/1440)</f>
        <v>0.36458333333333331</v>
      </c>
      <c r="I69">
        <f>INDEX(PeakCalc!$L$10:$L$303,MATCH(tblPivotData[[#This Row],[Time]],PeakCalc!$G$10:$G$303,0))</f>
        <v>0</v>
      </c>
    </row>
    <row r="70" spans="1:9" x14ac:dyDescent="0.3">
      <c r="A70" t="s">
        <v>92</v>
      </c>
      <c r="B70" t="s">
        <v>97</v>
      </c>
      <c r="C70" t="s">
        <v>94</v>
      </c>
      <c r="D70" t="s">
        <v>88</v>
      </c>
      <c r="E70" t="s">
        <v>87</v>
      </c>
      <c r="F70" s="6">
        <v>0.54166666666666663</v>
      </c>
      <c r="G70">
        <v>39</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49</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43</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51</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62</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83</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75</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59</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87</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79</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70</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65</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5</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4</v>
      </c>
      <c r="H85" s="6">
        <f>FLOOR(tblPivotData[[#This Row],[Time]],Summary!$B$6/1440)</f>
        <v>0.32291666666666663</v>
      </c>
      <c r="I85">
        <f>INDEX(PeakCalc!$L$10:$L$303,MATCH(tblPivotData[[#This Row],[Time]],PeakCalc!$G$10:$G$303,0))</f>
        <v>1</v>
      </c>
    </row>
    <row r="86" spans="1:9" x14ac:dyDescent="0.3">
      <c r="A86" t="s">
        <v>92</v>
      </c>
      <c r="B86" t="s">
        <v>97</v>
      </c>
      <c r="C86" t="s">
        <v>94</v>
      </c>
      <c r="D86" t="s">
        <v>89</v>
      </c>
      <c r="E86" t="s">
        <v>43</v>
      </c>
      <c r="F86" s="6">
        <v>0.33333333333333331</v>
      </c>
      <c r="G86">
        <v>4</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97</v>
      </c>
      <c r="C90" t="s">
        <v>94</v>
      </c>
      <c r="D90" t="s">
        <v>89</v>
      </c>
      <c r="E90" t="s">
        <v>87</v>
      </c>
      <c r="F90" s="6">
        <v>0.54166666666666663</v>
      </c>
      <c r="G90">
        <v>3</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2</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3</v>
      </c>
      <c r="H105" s="6">
        <f>FLOOR(tblPivotData[[#This Row],[Time]],Summary!$B$6/1440)</f>
        <v>0.32291666666666663</v>
      </c>
      <c r="I105">
        <f>INDEX(PeakCalc!$L$10:$L$303,MATCH(tblPivotData[[#This Row],[Time]],PeakCalc!$G$10:$G$303,0))</f>
        <v>1</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1</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0</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92</v>
      </c>
      <c r="B126" t="s">
        <v>98</v>
      </c>
      <c r="C126" t="s">
        <v>95</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1</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1</v>
      </c>
      <c r="H129" s="6">
        <f>FLOOR(tblPivotData[[#This Row],[Time]],Summary!$B$6/1440)</f>
        <v>0.36458333333333331</v>
      </c>
      <c r="I129">
        <f>INDEX(PeakCalc!$L$10:$L$303,MATCH(tblPivotData[[#This Row],[Time]],PeakCalc!$G$10:$G$303,0))</f>
        <v>0</v>
      </c>
    </row>
    <row r="130" spans="1:9" x14ac:dyDescent="0.3">
      <c r="A130" t="s">
        <v>92</v>
      </c>
      <c r="B130" t="s">
        <v>98</v>
      </c>
      <c r="C130" t="s">
        <v>95</v>
      </c>
      <c r="D130" t="s">
        <v>88</v>
      </c>
      <c r="E130" t="s">
        <v>87</v>
      </c>
      <c r="F130" s="6">
        <v>0.54166666666666663</v>
      </c>
      <c r="G130">
        <v>1</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2</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0</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1</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2</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2</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1</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2</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1</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2</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34</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44</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41</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47</v>
      </c>
      <c r="H185" s="6">
        <f>FLOOR(tblPivotData[[#This Row],[Time]],Summary!$B$6/1440)</f>
        <v>0.32291666666666663</v>
      </c>
      <c r="I185">
        <f>INDEX(PeakCalc!$L$10:$L$303,MATCH(tblPivotData[[#This Row],[Time]],PeakCalc!$G$10:$G$303,0))</f>
        <v>1</v>
      </c>
    </row>
    <row r="186" spans="1:9" x14ac:dyDescent="0.3">
      <c r="A186" t="s">
        <v>93</v>
      </c>
      <c r="B186" t="s">
        <v>99</v>
      </c>
      <c r="C186" t="s">
        <v>94</v>
      </c>
      <c r="D186" t="s">
        <v>88</v>
      </c>
      <c r="E186" t="s">
        <v>43</v>
      </c>
      <c r="F186" s="6">
        <v>0.33333333333333331</v>
      </c>
      <c r="G186">
        <v>35</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35</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31</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20</v>
      </c>
      <c r="H189" s="6">
        <f>FLOOR(tblPivotData[[#This Row],[Time]],Summary!$B$6/1440)</f>
        <v>0.36458333333333331</v>
      </c>
      <c r="I189">
        <f>INDEX(PeakCalc!$L$10:$L$303,MATCH(tblPivotData[[#This Row],[Time]],PeakCalc!$G$10:$G$303,0))</f>
        <v>0</v>
      </c>
    </row>
    <row r="190" spans="1:9" x14ac:dyDescent="0.3">
      <c r="A190" t="s">
        <v>93</v>
      </c>
      <c r="B190" t="s">
        <v>99</v>
      </c>
      <c r="C190" t="s">
        <v>94</v>
      </c>
      <c r="D190" t="s">
        <v>88</v>
      </c>
      <c r="E190" t="s">
        <v>87</v>
      </c>
      <c r="F190" s="6">
        <v>0.54166666666666663</v>
      </c>
      <c r="G190">
        <v>15</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6</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20</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14</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10</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10</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15</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18</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13</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16</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15</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18</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3</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95</v>
      </c>
      <c r="D246" t="s">
        <v>88</v>
      </c>
      <c r="E246" t="s">
        <v>43</v>
      </c>
      <c r="F246" s="6">
        <v>0.33333333333333331</v>
      </c>
      <c r="G246">
        <v>1</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0</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95</v>
      </c>
      <c r="D250" t="s">
        <v>88</v>
      </c>
      <c r="E250" t="s">
        <v>87</v>
      </c>
      <c r="F250" s="6">
        <v>0.54166666666666663</v>
      </c>
      <c r="G250">
        <v>0</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0</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0</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1</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1</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54</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47</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43</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52</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45</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47</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43</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33</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31</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29</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21</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23</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24</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32</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33</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22</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34</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35</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27</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34</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3</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1</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94</v>
      </c>
      <c r="B366" t="s">
        <v>102</v>
      </c>
      <c r="C366" t="s">
        <v>95</v>
      </c>
      <c r="D366" t="s">
        <v>88</v>
      </c>
      <c r="E366" t="s">
        <v>43</v>
      </c>
      <c r="F366" s="6">
        <v>0.33333333333333331</v>
      </c>
      <c r="G366">
        <v>2</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0</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0</v>
      </c>
      <c r="H369" s="6">
        <f>FLOOR(tblPivotData[[#This Row],[Time]],Summary!$B$6/1440)</f>
        <v>0.36458333333333331</v>
      </c>
      <c r="I369">
        <f>INDEX(PeakCalc!$L$10:$L$303,MATCH(tblPivotData[[#This Row],[Time]],PeakCalc!$G$10:$G$303,0))</f>
        <v>0</v>
      </c>
    </row>
    <row r="370" spans="1:9" x14ac:dyDescent="0.3">
      <c r="A370" t="s">
        <v>94</v>
      </c>
      <c r="B370" t="s">
        <v>102</v>
      </c>
      <c r="C370" t="s">
        <v>95</v>
      </c>
      <c r="D370" t="s">
        <v>88</v>
      </c>
      <c r="E370" t="s">
        <v>87</v>
      </c>
      <c r="F370" s="6">
        <v>0.54166666666666663</v>
      </c>
      <c r="G370">
        <v>2</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2</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1</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3</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1</v>
      </c>
      <c r="H374" s="6">
        <f>FLOOR(tblPivotData[[#This Row],[Time]],Summary!$B$6/1440)</f>
        <v>0.66666666666666663</v>
      </c>
      <c r="I374">
        <f>INDEX(PeakCalc!$L$10:$L$303,MATCH(tblPivotData[[#This Row],[Time]],PeakCalc!$G$10:$G$303,0))</f>
        <v>0</v>
      </c>
    </row>
    <row r="375" spans="1:9" x14ac:dyDescent="0.3">
      <c r="A375" t="s">
        <v>94</v>
      </c>
      <c r="B375" t="s">
        <v>102</v>
      </c>
      <c r="C375" t="s">
        <v>95</v>
      </c>
      <c r="D375" t="s">
        <v>88</v>
      </c>
      <c r="E375" t="s">
        <v>44</v>
      </c>
      <c r="F375" s="6">
        <v>0.67708333333333337</v>
      </c>
      <c r="G375">
        <v>1</v>
      </c>
      <c r="H375" s="6">
        <f>FLOOR(tblPivotData[[#This Row],[Time]],Summary!$B$6/1440)</f>
        <v>0.67708333333333326</v>
      </c>
      <c r="I375">
        <f>INDEX(PeakCalc!$L$10:$L$303,MATCH(tblPivotData[[#This Row],[Time]],PeakCalc!$G$10:$G$303,0))</f>
        <v>0</v>
      </c>
    </row>
    <row r="376" spans="1:9" x14ac:dyDescent="0.3">
      <c r="A376" t="s">
        <v>94</v>
      </c>
      <c r="B376" t="s">
        <v>102</v>
      </c>
      <c r="C376" t="s">
        <v>95</v>
      </c>
      <c r="D376" t="s">
        <v>88</v>
      </c>
      <c r="E376" t="s">
        <v>44</v>
      </c>
      <c r="F376" s="6">
        <v>0.6875</v>
      </c>
      <c r="G376">
        <v>0</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1</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5</v>
      </c>
      <c r="H378" s="6">
        <f>FLOOR(tblPivotData[[#This Row],[Time]],Summary!$B$6/1440)</f>
        <v>0.70833333333333326</v>
      </c>
      <c r="I378">
        <f>INDEX(PeakCalc!$L$10:$L$303,MATCH(tblPivotData[[#This Row],[Time]],PeakCalc!$G$10:$G$303,0))</f>
        <v>1</v>
      </c>
    </row>
    <row r="379" spans="1:9" x14ac:dyDescent="0.3">
      <c r="A379" t="s">
        <v>94</v>
      </c>
      <c r="B379" t="s">
        <v>102</v>
      </c>
      <c r="C379" t="s">
        <v>95</v>
      </c>
      <c r="D379" t="s">
        <v>88</v>
      </c>
      <c r="E379" t="s">
        <v>44</v>
      </c>
      <c r="F379" s="6">
        <v>0.71875</v>
      </c>
      <c r="G379">
        <v>2</v>
      </c>
      <c r="H379" s="6">
        <f>FLOOR(tblPivotData[[#This Row],[Time]],Summary!$B$6/1440)</f>
        <v>0.71875</v>
      </c>
      <c r="I379">
        <f>INDEX(PeakCalc!$L$10:$L$303,MATCH(tblPivotData[[#This Row],[Time]],PeakCalc!$G$10:$G$303,0))</f>
        <v>1</v>
      </c>
    </row>
    <row r="380" spans="1:9" x14ac:dyDescent="0.3">
      <c r="A380" t="s">
        <v>94</v>
      </c>
      <c r="B380" t="s">
        <v>102</v>
      </c>
      <c r="C380" t="s">
        <v>95</v>
      </c>
      <c r="D380" t="s">
        <v>88</v>
      </c>
      <c r="E380" t="s">
        <v>44</v>
      </c>
      <c r="F380" s="6">
        <v>0.72916666666666663</v>
      </c>
      <c r="G380">
        <v>3</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2</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48</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53</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43</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55</v>
      </c>
      <c r="H425" s="6">
        <f>FLOOR(tblPivotData[[#This Row],[Time]],Summary!$B$6/1440)</f>
        <v>0.32291666666666663</v>
      </c>
      <c r="I425">
        <f>INDEX(PeakCalc!$L$10:$L$303,MATCH(tblPivotData[[#This Row],[Time]],PeakCalc!$G$10:$G$303,0))</f>
        <v>1</v>
      </c>
    </row>
    <row r="426" spans="1:9" x14ac:dyDescent="0.3">
      <c r="A426" t="s">
        <v>94</v>
      </c>
      <c r="B426" t="s">
        <v>103</v>
      </c>
      <c r="C426" t="s">
        <v>92</v>
      </c>
      <c r="D426" t="s">
        <v>88</v>
      </c>
      <c r="E426" t="s">
        <v>43</v>
      </c>
      <c r="F426" s="6">
        <v>0.33333333333333331</v>
      </c>
      <c r="G426">
        <v>59</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60</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78</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59</v>
      </c>
      <c r="H429" s="6">
        <f>FLOOR(tblPivotData[[#This Row],[Time]],Summary!$B$6/1440)</f>
        <v>0.36458333333333331</v>
      </c>
      <c r="I429">
        <f>INDEX(PeakCalc!$L$10:$L$303,MATCH(tblPivotData[[#This Row],[Time]],PeakCalc!$G$10:$G$303,0))</f>
        <v>0</v>
      </c>
    </row>
    <row r="430" spans="1:9" x14ac:dyDescent="0.3">
      <c r="A430" t="s">
        <v>94</v>
      </c>
      <c r="B430" t="s">
        <v>103</v>
      </c>
      <c r="C430" t="s">
        <v>92</v>
      </c>
      <c r="D430" t="s">
        <v>88</v>
      </c>
      <c r="E430" t="s">
        <v>87</v>
      </c>
      <c r="F430" s="6">
        <v>0.54166666666666663</v>
      </c>
      <c r="G430">
        <v>63</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60</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69</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73</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98</v>
      </c>
      <c r="H434" s="6">
        <f>FLOOR(tblPivotData[[#This Row],[Time]],Summary!$B$6/1440)</f>
        <v>0.66666666666666663</v>
      </c>
      <c r="I434">
        <f>INDEX(PeakCalc!$L$10:$L$303,MATCH(tblPivotData[[#This Row],[Time]],PeakCalc!$G$10:$G$303,0))</f>
        <v>0</v>
      </c>
    </row>
    <row r="435" spans="1:9" x14ac:dyDescent="0.3">
      <c r="A435" t="s">
        <v>94</v>
      </c>
      <c r="B435" t="s">
        <v>103</v>
      </c>
      <c r="C435" t="s">
        <v>92</v>
      </c>
      <c r="D435" t="s">
        <v>88</v>
      </c>
      <c r="E435" t="s">
        <v>44</v>
      </c>
      <c r="F435" s="6">
        <v>0.67708333333333337</v>
      </c>
      <c r="G435">
        <v>105</v>
      </c>
      <c r="H435" s="6">
        <f>FLOOR(tblPivotData[[#This Row],[Time]],Summary!$B$6/1440)</f>
        <v>0.67708333333333326</v>
      </c>
      <c r="I435">
        <f>INDEX(PeakCalc!$L$10:$L$303,MATCH(tblPivotData[[#This Row],[Time]],PeakCalc!$G$10:$G$303,0))</f>
        <v>0</v>
      </c>
    </row>
    <row r="436" spans="1:9" x14ac:dyDescent="0.3">
      <c r="A436" t="s">
        <v>94</v>
      </c>
      <c r="B436" t="s">
        <v>103</v>
      </c>
      <c r="C436" t="s">
        <v>92</v>
      </c>
      <c r="D436" t="s">
        <v>88</v>
      </c>
      <c r="E436" t="s">
        <v>44</v>
      </c>
      <c r="F436" s="6">
        <v>0.6875</v>
      </c>
      <c r="G436">
        <v>107</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106</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105</v>
      </c>
      <c r="H438" s="6">
        <f>FLOOR(tblPivotData[[#This Row],[Time]],Summary!$B$6/1440)</f>
        <v>0.70833333333333326</v>
      </c>
      <c r="I438">
        <f>INDEX(PeakCalc!$L$10:$L$303,MATCH(tblPivotData[[#This Row],[Time]],PeakCalc!$G$10:$G$303,0))</f>
        <v>1</v>
      </c>
    </row>
    <row r="439" spans="1:9" x14ac:dyDescent="0.3">
      <c r="A439" t="s">
        <v>94</v>
      </c>
      <c r="B439" t="s">
        <v>103</v>
      </c>
      <c r="C439" t="s">
        <v>92</v>
      </c>
      <c r="D439" t="s">
        <v>88</v>
      </c>
      <c r="E439" t="s">
        <v>44</v>
      </c>
      <c r="F439" s="6">
        <v>0.71875</v>
      </c>
      <c r="G439">
        <v>104</v>
      </c>
      <c r="H439" s="6">
        <f>FLOOR(tblPivotData[[#This Row],[Time]],Summary!$B$6/1440)</f>
        <v>0.71875</v>
      </c>
      <c r="I439">
        <f>INDEX(PeakCalc!$L$10:$L$303,MATCH(tblPivotData[[#This Row],[Time]],PeakCalc!$G$10:$G$303,0))</f>
        <v>1</v>
      </c>
    </row>
    <row r="440" spans="1:9" x14ac:dyDescent="0.3">
      <c r="A440" t="s">
        <v>94</v>
      </c>
      <c r="B440" t="s">
        <v>103</v>
      </c>
      <c r="C440" t="s">
        <v>92</v>
      </c>
      <c r="D440" t="s">
        <v>88</v>
      </c>
      <c r="E440" t="s">
        <v>44</v>
      </c>
      <c r="F440" s="6">
        <v>0.72916666666666663</v>
      </c>
      <c r="G440">
        <v>82</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78</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4</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2</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3">
      <c r="A446" t="s">
        <v>94</v>
      </c>
      <c r="B446" t="s">
        <v>103</v>
      </c>
      <c r="C446" t="s">
        <v>92</v>
      </c>
      <c r="D446" t="s">
        <v>89</v>
      </c>
      <c r="E446" t="s">
        <v>43</v>
      </c>
      <c r="F446" s="6">
        <v>0.33333333333333331</v>
      </c>
      <c r="G446">
        <v>4</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9</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3">
      <c r="A450" t="s">
        <v>94</v>
      </c>
      <c r="B450" t="s">
        <v>103</v>
      </c>
      <c r="C450" t="s">
        <v>92</v>
      </c>
      <c r="D450" t="s">
        <v>89</v>
      </c>
      <c r="E450" t="s">
        <v>87</v>
      </c>
      <c r="F450" s="6">
        <v>0.54166666666666663</v>
      </c>
      <c r="G450">
        <v>5</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5</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2</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3">
      <c r="A455" t="s">
        <v>94</v>
      </c>
      <c r="B455" t="s">
        <v>103</v>
      </c>
      <c r="C455" t="s">
        <v>92</v>
      </c>
      <c r="D455" t="s">
        <v>89</v>
      </c>
      <c r="E455" t="s">
        <v>44</v>
      </c>
      <c r="F455" s="6">
        <v>0.67708333333333337</v>
      </c>
      <c r="G455">
        <v>2</v>
      </c>
      <c r="H455" s="6">
        <f>FLOOR(tblPivotData[[#This Row],[Time]],Summary!$B$6/1440)</f>
        <v>0.67708333333333326</v>
      </c>
      <c r="I455">
        <f>INDEX(PeakCalc!$L$10:$L$303,MATCH(tblPivotData[[#This Row],[Time]],PeakCalc!$G$10:$G$303,0))</f>
        <v>0</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3</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90</v>
      </c>
      <c r="E475" t="s">
        <v>44</v>
      </c>
      <c r="F475" s="6">
        <v>0.67708333333333337</v>
      </c>
      <c r="G475">
        <v>2</v>
      </c>
      <c r="H475" s="6">
        <f>FLOOR(tblPivotData[[#This Row],[Time]],Summary!$B$6/1440)</f>
        <v>0.67708333333333326</v>
      </c>
      <c r="I475">
        <f>INDEX(PeakCalc!$L$10:$L$303,MATCH(tblPivotData[[#This Row],[Time]],PeakCalc!$G$10:$G$303,0))</f>
        <v>0</v>
      </c>
    </row>
    <row r="476" spans="1:9" x14ac:dyDescent="0.3">
      <c r="A476" t="s">
        <v>94</v>
      </c>
      <c r="B476" t="s">
        <v>103</v>
      </c>
      <c r="C476" t="s">
        <v>92</v>
      </c>
      <c r="D476" t="s">
        <v>90</v>
      </c>
      <c r="E476" t="s">
        <v>44</v>
      </c>
      <c r="F476" s="6">
        <v>0.6875</v>
      </c>
      <c r="G476">
        <v>2</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90</v>
      </c>
      <c r="E479" t="s">
        <v>44</v>
      </c>
      <c r="F479" s="6">
        <v>0.71875</v>
      </c>
      <c r="G479">
        <v>3</v>
      </c>
      <c r="H479" s="6">
        <f>FLOOR(tblPivotData[[#This Row],[Time]],Summary!$B$6/1440)</f>
        <v>0.71875</v>
      </c>
      <c r="I479">
        <f>INDEX(PeakCalc!$L$10:$L$303,MATCH(tblPivotData[[#This Row],[Time]],PeakCalc!$G$10:$G$303,0))</f>
        <v>1</v>
      </c>
    </row>
    <row r="480" spans="1:9" x14ac:dyDescent="0.3">
      <c r="A480" t="s">
        <v>94</v>
      </c>
      <c r="B480" t="s">
        <v>103</v>
      </c>
      <c r="C480" t="s">
        <v>92</v>
      </c>
      <c r="D480" t="s">
        <v>90</v>
      </c>
      <c r="E480" t="s">
        <v>44</v>
      </c>
      <c r="F480" s="6">
        <v>0.72916666666666663</v>
      </c>
      <c r="G480">
        <v>4</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2</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7</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4</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10</v>
      </c>
      <c r="H485" s="6">
        <f>FLOOR(tblPivotData[[#This Row],[Time]],Summary!$B$6/1440)</f>
        <v>0.32291666666666663</v>
      </c>
      <c r="I485">
        <f>INDEX(PeakCalc!$L$10:$L$303,MATCH(tblPivotData[[#This Row],[Time]],PeakCalc!$G$10:$G$303,0))</f>
        <v>1</v>
      </c>
    </row>
    <row r="486" spans="1:9" x14ac:dyDescent="0.3">
      <c r="A486" t="s">
        <v>94</v>
      </c>
      <c r="B486" t="s">
        <v>104</v>
      </c>
      <c r="C486" t="s">
        <v>93</v>
      </c>
      <c r="D486" t="s">
        <v>88</v>
      </c>
      <c r="E486" t="s">
        <v>43</v>
      </c>
      <c r="F486" s="6">
        <v>0.33333333333333331</v>
      </c>
      <c r="G486">
        <v>17</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15</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12</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15</v>
      </c>
      <c r="H489" s="6">
        <f>FLOOR(tblPivotData[[#This Row],[Time]],Summary!$B$6/1440)</f>
        <v>0.36458333333333331</v>
      </c>
      <c r="I489">
        <f>INDEX(PeakCalc!$L$10:$L$303,MATCH(tblPivotData[[#This Row],[Time]],PeakCalc!$G$10:$G$303,0))</f>
        <v>0</v>
      </c>
    </row>
    <row r="490" spans="1:9" x14ac:dyDescent="0.3">
      <c r="A490" t="s">
        <v>94</v>
      </c>
      <c r="B490" t="s">
        <v>104</v>
      </c>
      <c r="C490" t="s">
        <v>93</v>
      </c>
      <c r="D490" t="s">
        <v>88</v>
      </c>
      <c r="E490" t="s">
        <v>87</v>
      </c>
      <c r="F490" s="6">
        <v>0.54166666666666663</v>
      </c>
      <c r="G490">
        <v>7</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10</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10</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17</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25</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24</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25</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40</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32</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23</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32</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29</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1</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94</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1</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1</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1</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3</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2</v>
      </c>
      <c r="H545" s="6">
        <f>FLOOR(tblPivotData[[#This Row],[Time]],Summary!$B$6/1440)</f>
        <v>0.32291666666666663</v>
      </c>
      <c r="I545">
        <f>INDEX(PeakCalc!$L$10:$L$303,MATCH(tblPivotData[[#This Row],[Time]],PeakCalc!$G$10:$G$303,0))</f>
        <v>1</v>
      </c>
    </row>
    <row r="546" spans="1:9" x14ac:dyDescent="0.3">
      <c r="A546" t="s">
        <v>95</v>
      </c>
      <c r="B546" t="s">
        <v>105</v>
      </c>
      <c r="C546" t="s">
        <v>92</v>
      </c>
      <c r="D546" t="s">
        <v>88</v>
      </c>
      <c r="E546" t="s">
        <v>43</v>
      </c>
      <c r="F546" s="6">
        <v>0.33333333333333331</v>
      </c>
      <c r="G546">
        <v>3</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1</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3</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2</v>
      </c>
      <c r="H549" s="6">
        <f>FLOOR(tblPivotData[[#This Row],[Time]],Summary!$B$6/1440)</f>
        <v>0.36458333333333331</v>
      </c>
      <c r="I549">
        <f>INDEX(PeakCalc!$L$10:$L$303,MATCH(tblPivotData[[#This Row],[Time]],PeakCalc!$G$10:$G$303,0))</f>
        <v>0</v>
      </c>
    </row>
    <row r="550" spans="1:9" x14ac:dyDescent="0.3">
      <c r="A550" t="s">
        <v>95</v>
      </c>
      <c r="B550" t="s">
        <v>105</v>
      </c>
      <c r="C550" t="s">
        <v>92</v>
      </c>
      <c r="D550" t="s">
        <v>88</v>
      </c>
      <c r="E550" t="s">
        <v>87</v>
      </c>
      <c r="F550" s="6">
        <v>0.54166666666666663</v>
      </c>
      <c r="G550">
        <v>0</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0</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0</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1</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1</v>
      </c>
      <c r="H554" s="6">
        <f>FLOOR(tblPivotData[[#This Row],[Time]],Summary!$B$6/1440)</f>
        <v>0.66666666666666663</v>
      </c>
      <c r="I554">
        <f>INDEX(PeakCalc!$L$10:$L$303,MATCH(tblPivotData[[#This Row],[Time]],PeakCalc!$G$10:$G$303,0))</f>
        <v>0</v>
      </c>
    </row>
    <row r="555" spans="1:9" x14ac:dyDescent="0.3">
      <c r="A555" t="s">
        <v>95</v>
      </c>
      <c r="B555" t="s">
        <v>105</v>
      </c>
      <c r="C555" t="s">
        <v>92</v>
      </c>
      <c r="D555" t="s">
        <v>88</v>
      </c>
      <c r="E555" t="s">
        <v>44</v>
      </c>
      <c r="F555" s="6">
        <v>0.67708333333333337</v>
      </c>
      <c r="G555">
        <v>0</v>
      </c>
      <c r="H555" s="6">
        <f>FLOOR(tblPivotData[[#This Row],[Time]],Summary!$B$6/1440)</f>
        <v>0.67708333333333326</v>
      </c>
      <c r="I555">
        <f>INDEX(PeakCalc!$L$10:$L$303,MATCH(tblPivotData[[#This Row],[Time]],PeakCalc!$G$10:$G$303,0))</f>
        <v>0</v>
      </c>
    </row>
    <row r="556" spans="1:9" x14ac:dyDescent="0.3">
      <c r="A556" t="s">
        <v>95</v>
      </c>
      <c r="B556" t="s">
        <v>105</v>
      </c>
      <c r="C556" t="s">
        <v>92</v>
      </c>
      <c r="D556" t="s">
        <v>88</v>
      </c>
      <c r="E556" t="s">
        <v>44</v>
      </c>
      <c r="F556" s="6">
        <v>0.6875</v>
      </c>
      <c r="G556">
        <v>1</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3</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2</v>
      </c>
      <c r="H558" s="6">
        <f>FLOOR(tblPivotData[[#This Row],[Time]],Summary!$B$6/1440)</f>
        <v>0.70833333333333326</v>
      </c>
      <c r="I558">
        <f>INDEX(PeakCalc!$L$10:$L$303,MATCH(tblPivotData[[#This Row],[Time]],PeakCalc!$G$10:$G$303,0))</f>
        <v>1</v>
      </c>
    </row>
    <row r="559" spans="1:9" x14ac:dyDescent="0.3">
      <c r="A559" t="s">
        <v>95</v>
      </c>
      <c r="B559" t="s">
        <v>105</v>
      </c>
      <c r="C559" t="s">
        <v>92</v>
      </c>
      <c r="D559" t="s">
        <v>88</v>
      </c>
      <c r="E559" t="s">
        <v>44</v>
      </c>
      <c r="F559" s="6">
        <v>0.71875</v>
      </c>
      <c r="G559">
        <v>2</v>
      </c>
      <c r="H559" s="6">
        <f>FLOOR(tblPivotData[[#This Row],[Time]],Summary!$B$6/1440)</f>
        <v>0.71875</v>
      </c>
      <c r="I559">
        <f>INDEX(PeakCalc!$L$10:$L$303,MATCH(tblPivotData[[#This Row],[Time]],PeakCalc!$G$10:$G$303,0))</f>
        <v>1</v>
      </c>
    </row>
    <row r="560" spans="1:9" x14ac:dyDescent="0.3">
      <c r="A560" t="s">
        <v>95</v>
      </c>
      <c r="B560" t="s">
        <v>105</v>
      </c>
      <c r="C560" t="s">
        <v>92</v>
      </c>
      <c r="D560" t="s">
        <v>88</v>
      </c>
      <c r="E560" t="s">
        <v>44</v>
      </c>
      <c r="F560" s="6">
        <v>0.72916666666666663</v>
      </c>
      <c r="G560">
        <v>1</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2</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0</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0</v>
      </c>
      <c r="H605" s="6">
        <f>FLOOR(tblPivotData[[#This Row],[Time]],Summary!$B$6/1440)</f>
        <v>0.32291666666666663</v>
      </c>
      <c r="I605">
        <f>INDEX(PeakCalc!$L$10:$L$303,MATCH(tblPivotData[[#This Row],[Time]],PeakCalc!$G$10:$G$303,0))</f>
        <v>1</v>
      </c>
    </row>
    <row r="606" spans="1:9" x14ac:dyDescent="0.3">
      <c r="A606" t="s">
        <v>95</v>
      </c>
      <c r="B606" t="s">
        <v>106</v>
      </c>
      <c r="C606" t="s">
        <v>93</v>
      </c>
      <c r="D606" t="s">
        <v>88</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1</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1</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0</v>
      </c>
      <c r="H609" s="6">
        <f>FLOOR(tblPivotData[[#This Row],[Time]],Summary!$B$6/1440)</f>
        <v>0.36458333333333331</v>
      </c>
      <c r="I609">
        <f>INDEX(PeakCalc!$L$10:$L$303,MATCH(tblPivotData[[#This Row],[Time]],PeakCalc!$G$10:$G$303,0))</f>
        <v>0</v>
      </c>
    </row>
    <row r="610" spans="1:9" x14ac:dyDescent="0.3">
      <c r="A610" t="s">
        <v>95</v>
      </c>
      <c r="B610" t="s">
        <v>106</v>
      </c>
      <c r="C610" t="s">
        <v>93</v>
      </c>
      <c r="D610" t="s">
        <v>88</v>
      </c>
      <c r="E610" t="s">
        <v>87</v>
      </c>
      <c r="F610" s="6">
        <v>0.54166666666666663</v>
      </c>
      <c r="G610">
        <v>0</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0</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0</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0</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95</v>
      </c>
      <c r="B615" t="s">
        <v>106</v>
      </c>
      <c r="C615" t="s">
        <v>93</v>
      </c>
      <c r="D615" t="s">
        <v>88</v>
      </c>
      <c r="E615" t="s">
        <v>44</v>
      </c>
      <c r="F615" s="6">
        <v>0.67708333333333337</v>
      </c>
      <c r="G615">
        <v>1</v>
      </c>
      <c r="H615" s="6">
        <f>FLOOR(tblPivotData[[#This Row],[Time]],Summary!$B$6/1440)</f>
        <v>0.67708333333333326</v>
      </c>
      <c r="I615">
        <f>INDEX(PeakCalc!$L$10:$L$303,MATCH(tblPivotData[[#This Row],[Time]],PeakCalc!$G$10:$G$303,0))</f>
        <v>0</v>
      </c>
    </row>
    <row r="616" spans="1:9" x14ac:dyDescent="0.3">
      <c r="A616" t="s">
        <v>95</v>
      </c>
      <c r="B616" t="s">
        <v>106</v>
      </c>
      <c r="C616" t="s">
        <v>93</v>
      </c>
      <c r="D616" t="s">
        <v>88</v>
      </c>
      <c r="E616" t="s">
        <v>44</v>
      </c>
      <c r="F616" s="6">
        <v>0.6875</v>
      </c>
      <c r="G616">
        <v>0</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0</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95</v>
      </c>
      <c r="B619" t="s">
        <v>106</v>
      </c>
      <c r="C619" t="s">
        <v>93</v>
      </c>
      <c r="D619" t="s">
        <v>88</v>
      </c>
      <c r="E619" t="s">
        <v>44</v>
      </c>
      <c r="F619" s="6">
        <v>0.71875</v>
      </c>
      <c r="G619">
        <v>1</v>
      </c>
      <c r="H619" s="6">
        <f>FLOOR(tblPivotData[[#This Row],[Time]],Summary!$B$6/1440)</f>
        <v>0.71875</v>
      </c>
      <c r="I619">
        <f>INDEX(PeakCalc!$L$10:$L$303,MATCH(tblPivotData[[#This Row],[Time]],PeakCalc!$G$10:$G$303,0))</f>
        <v>1</v>
      </c>
    </row>
    <row r="620" spans="1:9" x14ac:dyDescent="0.3">
      <c r="A620" t="s">
        <v>95</v>
      </c>
      <c r="B620" t="s">
        <v>106</v>
      </c>
      <c r="C620" t="s">
        <v>93</v>
      </c>
      <c r="D620" t="s">
        <v>88</v>
      </c>
      <c r="E620" t="s">
        <v>44</v>
      </c>
      <c r="F620" s="6">
        <v>0.72916666666666663</v>
      </c>
      <c r="G620">
        <v>0</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0</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1</v>
      </c>
      <c r="H645" s="6">
        <f>FLOOR(tblPivotData[[#This Row],[Time]],Summary!$B$6/1440)</f>
        <v>0.32291666666666663</v>
      </c>
      <c r="I645">
        <f>INDEX(PeakCalc!$L$10:$L$303,MATCH(tblPivotData[[#This Row],[Time]],PeakCalc!$G$10:$G$303,0))</f>
        <v>1</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3</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4</v>
      </c>
      <c r="H665" s="6">
        <f>FLOOR(tblPivotData[[#This Row],[Time]],Summary!$B$6/1440)</f>
        <v>0.32291666666666663</v>
      </c>
      <c r="I665">
        <f>INDEX(PeakCalc!$L$10:$L$303,MATCH(tblPivotData[[#This Row],[Time]],PeakCalc!$G$10:$G$303,0))</f>
        <v>1</v>
      </c>
    </row>
    <row r="666" spans="1:9" x14ac:dyDescent="0.3">
      <c r="A666" t="s">
        <v>95</v>
      </c>
      <c r="B666" t="s">
        <v>107</v>
      </c>
      <c r="C666" t="s">
        <v>94</v>
      </c>
      <c r="D666" t="s">
        <v>88</v>
      </c>
      <c r="E666" t="s">
        <v>43</v>
      </c>
      <c r="F666" s="6">
        <v>0.33333333333333331</v>
      </c>
      <c r="G666">
        <v>2</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1</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2</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95</v>
      </c>
      <c r="B670" t="s">
        <v>107</v>
      </c>
      <c r="C670" t="s">
        <v>94</v>
      </c>
      <c r="D670" t="s">
        <v>88</v>
      </c>
      <c r="E670" t="s">
        <v>87</v>
      </c>
      <c r="F670" s="6">
        <v>0.54166666666666663</v>
      </c>
      <c r="G670">
        <v>1</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1</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1</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95</v>
      </c>
      <c r="B675" t="s">
        <v>107</v>
      </c>
      <c r="C675" t="s">
        <v>94</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95</v>
      </c>
      <c r="B676" t="s">
        <v>107</v>
      </c>
      <c r="C676" t="s">
        <v>94</v>
      </c>
      <c r="D676" t="s">
        <v>88</v>
      </c>
      <c r="E676" t="s">
        <v>44</v>
      </c>
      <c r="F676" s="6">
        <v>0.6875</v>
      </c>
      <c r="G676">
        <v>0</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2</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95</v>
      </c>
      <c r="B679" t="s">
        <v>107</v>
      </c>
      <c r="C679" t="s">
        <v>94</v>
      </c>
      <c r="D679" t="s">
        <v>88</v>
      </c>
      <c r="E679" t="s">
        <v>44</v>
      </c>
      <c r="F679" s="6">
        <v>0.71875</v>
      </c>
      <c r="G679">
        <v>0</v>
      </c>
      <c r="H679" s="6">
        <f>FLOOR(tblPivotData[[#This Row],[Time]],Summary!$B$6/1440)</f>
        <v>0.71875</v>
      </c>
      <c r="I679">
        <f>INDEX(PeakCalc!$L$10:$L$303,MATCH(tblPivotData[[#This Row],[Time]],PeakCalc!$G$10:$G$303,0))</f>
        <v>1</v>
      </c>
    </row>
    <row r="680" spans="1:9" x14ac:dyDescent="0.3">
      <c r="A680" t="s">
        <v>95</v>
      </c>
      <c r="B680" t="s">
        <v>107</v>
      </c>
      <c r="C680" t="s">
        <v>94</v>
      </c>
      <c r="D680" t="s">
        <v>88</v>
      </c>
      <c r="E680" t="s">
        <v>44</v>
      </c>
      <c r="F680" s="6">
        <v>0.72916666666666663</v>
      </c>
      <c r="G680">
        <v>1</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151</v>
      </c>
      <c r="D14">
        <v>4</v>
      </c>
      <c r="E14">
        <v>3</v>
      </c>
      <c r="F14">
        <v>158</v>
      </c>
      <c r="G14">
        <v>539</v>
      </c>
      <c r="H14">
        <v>23</v>
      </c>
      <c r="I14">
        <v>7</v>
      </c>
      <c r="J14">
        <v>569</v>
      </c>
      <c r="K14">
        <v>3</v>
      </c>
      <c r="L14">
        <v>0</v>
      </c>
      <c r="M14">
        <v>0</v>
      </c>
      <c r="N14">
        <v>3</v>
      </c>
      <c r="O14">
        <v>730</v>
      </c>
      <c r="P14">
        <v>287</v>
      </c>
      <c r="Q14">
        <v>3</v>
      </c>
      <c r="R14">
        <v>0</v>
      </c>
      <c r="S14">
        <v>290</v>
      </c>
      <c r="T14">
        <v>1</v>
      </c>
      <c r="U14">
        <v>0</v>
      </c>
      <c r="V14">
        <v>0</v>
      </c>
      <c r="W14">
        <v>1</v>
      </c>
      <c r="X14">
        <v>364</v>
      </c>
      <c r="Y14">
        <v>3</v>
      </c>
      <c r="Z14">
        <v>2</v>
      </c>
      <c r="AA14">
        <v>369</v>
      </c>
      <c r="AB14">
        <v>660</v>
      </c>
      <c r="AC14">
        <v>5</v>
      </c>
      <c r="AD14">
        <v>0</v>
      </c>
      <c r="AE14">
        <v>0</v>
      </c>
      <c r="AF14">
        <v>5</v>
      </c>
      <c r="AG14">
        <v>455</v>
      </c>
      <c r="AH14">
        <v>21</v>
      </c>
      <c r="AI14">
        <v>3</v>
      </c>
      <c r="AJ14">
        <v>479</v>
      </c>
      <c r="AK14">
        <v>82</v>
      </c>
      <c r="AL14">
        <v>3</v>
      </c>
      <c r="AM14">
        <v>0</v>
      </c>
      <c r="AN14">
        <v>85</v>
      </c>
      <c r="AO14">
        <v>569</v>
      </c>
      <c r="AP14">
        <v>14</v>
      </c>
      <c r="AQ14">
        <v>0</v>
      </c>
      <c r="AR14">
        <v>1</v>
      </c>
      <c r="AS14">
        <v>15</v>
      </c>
      <c r="AT14">
        <v>2</v>
      </c>
      <c r="AU14">
        <v>0</v>
      </c>
      <c r="AV14">
        <v>1</v>
      </c>
      <c r="AW14">
        <v>3</v>
      </c>
      <c r="AX14">
        <v>14</v>
      </c>
      <c r="AY14">
        <v>0</v>
      </c>
      <c r="AZ14">
        <v>0</v>
      </c>
      <c r="BA14">
        <v>14</v>
      </c>
      <c r="BB14">
        <v>32</v>
      </c>
      <c r="BC14">
        <v>1991</v>
      </c>
    </row>
    <row r="15" spans="2:55" x14ac:dyDescent="0.3">
      <c r="B15" s="11">
        <v>0.29166666666666669</v>
      </c>
      <c r="C15">
        <v>6</v>
      </c>
      <c r="D15">
        <v>1</v>
      </c>
      <c r="E15">
        <v>0</v>
      </c>
      <c r="F15">
        <v>7</v>
      </c>
      <c r="G15">
        <v>45</v>
      </c>
      <c r="H15">
        <v>4</v>
      </c>
      <c r="I15">
        <v>1</v>
      </c>
      <c r="J15">
        <v>50</v>
      </c>
      <c r="K15">
        <v>0</v>
      </c>
      <c r="L15">
        <v>0</v>
      </c>
      <c r="M15">
        <v>0</v>
      </c>
      <c r="N15">
        <v>0</v>
      </c>
      <c r="O15">
        <v>57</v>
      </c>
      <c r="P15">
        <v>34</v>
      </c>
      <c r="Q15">
        <v>0</v>
      </c>
      <c r="R15">
        <v>0</v>
      </c>
      <c r="S15">
        <v>34</v>
      </c>
      <c r="T15">
        <v>0</v>
      </c>
      <c r="U15">
        <v>0</v>
      </c>
      <c r="V15">
        <v>0</v>
      </c>
      <c r="W15">
        <v>0</v>
      </c>
      <c r="X15">
        <v>54</v>
      </c>
      <c r="Y15">
        <v>0</v>
      </c>
      <c r="Z15">
        <v>1</v>
      </c>
      <c r="AA15">
        <v>55</v>
      </c>
      <c r="AB15">
        <v>89</v>
      </c>
      <c r="AC15">
        <v>1</v>
      </c>
      <c r="AD15">
        <v>0</v>
      </c>
      <c r="AE15">
        <v>0</v>
      </c>
      <c r="AF15">
        <v>1</v>
      </c>
      <c r="AG15">
        <v>48</v>
      </c>
      <c r="AH15">
        <v>4</v>
      </c>
      <c r="AI15">
        <v>1</v>
      </c>
      <c r="AJ15">
        <v>53</v>
      </c>
      <c r="AK15">
        <v>2</v>
      </c>
      <c r="AL15">
        <v>0</v>
      </c>
      <c r="AM15">
        <v>0</v>
      </c>
      <c r="AN15">
        <v>2</v>
      </c>
      <c r="AO15">
        <v>56</v>
      </c>
      <c r="AP15">
        <v>0</v>
      </c>
      <c r="AQ15">
        <v>0</v>
      </c>
      <c r="AR15">
        <v>1</v>
      </c>
      <c r="AS15">
        <v>1</v>
      </c>
      <c r="AT15">
        <v>0</v>
      </c>
      <c r="AU15">
        <v>0</v>
      </c>
      <c r="AV15">
        <v>0</v>
      </c>
      <c r="AW15">
        <v>0</v>
      </c>
      <c r="AX15">
        <v>0</v>
      </c>
      <c r="AY15">
        <v>0</v>
      </c>
      <c r="AZ15">
        <v>0</v>
      </c>
      <c r="BA15">
        <v>0</v>
      </c>
      <c r="BB15">
        <v>1</v>
      </c>
      <c r="BC15">
        <v>203</v>
      </c>
    </row>
    <row r="16" spans="2:55" x14ac:dyDescent="0.3">
      <c r="B16" s="11">
        <v>0.30208333333333331</v>
      </c>
      <c r="C16">
        <v>11</v>
      </c>
      <c r="D16">
        <v>1</v>
      </c>
      <c r="E16">
        <v>1</v>
      </c>
      <c r="F16">
        <v>13</v>
      </c>
      <c r="G16">
        <v>61</v>
      </c>
      <c r="H16">
        <v>1</v>
      </c>
      <c r="I16">
        <v>0</v>
      </c>
      <c r="J16">
        <v>62</v>
      </c>
      <c r="K16">
        <v>1</v>
      </c>
      <c r="L16">
        <v>0</v>
      </c>
      <c r="M16">
        <v>0</v>
      </c>
      <c r="N16">
        <v>1</v>
      </c>
      <c r="O16">
        <v>76</v>
      </c>
      <c r="P16">
        <v>44</v>
      </c>
      <c r="Q16">
        <v>0</v>
      </c>
      <c r="R16">
        <v>0</v>
      </c>
      <c r="S16">
        <v>44</v>
      </c>
      <c r="T16">
        <v>0</v>
      </c>
      <c r="U16">
        <v>0</v>
      </c>
      <c r="V16">
        <v>0</v>
      </c>
      <c r="W16">
        <v>0</v>
      </c>
      <c r="X16">
        <v>47</v>
      </c>
      <c r="Y16">
        <v>2</v>
      </c>
      <c r="Z16">
        <v>1</v>
      </c>
      <c r="AA16">
        <v>50</v>
      </c>
      <c r="AB16">
        <v>94</v>
      </c>
      <c r="AC16">
        <v>1</v>
      </c>
      <c r="AD16">
        <v>0</v>
      </c>
      <c r="AE16">
        <v>0</v>
      </c>
      <c r="AF16">
        <v>1</v>
      </c>
      <c r="AG16">
        <v>53</v>
      </c>
      <c r="AH16">
        <v>0</v>
      </c>
      <c r="AI16">
        <v>1</v>
      </c>
      <c r="AJ16">
        <v>54</v>
      </c>
      <c r="AK16">
        <v>7</v>
      </c>
      <c r="AL16">
        <v>0</v>
      </c>
      <c r="AM16">
        <v>0</v>
      </c>
      <c r="AN16">
        <v>7</v>
      </c>
      <c r="AO16">
        <v>62</v>
      </c>
      <c r="AP16">
        <v>0</v>
      </c>
      <c r="AQ16">
        <v>0</v>
      </c>
      <c r="AR16">
        <v>0</v>
      </c>
      <c r="AS16">
        <v>0</v>
      </c>
      <c r="AT16">
        <v>0</v>
      </c>
      <c r="AU16">
        <v>0</v>
      </c>
      <c r="AV16">
        <v>0</v>
      </c>
      <c r="AW16">
        <v>0</v>
      </c>
      <c r="AX16">
        <v>2</v>
      </c>
      <c r="AY16">
        <v>0</v>
      </c>
      <c r="AZ16">
        <v>0</v>
      </c>
      <c r="BA16">
        <v>2</v>
      </c>
      <c r="BB16">
        <v>2</v>
      </c>
      <c r="BC16">
        <v>234</v>
      </c>
    </row>
    <row r="17" spans="2:55" x14ac:dyDescent="0.3">
      <c r="B17" s="11">
        <v>0.3125</v>
      </c>
      <c r="C17">
        <v>17</v>
      </c>
      <c r="D17">
        <v>0</v>
      </c>
      <c r="E17">
        <v>0</v>
      </c>
      <c r="F17">
        <v>17</v>
      </c>
      <c r="G17">
        <v>74</v>
      </c>
      <c r="H17">
        <v>5</v>
      </c>
      <c r="I17">
        <v>2</v>
      </c>
      <c r="J17">
        <v>81</v>
      </c>
      <c r="K17">
        <v>0</v>
      </c>
      <c r="L17">
        <v>0</v>
      </c>
      <c r="M17">
        <v>0</v>
      </c>
      <c r="N17">
        <v>0</v>
      </c>
      <c r="O17">
        <v>98</v>
      </c>
      <c r="P17">
        <v>41</v>
      </c>
      <c r="Q17">
        <v>0</v>
      </c>
      <c r="R17">
        <v>0</v>
      </c>
      <c r="S17">
        <v>41</v>
      </c>
      <c r="T17">
        <v>0</v>
      </c>
      <c r="U17">
        <v>0</v>
      </c>
      <c r="V17">
        <v>0</v>
      </c>
      <c r="W17">
        <v>0</v>
      </c>
      <c r="X17">
        <v>43</v>
      </c>
      <c r="Y17">
        <v>0</v>
      </c>
      <c r="Z17">
        <v>0</v>
      </c>
      <c r="AA17">
        <v>43</v>
      </c>
      <c r="AB17">
        <v>84</v>
      </c>
      <c r="AC17">
        <v>1</v>
      </c>
      <c r="AD17">
        <v>0</v>
      </c>
      <c r="AE17">
        <v>0</v>
      </c>
      <c r="AF17">
        <v>1</v>
      </c>
      <c r="AG17">
        <v>43</v>
      </c>
      <c r="AH17">
        <v>2</v>
      </c>
      <c r="AI17">
        <v>0</v>
      </c>
      <c r="AJ17">
        <v>45</v>
      </c>
      <c r="AK17">
        <v>4</v>
      </c>
      <c r="AL17">
        <v>1</v>
      </c>
      <c r="AM17">
        <v>0</v>
      </c>
      <c r="AN17">
        <v>5</v>
      </c>
      <c r="AO17">
        <v>51</v>
      </c>
      <c r="AP17">
        <v>3</v>
      </c>
      <c r="AQ17">
        <v>0</v>
      </c>
      <c r="AR17">
        <v>0</v>
      </c>
      <c r="AS17">
        <v>3</v>
      </c>
      <c r="AT17">
        <v>0</v>
      </c>
      <c r="AU17">
        <v>0</v>
      </c>
      <c r="AV17">
        <v>0</v>
      </c>
      <c r="AW17">
        <v>0</v>
      </c>
      <c r="AX17">
        <v>3</v>
      </c>
      <c r="AY17">
        <v>0</v>
      </c>
      <c r="AZ17">
        <v>0</v>
      </c>
      <c r="BA17">
        <v>3</v>
      </c>
      <c r="BB17">
        <v>6</v>
      </c>
      <c r="BC17">
        <v>239</v>
      </c>
    </row>
    <row r="18" spans="2:55" x14ac:dyDescent="0.3">
      <c r="B18" s="11">
        <v>0.32291666666666669</v>
      </c>
      <c r="C18">
        <v>28</v>
      </c>
      <c r="D18">
        <v>1</v>
      </c>
      <c r="E18">
        <v>1</v>
      </c>
      <c r="F18">
        <v>30</v>
      </c>
      <c r="G18">
        <v>75</v>
      </c>
      <c r="H18">
        <v>4</v>
      </c>
      <c r="I18">
        <v>3</v>
      </c>
      <c r="J18">
        <v>82</v>
      </c>
      <c r="K18">
        <v>0</v>
      </c>
      <c r="L18">
        <v>0</v>
      </c>
      <c r="M18">
        <v>0</v>
      </c>
      <c r="N18">
        <v>0</v>
      </c>
      <c r="O18">
        <v>112</v>
      </c>
      <c r="P18">
        <v>47</v>
      </c>
      <c r="Q18">
        <v>0</v>
      </c>
      <c r="R18">
        <v>0</v>
      </c>
      <c r="S18">
        <v>47</v>
      </c>
      <c r="T18">
        <v>0</v>
      </c>
      <c r="U18">
        <v>0</v>
      </c>
      <c r="V18">
        <v>0</v>
      </c>
      <c r="W18">
        <v>0</v>
      </c>
      <c r="X18">
        <v>52</v>
      </c>
      <c r="Y18">
        <v>0</v>
      </c>
      <c r="Z18">
        <v>0</v>
      </c>
      <c r="AA18">
        <v>52</v>
      </c>
      <c r="AB18">
        <v>99</v>
      </c>
      <c r="AC18">
        <v>0</v>
      </c>
      <c r="AD18">
        <v>0</v>
      </c>
      <c r="AE18">
        <v>0</v>
      </c>
      <c r="AF18">
        <v>0</v>
      </c>
      <c r="AG18">
        <v>55</v>
      </c>
      <c r="AH18">
        <v>1</v>
      </c>
      <c r="AI18">
        <v>1</v>
      </c>
      <c r="AJ18">
        <v>57</v>
      </c>
      <c r="AK18">
        <v>10</v>
      </c>
      <c r="AL18">
        <v>0</v>
      </c>
      <c r="AM18">
        <v>0</v>
      </c>
      <c r="AN18">
        <v>10</v>
      </c>
      <c r="AO18">
        <v>67</v>
      </c>
      <c r="AP18">
        <v>2</v>
      </c>
      <c r="AQ18">
        <v>0</v>
      </c>
      <c r="AR18">
        <v>0</v>
      </c>
      <c r="AS18">
        <v>2</v>
      </c>
      <c r="AT18">
        <v>0</v>
      </c>
      <c r="AU18">
        <v>0</v>
      </c>
      <c r="AV18">
        <v>1</v>
      </c>
      <c r="AW18">
        <v>1</v>
      </c>
      <c r="AX18">
        <v>4</v>
      </c>
      <c r="AY18">
        <v>0</v>
      </c>
      <c r="AZ18">
        <v>0</v>
      </c>
      <c r="BA18">
        <v>4</v>
      </c>
      <c r="BB18">
        <v>7</v>
      </c>
      <c r="BC18">
        <v>285</v>
      </c>
    </row>
    <row r="19" spans="2:55" x14ac:dyDescent="0.3">
      <c r="B19" s="11">
        <v>0.33333333333333331</v>
      </c>
      <c r="C19">
        <v>15</v>
      </c>
      <c r="D19">
        <v>0</v>
      </c>
      <c r="E19">
        <v>0</v>
      </c>
      <c r="F19">
        <v>15</v>
      </c>
      <c r="G19">
        <v>92</v>
      </c>
      <c r="H19">
        <v>4</v>
      </c>
      <c r="I19">
        <v>0</v>
      </c>
      <c r="J19">
        <v>96</v>
      </c>
      <c r="K19">
        <v>0</v>
      </c>
      <c r="L19">
        <v>0</v>
      </c>
      <c r="M19">
        <v>0</v>
      </c>
      <c r="N19">
        <v>0</v>
      </c>
      <c r="O19">
        <v>111</v>
      </c>
      <c r="P19">
        <v>35</v>
      </c>
      <c r="Q19">
        <v>0</v>
      </c>
      <c r="R19">
        <v>0</v>
      </c>
      <c r="S19">
        <v>35</v>
      </c>
      <c r="T19">
        <v>1</v>
      </c>
      <c r="U19">
        <v>0</v>
      </c>
      <c r="V19">
        <v>0</v>
      </c>
      <c r="W19">
        <v>1</v>
      </c>
      <c r="X19">
        <v>45</v>
      </c>
      <c r="Y19">
        <v>1</v>
      </c>
      <c r="Z19">
        <v>0</v>
      </c>
      <c r="AA19">
        <v>46</v>
      </c>
      <c r="AB19">
        <v>82</v>
      </c>
      <c r="AC19">
        <v>2</v>
      </c>
      <c r="AD19">
        <v>0</v>
      </c>
      <c r="AE19">
        <v>0</v>
      </c>
      <c r="AF19">
        <v>2</v>
      </c>
      <c r="AG19">
        <v>59</v>
      </c>
      <c r="AH19">
        <v>4</v>
      </c>
      <c r="AI19">
        <v>0</v>
      </c>
      <c r="AJ19">
        <v>63</v>
      </c>
      <c r="AK19">
        <v>17</v>
      </c>
      <c r="AL19">
        <v>1</v>
      </c>
      <c r="AM19">
        <v>0</v>
      </c>
      <c r="AN19">
        <v>18</v>
      </c>
      <c r="AO19">
        <v>83</v>
      </c>
      <c r="AP19">
        <v>3</v>
      </c>
      <c r="AQ19">
        <v>0</v>
      </c>
      <c r="AR19">
        <v>0</v>
      </c>
      <c r="AS19">
        <v>3</v>
      </c>
      <c r="AT19">
        <v>0</v>
      </c>
      <c r="AU19">
        <v>0</v>
      </c>
      <c r="AV19">
        <v>0</v>
      </c>
      <c r="AW19">
        <v>0</v>
      </c>
      <c r="AX19">
        <v>2</v>
      </c>
      <c r="AY19">
        <v>0</v>
      </c>
      <c r="AZ19">
        <v>0</v>
      </c>
      <c r="BA19">
        <v>2</v>
      </c>
      <c r="BB19">
        <v>5</v>
      </c>
      <c r="BC19">
        <v>281</v>
      </c>
    </row>
    <row r="20" spans="2:55" x14ac:dyDescent="0.3">
      <c r="B20" s="11">
        <v>0.34375</v>
      </c>
      <c r="C20">
        <v>28</v>
      </c>
      <c r="D20">
        <v>0</v>
      </c>
      <c r="E20">
        <v>0</v>
      </c>
      <c r="F20">
        <v>28</v>
      </c>
      <c r="G20">
        <v>81</v>
      </c>
      <c r="H20">
        <v>1</v>
      </c>
      <c r="I20">
        <v>0</v>
      </c>
      <c r="J20">
        <v>82</v>
      </c>
      <c r="K20">
        <v>1</v>
      </c>
      <c r="L20">
        <v>0</v>
      </c>
      <c r="M20">
        <v>0</v>
      </c>
      <c r="N20">
        <v>1</v>
      </c>
      <c r="O20">
        <v>111</v>
      </c>
      <c r="P20">
        <v>35</v>
      </c>
      <c r="Q20">
        <v>3</v>
      </c>
      <c r="R20">
        <v>0</v>
      </c>
      <c r="S20">
        <v>38</v>
      </c>
      <c r="T20">
        <v>0</v>
      </c>
      <c r="U20">
        <v>0</v>
      </c>
      <c r="V20">
        <v>0</v>
      </c>
      <c r="W20">
        <v>0</v>
      </c>
      <c r="X20">
        <v>47</v>
      </c>
      <c r="Y20">
        <v>0</v>
      </c>
      <c r="Z20">
        <v>0</v>
      </c>
      <c r="AA20">
        <v>47</v>
      </c>
      <c r="AB20">
        <v>85</v>
      </c>
      <c r="AC20">
        <v>0</v>
      </c>
      <c r="AD20">
        <v>0</v>
      </c>
      <c r="AE20">
        <v>0</v>
      </c>
      <c r="AF20">
        <v>0</v>
      </c>
      <c r="AG20">
        <v>60</v>
      </c>
      <c r="AH20">
        <v>0</v>
      </c>
      <c r="AI20">
        <v>0</v>
      </c>
      <c r="AJ20">
        <v>60</v>
      </c>
      <c r="AK20">
        <v>15</v>
      </c>
      <c r="AL20">
        <v>0</v>
      </c>
      <c r="AM20">
        <v>0</v>
      </c>
      <c r="AN20">
        <v>15</v>
      </c>
      <c r="AO20">
        <v>75</v>
      </c>
      <c r="AP20">
        <v>1</v>
      </c>
      <c r="AQ20">
        <v>0</v>
      </c>
      <c r="AR20">
        <v>0</v>
      </c>
      <c r="AS20">
        <v>1</v>
      </c>
      <c r="AT20">
        <v>1</v>
      </c>
      <c r="AU20">
        <v>0</v>
      </c>
      <c r="AV20">
        <v>0</v>
      </c>
      <c r="AW20">
        <v>1</v>
      </c>
      <c r="AX20">
        <v>1</v>
      </c>
      <c r="AY20">
        <v>0</v>
      </c>
      <c r="AZ20">
        <v>0</v>
      </c>
      <c r="BA20">
        <v>1</v>
      </c>
      <c r="BB20">
        <v>3</v>
      </c>
      <c r="BC20">
        <v>274</v>
      </c>
    </row>
    <row r="21" spans="2:55" x14ac:dyDescent="0.3">
      <c r="B21" s="11">
        <v>0.35416666666666669</v>
      </c>
      <c r="C21">
        <v>23</v>
      </c>
      <c r="D21">
        <v>0</v>
      </c>
      <c r="E21">
        <v>0</v>
      </c>
      <c r="F21">
        <v>23</v>
      </c>
      <c r="G21">
        <v>60</v>
      </c>
      <c r="H21">
        <v>1</v>
      </c>
      <c r="I21">
        <v>0</v>
      </c>
      <c r="J21">
        <v>61</v>
      </c>
      <c r="K21">
        <v>0</v>
      </c>
      <c r="L21">
        <v>0</v>
      </c>
      <c r="M21">
        <v>0</v>
      </c>
      <c r="N21">
        <v>0</v>
      </c>
      <c r="O21">
        <v>84</v>
      </c>
      <c r="P21">
        <v>31</v>
      </c>
      <c r="Q21">
        <v>0</v>
      </c>
      <c r="R21">
        <v>0</v>
      </c>
      <c r="S21">
        <v>31</v>
      </c>
      <c r="T21">
        <v>0</v>
      </c>
      <c r="U21">
        <v>0</v>
      </c>
      <c r="V21">
        <v>0</v>
      </c>
      <c r="W21">
        <v>0</v>
      </c>
      <c r="X21">
        <v>43</v>
      </c>
      <c r="Y21">
        <v>0</v>
      </c>
      <c r="Z21">
        <v>0</v>
      </c>
      <c r="AA21">
        <v>43</v>
      </c>
      <c r="AB21">
        <v>74</v>
      </c>
      <c r="AC21">
        <v>0</v>
      </c>
      <c r="AD21">
        <v>0</v>
      </c>
      <c r="AE21">
        <v>0</v>
      </c>
      <c r="AF21">
        <v>0</v>
      </c>
      <c r="AG21">
        <v>78</v>
      </c>
      <c r="AH21">
        <v>9</v>
      </c>
      <c r="AI21">
        <v>0</v>
      </c>
      <c r="AJ21">
        <v>87</v>
      </c>
      <c r="AK21">
        <v>12</v>
      </c>
      <c r="AL21">
        <v>0</v>
      </c>
      <c r="AM21">
        <v>0</v>
      </c>
      <c r="AN21">
        <v>12</v>
      </c>
      <c r="AO21">
        <v>99</v>
      </c>
      <c r="AP21">
        <v>3</v>
      </c>
      <c r="AQ21">
        <v>0</v>
      </c>
      <c r="AR21">
        <v>0</v>
      </c>
      <c r="AS21">
        <v>3</v>
      </c>
      <c r="AT21">
        <v>1</v>
      </c>
      <c r="AU21">
        <v>0</v>
      </c>
      <c r="AV21">
        <v>0</v>
      </c>
      <c r="AW21">
        <v>1</v>
      </c>
      <c r="AX21">
        <v>2</v>
      </c>
      <c r="AY21">
        <v>0</v>
      </c>
      <c r="AZ21">
        <v>0</v>
      </c>
      <c r="BA21">
        <v>2</v>
      </c>
      <c r="BB21">
        <v>6</v>
      </c>
      <c r="BC21">
        <v>263</v>
      </c>
    </row>
    <row r="22" spans="2:55" x14ac:dyDescent="0.3">
      <c r="B22" s="11">
        <v>0.36458333333333331</v>
      </c>
      <c r="C22">
        <v>23</v>
      </c>
      <c r="D22">
        <v>1</v>
      </c>
      <c r="E22">
        <v>1</v>
      </c>
      <c r="F22">
        <v>25</v>
      </c>
      <c r="G22">
        <v>51</v>
      </c>
      <c r="H22">
        <v>3</v>
      </c>
      <c r="I22">
        <v>1</v>
      </c>
      <c r="J22">
        <v>55</v>
      </c>
      <c r="K22">
        <v>1</v>
      </c>
      <c r="L22">
        <v>0</v>
      </c>
      <c r="M22">
        <v>0</v>
      </c>
      <c r="N22">
        <v>1</v>
      </c>
      <c r="O22">
        <v>81</v>
      </c>
      <c r="P22">
        <v>20</v>
      </c>
      <c r="Q22">
        <v>0</v>
      </c>
      <c r="R22">
        <v>0</v>
      </c>
      <c r="S22">
        <v>20</v>
      </c>
      <c r="T22">
        <v>0</v>
      </c>
      <c r="U22">
        <v>0</v>
      </c>
      <c r="V22">
        <v>0</v>
      </c>
      <c r="W22">
        <v>0</v>
      </c>
      <c r="X22">
        <v>33</v>
      </c>
      <c r="Y22">
        <v>0</v>
      </c>
      <c r="Z22">
        <v>0</v>
      </c>
      <c r="AA22">
        <v>33</v>
      </c>
      <c r="AB22">
        <v>53</v>
      </c>
      <c r="AC22">
        <v>0</v>
      </c>
      <c r="AD22">
        <v>0</v>
      </c>
      <c r="AE22">
        <v>0</v>
      </c>
      <c r="AF22">
        <v>0</v>
      </c>
      <c r="AG22">
        <v>59</v>
      </c>
      <c r="AH22">
        <v>1</v>
      </c>
      <c r="AI22">
        <v>0</v>
      </c>
      <c r="AJ22">
        <v>60</v>
      </c>
      <c r="AK22">
        <v>15</v>
      </c>
      <c r="AL22">
        <v>1</v>
      </c>
      <c r="AM22">
        <v>0</v>
      </c>
      <c r="AN22">
        <v>16</v>
      </c>
      <c r="AO22">
        <v>76</v>
      </c>
      <c r="AP22">
        <v>2</v>
      </c>
      <c r="AQ22">
        <v>0</v>
      </c>
      <c r="AR22">
        <v>0</v>
      </c>
      <c r="AS22">
        <v>2</v>
      </c>
      <c r="AT22">
        <v>0</v>
      </c>
      <c r="AU22">
        <v>0</v>
      </c>
      <c r="AV22">
        <v>0</v>
      </c>
      <c r="AW22">
        <v>0</v>
      </c>
      <c r="AX22">
        <v>0</v>
      </c>
      <c r="AY22">
        <v>0</v>
      </c>
      <c r="AZ22">
        <v>0</v>
      </c>
      <c r="BA22">
        <v>0</v>
      </c>
      <c r="BB22">
        <v>2</v>
      </c>
      <c r="BC22">
        <v>212</v>
      </c>
    </row>
    <row r="23" spans="2:55" x14ac:dyDescent="0.3">
      <c r="B23" s="10" t="s">
        <v>44</v>
      </c>
      <c r="C23">
        <v>477</v>
      </c>
      <c r="D23">
        <v>1</v>
      </c>
      <c r="E23">
        <v>5</v>
      </c>
      <c r="F23">
        <v>483</v>
      </c>
      <c r="G23">
        <v>580</v>
      </c>
      <c r="H23">
        <v>12</v>
      </c>
      <c r="I23">
        <v>2</v>
      </c>
      <c r="J23">
        <v>594</v>
      </c>
      <c r="K23">
        <v>10</v>
      </c>
      <c r="L23">
        <v>0</v>
      </c>
      <c r="M23">
        <v>0</v>
      </c>
      <c r="N23">
        <v>10</v>
      </c>
      <c r="O23">
        <v>1087</v>
      </c>
      <c r="P23">
        <v>115</v>
      </c>
      <c r="Q23">
        <v>1</v>
      </c>
      <c r="R23">
        <v>2</v>
      </c>
      <c r="S23">
        <v>118</v>
      </c>
      <c r="T23">
        <v>2</v>
      </c>
      <c r="U23">
        <v>0</v>
      </c>
      <c r="V23">
        <v>0</v>
      </c>
      <c r="W23">
        <v>2</v>
      </c>
      <c r="X23">
        <v>241</v>
      </c>
      <c r="Y23">
        <v>0</v>
      </c>
      <c r="Z23">
        <v>4</v>
      </c>
      <c r="AA23">
        <v>245</v>
      </c>
      <c r="AB23">
        <v>365</v>
      </c>
      <c r="AC23">
        <v>15</v>
      </c>
      <c r="AD23">
        <v>1</v>
      </c>
      <c r="AE23">
        <v>0</v>
      </c>
      <c r="AF23">
        <v>16</v>
      </c>
      <c r="AG23">
        <v>785</v>
      </c>
      <c r="AH23">
        <v>10</v>
      </c>
      <c r="AI23">
        <v>13</v>
      </c>
      <c r="AJ23">
        <v>808</v>
      </c>
      <c r="AK23">
        <v>230</v>
      </c>
      <c r="AL23">
        <v>0</v>
      </c>
      <c r="AM23">
        <v>2</v>
      </c>
      <c r="AN23">
        <v>232</v>
      </c>
      <c r="AO23">
        <v>1056</v>
      </c>
      <c r="AP23">
        <v>12</v>
      </c>
      <c r="AQ23">
        <v>0</v>
      </c>
      <c r="AR23">
        <v>0</v>
      </c>
      <c r="AS23">
        <v>12</v>
      </c>
      <c r="AT23">
        <v>2</v>
      </c>
      <c r="AU23">
        <v>0</v>
      </c>
      <c r="AV23">
        <v>0</v>
      </c>
      <c r="AW23">
        <v>2</v>
      </c>
      <c r="AX23">
        <v>4</v>
      </c>
      <c r="AY23">
        <v>0</v>
      </c>
      <c r="AZ23">
        <v>0</v>
      </c>
      <c r="BA23">
        <v>4</v>
      </c>
      <c r="BB23">
        <v>18</v>
      </c>
      <c r="BC23">
        <v>2526</v>
      </c>
    </row>
    <row r="24" spans="2:55" x14ac:dyDescent="0.3">
      <c r="B24" s="11">
        <v>0.66666666666666663</v>
      </c>
      <c r="C24">
        <v>49</v>
      </c>
      <c r="D24">
        <v>0</v>
      </c>
      <c r="E24">
        <v>2</v>
      </c>
      <c r="F24">
        <v>51</v>
      </c>
      <c r="G24">
        <v>62</v>
      </c>
      <c r="H24">
        <v>2</v>
      </c>
      <c r="I24">
        <v>0</v>
      </c>
      <c r="J24">
        <v>64</v>
      </c>
      <c r="K24">
        <v>0</v>
      </c>
      <c r="L24">
        <v>0</v>
      </c>
      <c r="M24">
        <v>0</v>
      </c>
      <c r="N24">
        <v>0</v>
      </c>
      <c r="O24">
        <v>115</v>
      </c>
      <c r="P24">
        <v>10</v>
      </c>
      <c r="Q24">
        <v>0</v>
      </c>
      <c r="R24">
        <v>0</v>
      </c>
      <c r="S24">
        <v>10</v>
      </c>
      <c r="T24">
        <v>0</v>
      </c>
      <c r="U24">
        <v>0</v>
      </c>
      <c r="V24">
        <v>0</v>
      </c>
      <c r="W24">
        <v>0</v>
      </c>
      <c r="X24">
        <v>24</v>
      </c>
      <c r="Y24">
        <v>0</v>
      </c>
      <c r="Z24">
        <v>0</v>
      </c>
      <c r="AA24">
        <v>24</v>
      </c>
      <c r="AB24">
        <v>34</v>
      </c>
      <c r="AC24">
        <v>1</v>
      </c>
      <c r="AD24">
        <v>0</v>
      </c>
      <c r="AE24">
        <v>0</v>
      </c>
      <c r="AF24">
        <v>1</v>
      </c>
      <c r="AG24">
        <v>98</v>
      </c>
      <c r="AH24">
        <v>2</v>
      </c>
      <c r="AI24">
        <v>1</v>
      </c>
      <c r="AJ24">
        <v>101</v>
      </c>
      <c r="AK24">
        <v>25</v>
      </c>
      <c r="AL24">
        <v>0</v>
      </c>
      <c r="AM24">
        <v>0</v>
      </c>
      <c r="AN24">
        <v>25</v>
      </c>
      <c r="AO24">
        <v>127</v>
      </c>
      <c r="AP24">
        <v>1</v>
      </c>
      <c r="AQ24">
        <v>0</v>
      </c>
      <c r="AR24">
        <v>0</v>
      </c>
      <c r="AS24">
        <v>1</v>
      </c>
      <c r="AT24">
        <v>0</v>
      </c>
      <c r="AU24">
        <v>0</v>
      </c>
      <c r="AV24">
        <v>0</v>
      </c>
      <c r="AW24">
        <v>0</v>
      </c>
      <c r="AX24">
        <v>1</v>
      </c>
      <c r="AY24">
        <v>0</v>
      </c>
      <c r="AZ24">
        <v>0</v>
      </c>
      <c r="BA24">
        <v>1</v>
      </c>
      <c r="BB24">
        <v>2</v>
      </c>
      <c r="BC24">
        <v>278</v>
      </c>
    </row>
    <row r="25" spans="2:55" x14ac:dyDescent="0.3">
      <c r="B25" s="11">
        <v>0.67708333333333337</v>
      </c>
      <c r="C25">
        <v>56</v>
      </c>
      <c r="D25">
        <v>0</v>
      </c>
      <c r="E25">
        <v>0</v>
      </c>
      <c r="F25">
        <v>56</v>
      </c>
      <c r="G25">
        <v>83</v>
      </c>
      <c r="H25">
        <v>1</v>
      </c>
      <c r="I25">
        <v>0</v>
      </c>
      <c r="J25">
        <v>84</v>
      </c>
      <c r="K25">
        <v>2</v>
      </c>
      <c r="L25">
        <v>0</v>
      </c>
      <c r="M25">
        <v>0</v>
      </c>
      <c r="N25">
        <v>2</v>
      </c>
      <c r="O25">
        <v>142</v>
      </c>
      <c r="P25">
        <v>10</v>
      </c>
      <c r="Q25">
        <v>0</v>
      </c>
      <c r="R25">
        <v>1</v>
      </c>
      <c r="S25">
        <v>11</v>
      </c>
      <c r="T25">
        <v>1</v>
      </c>
      <c r="U25">
        <v>0</v>
      </c>
      <c r="V25">
        <v>0</v>
      </c>
      <c r="W25">
        <v>1</v>
      </c>
      <c r="X25">
        <v>32</v>
      </c>
      <c r="Y25">
        <v>0</v>
      </c>
      <c r="Z25">
        <v>0</v>
      </c>
      <c r="AA25">
        <v>32</v>
      </c>
      <c r="AB25">
        <v>44</v>
      </c>
      <c r="AC25">
        <v>1</v>
      </c>
      <c r="AD25">
        <v>0</v>
      </c>
      <c r="AE25">
        <v>0</v>
      </c>
      <c r="AF25">
        <v>1</v>
      </c>
      <c r="AG25">
        <v>105</v>
      </c>
      <c r="AH25">
        <v>2</v>
      </c>
      <c r="AI25">
        <v>2</v>
      </c>
      <c r="AJ25">
        <v>109</v>
      </c>
      <c r="AK25">
        <v>24</v>
      </c>
      <c r="AL25">
        <v>0</v>
      </c>
      <c r="AM25">
        <v>0</v>
      </c>
      <c r="AN25">
        <v>24</v>
      </c>
      <c r="AO25">
        <v>134</v>
      </c>
      <c r="AP25">
        <v>0</v>
      </c>
      <c r="AQ25">
        <v>0</v>
      </c>
      <c r="AR25">
        <v>0</v>
      </c>
      <c r="AS25">
        <v>0</v>
      </c>
      <c r="AT25">
        <v>1</v>
      </c>
      <c r="AU25">
        <v>0</v>
      </c>
      <c r="AV25">
        <v>0</v>
      </c>
      <c r="AW25">
        <v>1</v>
      </c>
      <c r="AX25">
        <v>0</v>
      </c>
      <c r="AY25">
        <v>0</v>
      </c>
      <c r="AZ25">
        <v>0</v>
      </c>
      <c r="BA25">
        <v>0</v>
      </c>
      <c r="BB25">
        <v>1</v>
      </c>
      <c r="BC25">
        <v>321</v>
      </c>
    </row>
    <row r="26" spans="2:55" x14ac:dyDescent="0.3">
      <c r="B26" s="11">
        <v>0.6875</v>
      </c>
      <c r="C26">
        <v>65</v>
      </c>
      <c r="D26">
        <v>1</v>
      </c>
      <c r="E26">
        <v>0</v>
      </c>
      <c r="F26">
        <v>66</v>
      </c>
      <c r="G26">
        <v>75</v>
      </c>
      <c r="H26">
        <v>0</v>
      </c>
      <c r="I26">
        <v>1</v>
      </c>
      <c r="J26">
        <v>76</v>
      </c>
      <c r="K26">
        <v>2</v>
      </c>
      <c r="L26">
        <v>0</v>
      </c>
      <c r="M26">
        <v>0</v>
      </c>
      <c r="N26">
        <v>2</v>
      </c>
      <c r="O26">
        <v>144</v>
      </c>
      <c r="P26">
        <v>15</v>
      </c>
      <c r="Q26">
        <v>0</v>
      </c>
      <c r="R26">
        <v>0</v>
      </c>
      <c r="S26">
        <v>15</v>
      </c>
      <c r="T26">
        <v>0</v>
      </c>
      <c r="U26">
        <v>0</v>
      </c>
      <c r="V26">
        <v>0</v>
      </c>
      <c r="W26">
        <v>0</v>
      </c>
      <c r="X26">
        <v>33</v>
      </c>
      <c r="Y26">
        <v>0</v>
      </c>
      <c r="Z26">
        <v>0</v>
      </c>
      <c r="AA26">
        <v>33</v>
      </c>
      <c r="AB26">
        <v>48</v>
      </c>
      <c r="AC26">
        <v>0</v>
      </c>
      <c r="AD26">
        <v>0</v>
      </c>
      <c r="AE26">
        <v>0</v>
      </c>
      <c r="AF26">
        <v>0</v>
      </c>
      <c r="AG26">
        <v>107</v>
      </c>
      <c r="AH26">
        <v>0</v>
      </c>
      <c r="AI26">
        <v>2</v>
      </c>
      <c r="AJ26">
        <v>109</v>
      </c>
      <c r="AK26">
        <v>25</v>
      </c>
      <c r="AL26">
        <v>0</v>
      </c>
      <c r="AM26">
        <v>1</v>
      </c>
      <c r="AN26">
        <v>26</v>
      </c>
      <c r="AO26">
        <v>135</v>
      </c>
      <c r="AP26">
        <v>1</v>
      </c>
      <c r="AQ26">
        <v>0</v>
      </c>
      <c r="AR26">
        <v>0</v>
      </c>
      <c r="AS26">
        <v>1</v>
      </c>
      <c r="AT26">
        <v>0</v>
      </c>
      <c r="AU26">
        <v>0</v>
      </c>
      <c r="AV26">
        <v>0</v>
      </c>
      <c r="AW26">
        <v>0</v>
      </c>
      <c r="AX26">
        <v>0</v>
      </c>
      <c r="AY26">
        <v>0</v>
      </c>
      <c r="AZ26">
        <v>0</v>
      </c>
      <c r="BA26">
        <v>0</v>
      </c>
      <c r="BB26">
        <v>1</v>
      </c>
      <c r="BC26">
        <v>328</v>
      </c>
    </row>
    <row r="27" spans="2:55" x14ac:dyDescent="0.3">
      <c r="B27" s="11">
        <v>0.69791666666666663</v>
      </c>
      <c r="C27">
        <v>60</v>
      </c>
      <c r="D27">
        <v>0</v>
      </c>
      <c r="E27">
        <v>0</v>
      </c>
      <c r="F27">
        <v>60</v>
      </c>
      <c r="G27">
        <v>59</v>
      </c>
      <c r="H27">
        <v>3</v>
      </c>
      <c r="I27">
        <v>0</v>
      </c>
      <c r="J27">
        <v>62</v>
      </c>
      <c r="K27">
        <v>1</v>
      </c>
      <c r="L27">
        <v>0</v>
      </c>
      <c r="M27">
        <v>0</v>
      </c>
      <c r="N27">
        <v>1</v>
      </c>
      <c r="O27">
        <v>123</v>
      </c>
      <c r="P27">
        <v>18</v>
      </c>
      <c r="Q27">
        <v>0</v>
      </c>
      <c r="R27">
        <v>1</v>
      </c>
      <c r="S27">
        <v>19</v>
      </c>
      <c r="T27">
        <v>0</v>
      </c>
      <c r="U27">
        <v>0</v>
      </c>
      <c r="V27">
        <v>0</v>
      </c>
      <c r="W27">
        <v>0</v>
      </c>
      <c r="X27">
        <v>22</v>
      </c>
      <c r="Y27">
        <v>0</v>
      </c>
      <c r="Z27">
        <v>0</v>
      </c>
      <c r="AA27">
        <v>22</v>
      </c>
      <c r="AB27">
        <v>41</v>
      </c>
      <c r="AC27">
        <v>1</v>
      </c>
      <c r="AD27">
        <v>0</v>
      </c>
      <c r="AE27">
        <v>0</v>
      </c>
      <c r="AF27">
        <v>1</v>
      </c>
      <c r="AG27">
        <v>106</v>
      </c>
      <c r="AH27">
        <v>0</v>
      </c>
      <c r="AI27">
        <v>1</v>
      </c>
      <c r="AJ27">
        <v>107</v>
      </c>
      <c r="AK27">
        <v>40</v>
      </c>
      <c r="AL27">
        <v>0</v>
      </c>
      <c r="AM27">
        <v>1</v>
      </c>
      <c r="AN27">
        <v>41</v>
      </c>
      <c r="AO27">
        <v>149</v>
      </c>
      <c r="AP27">
        <v>3</v>
      </c>
      <c r="AQ27">
        <v>0</v>
      </c>
      <c r="AR27">
        <v>0</v>
      </c>
      <c r="AS27">
        <v>3</v>
      </c>
      <c r="AT27">
        <v>0</v>
      </c>
      <c r="AU27">
        <v>0</v>
      </c>
      <c r="AV27">
        <v>0</v>
      </c>
      <c r="AW27">
        <v>0</v>
      </c>
      <c r="AX27">
        <v>2</v>
      </c>
      <c r="AY27">
        <v>0</v>
      </c>
      <c r="AZ27">
        <v>0</v>
      </c>
      <c r="BA27">
        <v>2</v>
      </c>
      <c r="BB27">
        <v>5</v>
      </c>
      <c r="BC27">
        <v>318</v>
      </c>
    </row>
    <row r="28" spans="2:55" x14ac:dyDescent="0.3">
      <c r="B28" s="11">
        <v>0.70833333333333337</v>
      </c>
      <c r="C28">
        <v>72</v>
      </c>
      <c r="D28">
        <v>0</v>
      </c>
      <c r="E28">
        <v>2</v>
      </c>
      <c r="F28">
        <v>74</v>
      </c>
      <c r="G28">
        <v>87</v>
      </c>
      <c r="H28">
        <v>2</v>
      </c>
      <c r="I28">
        <v>0</v>
      </c>
      <c r="J28">
        <v>89</v>
      </c>
      <c r="K28">
        <v>2</v>
      </c>
      <c r="L28">
        <v>0</v>
      </c>
      <c r="M28">
        <v>0</v>
      </c>
      <c r="N28">
        <v>2</v>
      </c>
      <c r="O28">
        <v>165</v>
      </c>
      <c r="P28">
        <v>13</v>
      </c>
      <c r="Q28">
        <v>0</v>
      </c>
      <c r="R28">
        <v>0</v>
      </c>
      <c r="S28">
        <v>13</v>
      </c>
      <c r="T28">
        <v>0</v>
      </c>
      <c r="U28">
        <v>0</v>
      </c>
      <c r="V28">
        <v>0</v>
      </c>
      <c r="W28">
        <v>0</v>
      </c>
      <c r="X28">
        <v>34</v>
      </c>
      <c r="Y28">
        <v>0</v>
      </c>
      <c r="Z28">
        <v>0</v>
      </c>
      <c r="AA28">
        <v>34</v>
      </c>
      <c r="AB28">
        <v>47</v>
      </c>
      <c r="AC28">
        <v>5</v>
      </c>
      <c r="AD28">
        <v>1</v>
      </c>
      <c r="AE28">
        <v>0</v>
      </c>
      <c r="AF28">
        <v>6</v>
      </c>
      <c r="AG28">
        <v>105</v>
      </c>
      <c r="AH28">
        <v>2</v>
      </c>
      <c r="AI28">
        <v>0</v>
      </c>
      <c r="AJ28">
        <v>107</v>
      </c>
      <c r="AK28">
        <v>32</v>
      </c>
      <c r="AL28">
        <v>0</v>
      </c>
      <c r="AM28">
        <v>0</v>
      </c>
      <c r="AN28">
        <v>32</v>
      </c>
      <c r="AO28">
        <v>145</v>
      </c>
      <c r="AP28">
        <v>2</v>
      </c>
      <c r="AQ28">
        <v>0</v>
      </c>
      <c r="AR28">
        <v>0</v>
      </c>
      <c r="AS28">
        <v>2</v>
      </c>
      <c r="AT28">
        <v>0</v>
      </c>
      <c r="AU28">
        <v>0</v>
      </c>
      <c r="AV28">
        <v>0</v>
      </c>
      <c r="AW28">
        <v>0</v>
      </c>
      <c r="AX28">
        <v>0</v>
      </c>
      <c r="AY28">
        <v>0</v>
      </c>
      <c r="AZ28">
        <v>0</v>
      </c>
      <c r="BA28">
        <v>0</v>
      </c>
      <c r="BB28">
        <v>2</v>
      </c>
      <c r="BC28">
        <v>359</v>
      </c>
    </row>
    <row r="29" spans="2:55" x14ac:dyDescent="0.3">
      <c r="B29" s="11">
        <v>0.71875</v>
      </c>
      <c r="C29">
        <v>65</v>
      </c>
      <c r="D29">
        <v>0</v>
      </c>
      <c r="E29">
        <v>1</v>
      </c>
      <c r="F29">
        <v>66</v>
      </c>
      <c r="G29">
        <v>79</v>
      </c>
      <c r="H29">
        <v>1</v>
      </c>
      <c r="I29">
        <v>0</v>
      </c>
      <c r="J29">
        <v>80</v>
      </c>
      <c r="K29">
        <v>1</v>
      </c>
      <c r="L29">
        <v>0</v>
      </c>
      <c r="M29">
        <v>0</v>
      </c>
      <c r="N29">
        <v>1</v>
      </c>
      <c r="O29">
        <v>147</v>
      </c>
      <c r="P29">
        <v>16</v>
      </c>
      <c r="Q29">
        <v>0</v>
      </c>
      <c r="R29">
        <v>0</v>
      </c>
      <c r="S29">
        <v>16</v>
      </c>
      <c r="T29">
        <v>1</v>
      </c>
      <c r="U29">
        <v>0</v>
      </c>
      <c r="V29">
        <v>0</v>
      </c>
      <c r="W29">
        <v>1</v>
      </c>
      <c r="X29">
        <v>35</v>
      </c>
      <c r="Y29">
        <v>0</v>
      </c>
      <c r="Z29">
        <v>3</v>
      </c>
      <c r="AA29">
        <v>38</v>
      </c>
      <c r="AB29">
        <v>55</v>
      </c>
      <c r="AC29">
        <v>2</v>
      </c>
      <c r="AD29">
        <v>0</v>
      </c>
      <c r="AE29">
        <v>0</v>
      </c>
      <c r="AF29">
        <v>2</v>
      </c>
      <c r="AG29">
        <v>104</v>
      </c>
      <c r="AH29">
        <v>0</v>
      </c>
      <c r="AI29">
        <v>3</v>
      </c>
      <c r="AJ29">
        <v>107</v>
      </c>
      <c r="AK29">
        <v>23</v>
      </c>
      <c r="AL29">
        <v>0</v>
      </c>
      <c r="AM29">
        <v>0</v>
      </c>
      <c r="AN29">
        <v>23</v>
      </c>
      <c r="AO29">
        <v>132</v>
      </c>
      <c r="AP29">
        <v>2</v>
      </c>
      <c r="AQ29">
        <v>0</v>
      </c>
      <c r="AR29">
        <v>0</v>
      </c>
      <c r="AS29">
        <v>2</v>
      </c>
      <c r="AT29">
        <v>1</v>
      </c>
      <c r="AU29">
        <v>0</v>
      </c>
      <c r="AV29">
        <v>0</v>
      </c>
      <c r="AW29">
        <v>1</v>
      </c>
      <c r="AX29">
        <v>0</v>
      </c>
      <c r="AY29">
        <v>0</v>
      </c>
      <c r="AZ29">
        <v>0</v>
      </c>
      <c r="BA29">
        <v>0</v>
      </c>
      <c r="BB29">
        <v>3</v>
      </c>
      <c r="BC29">
        <v>337</v>
      </c>
    </row>
    <row r="30" spans="2:55" x14ac:dyDescent="0.3">
      <c r="B30" s="11">
        <v>0.72916666666666663</v>
      </c>
      <c r="C30">
        <v>56</v>
      </c>
      <c r="D30">
        <v>0</v>
      </c>
      <c r="E30">
        <v>0</v>
      </c>
      <c r="F30">
        <v>56</v>
      </c>
      <c r="G30">
        <v>70</v>
      </c>
      <c r="H30">
        <v>1</v>
      </c>
      <c r="I30">
        <v>1</v>
      </c>
      <c r="J30">
        <v>72</v>
      </c>
      <c r="K30">
        <v>2</v>
      </c>
      <c r="L30">
        <v>0</v>
      </c>
      <c r="M30">
        <v>0</v>
      </c>
      <c r="N30">
        <v>2</v>
      </c>
      <c r="O30">
        <v>130</v>
      </c>
      <c r="P30">
        <v>15</v>
      </c>
      <c r="Q30">
        <v>1</v>
      </c>
      <c r="R30">
        <v>0</v>
      </c>
      <c r="S30">
        <v>16</v>
      </c>
      <c r="T30">
        <v>0</v>
      </c>
      <c r="U30">
        <v>0</v>
      </c>
      <c r="V30">
        <v>0</v>
      </c>
      <c r="W30">
        <v>0</v>
      </c>
      <c r="X30">
        <v>27</v>
      </c>
      <c r="Y30">
        <v>0</v>
      </c>
      <c r="Z30">
        <v>1</v>
      </c>
      <c r="AA30">
        <v>28</v>
      </c>
      <c r="AB30">
        <v>44</v>
      </c>
      <c r="AC30">
        <v>3</v>
      </c>
      <c r="AD30">
        <v>0</v>
      </c>
      <c r="AE30">
        <v>0</v>
      </c>
      <c r="AF30">
        <v>3</v>
      </c>
      <c r="AG30">
        <v>82</v>
      </c>
      <c r="AH30">
        <v>1</v>
      </c>
      <c r="AI30">
        <v>4</v>
      </c>
      <c r="AJ30">
        <v>87</v>
      </c>
      <c r="AK30">
        <v>32</v>
      </c>
      <c r="AL30">
        <v>0</v>
      </c>
      <c r="AM30">
        <v>0</v>
      </c>
      <c r="AN30">
        <v>32</v>
      </c>
      <c r="AO30">
        <v>122</v>
      </c>
      <c r="AP30">
        <v>1</v>
      </c>
      <c r="AQ30">
        <v>0</v>
      </c>
      <c r="AR30">
        <v>0</v>
      </c>
      <c r="AS30">
        <v>1</v>
      </c>
      <c r="AT30">
        <v>0</v>
      </c>
      <c r="AU30">
        <v>0</v>
      </c>
      <c r="AV30">
        <v>0</v>
      </c>
      <c r="AW30">
        <v>0</v>
      </c>
      <c r="AX30">
        <v>1</v>
      </c>
      <c r="AY30">
        <v>0</v>
      </c>
      <c r="AZ30">
        <v>0</v>
      </c>
      <c r="BA30">
        <v>1</v>
      </c>
      <c r="BB30">
        <v>2</v>
      </c>
      <c r="BC30">
        <v>298</v>
      </c>
    </row>
    <row r="31" spans="2:55" x14ac:dyDescent="0.3">
      <c r="B31" s="11">
        <v>0.73958333333333337</v>
      </c>
      <c r="C31">
        <v>54</v>
      </c>
      <c r="D31">
        <v>0</v>
      </c>
      <c r="E31">
        <v>0</v>
      </c>
      <c r="F31">
        <v>54</v>
      </c>
      <c r="G31">
        <v>65</v>
      </c>
      <c r="H31">
        <v>2</v>
      </c>
      <c r="I31">
        <v>0</v>
      </c>
      <c r="J31">
        <v>67</v>
      </c>
      <c r="K31">
        <v>0</v>
      </c>
      <c r="L31">
        <v>0</v>
      </c>
      <c r="M31">
        <v>0</v>
      </c>
      <c r="N31">
        <v>0</v>
      </c>
      <c r="O31">
        <v>121</v>
      </c>
      <c r="P31">
        <v>18</v>
      </c>
      <c r="Q31">
        <v>0</v>
      </c>
      <c r="R31">
        <v>0</v>
      </c>
      <c r="S31">
        <v>18</v>
      </c>
      <c r="T31">
        <v>0</v>
      </c>
      <c r="U31">
        <v>0</v>
      </c>
      <c r="V31">
        <v>0</v>
      </c>
      <c r="W31">
        <v>0</v>
      </c>
      <c r="X31">
        <v>34</v>
      </c>
      <c r="Y31">
        <v>0</v>
      </c>
      <c r="Z31">
        <v>0</v>
      </c>
      <c r="AA31">
        <v>34</v>
      </c>
      <c r="AB31">
        <v>52</v>
      </c>
      <c r="AC31">
        <v>2</v>
      </c>
      <c r="AD31">
        <v>0</v>
      </c>
      <c r="AE31">
        <v>0</v>
      </c>
      <c r="AF31">
        <v>2</v>
      </c>
      <c r="AG31">
        <v>78</v>
      </c>
      <c r="AH31">
        <v>3</v>
      </c>
      <c r="AI31">
        <v>0</v>
      </c>
      <c r="AJ31">
        <v>81</v>
      </c>
      <c r="AK31">
        <v>29</v>
      </c>
      <c r="AL31">
        <v>0</v>
      </c>
      <c r="AM31">
        <v>0</v>
      </c>
      <c r="AN31">
        <v>29</v>
      </c>
      <c r="AO31">
        <v>112</v>
      </c>
      <c r="AP31">
        <v>2</v>
      </c>
      <c r="AQ31">
        <v>0</v>
      </c>
      <c r="AR31">
        <v>0</v>
      </c>
      <c r="AS31">
        <v>2</v>
      </c>
      <c r="AT31">
        <v>0</v>
      </c>
      <c r="AU31">
        <v>0</v>
      </c>
      <c r="AV31">
        <v>0</v>
      </c>
      <c r="AW31">
        <v>0</v>
      </c>
      <c r="AX31">
        <v>0</v>
      </c>
      <c r="AY31">
        <v>0</v>
      </c>
      <c r="AZ31">
        <v>0</v>
      </c>
      <c r="BA31">
        <v>0</v>
      </c>
      <c r="BB31">
        <v>2</v>
      </c>
      <c r="BC31">
        <v>287</v>
      </c>
    </row>
    <row r="32" spans="2:55" x14ac:dyDescent="0.3">
      <c r="B32" s="10" t="s">
        <v>87</v>
      </c>
      <c r="C32">
        <v>101</v>
      </c>
      <c r="D32">
        <v>0</v>
      </c>
      <c r="E32">
        <v>1</v>
      </c>
      <c r="F32">
        <v>102</v>
      </c>
      <c r="G32">
        <v>182</v>
      </c>
      <c r="H32">
        <v>7</v>
      </c>
      <c r="I32">
        <v>1</v>
      </c>
      <c r="J32">
        <v>190</v>
      </c>
      <c r="K32">
        <v>4</v>
      </c>
      <c r="L32">
        <v>0</v>
      </c>
      <c r="M32">
        <v>0</v>
      </c>
      <c r="N32">
        <v>4</v>
      </c>
      <c r="O32">
        <v>296</v>
      </c>
      <c r="P32">
        <v>55</v>
      </c>
      <c r="Q32">
        <v>0</v>
      </c>
      <c r="R32">
        <v>0</v>
      </c>
      <c r="S32">
        <v>55</v>
      </c>
      <c r="T32">
        <v>0</v>
      </c>
      <c r="U32">
        <v>0</v>
      </c>
      <c r="V32">
        <v>0</v>
      </c>
      <c r="W32">
        <v>0</v>
      </c>
      <c r="X32">
        <v>104</v>
      </c>
      <c r="Y32">
        <v>0</v>
      </c>
      <c r="Z32">
        <v>0</v>
      </c>
      <c r="AA32">
        <v>104</v>
      </c>
      <c r="AB32">
        <v>159</v>
      </c>
      <c r="AC32">
        <v>8</v>
      </c>
      <c r="AD32">
        <v>0</v>
      </c>
      <c r="AE32">
        <v>0</v>
      </c>
      <c r="AF32">
        <v>8</v>
      </c>
      <c r="AG32">
        <v>265</v>
      </c>
      <c r="AH32">
        <v>12</v>
      </c>
      <c r="AI32">
        <v>0</v>
      </c>
      <c r="AJ32">
        <v>277</v>
      </c>
      <c r="AK32">
        <v>44</v>
      </c>
      <c r="AL32">
        <v>0</v>
      </c>
      <c r="AM32">
        <v>2</v>
      </c>
      <c r="AN32">
        <v>46</v>
      </c>
      <c r="AO32">
        <v>331</v>
      </c>
      <c r="AP32">
        <v>1</v>
      </c>
      <c r="AQ32">
        <v>0</v>
      </c>
      <c r="AR32">
        <v>0</v>
      </c>
      <c r="AS32">
        <v>1</v>
      </c>
      <c r="AT32">
        <v>0</v>
      </c>
      <c r="AU32">
        <v>0</v>
      </c>
      <c r="AV32">
        <v>0</v>
      </c>
      <c r="AW32">
        <v>0</v>
      </c>
      <c r="AX32">
        <v>3</v>
      </c>
      <c r="AY32">
        <v>0</v>
      </c>
      <c r="AZ32">
        <v>0</v>
      </c>
      <c r="BA32">
        <v>3</v>
      </c>
      <c r="BB32">
        <v>4</v>
      </c>
      <c r="BC32">
        <v>790</v>
      </c>
    </row>
    <row r="33" spans="2:55" x14ac:dyDescent="0.3">
      <c r="B33" s="11">
        <v>0.54166666666666663</v>
      </c>
      <c r="C33">
        <v>23</v>
      </c>
      <c r="D33">
        <v>0</v>
      </c>
      <c r="E33">
        <v>0</v>
      </c>
      <c r="F33">
        <v>23</v>
      </c>
      <c r="G33">
        <v>39</v>
      </c>
      <c r="H33">
        <v>3</v>
      </c>
      <c r="I33">
        <v>0</v>
      </c>
      <c r="J33">
        <v>42</v>
      </c>
      <c r="K33">
        <v>1</v>
      </c>
      <c r="L33">
        <v>0</v>
      </c>
      <c r="M33">
        <v>0</v>
      </c>
      <c r="N33">
        <v>1</v>
      </c>
      <c r="O33">
        <v>66</v>
      </c>
      <c r="P33">
        <v>15</v>
      </c>
      <c r="Q33">
        <v>0</v>
      </c>
      <c r="R33">
        <v>0</v>
      </c>
      <c r="S33">
        <v>15</v>
      </c>
      <c r="T33">
        <v>0</v>
      </c>
      <c r="U33">
        <v>0</v>
      </c>
      <c r="V33">
        <v>0</v>
      </c>
      <c r="W33">
        <v>0</v>
      </c>
      <c r="X33">
        <v>31</v>
      </c>
      <c r="Y33">
        <v>0</v>
      </c>
      <c r="Z33">
        <v>0</v>
      </c>
      <c r="AA33">
        <v>31</v>
      </c>
      <c r="AB33">
        <v>46</v>
      </c>
      <c r="AC33">
        <v>2</v>
      </c>
      <c r="AD33">
        <v>0</v>
      </c>
      <c r="AE33">
        <v>0</v>
      </c>
      <c r="AF33">
        <v>2</v>
      </c>
      <c r="AG33">
        <v>63</v>
      </c>
      <c r="AH33">
        <v>5</v>
      </c>
      <c r="AI33">
        <v>0</v>
      </c>
      <c r="AJ33">
        <v>68</v>
      </c>
      <c r="AK33">
        <v>7</v>
      </c>
      <c r="AL33">
        <v>0</v>
      </c>
      <c r="AM33">
        <v>0</v>
      </c>
      <c r="AN33">
        <v>7</v>
      </c>
      <c r="AO33">
        <v>77</v>
      </c>
      <c r="AP33">
        <v>0</v>
      </c>
      <c r="AQ33">
        <v>0</v>
      </c>
      <c r="AR33">
        <v>0</v>
      </c>
      <c r="AS33">
        <v>0</v>
      </c>
      <c r="AT33">
        <v>0</v>
      </c>
      <c r="AU33">
        <v>0</v>
      </c>
      <c r="AV33">
        <v>0</v>
      </c>
      <c r="AW33">
        <v>0</v>
      </c>
      <c r="AX33">
        <v>1</v>
      </c>
      <c r="AY33">
        <v>0</v>
      </c>
      <c r="AZ33">
        <v>0</v>
      </c>
      <c r="BA33">
        <v>1</v>
      </c>
      <c r="BB33">
        <v>1</v>
      </c>
      <c r="BC33">
        <v>190</v>
      </c>
    </row>
    <row r="34" spans="2:55" x14ac:dyDescent="0.3">
      <c r="B34" s="11">
        <v>0.55208333333333337</v>
      </c>
      <c r="C34">
        <v>29</v>
      </c>
      <c r="D34">
        <v>0</v>
      </c>
      <c r="E34">
        <v>0</v>
      </c>
      <c r="F34">
        <v>29</v>
      </c>
      <c r="G34">
        <v>49</v>
      </c>
      <c r="H34">
        <v>2</v>
      </c>
      <c r="I34">
        <v>0</v>
      </c>
      <c r="J34">
        <v>51</v>
      </c>
      <c r="K34">
        <v>2</v>
      </c>
      <c r="L34">
        <v>0</v>
      </c>
      <c r="M34">
        <v>0</v>
      </c>
      <c r="N34">
        <v>2</v>
      </c>
      <c r="O34">
        <v>82</v>
      </c>
      <c r="P34">
        <v>6</v>
      </c>
      <c r="Q34">
        <v>0</v>
      </c>
      <c r="R34">
        <v>0</v>
      </c>
      <c r="S34">
        <v>6</v>
      </c>
      <c r="T34">
        <v>0</v>
      </c>
      <c r="U34">
        <v>0</v>
      </c>
      <c r="V34">
        <v>0</v>
      </c>
      <c r="W34">
        <v>0</v>
      </c>
      <c r="X34">
        <v>29</v>
      </c>
      <c r="Y34">
        <v>0</v>
      </c>
      <c r="Z34">
        <v>0</v>
      </c>
      <c r="AA34">
        <v>29</v>
      </c>
      <c r="AB34">
        <v>35</v>
      </c>
      <c r="AC34">
        <v>2</v>
      </c>
      <c r="AD34">
        <v>0</v>
      </c>
      <c r="AE34">
        <v>0</v>
      </c>
      <c r="AF34">
        <v>2</v>
      </c>
      <c r="AG34">
        <v>60</v>
      </c>
      <c r="AH34">
        <v>5</v>
      </c>
      <c r="AI34">
        <v>0</v>
      </c>
      <c r="AJ34">
        <v>65</v>
      </c>
      <c r="AK34">
        <v>10</v>
      </c>
      <c r="AL34">
        <v>0</v>
      </c>
      <c r="AM34">
        <v>0</v>
      </c>
      <c r="AN34">
        <v>10</v>
      </c>
      <c r="AO34">
        <v>77</v>
      </c>
      <c r="AP34">
        <v>0</v>
      </c>
      <c r="AQ34">
        <v>0</v>
      </c>
      <c r="AR34">
        <v>0</v>
      </c>
      <c r="AS34">
        <v>0</v>
      </c>
      <c r="AT34">
        <v>0</v>
      </c>
      <c r="AU34">
        <v>0</v>
      </c>
      <c r="AV34">
        <v>0</v>
      </c>
      <c r="AW34">
        <v>0</v>
      </c>
      <c r="AX34">
        <v>1</v>
      </c>
      <c r="AY34">
        <v>0</v>
      </c>
      <c r="AZ34">
        <v>0</v>
      </c>
      <c r="BA34">
        <v>1</v>
      </c>
      <c r="BB34">
        <v>1</v>
      </c>
      <c r="BC34">
        <v>195</v>
      </c>
    </row>
    <row r="35" spans="2:55" x14ac:dyDescent="0.3">
      <c r="B35" s="11">
        <v>0.5625</v>
      </c>
      <c r="C35">
        <v>27</v>
      </c>
      <c r="D35">
        <v>0</v>
      </c>
      <c r="E35">
        <v>0</v>
      </c>
      <c r="F35">
        <v>27</v>
      </c>
      <c r="G35">
        <v>43</v>
      </c>
      <c r="H35">
        <v>1</v>
      </c>
      <c r="I35">
        <v>0</v>
      </c>
      <c r="J35">
        <v>44</v>
      </c>
      <c r="K35">
        <v>0</v>
      </c>
      <c r="L35">
        <v>0</v>
      </c>
      <c r="M35">
        <v>0</v>
      </c>
      <c r="N35">
        <v>0</v>
      </c>
      <c r="O35">
        <v>71</v>
      </c>
      <c r="P35">
        <v>20</v>
      </c>
      <c r="Q35">
        <v>0</v>
      </c>
      <c r="R35">
        <v>0</v>
      </c>
      <c r="S35">
        <v>20</v>
      </c>
      <c r="T35">
        <v>0</v>
      </c>
      <c r="U35">
        <v>0</v>
      </c>
      <c r="V35">
        <v>0</v>
      </c>
      <c r="W35">
        <v>0</v>
      </c>
      <c r="X35">
        <v>21</v>
      </c>
      <c r="Y35">
        <v>0</v>
      </c>
      <c r="Z35">
        <v>0</v>
      </c>
      <c r="AA35">
        <v>21</v>
      </c>
      <c r="AB35">
        <v>41</v>
      </c>
      <c r="AC35">
        <v>1</v>
      </c>
      <c r="AD35">
        <v>0</v>
      </c>
      <c r="AE35">
        <v>0</v>
      </c>
      <c r="AF35">
        <v>1</v>
      </c>
      <c r="AG35">
        <v>69</v>
      </c>
      <c r="AH35">
        <v>2</v>
      </c>
      <c r="AI35">
        <v>0</v>
      </c>
      <c r="AJ35">
        <v>71</v>
      </c>
      <c r="AK35">
        <v>10</v>
      </c>
      <c r="AL35">
        <v>0</v>
      </c>
      <c r="AM35">
        <v>1</v>
      </c>
      <c r="AN35">
        <v>11</v>
      </c>
      <c r="AO35">
        <v>83</v>
      </c>
      <c r="AP35">
        <v>0</v>
      </c>
      <c r="AQ35">
        <v>0</v>
      </c>
      <c r="AR35">
        <v>0</v>
      </c>
      <c r="AS35">
        <v>0</v>
      </c>
      <c r="AT35">
        <v>0</v>
      </c>
      <c r="AU35">
        <v>0</v>
      </c>
      <c r="AV35">
        <v>0</v>
      </c>
      <c r="AW35">
        <v>0</v>
      </c>
      <c r="AX35">
        <v>0</v>
      </c>
      <c r="AY35">
        <v>0</v>
      </c>
      <c r="AZ35">
        <v>0</v>
      </c>
      <c r="BA35">
        <v>0</v>
      </c>
      <c r="BB35">
        <v>0</v>
      </c>
      <c r="BC35">
        <v>195</v>
      </c>
    </row>
    <row r="36" spans="2:55" x14ac:dyDescent="0.3">
      <c r="B36" s="11">
        <v>0.57291666666666663</v>
      </c>
      <c r="C36">
        <v>22</v>
      </c>
      <c r="D36">
        <v>0</v>
      </c>
      <c r="E36">
        <v>1</v>
      </c>
      <c r="F36">
        <v>23</v>
      </c>
      <c r="G36">
        <v>51</v>
      </c>
      <c r="H36">
        <v>1</v>
      </c>
      <c r="I36">
        <v>1</v>
      </c>
      <c r="J36">
        <v>53</v>
      </c>
      <c r="K36">
        <v>1</v>
      </c>
      <c r="L36">
        <v>0</v>
      </c>
      <c r="M36">
        <v>0</v>
      </c>
      <c r="N36">
        <v>1</v>
      </c>
      <c r="O36">
        <v>77</v>
      </c>
      <c r="P36">
        <v>14</v>
      </c>
      <c r="Q36">
        <v>0</v>
      </c>
      <c r="R36">
        <v>0</v>
      </c>
      <c r="S36">
        <v>14</v>
      </c>
      <c r="T36">
        <v>0</v>
      </c>
      <c r="U36">
        <v>0</v>
      </c>
      <c r="V36">
        <v>0</v>
      </c>
      <c r="W36">
        <v>0</v>
      </c>
      <c r="X36">
        <v>23</v>
      </c>
      <c r="Y36">
        <v>0</v>
      </c>
      <c r="Z36">
        <v>0</v>
      </c>
      <c r="AA36">
        <v>23</v>
      </c>
      <c r="AB36">
        <v>37</v>
      </c>
      <c r="AC36">
        <v>3</v>
      </c>
      <c r="AD36">
        <v>0</v>
      </c>
      <c r="AE36">
        <v>0</v>
      </c>
      <c r="AF36">
        <v>3</v>
      </c>
      <c r="AG36">
        <v>73</v>
      </c>
      <c r="AH36">
        <v>0</v>
      </c>
      <c r="AI36">
        <v>0</v>
      </c>
      <c r="AJ36">
        <v>73</v>
      </c>
      <c r="AK36">
        <v>17</v>
      </c>
      <c r="AL36">
        <v>0</v>
      </c>
      <c r="AM36">
        <v>1</v>
      </c>
      <c r="AN36">
        <v>18</v>
      </c>
      <c r="AO36">
        <v>94</v>
      </c>
      <c r="AP36">
        <v>1</v>
      </c>
      <c r="AQ36">
        <v>0</v>
      </c>
      <c r="AR36">
        <v>0</v>
      </c>
      <c r="AS36">
        <v>1</v>
      </c>
      <c r="AT36">
        <v>0</v>
      </c>
      <c r="AU36">
        <v>0</v>
      </c>
      <c r="AV36">
        <v>0</v>
      </c>
      <c r="AW36">
        <v>0</v>
      </c>
      <c r="AX36">
        <v>1</v>
      </c>
      <c r="AY36">
        <v>0</v>
      </c>
      <c r="AZ36">
        <v>0</v>
      </c>
      <c r="BA36">
        <v>1</v>
      </c>
      <c r="BB36">
        <v>2</v>
      </c>
      <c r="BC36">
        <v>210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1103</v>
      </c>
      <c r="I5">
        <f>MAX(I11:I303)</f>
        <v>790</v>
      </c>
      <c r="J5">
        <f>MAX(J11:J303)</f>
        <v>1342</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1103 vehicles between 07:45 and 08:45</v>
      </c>
      <c r="I8" s="6" t="str">
        <f>IF(I5=0,"","The peak hour for " &amp;I10&amp;" is "&amp;I5&amp;" vehicles between " &amp; TEXT(I6, "hh:mm")&amp; " and " &amp;TEXT(I7,"hh:mm"))</f>
        <v>The peak hour for INT is 790 vehicles between 13:00 and 14:00</v>
      </c>
      <c r="J8" s="6" t="str">
        <f>IF(J5=0,"","The peak hour for " &amp;J10&amp;" is "&amp;J5&amp;" vehicles between " &amp; TEXT(J6, "hh:mm")&amp; " and " &amp;TEXT(J7,"hh:mm"))</f>
        <v>The peak hour for PM is 1342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203</v>
      </c>
      <c r="G11" s="7">
        <f>A11</f>
        <v>0.29166666666666669</v>
      </c>
      <c r="H11">
        <f>IF(B11&lt;&gt;0,SUMIF($G$11:$G11,"&gt;"&amp;$G11-1/24,B$11:B11),0)</f>
        <v>203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203</v>
      </c>
      <c r="Q11">
        <f>P11*L11</f>
        <v>0</v>
      </c>
      <c r="S11" s="9">
        <v>0.29166666666666669</v>
      </c>
      <c r="T11">
        <v>203</v>
      </c>
      <c r="U11">
        <v>0</v>
      </c>
    </row>
    <row r="12" spans="1:21" x14ac:dyDescent="0.3">
      <c r="A12" s="9">
        <v>0.30208333333333331</v>
      </c>
      <c r="B12">
        <v>234</v>
      </c>
      <c r="G12" s="7">
        <f t="shared" ref="G12:G26" si="3">A12</f>
        <v>0.30208333333333331</v>
      </c>
      <c r="H12">
        <f>IF(B12&lt;&gt;0,SUMIF($G$11:$G12,"&gt;"&amp;$G12-1/24,B$11:B12),0)</f>
        <v>437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234</v>
      </c>
      <c r="Q12">
        <f t="shared" ref="Q12:Q75" si="7">P12*L12</f>
        <v>0</v>
      </c>
      <c r="S12" s="9">
        <v>0.30208333333333331</v>
      </c>
      <c r="T12">
        <v>234</v>
      </c>
      <c r="U12">
        <v>0</v>
      </c>
    </row>
    <row r="13" spans="1:21" x14ac:dyDescent="0.3">
      <c r="A13" s="9">
        <v>0.3125</v>
      </c>
      <c r="B13">
        <v>239</v>
      </c>
      <c r="G13" s="7">
        <f t="shared" si="3"/>
        <v>0.3125</v>
      </c>
      <c r="H13">
        <f>IF(B13&lt;&gt;0,SUMIF($G$11:$G13,"&gt;"&amp;$G13-1/24,B$11:B13),0)</f>
        <v>676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239</v>
      </c>
      <c r="Q13">
        <f t="shared" si="7"/>
        <v>0</v>
      </c>
      <c r="S13" s="9">
        <v>0.3125</v>
      </c>
      <c r="T13">
        <v>239</v>
      </c>
      <c r="U13">
        <v>0</v>
      </c>
    </row>
    <row r="14" spans="1:21" x14ac:dyDescent="0.3">
      <c r="A14" s="9">
        <v>0.32291666666666669</v>
      </c>
      <c r="B14">
        <v>285</v>
      </c>
      <c r="G14" s="7">
        <f t="shared" si="3"/>
        <v>0.32291666666666669</v>
      </c>
      <c r="H14">
        <f>IF(B14&lt;&gt;0,SUMIF($G$11:$G14,"&gt;"&amp;$G14-1/24,B$11:B14),0)</f>
        <v>961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285</v>
      </c>
      <c r="Q14">
        <f t="shared" si="7"/>
        <v>285</v>
      </c>
      <c r="S14" s="9">
        <v>0.32291666666666669</v>
      </c>
      <c r="T14">
        <v>285</v>
      </c>
      <c r="U14">
        <v>285</v>
      </c>
    </row>
    <row r="15" spans="1:21" x14ac:dyDescent="0.3">
      <c r="A15" s="9">
        <v>0.33333333333333331</v>
      </c>
      <c r="B15">
        <v>281</v>
      </c>
      <c r="G15" s="7">
        <f t="shared" si="3"/>
        <v>0.33333333333333331</v>
      </c>
      <c r="H15">
        <f>IF(B15&lt;&gt;0,SUMIF($G$11:$G15,"&gt;"&amp;$G15-1/24,B$11:B15),0)</f>
        <v>1039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281</v>
      </c>
      <c r="Q15">
        <f t="shared" si="7"/>
        <v>281</v>
      </c>
      <c r="S15" s="9">
        <v>0.33333333333333331</v>
      </c>
      <c r="T15">
        <v>281</v>
      </c>
      <c r="U15">
        <v>281</v>
      </c>
    </row>
    <row r="16" spans="1:21" x14ac:dyDescent="0.3">
      <c r="A16" s="9">
        <v>0.34375</v>
      </c>
      <c r="B16">
        <v>274</v>
      </c>
      <c r="G16" s="7">
        <f t="shared" si="3"/>
        <v>0.34375</v>
      </c>
      <c r="H16">
        <f>IF(B16&lt;&gt;0,SUMIF($G$11:$G16,"&gt;"&amp;$G16-1/24,B$11:B16),0)</f>
        <v>1079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274</v>
      </c>
      <c r="Q16">
        <f t="shared" si="7"/>
        <v>274</v>
      </c>
      <c r="S16" s="9">
        <v>0.34375</v>
      </c>
      <c r="T16">
        <v>274</v>
      </c>
      <c r="U16">
        <v>274</v>
      </c>
    </row>
    <row r="17" spans="1:21" x14ac:dyDescent="0.3">
      <c r="A17" s="9">
        <v>0.35416666666666669</v>
      </c>
      <c r="B17">
        <v>263</v>
      </c>
      <c r="G17" s="7">
        <f t="shared" si="3"/>
        <v>0.35416666666666669</v>
      </c>
      <c r="H17">
        <f>IF(B17&lt;&gt;0,SUMIF($G$11:$G17,"&gt;"&amp;$G17-1/24,B$11:B17),0)</f>
        <v>1103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263</v>
      </c>
      <c r="Q17">
        <f t="shared" si="7"/>
        <v>263</v>
      </c>
      <c r="S17" s="9">
        <v>0.35416666666666669</v>
      </c>
      <c r="T17">
        <v>263</v>
      </c>
      <c r="U17">
        <v>263</v>
      </c>
    </row>
    <row r="18" spans="1:21" x14ac:dyDescent="0.3">
      <c r="A18" s="9">
        <v>0.36458333333333331</v>
      </c>
      <c r="B18">
        <v>212</v>
      </c>
      <c r="G18" s="7">
        <f t="shared" si="3"/>
        <v>0.36458333333333331</v>
      </c>
      <c r="H18">
        <f>IF(B18&lt;&gt;0,SUMIF($G$11:$G18,"&gt;"&amp;$G18-1/24,B$11:B18),0)</f>
        <v>1030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212</v>
      </c>
      <c r="Q18">
        <f t="shared" si="7"/>
        <v>0</v>
      </c>
      <c r="S18" s="9">
        <v>0.36458333333333331</v>
      </c>
      <c r="T18">
        <v>212</v>
      </c>
      <c r="U18">
        <v>0</v>
      </c>
    </row>
    <row r="19" spans="1:21" x14ac:dyDescent="0.3">
      <c r="A19" s="9">
        <v>0.54166666666666663</v>
      </c>
      <c r="C19">
        <v>190</v>
      </c>
      <c r="G19" s="7">
        <f t="shared" si="3"/>
        <v>0.54166666666666663</v>
      </c>
      <c r="H19">
        <f>IF(B19&lt;&gt;0,SUMIF($G$11:$G19,"&gt;"&amp;$G19-1/24,B$11:B19),0)</f>
        <v>0</v>
      </c>
      <c r="I19">
        <f>IF(C19&lt;&gt;0,SUMIF($G$11:$G19,"&gt;"&amp;$G19-1/24,C$11:C19),0)</f>
        <v>190</v>
      </c>
      <c r="J19">
        <f>IF(D19&lt;&gt;0,SUMIF($G$11:$G19,"&gt;"&amp;$G19-1/24,D$11:D19),0)</f>
        <v>0</v>
      </c>
      <c r="K19">
        <f>IF(E19&lt;&gt;0,SUMIF($G$11:$G19,"&gt;"&amp;$G19-1/24,E$11:E19),0)</f>
        <v>0</v>
      </c>
      <c r="L19">
        <f t="shared" si="4"/>
        <v>1</v>
      </c>
      <c r="N19" t="str">
        <f t="shared" si="5"/>
        <v>INT</v>
      </c>
      <c r="O19" s="7">
        <f t="shared" si="2"/>
        <v>0.54166666666666663</v>
      </c>
      <c r="P19">
        <f t="shared" si="6"/>
        <v>190</v>
      </c>
      <c r="Q19">
        <f t="shared" si="7"/>
        <v>190</v>
      </c>
      <c r="S19" s="9" t="s">
        <v>49</v>
      </c>
      <c r="T19">
        <v>1991</v>
      </c>
      <c r="U19">
        <v>1103</v>
      </c>
    </row>
    <row r="20" spans="1:21" x14ac:dyDescent="0.3">
      <c r="A20" s="9">
        <v>0.55208333333333337</v>
      </c>
      <c r="C20">
        <v>195</v>
      </c>
      <c r="G20" s="7">
        <f t="shared" si="3"/>
        <v>0.55208333333333337</v>
      </c>
      <c r="H20">
        <f>IF(B20&lt;&gt;0,SUMIF($G$11:$G20,"&gt;"&amp;$G20-1/24,B$11:B20),0)</f>
        <v>0</v>
      </c>
      <c r="I20">
        <f>IF(C20&lt;&gt;0,SUMIF($G$11:$G20,"&gt;"&amp;$G20-1/24,C$11:C20),0)</f>
        <v>385</v>
      </c>
      <c r="J20">
        <f>IF(D20&lt;&gt;0,SUMIF($G$11:$G20,"&gt;"&amp;$G20-1/24,D$11:D20),0)</f>
        <v>0</v>
      </c>
      <c r="K20">
        <f>IF(E20&lt;&gt;0,SUMIF($G$11:$G20,"&gt;"&amp;$G20-1/24,E$11:E20),0)</f>
        <v>0</v>
      </c>
      <c r="L20">
        <f t="shared" si="4"/>
        <v>1</v>
      </c>
      <c r="N20" t="str">
        <f t="shared" si="5"/>
        <v>INT</v>
      </c>
      <c r="O20" s="7">
        <f t="shared" si="2"/>
        <v>0.55208333333333337</v>
      </c>
      <c r="P20">
        <f t="shared" si="6"/>
        <v>195</v>
      </c>
      <c r="Q20">
        <f t="shared" si="7"/>
        <v>195</v>
      </c>
    </row>
    <row r="21" spans="1:21" x14ac:dyDescent="0.3">
      <c r="A21" s="9">
        <v>0.5625</v>
      </c>
      <c r="C21">
        <v>195</v>
      </c>
      <c r="G21" s="7">
        <f t="shared" si="3"/>
        <v>0.5625</v>
      </c>
      <c r="H21">
        <f>IF(B21&lt;&gt;0,SUMIF($G$11:$G21,"&gt;"&amp;$G21-1/24,B$11:B21),0)</f>
        <v>0</v>
      </c>
      <c r="I21">
        <f>IF(C21&lt;&gt;0,SUMIF($G$11:$G21,"&gt;"&amp;$G21-1/24,C$11:C21),0)</f>
        <v>580</v>
      </c>
      <c r="J21">
        <f>IF(D21&lt;&gt;0,SUMIF($G$11:$G21,"&gt;"&amp;$G21-1/24,D$11:D21),0)</f>
        <v>0</v>
      </c>
      <c r="K21">
        <f>IF(E21&lt;&gt;0,SUMIF($G$11:$G21,"&gt;"&amp;$G21-1/24,E$11:E21),0)</f>
        <v>0</v>
      </c>
      <c r="L21">
        <f t="shared" si="4"/>
        <v>1</v>
      </c>
      <c r="N21" t="str">
        <f t="shared" si="5"/>
        <v>INT</v>
      </c>
      <c r="O21" s="7">
        <f t="shared" si="2"/>
        <v>0.5625</v>
      </c>
      <c r="P21">
        <f t="shared" si="6"/>
        <v>195</v>
      </c>
      <c r="Q21">
        <f t="shared" si="7"/>
        <v>195</v>
      </c>
    </row>
    <row r="22" spans="1:21" x14ac:dyDescent="0.3">
      <c r="A22" s="9">
        <v>0.57291666666666663</v>
      </c>
      <c r="C22">
        <v>210</v>
      </c>
      <c r="G22" s="7">
        <f t="shared" si="3"/>
        <v>0.57291666666666663</v>
      </c>
      <c r="H22">
        <f>IF(B22&lt;&gt;0,SUMIF($G$11:$G22,"&gt;"&amp;$G22-1/24,B$11:B22),0)</f>
        <v>0</v>
      </c>
      <c r="I22">
        <f>IF(C22&lt;&gt;0,SUMIF($G$11:$G22,"&gt;"&amp;$G22-1/24,C$11:C22),0)</f>
        <v>790</v>
      </c>
      <c r="J22">
        <f>IF(D22&lt;&gt;0,SUMIF($G$11:$G22,"&gt;"&amp;$G22-1/24,D$11:D22),0)</f>
        <v>0</v>
      </c>
      <c r="K22">
        <f>IF(E22&lt;&gt;0,SUMIF($G$11:$G22,"&gt;"&amp;$G22-1/24,E$11:E22),0)</f>
        <v>0</v>
      </c>
      <c r="L22">
        <f t="shared" si="4"/>
        <v>1</v>
      </c>
      <c r="N22" t="str">
        <f t="shared" si="5"/>
        <v>INT</v>
      </c>
      <c r="O22" s="7">
        <f t="shared" si="2"/>
        <v>0.57291666666666663</v>
      </c>
      <c r="P22">
        <f t="shared" si="6"/>
        <v>210</v>
      </c>
      <c r="Q22">
        <f t="shared" si="7"/>
        <v>210</v>
      </c>
    </row>
    <row r="23" spans="1:21" x14ac:dyDescent="0.3">
      <c r="A23" s="9">
        <v>0.66666666666666663</v>
      </c>
      <c r="D23">
        <v>278</v>
      </c>
      <c r="G23" s="7">
        <f t="shared" si="3"/>
        <v>0.66666666666666663</v>
      </c>
      <c r="H23">
        <f>IF(B23&lt;&gt;0,SUMIF($G$11:$G23,"&gt;"&amp;$G23-1/24,B$11:B23),0)</f>
        <v>0</v>
      </c>
      <c r="I23">
        <f>IF(C23&lt;&gt;0,SUMIF($G$11:$G23,"&gt;"&amp;$G23-1/24,C$11:C23),0)</f>
        <v>0</v>
      </c>
      <c r="J23">
        <f>IF(D23&lt;&gt;0,SUMIF($G$11:$G23,"&gt;"&amp;$G23-1/24,D$11:D23),0)</f>
        <v>278</v>
      </c>
      <c r="K23">
        <f>IF(E23&lt;&gt;0,SUMIF($G$11:$G23,"&gt;"&amp;$G23-1/24,E$11:E23),0)</f>
        <v>0</v>
      </c>
      <c r="L23">
        <f t="shared" si="4"/>
        <v>0</v>
      </c>
      <c r="N23" t="str">
        <f t="shared" si="5"/>
        <v>PM</v>
      </c>
      <c r="O23" s="7">
        <f t="shared" si="2"/>
        <v>0.66666666666666663</v>
      </c>
      <c r="P23">
        <f t="shared" si="6"/>
        <v>278</v>
      </c>
      <c r="Q23">
        <f t="shared" si="7"/>
        <v>0</v>
      </c>
    </row>
    <row r="24" spans="1:21" x14ac:dyDescent="0.3">
      <c r="A24" s="9">
        <v>0.67708333333333337</v>
      </c>
      <c r="D24">
        <v>321</v>
      </c>
      <c r="G24" s="7">
        <f t="shared" si="3"/>
        <v>0.67708333333333337</v>
      </c>
      <c r="H24">
        <f>IF(B24&lt;&gt;0,SUMIF($G$11:$G24,"&gt;"&amp;$G24-1/24,B$11:B24),0)</f>
        <v>0</v>
      </c>
      <c r="I24">
        <f>IF(C24&lt;&gt;0,SUMIF($G$11:$G24,"&gt;"&amp;$G24-1/24,C$11:C24),0)</f>
        <v>0</v>
      </c>
      <c r="J24">
        <f>IF(D24&lt;&gt;0,SUMIF($G$11:$G24,"&gt;"&amp;$G24-1/24,D$11:D24),0)</f>
        <v>599</v>
      </c>
      <c r="K24">
        <f>IF(E24&lt;&gt;0,SUMIF($G$11:$G24,"&gt;"&amp;$G24-1/24,E$11:E24),0)</f>
        <v>0</v>
      </c>
      <c r="L24">
        <f t="shared" si="4"/>
        <v>0</v>
      </c>
      <c r="N24" t="str">
        <f t="shared" si="5"/>
        <v>PM</v>
      </c>
      <c r="O24" s="7">
        <f t="shared" si="2"/>
        <v>0.67708333333333337</v>
      </c>
      <c r="P24">
        <f t="shared" si="6"/>
        <v>321</v>
      </c>
      <c r="Q24">
        <f t="shared" si="7"/>
        <v>0</v>
      </c>
    </row>
    <row r="25" spans="1:21" x14ac:dyDescent="0.3">
      <c r="A25" s="9">
        <v>0.6875</v>
      </c>
      <c r="D25">
        <v>328</v>
      </c>
      <c r="G25" s="7">
        <f t="shared" si="3"/>
        <v>0.6875</v>
      </c>
      <c r="H25">
        <f>IF(B25&lt;&gt;0,SUMIF($G$11:$G25,"&gt;"&amp;$G25-1/24,B$11:B25),0)</f>
        <v>0</v>
      </c>
      <c r="I25">
        <f>IF(C25&lt;&gt;0,SUMIF($G$11:$G25,"&gt;"&amp;$G25-1/24,C$11:C25),0)</f>
        <v>0</v>
      </c>
      <c r="J25">
        <f>IF(D25&lt;&gt;0,SUMIF($G$11:$G25,"&gt;"&amp;$G25-1/24,D$11:D25),0)</f>
        <v>927</v>
      </c>
      <c r="K25">
        <f>IF(E25&lt;&gt;0,SUMIF($G$11:$G25,"&gt;"&amp;$G25-1/24,E$11:E25),0)</f>
        <v>0</v>
      </c>
      <c r="L25">
        <f t="shared" si="4"/>
        <v>1</v>
      </c>
      <c r="N25" t="str">
        <f t="shared" si="5"/>
        <v>PM</v>
      </c>
      <c r="O25" s="7">
        <f t="shared" si="2"/>
        <v>0.6875</v>
      </c>
      <c r="P25">
        <f t="shared" si="6"/>
        <v>328</v>
      </c>
      <c r="Q25">
        <f t="shared" si="7"/>
        <v>328</v>
      </c>
    </row>
    <row r="26" spans="1:21" x14ac:dyDescent="0.3">
      <c r="A26" s="9">
        <v>0.69791666666666663</v>
      </c>
      <c r="D26">
        <v>318</v>
      </c>
      <c r="G26" s="7">
        <f t="shared" si="3"/>
        <v>0.69791666666666663</v>
      </c>
      <c r="H26">
        <f>IF(B26&lt;&gt;0,SUMIF($G$11:$G26,"&gt;"&amp;$G26-1/24,B$11:B26),0)</f>
        <v>0</v>
      </c>
      <c r="I26">
        <f>IF(C26&lt;&gt;0,SUMIF($G$11:$G26,"&gt;"&amp;$G26-1/24,C$11:C26),0)</f>
        <v>0</v>
      </c>
      <c r="J26">
        <f>IF(D26&lt;&gt;0,SUMIF($G$11:$G26,"&gt;"&amp;$G26-1/24,D$11:D26),0)</f>
        <v>1245</v>
      </c>
      <c r="K26">
        <f>IF(E26&lt;&gt;0,SUMIF($G$11:$G26,"&gt;"&amp;$G26-1/24,E$11:E26),0)</f>
        <v>0</v>
      </c>
      <c r="L26">
        <f t="shared" si="4"/>
        <v>1</v>
      </c>
      <c r="N26" t="str">
        <f t="shared" si="5"/>
        <v>PM</v>
      </c>
      <c r="O26" s="7">
        <f t="shared" si="2"/>
        <v>0.69791666666666663</v>
      </c>
      <c r="P26">
        <f t="shared" si="6"/>
        <v>318</v>
      </c>
      <c r="Q26">
        <f t="shared" si="7"/>
        <v>318</v>
      </c>
    </row>
    <row r="27" spans="1:21" x14ac:dyDescent="0.3">
      <c r="A27" s="9">
        <v>0.70833333333333337</v>
      </c>
      <c r="D27">
        <v>359</v>
      </c>
      <c r="G27" s="7">
        <f t="shared" ref="G27:G90" si="8">A27</f>
        <v>0.70833333333333337</v>
      </c>
      <c r="H27">
        <f>IF(B27&lt;&gt;0,SUMIF($G$11:$G27,"&gt;"&amp;$G27-1/24,B$11:B27),0)</f>
        <v>0</v>
      </c>
      <c r="I27">
        <f>IF(C27&lt;&gt;0,SUMIF($G$11:$G27,"&gt;"&amp;$G27-1/24,C$11:C27),0)</f>
        <v>0</v>
      </c>
      <c r="J27">
        <f>IF(D27&lt;&gt;0,SUMIF($G$11:$G27,"&gt;"&amp;$G27-1/24,D$11:D27),0)</f>
        <v>1326</v>
      </c>
      <c r="K27">
        <f>IF(E27&lt;&gt;0,SUMIF($G$11:$G27,"&gt;"&amp;$G27-1/24,E$11:E27),0)</f>
        <v>0</v>
      </c>
      <c r="L27">
        <f t="shared" si="4"/>
        <v>1</v>
      </c>
      <c r="N27" t="str">
        <f t="shared" si="5"/>
        <v>PM</v>
      </c>
      <c r="O27" s="7">
        <f t="shared" si="2"/>
        <v>0.70833333333333337</v>
      </c>
      <c r="P27">
        <f t="shared" si="6"/>
        <v>359</v>
      </c>
      <c r="Q27">
        <f t="shared" si="7"/>
        <v>359</v>
      </c>
    </row>
    <row r="28" spans="1:21" x14ac:dyDescent="0.3">
      <c r="A28" s="9">
        <v>0.71875</v>
      </c>
      <c r="D28">
        <v>337</v>
      </c>
      <c r="G28" s="7">
        <f t="shared" si="8"/>
        <v>0.71875</v>
      </c>
      <c r="H28">
        <f>IF(B28&lt;&gt;0,SUMIF($G$11:$G28,"&gt;"&amp;$G28-1/24,B$11:B28),0)</f>
        <v>0</v>
      </c>
      <c r="I28">
        <f>IF(C28&lt;&gt;0,SUMIF($G$11:$G28,"&gt;"&amp;$G28-1/24,C$11:C28),0)</f>
        <v>0</v>
      </c>
      <c r="J28">
        <f>IF(D28&lt;&gt;0,SUMIF($G$11:$G28,"&gt;"&amp;$G28-1/24,D$11:D28),0)</f>
        <v>1342</v>
      </c>
      <c r="K28">
        <f>IF(E28&lt;&gt;0,SUMIF($G$11:$G28,"&gt;"&amp;$G28-1/24,E$11:E28),0)</f>
        <v>0</v>
      </c>
      <c r="L28">
        <f t="shared" si="4"/>
        <v>1</v>
      </c>
      <c r="N28" t="str">
        <f t="shared" si="5"/>
        <v>PM</v>
      </c>
      <c r="O28" s="7">
        <f t="shared" si="2"/>
        <v>0.71875</v>
      </c>
      <c r="P28">
        <f t="shared" si="6"/>
        <v>337</v>
      </c>
      <c r="Q28">
        <f t="shared" si="7"/>
        <v>337</v>
      </c>
    </row>
    <row r="29" spans="1:21" x14ac:dyDescent="0.3">
      <c r="A29" s="9">
        <v>0.72916666666666663</v>
      </c>
      <c r="D29">
        <v>298</v>
      </c>
      <c r="G29" s="7">
        <f t="shared" si="8"/>
        <v>0.72916666666666663</v>
      </c>
      <c r="H29">
        <f>IF(B29&lt;&gt;0,SUMIF($G$11:$G29,"&gt;"&amp;$G29-1/24,B$11:B29),0)</f>
        <v>0</v>
      </c>
      <c r="I29">
        <f>IF(C29&lt;&gt;0,SUMIF($G$11:$G29,"&gt;"&amp;$G29-1/24,C$11:C29),0)</f>
        <v>0</v>
      </c>
      <c r="J29">
        <f>IF(D29&lt;&gt;0,SUMIF($G$11:$G29,"&gt;"&amp;$G29-1/24,D$11:D29),0)</f>
        <v>1312</v>
      </c>
      <c r="K29">
        <f>IF(E29&lt;&gt;0,SUMIF($G$11:$G29,"&gt;"&amp;$G29-1/24,E$11:E29),0)</f>
        <v>0</v>
      </c>
      <c r="L29">
        <f t="shared" si="4"/>
        <v>0</v>
      </c>
      <c r="N29" t="str">
        <f t="shared" si="5"/>
        <v>PM</v>
      </c>
      <c r="O29" s="7">
        <f t="shared" si="2"/>
        <v>0.72916666666666663</v>
      </c>
      <c r="P29">
        <f t="shared" si="6"/>
        <v>298</v>
      </c>
      <c r="Q29">
        <f t="shared" si="7"/>
        <v>0</v>
      </c>
    </row>
    <row r="30" spans="1:21" x14ac:dyDescent="0.3">
      <c r="A30" s="9">
        <v>0.73958333333333337</v>
      </c>
      <c r="D30">
        <v>287</v>
      </c>
      <c r="G30" s="7">
        <f t="shared" si="8"/>
        <v>0.73958333333333337</v>
      </c>
      <c r="H30">
        <f>IF(B30&lt;&gt;0,SUMIF($G$11:$G30,"&gt;"&amp;$G30-1/24,B$11:B30),0)</f>
        <v>0</v>
      </c>
      <c r="I30">
        <f>IF(C30&lt;&gt;0,SUMIF($G$11:$G30,"&gt;"&amp;$G30-1/24,C$11:C30),0)</f>
        <v>0</v>
      </c>
      <c r="J30">
        <f>IF(D30&lt;&gt;0,SUMIF($G$11:$G30,"&gt;"&amp;$G30-1/24,D$11:D30),0)</f>
        <v>1281</v>
      </c>
      <c r="K30">
        <f>IF(E30&lt;&gt;0,SUMIF($G$11:$G30,"&gt;"&amp;$G30-1/24,E$11:E30),0)</f>
        <v>0</v>
      </c>
      <c r="L30">
        <f t="shared" si="4"/>
        <v>0</v>
      </c>
      <c r="N30" t="str">
        <f t="shared" si="5"/>
        <v>PM</v>
      </c>
      <c r="O30" s="7">
        <f t="shared" si="2"/>
        <v>0.73958333333333337</v>
      </c>
      <c r="P30">
        <f t="shared" si="6"/>
        <v>287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203</v>
      </c>
      <c r="E5" t="str">
        <f>"Vehicle Count by Exit Leg for "&amp;C2&amp;" Period"</f>
        <v>Vehicle Count by Exit Leg for AM Period</v>
      </c>
    </row>
    <row r="6" spans="2:5" x14ac:dyDescent="0.3">
      <c r="B6" s="9">
        <v>0.30208333333333331</v>
      </c>
      <c r="C6">
        <v>234</v>
      </c>
    </row>
    <row r="7" spans="2:5" x14ac:dyDescent="0.3">
      <c r="B7" s="9">
        <v>0.3125</v>
      </c>
      <c r="C7">
        <v>239</v>
      </c>
    </row>
    <row r="8" spans="2:5" x14ac:dyDescent="0.3">
      <c r="B8" s="9">
        <v>0.32291666666666669</v>
      </c>
      <c r="C8">
        <v>285</v>
      </c>
    </row>
    <row r="9" spans="2:5" x14ac:dyDescent="0.3">
      <c r="B9" s="9">
        <v>0.33333333333333331</v>
      </c>
      <c r="C9">
        <v>281</v>
      </c>
    </row>
    <row r="10" spans="2:5" x14ac:dyDescent="0.3">
      <c r="B10" s="9">
        <v>0.34375</v>
      </c>
      <c r="C10">
        <v>274</v>
      </c>
    </row>
    <row r="11" spans="2:5" x14ac:dyDescent="0.3">
      <c r="B11" s="9">
        <v>0.35416666666666669</v>
      </c>
      <c r="C11">
        <v>263</v>
      </c>
    </row>
    <row r="12" spans="2:5" x14ac:dyDescent="0.3">
      <c r="B12" s="9">
        <v>0.36458333333333331</v>
      </c>
      <c r="C12">
        <v>212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 bestFit="1" customWidth="1"/>
    <col min="12" max="12" width="19.109375" bestFit="1" customWidth="1"/>
    <col min="13" max="13" width="21.6640625" bestFit="1" customWidth="1"/>
    <col min="14" max="14" width="17.6640625" bestFit="1" customWidth="1"/>
    <col min="15" max="15" width="5.5546875" customWidth="1"/>
    <col min="16" max="18" width="3.33203125" customWidth="1"/>
    <col min="19" max="19" width="10.77734375" bestFit="1" customWidth="1"/>
    <col min="20" max="20" width="19" bestFit="1" customWidth="1"/>
    <col min="21" max="21" width="19.109375" bestFit="1" customWidth="1"/>
    <col min="22" max="22" width="21.6640625" bestFit="1" customWidth="1"/>
    <col min="23" max="23" width="17.66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203</v>
      </c>
      <c r="J26" s="9">
        <v>0.29166666666666669</v>
      </c>
      <c r="K26" s="16">
        <v>57</v>
      </c>
      <c r="L26" s="16">
        <v>56</v>
      </c>
      <c r="M26" s="16">
        <v>1</v>
      </c>
      <c r="N26" s="16">
        <v>89</v>
      </c>
      <c r="S26" s="9">
        <v>0.29166666666666669</v>
      </c>
      <c r="T26" s="16">
        <v>109</v>
      </c>
      <c r="U26" s="16">
        <v>84</v>
      </c>
      <c r="V26" s="16">
        <v>1</v>
      </c>
      <c r="W26" s="16">
        <v>9</v>
      </c>
    </row>
    <row r="27" spans="2:24" x14ac:dyDescent="0.3">
      <c r="B27" s="9">
        <v>0.30208333333333331</v>
      </c>
      <c r="C27" s="16">
        <v>234</v>
      </c>
      <c r="J27" s="9">
        <v>0.30208333333333331</v>
      </c>
      <c r="K27" s="16">
        <v>76</v>
      </c>
      <c r="L27" s="16">
        <v>62</v>
      </c>
      <c r="M27" s="16">
        <v>2</v>
      </c>
      <c r="N27" s="16">
        <v>94</v>
      </c>
      <c r="S27" s="9">
        <v>0.30208333333333331</v>
      </c>
      <c r="T27" s="16">
        <v>104</v>
      </c>
      <c r="U27" s="16">
        <v>108</v>
      </c>
      <c r="V27" s="16">
        <v>2</v>
      </c>
      <c r="W27" s="16">
        <v>20</v>
      </c>
    </row>
    <row r="28" spans="2:24" x14ac:dyDescent="0.3">
      <c r="B28" s="9">
        <v>0.3125</v>
      </c>
      <c r="C28" s="16">
        <v>239</v>
      </c>
      <c r="J28" s="9">
        <v>0.3125</v>
      </c>
      <c r="K28" s="16">
        <v>98</v>
      </c>
      <c r="L28" s="16">
        <v>51</v>
      </c>
      <c r="M28" s="16">
        <v>6</v>
      </c>
      <c r="N28" s="16">
        <v>84</v>
      </c>
      <c r="S28" s="9">
        <v>0.3125</v>
      </c>
      <c r="T28" s="16">
        <v>91</v>
      </c>
      <c r="U28" s="16">
        <v>125</v>
      </c>
      <c r="V28" s="16">
        <v>1</v>
      </c>
      <c r="W28" s="16">
        <v>22</v>
      </c>
    </row>
    <row r="29" spans="2:24" x14ac:dyDescent="0.3">
      <c r="B29" s="9">
        <v>0.32291666666666669</v>
      </c>
      <c r="C29" s="16">
        <v>285</v>
      </c>
      <c r="J29" s="9">
        <v>0.32291666666666669</v>
      </c>
      <c r="K29" s="16">
        <v>112</v>
      </c>
      <c r="L29" s="16">
        <v>67</v>
      </c>
      <c r="M29" s="16">
        <v>7</v>
      </c>
      <c r="N29" s="16">
        <v>99</v>
      </c>
      <c r="S29" s="9">
        <v>0.32291666666666669</v>
      </c>
      <c r="T29" s="16">
        <v>111</v>
      </c>
      <c r="U29" s="16">
        <v>133</v>
      </c>
      <c r="V29" s="16">
        <v>0</v>
      </c>
      <c r="W29" s="16">
        <v>41</v>
      </c>
    </row>
    <row r="30" spans="2:24" x14ac:dyDescent="0.3">
      <c r="B30" s="9">
        <v>0.33333333333333331</v>
      </c>
      <c r="C30" s="16">
        <v>281</v>
      </c>
      <c r="J30" s="9">
        <v>0.33333333333333331</v>
      </c>
      <c r="K30" s="16">
        <v>111</v>
      </c>
      <c r="L30" s="16">
        <v>83</v>
      </c>
      <c r="M30" s="16">
        <v>5</v>
      </c>
      <c r="N30" s="16">
        <v>82</v>
      </c>
      <c r="S30" s="9">
        <v>0.33333333333333331</v>
      </c>
      <c r="T30" s="16">
        <v>112</v>
      </c>
      <c r="U30" s="16">
        <v>133</v>
      </c>
      <c r="V30" s="16">
        <v>3</v>
      </c>
      <c r="W30" s="16">
        <v>33</v>
      </c>
    </row>
    <row r="31" spans="2:24" x14ac:dyDescent="0.3">
      <c r="B31" s="9">
        <v>0.34375</v>
      </c>
      <c r="C31" s="16">
        <v>274</v>
      </c>
      <c r="J31" s="9">
        <v>0.34375</v>
      </c>
      <c r="K31" s="16">
        <v>111</v>
      </c>
      <c r="L31" s="16">
        <v>75</v>
      </c>
      <c r="M31" s="16">
        <v>3</v>
      </c>
      <c r="N31" s="16">
        <v>85</v>
      </c>
      <c r="S31" s="9">
        <v>0.34375</v>
      </c>
      <c r="T31" s="16">
        <v>108</v>
      </c>
      <c r="U31" s="16">
        <v>121</v>
      </c>
      <c r="V31" s="16">
        <v>1</v>
      </c>
      <c r="W31" s="16">
        <v>44</v>
      </c>
    </row>
    <row r="32" spans="2:24" x14ac:dyDescent="0.3">
      <c r="B32" s="9">
        <v>0.35416666666666669</v>
      </c>
      <c r="C32" s="16">
        <v>263</v>
      </c>
      <c r="J32" s="9">
        <v>0.35416666666666669</v>
      </c>
      <c r="K32" s="16">
        <v>84</v>
      </c>
      <c r="L32" s="16">
        <v>99</v>
      </c>
      <c r="M32" s="16">
        <v>6</v>
      </c>
      <c r="N32" s="16">
        <v>74</v>
      </c>
      <c r="S32" s="9">
        <v>0.35416666666666669</v>
      </c>
      <c r="T32" s="16">
        <v>133</v>
      </c>
      <c r="U32" s="16">
        <v>94</v>
      </c>
      <c r="V32" s="16">
        <v>0</v>
      </c>
      <c r="W32" s="16">
        <v>36</v>
      </c>
    </row>
    <row r="33" spans="2:23" x14ac:dyDescent="0.3">
      <c r="B33" s="9">
        <v>0.36458333333333331</v>
      </c>
      <c r="C33" s="16">
        <v>212</v>
      </c>
      <c r="J33" s="9">
        <v>0.36458333333333331</v>
      </c>
      <c r="K33" s="16">
        <v>81</v>
      </c>
      <c r="L33" s="16">
        <v>76</v>
      </c>
      <c r="M33" s="16">
        <v>2</v>
      </c>
      <c r="N33" s="16">
        <v>53</v>
      </c>
      <c r="S33" s="9">
        <v>0.36458333333333331</v>
      </c>
      <c r="T33" s="16">
        <v>95</v>
      </c>
      <c r="U33" s="16">
        <v>75</v>
      </c>
      <c r="V33" s="16">
        <v>1</v>
      </c>
      <c r="W33" s="16">
        <v>41</v>
      </c>
    </row>
    <row r="34" spans="2:23" x14ac:dyDescent="0.3">
      <c r="B34" s="9" t="s">
        <v>49</v>
      </c>
      <c r="C34" s="16">
        <v>1991</v>
      </c>
      <c r="J34" s="9" t="s">
        <v>49</v>
      </c>
      <c r="K34" s="16">
        <v>730</v>
      </c>
      <c r="L34" s="16">
        <v>569</v>
      </c>
      <c r="M34" s="16">
        <v>32</v>
      </c>
      <c r="N34" s="16">
        <v>660</v>
      </c>
      <c r="S34" s="9" t="s">
        <v>49</v>
      </c>
      <c r="T34" s="16">
        <v>863</v>
      </c>
      <c r="U34" s="16">
        <v>873</v>
      </c>
      <c r="V34" s="16">
        <v>9</v>
      </c>
      <c r="W34" s="16">
        <v>246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0.66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1103 vehicles between 07:45 and 08:45</v>
      </c>
    </row>
    <row r="5" spans="2:2" x14ac:dyDescent="0.3">
      <c r="B5" s="6" t="str">
        <f>PeakCalc!I8</f>
        <v>The peak hour for INT is 790 vehicles between 13:00 and 14:00</v>
      </c>
    </row>
    <row r="6" spans="2:2" x14ac:dyDescent="0.3">
      <c r="B6" s="6" t="str">
        <f>PeakCalc!J8</f>
        <v>The peak hour for PM is 1342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403</v>
      </c>
      <c r="D32">
        <v>11</v>
      </c>
      <c r="E32">
        <v>4</v>
      </c>
      <c r="F32">
        <v>418</v>
      </c>
      <c r="G32">
        <v>568</v>
      </c>
      <c r="H32">
        <v>7</v>
      </c>
      <c r="I32">
        <v>4</v>
      </c>
      <c r="J32">
        <v>579</v>
      </c>
      <c r="K32">
        <v>287</v>
      </c>
      <c r="L32">
        <v>7</v>
      </c>
      <c r="M32">
        <v>2</v>
      </c>
      <c r="N32">
        <v>296</v>
      </c>
    </row>
    <row r="33" spans="2:14" x14ac:dyDescent="0.3">
      <c r="B33" s="14" t="s">
        <v>96</v>
      </c>
      <c r="C33">
        <v>94</v>
      </c>
      <c r="D33">
        <v>1</v>
      </c>
      <c r="E33">
        <v>1</v>
      </c>
      <c r="F33">
        <v>96</v>
      </c>
      <c r="G33">
        <v>262</v>
      </c>
      <c r="H33">
        <v>1</v>
      </c>
      <c r="I33">
        <v>3</v>
      </c>
      <c r="J33">
        <v>266</v>
      </c>
      <c r="K33">
        <v>101</v>
      </c>
      <c r="L33">
        <v>0</v>
      </c>
      <c r="M33">
        <v>1</v>
      </c>
      <c r="N33">
        <v>102</v>
      </c>
    </row>
    <row r="34" spans="2:14" x14ac:dyDescent="0.3">
      <c r="B34" s="14" t="s">
        <v>97</v>
      </c>
      <c r="C34">
        <v>308</v>
      </c>
      <c r="D34">
        <v>10</v>
      </c>
      <c r="E34">
        <v>3</v>
      </c>
      <c r="F34">
        <v>321</v>
      </c>
      <c r="G34">
        <v>300</v>
      </c>
      <c r="H34">
        <v>6</v>
      </c>
      <c r="I34">
        <v>1</v>
      </c>
      <c r="J34">
        <v>307</v>
      </c>
      <c r="K34">
        <v>182</v>
      </c>
      <c r="L34">
        <v>7</v>
      </c>
      <c r="M34">
        <v>1</v>
      </c>
      <c r="N34">
        <v>190</v>
      </c>
    </row>
    <row r="35" spans="2:14" x14ac:dyDescent="0.3">
      <c r="B35" s="14" t="s">
        <v>98</v>
      </c>
      <c r="C35">
        <v>1</v>
      </c>
      <c r="D35">
        <v>0</v>
      </c>
      <c r="E35">
        <v>0</v>
      </c>
      <c r="F35">
        <v>1</v>
      </c>
      <c r="G35">
        <v>6</v>
      </c>
      <c r="H35">
        <v>0</v>
      </c>
      <c r="I35">
        <v>0</v>
      </c>
      <c r="J35">
        <v>6</v>
      </c>
      <c r="K35">
        <v>4</v>
      </c>
      <c r="L35">
        <v>0</v>
      </c>
      <c r="M35">
        <v>0</v>
      </c>
      <c r="N35">
        <v>4</v>
      </c>
    </row>
    <row r="36" spans="2:14" x14ac:dyDescent="0.3">
      <c r="B36" s="10" t="s">
        <v>93</v>
      </c>
      <c r="C36">
        <v>336</v>
      </c>
      <c r="D36">
        <v>4</v>
      </c>
      <c r="E36">
        <v>0</v>
      </c>
      <c r="F36">
        <v>340</v>
      </c>
      <c r="G36">
        <v>187</v>
      </c>
      <c r="H36">
        <v>0</v>
      </c>
      <c r="I36">
        <v>4</v>
      </c>
      <c r="J36">
        <v>191</v>
      </c>
      <c r="K36">
        <v>159</v>
      </c>
      <c r="L36">
        <v>0</v>
      </c>
      <c r="M36">
        <v>0</v>
      </c>
      <c r="N36">
        <v>159</v>
      </c>
    </row>
    <row r="37" spans="2:14" x14ac:dyDescent="0.3">
      <c r="B37" s="14" t="s">
        <v>99</v>
      </c>
      <c r="C37">
        <v>148</v>
      </c>
      <c r="D37">
        <v>3</v>
      </c>
      <c r="E37">
        <v>0</v>
      </c>
      <c r="F37">
        <v>151</v>
      </c>
      <c r="G37">
        <v>62</v>
      </c>
      <c r="H37">
        <v>0</v>
      </c>
      <c r="I37">
        <v>1</v>
      </c>
      <c r="J37">
        <v>63</v>
      </c>
      <c r="K37">
        <v>55</v>
      </c>
      <c r="L37">
        <v>0</v>
      </c>
      <c r="M37">
        <v>0</v>
      </c>
      <c r="N37">
        <v>55</v>
      </c>
    </row>
    <row r="38" spans="2:14" x14ac:dyDescent="0.3">
      <c r="B38" s="14" t="s">
        <v>100</v>
      </c>
      <c r="C38">
        <v>1</v>
      </c>
      <c r="D38">
        <v>0</v>
      </c>
      <c r="E38">
        <v>0</v>
      </c>
      <c r="F38">
        <v>1</v>
      </c>
      <c r="G38">
        <v>1</v>
      </c>
      <c r="H38">
        <v>0</v>
      </c>
      <c r="I38">
        <v>0</v>
      </c>
      <c r="J38">
        <v>1</v>
      </c>
      <c r="K38">
        <v>0</v>
      </c>
      <c r="L38">
        <v>0</v>
      </c>
      <c r="M38">
        <v>0</v>
      </c>
      <c r="N38">
        <v>0</v>
      </c>
    </row>
    <row r="39" spans="2:14" x14ac:dyDescent="0.3">
      <c r="B39" s="14" t="s">
        <v>101</v>
      </c>
      <c r="C39">
        <v>187</v>
      </c>
      <c r="D39">
        <v>1</v>
      </c>
      <c r="E39">
        <v>0</v>
      </c>
      <c r="F39">
        <v>188</v>
      </c>
      <c r="G39">
        <v>124</v>
      </c>
      <c r="H39">
        <v>0</v>
      </c>
      <c r="I39">
        <v>3</v>
      </c>
      <c r="J39">
        <v>127</v>
      </c>
      <c r="K39">
        <v>104</v>
      </c>
      <c r="L39">
        <v>0</v>
      </c>
      <c r="M39">
        <v>0</v>
      </c>
      <c r="N39">
        <v>104</v>
      </c>
    </row>
    <row r="40" spans="2:14" x14ac:dyDescent="0.3">
      <c r="B40" s="10" t="s">
        <v>94</v>
      </c>
      <c r="C40">
        <v>308</v>
      </c>
      <c r="D40">
        <v>15</v>
      </c>
      <c r="E40">
        <v>1</v>
      </c>
      <c r="F40">
        <v>324</v>
      </c>
      <c r="G40">
        <v>550</v>
      </c>
      <c r="H40">
        <v>3</v>
      </c>
      <c r="I40">
        <v>8</v>
      </c>
      <c r="J40">
        <v>561</v>
      </c>
      <c r="K40">
        <v>317</v>
      </c>
      <c r="L40">
        <v>12</v>
      </c>
      <c r="M40">
        <v>2</v>
      </c>
      <c r="N40">
        <v>331</v>
      </c>
    </row>
    <row r="41" spans="2:14" x14ac:dyDescent="0.3">
      <c r="B41" s="14" t="s">
        <v>102</v>
      </c>
      <c r="C41">
        <v>2</v>
      </c>
      <c r="D41">
        <v>0</v>
      </c>
      <c r="E41">
        <v>0</v>
      </c>
      <c r="F41">
        <v>2</v>
      </c>
      <c r="G41">
        <v>8</v>
      </c>
      <c r="H41">
        <v>1</v>
      </c>
      <c r="I41">
        <v>0</v>
      </c>
      <c r="J41">
        <v>9</v>
      </c>
      <c r="K41">
        <v>8</v>
      </c>
      <c r="L41">
        <v>0</v>
      </c>
      <c r="M41">
        <v>0</v>
      </c>
      <c r="N41">
        <v>8</v>
      </c>
    </row>
    <row r="42" spans="2:14" x14ac:dyDescent="0.3">
      <c r="B42" s="14" t="s">
        <v>103</v>
      </c>
      <c r="C42">
        <v>252</v>
      </c>
      <c r="D42">
        <v>14</v>
      </c>
      <c r="E42">
        <v>1</v>
      </c>
      <c r="F42">
        <v>267</v>
      </c>
      <c r="G42">
        <v>422</v>
      </c>
      <c r="H42">
        <v>2</v>
      </c>
      <c r="I42">
        <v>6</v>
      </c>
      <c r="J42">
        <v>430</v>
      </c>
      <c r="K42">
        <v>265</v>
      </c>
      <c r="L42">
        <v>12</v>
      </c>
      <c r="M42">
        <v>0</v>
      </c>
      <c r="N42">
        <v>277</v>
      </c>
    </row>
    <row r="43" spans="2:14" x14ac:dyDescent="0.3">
      <c r="B43" s="14" t="s">
        <v>104</v>
      </c>
      <c r="C43">
        <v>54</v>
      </c>
      <c r="D43">
        <v>1</v>
      </c>
      <c r="E43">
        <v>0</v>
      </c>
      <c r="F43">
        <v>55</v>
      </c>
      <c r="G43">
        <v>120</v>
      </c>
      <c r="H43">
        <v>0</v>
      </c>
      <c r="I43">
        <v>2</v>
      </c>
      <c r="J43">
        <v>122</v>
      </c>
      <c r="K43">
        <v>44</v>
      </c>
      <c r="L43">
        <v>0</v>
      </c>
      <c r="M43">
        <v>2</v>
      </c>
      <c r="N43">
        <v>46</v>
      </c>
    </row>
    <row r="44" spans="2:14" x14ac:dyDescent="0.3">
      <c r="B44" s="10" t="s">
        <v>95</v>
      </c>
      <c r="C44">
        <v>20</v>
      </c>
      <c r="D44">
        <v>0</v>
      </c>
      <c r="E44">
        <v>1</v>
      </c>
      <c r="F44">
        <v>21</v>
      </c>
      <c r="G44">
        <v>11</v>
      </c>
      <c r="H44">
        <v>0</v>
      </c>
      <c r="I44">
        <v>0</v>
      </c>
      <c r="J44">
        <v>11</v>
      </c>
      <c r="K44">
        <v>4</v>
      </c>
      <c r="L44">
        <v>0</v>
      </c>
      <c r="M44">
        <v>0</v>
      </c>
      <c r="N44">
        <v>4</v>
      </c>
    </row>
    <row r="45" spans="2:14" x14ac:dyDescent="0.3">
      <c r="B45" s="14" t="s">
        <v>105</v>
      </c>
      <c r="C45">
        <v>9</v>
      </c>
      <c r="D45">
        <v>0</v>
      </c>
      <c r="E45">
        <v>0</v>
      </c>
      <c r="F45">
        <v>9</v>
      </c>
      <c r="G45">
        <v>8</v>
      </c>
      <c r="H45">
        <v>0</v>
      </c>
      <c r="I45">
        <v>0</v>
      </c>
      <c r="J45">
        <v>8</v>
      </c>
      <c r="K45">
        <v>1</v>
      </c>
      <c r="L45">
        <v>0</v>
      </c>
      <c r="M45">
        <v>0</v>
      </c>
      <c r="N45">
        <v>1</v>
      </c>
    </row>
    <row r="46" spans="2:14" x14ac:dyDescent="0.3">
      <c r="B46" s="14" t="s">
        <v>106</v>
      </c>
      <c r="C46">
        <v>2</v>
      </c>
      <c r="D46">
        <v>0</v>
      </c>
      <c r="E46">
        <v>1</v>
      </c>
      <c r="F46">
        <v>3</v>
      </c>
      <c r="G46">
        <v>1</v>
      </c>
      <c r="H46">
        <v>0</v>
      </c>
      <c r="I46">
        <v>0</v>
      </c>
      <c r="J46">
        <v>1</v>
      </c>
      <c r="K46">
        <v>0</v>
      </c>
      <c r="L46">
        <v>0</v>
      </c>
      <c r="M46">
        <v>0</v>
      </c>
      <c r="N46">
        <v>0</v>
      </c>
    </row>
    <row r="47" spans="2:14" x14ac:dyDescent="0.3">
      <c r="B47" s="14" t="s">
        <v>107</v>
      </c>
      <c r="C47">
        <v>9</v>
      </c>
      <c r="D47">
        <v>0</v>
      </c>
      <c r="E47">
        <v>0</v>
      </c>
      <c r="F47">
        <v>9</v>
      </c>
      <c r="G47">
        <v>2</v>
      </c>
      <c r="H47">
        <v>0</v>
      </c>
      <c r="I47">
        <v>0</v>
      </c>
      <c r="J47">
        <v>2</v>
      </c>
      <c r="K47">
        <v>3</v>
      </c>
      <c r="L47">
        <v>0</v>
      </c>
      <c r="M47">
        <v>0</v>
      </c>
      <c r="N47">
        <v>3</v>
      </c>
    </row>
    <row r="48" spans="2:14" x14ac:dyDescent="0.3">
      <c r="B48" s="10" t="s">
        <v>49</v>
      </c>
      <c r="C48">
        <v>1067</v>
      </c>
      <c r="D48">
        <v>30</v>
      </c>
      <c r="E48">
        <v>6</v>
      </c>
      <c r="F48">
        <v>1103</v>
      </c>
      <c r="G48">
        <v>1316</v>
      </c>
      <c r="H48">
        <v>10</v>
      </c>
      <c r="I48">
        <v>16</v>
      </c>
      <c r="J48">
        <v>1342</v>
      </c>
      <c r="K48">
        <v>767</v>
      </c>
      <c r="L48">
        <v>19</v>
      </c>
      <c r="M48">
        <v>4</v>
      </c>
      <c r="N48">
        <v>790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2351-59E9-4D00-B8F1-312641A6630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6</v>
      </c>
      <c r="D15" s="53" t="s">
        <v>126</v>
      </c>
      <c r="E15" s="53">
        <v>45</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34</v>
      </c>
      <c r="T15" s="53" t="s">
        <v>126</v>
      </c>
      <c r="U15" s="53">
        <v>0</v>
      </c>
      <c r="V15" s="53" t="s">
        <v>126</v>
      </c>
      <c r="W15" s="53">
        <v>54</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48</v>
      </c>
      <c r="AL15" s="53" t="s">
        <v>126</v>
      </c>
      <c r="AM15" s="53">
        <v>2</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11</v>
      </c>
      <c r="D16" s="53" t="s">
        <v>126</v>
      </c>
      <c r="E16" s="53">
        <v>61</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44</v>
      </c>
      <c r="T16" s="53" t="s">
        <v>126</v>
      </c>
      <c r="U16" s="53">
        <v>0</v>
      </c>
      <c r="V16" s="53" t="s">
        <v>126</v>
      </c>
      <c r="W16" s="53">
        <v>47</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53</v>
      </c>
      <c r="AL16" s="53" t="s">
        <v>126</v>
      </c>
      <c r="AM16" s="53">
        <v>7</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17</v>
      </c>
      <c r="D17" s="53" t="s">
        <v>126</v>
      </c>
      <c r="E17" s="53">
        <v>74</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41</v>
      </c>
      <c r="T17" s="53" t="s">
        <v>126</v>
      </c>
      <c r="U17" s="53">
        <v>0</v>
      </c>
      <c r="V17" s="53" t="s">
        <v>126</v>
      </c>
      <c r="W17" s="53">
        <v>43</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43</v>
      </c>
      <c r="AL17" s="53" t="s">
        <v>126</v>
      </c>
      <c r="AM17" s="53">
        <v>4</v>
      </c>
      <c r="AN17" s="53" t="s">
        <v>126</v>
      </c>
      <c r="AO17" s="53">
        <v>0</v>
      </c>
      <c r="AP17" s="53" t="s">
        <v>126</v>
      </c>
      <c r="AQ17" s="53" t="s">
        <v>126</v>
      </c>
      <c r="AR17" s="53" t="s">
        <v>126</v>
      </c>
      <c r="AS17" s="53" t="s">
        <v>126</v>
      </c>
      <c r="AT17" s="53" t="s">
        <v>126</v>
      </c>
      <c r="AU17" s="53" t="s">
        <v>126</v>
      </c>
      <c r="AV17" s="53" t="s">
        <v>126</v>
      </c>
      <c r="AW17" s="53" t="s">
        <v>126</v>
      </c>
      <c r="AX17" s="53" t="s">
        <v>126</v>
      </c>
      <c r="AY17" s="53">
        <v>3</v>
      </c>
      <c r="AZ17" s="53" t="s">
        <v>126</v>
      </c>
      <c r="BA17" s="53">
        <v>0</v>
      </c>
      <c r="BB17" s="53" t="s">
        <v>126</v>
      </c>
      <c r="BC17" s="53">
        <v>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28</v>
      </c>
      <c r="D18" s="53" t="s">
        <v>126</v>
      </c>
      <c r="E18" s="53">
        <v>75</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47</v>
      </c>
      <c r="T18" s="53" t="s">
        <v>126</v>
      </c>
      <c r="U18" s="53">
        <v>0</v>
      </c>
      <c r="V18" s="53" t="s">
        <v>126</v>
      </c>
      <c r="W18" s="53">
        <v>52</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55</v>
      </c>
      <c r="AL18" s="53" t="s">
        <v>126</v>
      </c>
      <c r="AM18" s="53">
        <v>10</v>
      </c>
      <c r="AN18" s="53" t="s">
        <v>126</v>
      </c>
      <c r="AO18" s="53">
        <v>0</v>
      </c>
      <c r="AP18" s="53" t="s">
        <v>126</v>
      </c>
      <c r="AQ18" s="53" t="s">
        <v>126</v>
      </c>
      <c r="AR18" s="53" t="s">
        <v>126</v>
      </c>
      <c r="AS18" s="53" t="s">
        <v>126</v>
      </c>
      <c r="AT18" s="53" t="s">
        <v>126</v>
      </c>
      <c r="AU18" s="53" t="s">
        <v>126</v>
      </c>
      <c r="AV18" s="53" t="s">
        <v>126</v>
      </c>
      <c r="AW18" s="53" t="s">
        <v>126</v>
      </c>
      <c r="AX18" s="53" t="s">
        <v>126</v>
      </c>
      <c r="AY18" s="53">
        <v>2</v>
      </c>
      <c r="AZ18" s="53" t="s">
        <v>126</v>
      </c>
      <c r="BA18" s="53">
        <v>0</v>
      </c>
      <c r="BB18" s="53" t="s">
        <v>126</v>
      </c>
      <c r="BC18" s="53">
        <v>4</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15</v>
      </c>
      <c r="D19" s="53" t="s">
        <v>126</v>
      </c>
      <c r="E19" s="53">
        <v>92</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35</v>
      </c>
      <c r="T19" s="53" t="s">
        <v>126</v>
      </c>
      <c r="U19" s="53">
        <v>1</v>
      </c>
      <c r="V19" s="53" t="s">
        <v>126</v>
      </c>
      <c r="W19" s="53">
        <v>45</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59</v>
      </c>
      <c r="AL19" s="53" t="s">
        <v>126</v>
      </c>
      <c r="AM19" s="53">
        <v>17</v>
      </c>
      <c r="AN19" s="53" t="s">
        <v>126</v>
      </c>
      <c r="AO19" s="53">
        <v>0</v>
      </c>
      <c r="AP19" s="53" t="s">
        <v>126</v>
      </c>
      <c r="AQ19" s="53" t="s">
        <v>126</v>
      </c>
      <c r="AR19" s="53" t="s">
        <v>126</v>
      </c>
      <c r="AS19" s="53" t="s">
        <v>126</v>
      </c>
      <c r="AT19" s="53" t="s">
        <v>126</v>
      </c>
      <c r="AU19" s="53" t="s">
        <v>126</v>
      </c>
      <c r="AV19" s="53" t="s">
        <v>126</v>
      </c>
      <c r="AW19" s="53" t="s">
        <v>126</v>
      </c>
      <c r="AX19" s="53" t="s">
        <v>126</v>
      </c>
      <c r="AY19" s="53">
        <v>3</v>
      </c>
      <c r="AZ19" s="53" t="s">
        <v>126</v>
      </c>
      <c r="BA19" s="53">
        <v>0</v>
      </c>
      <c r="BB19" s="53" t="s">
        <v>126</v>
      </c>
      <c r="BC19" s="53">
        <v>2</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28</v>
      </c>
      <c r="D20" s="53" t="s">
        <v>126</v>
      </c>
      <c r="E20" s="53">
        <v>81</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35</v>
      </c>
      <c r="T20" s="53" t="s">
        <v>126</v>
      </c>
      <c r="U20" s="53">
        <v>0</v>
      </c>
      <c r="V20" s="53" t="s">
        <v>126</v>
      </c>
      <c r="W20" s="53">
        <v>47</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60</v>
      </c>
      <c r="AL20" s="53" t="s">
        <v>126</v>
      </c>
      <c r="AM20" s="53">
        <v>15</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23</v>
      </c>
      <c r="D21" s="53" t="s">
        <v>126</v>
      </c>
      <c r="E21" s="53">
        <v>60</v>
      </c>
      <c r="F21" s="53" t="s">
        <v>126</v>
      </c>
      <c r="G21" s="53">
        <v>0</v>
      </c>
      <c r="H21" s="53" t="s">
        <v>126</v>
      </c>
      <c r="I21" s="53">
        <v>1</v>
      </c>
      <c r="J21" s="53" t="s">
        <v>126</v>
      </c>
      <c r="K21" s="53" t="s">
        <v>126</v>
      </c>
      <c r="L21" s="53" t="s">
        <v>126</v>
      </c>
      <c r="M21" s="53" t="s">
        <v>126</v>
      </c>
      <c r="N21" s="53" t="s">
        <v>126</v>
      </c>
      <c r="O21" s="53" t="s">
        <v>126</v>
      </c>
      <c r="P21" s="53" t="s">
        <v>126</v>
      </c>
      <c r="Q21" s="53" t="s">
        <v>126</v>
      </c>
      <c r="R21" s="53" t="s">
        <v>126</v>
      </c>
      <c r="S21" s="53">
        <v>31</v>
      </c>
      <c r="T21" s="53" t="s">
        <v>126</v>
      </c>
      <c r="U21" s="53">
        <v>0</v>
      </c>
      <c r="V21" s="53" t="s">
        <v>126</v>
      </c>
      <c r="W21" s="53">
        <v>43</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78</v>
      </c>
      <c r="AL21" s="53" t="s">
        <v>126</v>
      </c>
      <c r="AM21" s="53">
        <v>12</v>
      </c>
      <c r="AN21" s="53" t="s">
        <v>126</v>
      </c>
      <c r="AO21" s="53">
        <v>0</v>
      </c>
      <c r="AP21" s="53" t="s">
        <v>126</v>
      </c>
      <c r="AQ21" s="53" t="s">
        <v>126</v>
      </c>
      <c r="AR21" s="53" t="s">
        <v>126</v>
      </c>
      <c r="AS21" s="53" t="s">
        <v>126</v>
      </c>
      <c r="AT21" s="53" t="s">
        <v>126</v>
      </c>
      <c r="AU21" s="53" t="s">
        <v>126</v>
      </c>
      <c r="AV21" s="53" t="s">
        <v>126</v>
      </c>
      <c r="AW21" s="53" t="s">
        <v>126</v>
      </c>
      <c r="AX21" s="53" t="s">
        <v>126</v>
      </c>
      <c r="AY21" s="53">
        <v>3</v>
      </c>
      <c r="AZ21" s="53" t="s">
        <v>126</v>
      </c>
      <c r="BA21" s="53">
        <v>1</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23</v>
      </c>
      <c r="D22" s="53" t="s">
        <v>126</v>
      </c>
      <c r="E22" s="53">
        <v>51</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20</v>
      </c>
      <c r="T22" s="53" t="s">
        <v>126</v>
      </c>
      <c r="U22" s="53">
        <v>0</v>
      </c>
      <c r="V22" s="53" t="s">
        <v>126</v>
      </c>
      <c r="W22" s="53">
        <v>33</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59</v>
      </c>
      <c r="AL22" s="53" t="s">
        <v>126</v>
      </c>
      <c r="AM22" s="53">
        <v>15</v>
      </c>
      <c r="AN22" s="53" t="s">
        <v>126</v>
      </c>
      <c r="AO22" s="53">
        <v>0</v>
      </c>
      <c r="AP22" s="53" t="s">
        <v>126</v>
      </c>
      <c r="AQ22" s="53" t="s">
        <v>126</v>
      </c>
      <c r="AR22" s="53" t="s">
        <v>126</v>
      </c>
      <c r="AS22" s="53" t="s">
        <v>126</v>
      </c>
      <c r="AT22" s="53" t="s">
        <v>126</v>
      </c>
      <c r="AU22" s="53" t="s">
        <v>126</v>
      </c>
      <c r="AV22" s="53" t="s">
        <v>126</v>
      </c>
      <c r="AW22" s="53" t="s">
        <v>126</v>
      </c>
      <c r="AX22" s="53" t="s">
        <v>126</v>
      </c>
      <c r="AY22" s="53">
        <v>2</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23</v>
      </c>
      <c r="D23" s="53" t="s">
        <v>126</v>
      </c>
      <c r="E23" s="53">
        <v>39</v>
      </c>
      <c r="F23" s="53" t="s">
        <v>126</v>
      </c>
      <c r="G23" s="53">
        <v>1</v>
      </c>
      <c r="H23" s="53" t="s">
        <v>126</v>
      </c>
      <c r="I23" s="53">
        <v>0</v>
      </c>
      <c r="J23" s="53" t="s">
        <v>126</v>
      </c>
      <c r="K23" s="53" t="s">
        <v>126</v>
      </c>
      <c r="L23" s="53" t="s">
        <v>126</v>
      </c>
      <c r="M23" s="53" t="s">
        <v>126</v>
      </c>
      <c r="N23" s="53" t="s">
        <v>126</v>
      </c>
      <c r="O23" s="53" t="s">
        <v>126</v>
      </c>
      <c r="P23" s="53" t="s">
        <v>126</v>
      </c>
      <c r="Q23" s="53" t="s">
        <v>126</v>
      </c>
      <c r="R23" s="53" t="s">
        <v>126</v>
      </c>
      <c r="S23" s="53">
        <v>15</v>
      </c>
      <c r="T23" s="53" t="s">
        <v>126</v>
      </c>
      <c r="U23" s="53">
        <v>0</v>
      </c>
      <c r="V23" s="53" t="s">
        <v>126</v>
      </c>
      <c r="W23" s="53">
        <v>31</v>
      </c>
      <c r="X23" s="53" t="s">
        <v>126</v>
      </c>
      <c r="Y23" s="53">
        <v>0</v>
      </c>
      <c r="Z23" s="53" t="s">
        <v>126</v>
      </c>
      <c r="AA23" s="53" t="s">
        <v>126</v>
      </c>
      <c r="AB23" s="53" t="s">
        <v>126</v>
      </c>
      <c r="AC23" s="53" t="s">
        <v>126</v>
      </c>
      <c r="AD23" s="53" t="s">
        <v>126</v>
      </c>
      <c r="AE23" s="53" t="s">
        <v>126</v>
      </c>
      <c r="AF23" s="53" t="s">
        <v>126</v>
      </c>
      <c r="AG23" s="53" t="s">
        <v>126</v>
      </c>
      <c r="AH23" s="53" t="s">
        <v>126</v>
      </c>
      <c r="AI23" s="53">
        <v>2</v>
      </c>
      <c r="AJ23" s="53" t="s">
        <v>126</v>
      </c>
      <c r="AK23" s="53">
        <v>63</v>
      </c>
      <c r="AL23" s="53" t="s">
        <v>126</v>
      </c>
      <c r="AM23" s="53">
        <v>7</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1</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29</v>
      </c>
      <c r="D24" s="53" t="s">
        <v>126</v>
      </c>
      <c r="E24" s="53">
        <v>49</v>
      </c>
      <c r="F24" s="53" t="s">
        <v>126</v>
      </c>
      <c r="G24" s="53">
        <v>2</v>
      </c>
      <c r="H24" s="53" t="s">
        <v>126</v>
      </c>
      <c r="I24" s="53">
        <v>0</v>
      </c>
      <c r="J24" s="53" t="s">
        <v>126</v>
      </c>
      <c r="K24" s="53" t="s">
        <v>126</v>
      </c>
      <c r="L24" s="53" t="s">
        <v>126</v>
      </c>
      <c r="M24" s="53" t="s">
        <v>126</v>
      </c>
      <c r="N24" s="53" t="s">
        <v>126</v>
      </c>
      <c r="O24" s="53" t="s">
        <v>126</v>
      </c>
      <c r="P24" s="53" t="s">
        <v>126</v>
      </c>
      <c r="Q24" s="53" t="s">
        <v>126</v>
      </c>
      <c r="R24" s="53" t="s">
        <v>126</v>
      </c>
      <c r="S24" s="53">
        <v>6</v>
      </c>
      <c r="T24" s="53" t="s">
        <v>126</v>
      </c>
      <c r="U24" s="53">
        <v>0</v>
      </c>
      <c r="V24" s="53" t="s">
        <v>126</v>
      </c>
      <c r="W24" s="53">
        <v>29</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60</v>
      </c>
      <c r="AL24" s="53" t="s">
        <v>126</v>
      </c>
      <c r="AM24" s="53">
        <v>10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27</v>
      </c>
      <c r="D25" s="53" t="s">
        <v>126</v>
      </c>
      <c r="E25" s="53">
        <v>43</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20</v>
      </c>
      <c r="T25" s="53" t="s">
        <v>126</v>
      </c>
      <c r="U25" s="53">
        <v>0</v>
      </c>
      <c r="V25" s="53" t="s">
        <v>126</v>
      </c>
      <c r="W25" s="53">
        <v>21</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69</v>
      </c>
      <c r="AL25" s="53" t="s">
        <v>126</v>
      </c>
      <c r="AM25" s="53">
        <v>10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22</v>
      </c>
      <c r="D26" s="53" t="s">
        <v>126</v>
      </c>
      <c r="E26" s="53">
        <v>51</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14</v>
      </c>
      <c r="T26" s="53" t="s">
        <v>126</v>
      </c>
      <c r="U26" s="53">
        <v>0</v>
      </c>
      <c r="V26" s="53" t="s">
        <v>126</v>
      </c>
      <c r="W26" s="53">
        <v>23</v>
      </c>
      <c r="X26" s="53" t="s">
        <v>126</v>
      </c>
      <c r="Y26" s="53">
        <v>0</v>
      </c>
      <c r="Z26" s="53" t="s">
        <v>126</v>
      </c>
      <c r="AA26" s="53" t="s">
        <v>126</v>
      </c>
      <c r="AB26" s="53" t="s">
        <v>126</v>
      </c>
      <c r="AC26" s="53" t="s">
        <v>126</v>
      </c>
      <c r="AD26" s="53" t="s">
        <v>126</v>
      </c>
      <c r="AE26" s="53" t="s">
        <v>126</v>
      </c>
      <c r="AF26" s="53" t="s">
        <v>126</v>
      </c>
      <c r="AG26" s="53" t="s">
        <v>126</v>
      </c>
      <c r="AH26" s="53" t="s">
        <v>126</v>
      </c>
      <c r="AI26" s="53">
        <v>3</v>
      </c>
      <c r="AJ26" s="53" t="s">
        <v>126</v>
      </c>
      <c r="AK26" s="53">
        <v>73</v>
      </c>
      <c r="AL26" s="53" t="s">
        <v>126</v>
      </c>
      <c r="AM26" s="53">
        <v>17</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0</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49</v>
      </c>
      <c r="D28" s="53" t="s">
        <v>126</v>
      </c>
      <c r="E28" s="53">
        <v>62</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10</v>
      </c>
      <c r="T28" s="53" t="s">
        <v>126</v>
      </c>
      <c r="U28" s="53">
        <v>0</v>
      </c>
      <c r="V28" s="53" t="s">
        <v>126</v>
      </c>
      <c r="W28" s="53">
        <v>24</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98</v>
      </c>
      <c r="AL28" s="53" t="s">
        <v>126</v>
      </c>
      <c r="AM28" s="53">
        <v>25</v>
      </c>
      <c r="AN28" s="53" t="s">
        <v>126</v>
      </c>
      <c r="AO28" s="53">
        <v>0</v>
      </c>
      <c r="AP28" s="53" t="s">
        <v>126</v>
      </c>
      <c r="AQ28" s="53" t="s">
        <v>126</v>
      </c>
      <c r="AR28" s="53" t="s">
        <v>126</v>
      </c>
      <c r="AS28" s="53" t="s">
        <v>126</v>
      </c>
      <c r="AT28" s="53" t="s">
        <v>126</v>
      </c>
      <c r="AU28" s="53" t="s">
        <v>126</v>
      </c>
      <c r="AV28" s="53" t="s">
        <v>126</v>
      </c>
      <c r="AW28" s="53" t="s">
        <v>126</v>
      </c>
      <c r="AX28" s="53" t="s">
        <v>126</v>
      </c>
      <c r="AY28" s="53">
        <v>1</v>
      </c>
      <c r="AZ28" s="53" t="s">
        <v>126</v>
      </c>
      <c r="BA28" s="53">
        <v>0</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56</v>
      </c>
      <c r="D29" s="53" t="s">
        <v>126</v>
      </c>
      <c r="E29" s="53">
        <v>83</v>
      </c>
      <c r="F29" s="53" t="s">
        <v>126</v>
      </c>
      <c r="G29" s="53">
        <v>2</v>
      </c>
      <c r="H29" s="53" t="s">
        <v>126</v>
      </c>
      <c r="I29" s="53">
        <v>0</v>
      </c>
      <c r="J29" s="53" t="s">
        <v>126</v>
      </c>
      <c r="K29" s="53" t="s">
        <v>126</v>
      </c>
      <c r="L29" s="53" t="s">
        <v>126</v>
      </c>
      <c r="M29" s="53" t="s">
        <v>126</v>
      </c>
      <c r="N29" s="53" t="s">
        <v>126</v>
      </c>
      <c r="O29" s="53" t="s">
        <v>126</v>
      </c>
      <c r="P29" s="53" t="s">
        <v>126</v>
      </c>
      <c r="Q29" s="53" t="s">
        <v>126</v>
      </c>
      <c r="R29" s="53" t="s">
        <v>126</v>
      </c>
      <c r="S29" s="53">
        <v>10</v>
      </c>
      <c r="T29" s="53" t="s">
        <v>126</v>
      </c>
      <c r="U29" s="53">
        <v>1</v>
      </c>
      <c r="V29" s="53" t="s">
        <v>126</v>
      </c>
      <c r="W29" s="53">
        <v>32</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105</v>
      </c>
      <c r="AL29" s="53" t="s">
        <v>126</v>
      </c>
      <c r="AM29" s="53">
        <v>24</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65</v>
      </c>
      <c r="D30" s="53" t="s">
        <v>126</v>
      </c>
      <c r="E30" s="53">
        <v>75</v>
      </c>
      <c r="F30" s="53" t="s">
        <v>126</v>
      </c>
      <c r="G30" s="53">
        <v>2</v>
      </c>
      <c r="H30" s="53" t="s">
        <v>126</v>
      </c>
      <c r="I30" s="53">
        <v>0</v>
      </c>
      <c r="J30" s="53" t="s">
        <v>126</v>
      </c>
      <c r="K30" s="53" t="s">
        <v>126</v>
      </c>
      <c r="L30" s="53" t="s">
        <v>126</v>
      </c>
      <c r="M30" s="53" t="s">
        <v>126</v>
      </c>
      <c r="N30" s="53" t="s">
        <v>126</v>
      </c>
      <c r="O30" s="53" t="s">
        <v>126</v>
      </c>
      <c r="P30" s="53" t="s">
        <v>126</v>
      </c>
      <c r="Q30" s="53" t="s">
        <v>126</v>
      </c>
      <c r="R30" s="53" t="s">
        <v>126</v>
      </c>
      <c r="S30" s="53">
        <v>15</v>
      </c>
      <c r="T30" s="53" t="s">
        <v>126</v>
      </c>
      <c r="U30" s="53">
        <v>0</v>
      </c>
      <c r="V30" s="53" t="s">
        <v>126</v>
      </c>
      <c r="W30" s="53">
        <v>33</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107</v>
      </c>
      <c r="AL30" s="53" t="s">
        <v>126</v>
      </c>
      <c r="AM30" s="53">
        <v>25</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60</v>
      </c>
      <c r="D31" s="53" t="s">
        <v>126</v>
      </c>
      <c r="E31" s="53">
        <v>59</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18</v>
      </c>
      <c r="T31" s="53" t="s">
        <v>126</v>
      </c>
      <c r="U31" s="53">
        <v>0</v>
      </c>
      <c r="V31" s="53" t="s">
        <v>126</v>
      </c>
      <c r="W31" s="53">
        <v>22</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106</v>
      </c>
      <c r="AL31" s="53" t="s">
        <v>126</v>
      </c>
      <c r="AM31" s="53">
        <v>40</v>
      </c>
      <c r="AN31" s="53" t="s">
        <v>126</v>
      </c>
      <c r="AO31" s="53">
        <v>0</v>
      </c>
      <c r="AP31" s="53" t="s">
        <v>126</v>
      </c>
      <c r="AQ31" s="53" t="s">
        <v>126</v>
      </c>
      <c r="AR31" s="53" t="s">
        <v>126</v>
      </c>
      <c r="AS31" s="53" t="s">
        <v>126</v>
      </c>
      <c r="AT31" s="53" t="s">
        <v>126</v>
      </c>
      <c r="AU31" s="53" t="s">
        <v>126</v>
      </c>
      <c r="AV31" s="53" t="s">
        <v>126</v>
      </c>
      <c r="AW31" s="53" t="s">
        <v>126</v>
      </c>
      <c r="AX31" s="53" t="s">
        <v>126</v>
      </c>
      <c r="AY31" s="53">
        <v>3</v>
      </c>
      <c r="AZ31" s="53" t="s">
        <v>126</v>
      </c>
      <c r="BA31" s="53">
        <v>0</v>
      </c>
      <c r="BB31" s="53" t="s">
        <v>126</v>
      </c>
      <c r="BC31" s="53">
        <v>2</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72</v>
      </c>
      <c r="D32" s="53" t="s">
        <v>126</v>
      </c>
      <c r="E32" s="53">
        <v>87</v>
      </c>
      <c r="F32" s="53" t="s">
        <v>126</v>
      </c>
      <c r="G32" s="53">
        <v>2</v>
      </c>
      <c r="H32" s="53" t="s">
        <v>126</v>
      </c>
      <c r="I32" s="53">
        <v>0</v>
      </c>
      <c r="J32" s="53" t="s">
        <v>126</v>
      </c>
      <c r="K32" s="53" t="s">
        <v>126</v>
      </c>
      <c r="L32" s="53" t="s">
        <v>126</v>
      </c>
      <c r="M32" s="53" t="s">
        <v>126</v>
      </c>
      <c r="N32" s="53" t="s">
        <v>126</v>
      </c>
      <c r="O32" s="53" t="s">
        <v>126</v>
      </c>
      <c r="P32" s="53" t="s">
        <v>126</v>
      </c>
      <c r="Q32" s="53" t="s">
        <v>126</v>
      </c>
      <c r="R32" s="53" t="s">
        <v>126</v>
      </c>
      <c r="S32" s="53">
        <v>13</v>
      </c>
      <c r="T32" s="53" t="s">
        <v>126</v>
      </c>
      <c r="U32" s="53">
        <v>0</v>
      </c>
      <c r="V32" s="53" t="s">
        <v>126</v>
      </c>
      <c r="W32" s="53">
        <v>34</v>
      </c>
      <c r="X32" s="53" t="s">
        <v>126</v>
      </c>
      <c r="Y32" s="53">
        <v>0</v>
      </c>
      <c r="Z32" s="53" t="s">
        <v>126</v>
      </c>
      <c r="AA32" s="53" t="s">
        <v>126</v>
      </c>
      <c r="AB32" s="53" t="s">
        <v>126</v>
      </c>
      <c r="AC32" s="53" t="s">
        <v>126</v>
      </c>
      <c r="AD32" s="53" t="s">
        <v>126</v>
      </c>
      <c r="AE32" s="53" t="s">
        <v>126</v>
      </c>
      <c r="AF32" s="53" t="s">
        <v>126</v>
      </c>
      <c r="AG32" s="53" t="s">
        <v>126</v>
      </c>
      <c r="AH32" s="53" t="s">
        <v>126</v>
      </c>
      <c r="AI32" s="53">
        <v>5</v>
      </c>
      <c r="AJ32" s="53" t="s">
        <v>126</v>
      </c>
      <c r="AK32" s="53">
        <v>105</v>
      </c>
      <c r="AL32" s="53" t="s">
        <v>126</v>
      </c>
      <c r="AM32" s="53">
        <v>32</v>
      </c>
      <c r="AN32" s="53" t="s">
        <v>126</v>
      </c>
      <c r="AO32" s="53">
        <v>0</v>
      </c>
      <c r="AP32" s="53" t="s">
        <v>126</v>
      </c>
      <c r="AQ32" s="53" t="s">
        <v>126</v>
      </c>
      <c r="AR32" s="53" t="s">
        <v>126</v>
      </c>
      <c r="AS32" s="53" t="s">
        <v>126</v>
      </c>
      <c r="AT32" s="53" t="s">
        <v>126</v>
      </c>
      <c r="AU32" s="53" t="s">
        <v>126</v>
      </c>
      <c r="AV32" s="53" t="s">
        <v>126</v>
      </c>
      <c r="AW32" s="53" t="s">
        <v>126</v>
      </c>
      <c r="AX32" s="53" t="s">
        <v>126</v>
      </c>
      <c r="AY32" s="53">
        <v>2</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65</v>
      </c>
      <c r="D33" s="53" t="s">
        <v>126</v>
      </c>
      <c r="E33" s="53">
        <v>79</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16</v>
      </c>
      <c r="T33" s="53" t="s">
        <v>126</v>
      </c>
      <c r="U33" s="53">
        <v>1</v>
      </c>
      <c r="V33" s="53" t="s">
        <v>126</v>
      </c>
      <c r="W33" s="53">
        <v>35</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104</v>
      </c>
      <c r="AL33" s="53" t="s">
        <v>126</v>
      </c>
      <c r="AM33" s="53">
        <v>23</v>
      </c>
      <c r="AN33" s="53" t="s">
        <v>126</v>
      </c>
      <c r="AO33" s="53">
        <v>0</v>
      </c>
      <c r="AP33" s="53" t="s">
        <v>126</v>
      </c>
      <c r="AQ33" s="53" t="s">
        <v>126</v>
      </c>
      <c r="AR33" s="53" t="s">
        <v>126</v>
      </c>
      <c r="AS33" s="53" t="s">
        <v>126</v>
      </c>
      <c r="AT33" s="53" t="s">
        <v>126</v>
      </c>
      <c r="AU33" s="53" t="s">
        <v>126</v>
      </c>
      <c r="AV33" s="53" t="s">
        <v>126</v>
      </c>
      <c r="AW33" s="53" t="s">
        <v>126</v>
      </c>
      <c r="AX33" s="53" t="s">
        <v>126</v>
      </c>
      <c r="AY33" s="53">
        <v>2</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56</v>
      </c>
      <c r="D34" s="53" t="s">
        <v>126</v>
      </c>
      <c r="E34" s="53">
        <v>70</v>
      </c>
      <c r="F34" s="53" t="s">
        <v>126</v>
      </c>
      <c r="G34" s="53">
        <v>2</v>
      </c>
      <c r="H34" s="53" t="s">
        <v>126</v>
      </c>
      <c r="I34" s="53">
        <v>0</v>
      </c>
      <c r="J34" s="53" t="s">
        <v>126</v>
      </c>
      <c r="K34" s="53" t="s">
        <v>126</v>
      </c>
      <c r="L34" s="53" t="s">
        <v>126</v>
      </c>
      <c r="M34" s="53" t="s">
        <v>126</v>
      </c>
      <c r="N34" s="53" t="s">
        <v>126</v>
      </c>
      <c r="O34" s="53" t="s">
        <v>126</v>
      </c>
      <c r="P34" s="53" t="s">
        <v>126</v>
      </c>
      <c r="Q34" s="53" t="s">
        <v>126</v>
      </c>
      <c r="R34" s="53" t="s">
        <v>126</v>
      </c>
      <c r="S34" s="53">
        <v>15</v>
      </c>
      <c r="T34" s="53" t="s">
        <v>126</v>
      </c>
      <c r="U34" s="53">
        <v>0</v>
      </c>
      <c r="V34" s="53" t="s">
        <v>126</v>
      </c>
      <c r="W34" s="53">
        <v>27</v>
      </c>
      <c r="X34" s="53" t="s">
        <v>126</v>
      </c>
      <c r="Y34" s="53">
        <v>0</v>
      </c>
      <c r="Z34" s="53" t="s">
        <v>126</v>
      </c>
      <c r="AA34" s="53" t="s">
        <v>126</v>
      </c>
      <c r="AB34" s="53" t="s">
        <v>126</v>
      </c>
      <c r="AC34" s="53" t="s">
        <v>126</v>
      </c>
      <c r="AD34" s="53" t="s">
        <v>126</v>
      </c>
      <c r="AE34" s="53" t="s">
        <v>126</v>
      </c>
      <c r="AF34" s="53" t="s">
        <v>126</v>
      </c>
      <c r="AG34" s="53" t="s">
        <v>126</v>
      </c>
      <c r="AH34" s="53" t="s">
        <v>126</v>
      </c>
      <c r="AI34" s="53">
        <v>3</v>
      </c>
      <c r="AJ34" s="53" t="s">
        <v>126</v>
      </c>
      <c r="AK34" s="53">
        <v>82</v>
      </c>
      <c r="AL34" s="53" t="s">
        <v>126</v>
      </c>
      <c r="AM34" s="53">
        <v>32</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0</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54</v>
      </c>
      <c r="D35" s="53" t="s">
        <v>126</v>
      </c>
      <c r="E35" s="53">
        <v>65</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18</v>
      </c>
      <c r="T35" s="53" t="s">
        <v>126</v>
      </c>
      <c r="U35" s="53">
        <v>0</v>
      </c>
      <c r="V35" s="53" t="s">
        <v>126</v>
      </c>
      <c r="W35" s="53">
        <v>34</v>
      </c>
      <c r="X35" s="53" t="s">
        <v>126</v>
      </c>
      <c r="Y35" s="53">
        <v>0</v>
      </c>
      <c r="Z35" s="53" t="s">
        <v>126</v>
      </c>
      <c r="AA35" s="53" t="s">
        <v>126</v>
      </c>
      <c r="AB35" s="53" t="s">
        <v>126</v>
      </c>
      <c r="AC35" s="53" t="s">
        <v>126</v>
      </c>
      <c r="AD35" s="53" t="s">
        <v>126</v>
      </c>
      <c r="AE35" s="53" t="s">
        <v>126</v>
      </c>
      <c r="AF35" s="53" t="s">
        <v>126</v>
      </c>
      <c r="AG35" s="53" t="s">
        <v>126</v>
      </c>
      <c r="AH35" s="53" t="s">
        <v>126</v>
      </c>
      <c r="AI35" s="53">
        <v>2</v>
      </c>
      <c r="AJ35" s="53" t="s">
        <v>126</v>
      </c>
      <c r="AK35" s="53">
        <v>78</v>
      </c>
      <c r="AL35" s="53" t="s">
        <v>126</v>
      </c>
      <c r="AM35" s="53">
        <v>29</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1</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2DD2-7F86-4D89-9BF5-82DA68EE39A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v>
      </c>
      <c r="D15" s="53" t="s">
        <v>126</v>
      </c>
      <c r="E15" s="53">
        <v>4</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2</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5</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2</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v>
      </c>
      <c r="D18" s="53" t="s">
        <v>126</v>
      </c>
      <c r="E18" s="53">
        <v>4</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4</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4</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1</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3</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1</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9</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1</v>
      </c>
      <c r="D22" s="53" t="s">
        <v>126</v>
      </c>
      <c r="E22" s="53">
        <v>3</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3</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5</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5</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2</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2</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2</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1</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3</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2</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1</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1</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1</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2</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3</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40A8F-8534-490C-ABA8-518F1520013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1</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1</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2</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v>
      </c>
      <c r="D18" s="53" t="s">
        <v>126</v>
      </c>
      <c r="E18" s="53">
        <v>3</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1</v>
      </c>
      <c r="D22" s="53" t="s">
        <v>126</v>
      </c>
      <c r="E22" s="53">
        <v>1</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1</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1</v>
      </c>
      <c r="D26" s="53" t="s">
        <v>126</v>
      </c>
      <c r="E26" s="53">
        <v>1</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1</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2</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1</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2</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1</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2</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1</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1</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1</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3</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3</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4</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3DA3A-B815-4899-9DA1-0B50400C53B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7</v>
      </c>
      <c r="D15" s="53" t="s">
        <v>126</v>
      </c>
      <c r="E15" s="53">
        <v>50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34</v>
      </c>
      <c r="T15" s="53" t="s">
        <v>126</v>
      </c>
      <c r="U15" s="53">
        <v>0</v>
      </c>
      <c r="V15" s="53" t="s">
        <v>126</v>
      </c>
      <c r="W15" s="53">
        <v>55</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53</v>
      </c>
      <c r="AL15" s="53" t="s">
        <v>126</v>
      </c>
      <c r="AM15" s="53">
        <v>2</v>
      </c>
      <c r="AN15" s="53" t="s">
        <v>126</v>
      </c>
      <c r="AO15" s="53">
        <v>0</v>
      </c>
      <c r="AP15" s="53" t="s">
        <v>126</v>
      </c>
      <c r="AQ15" s="53" t="s">
        <v>126</v>
      </c>
      <c r="AR15" s="53" t="s">
        <v>126</v>
      </c>
      <c r="AS15" s="53" t="s">
        <v>126</v>
      </c>
      <c r="AT15" s="53" t="s">
        <v>126</v>
      </c>
      <c r="AU15" s="53" t="s">
        <v>126</v>
      </c>
      <c r="AV15" s="53" t="s">
        <v>126</v>
      </c>
      <c r="AW15" s="53" t="s">
        <v>126</v>
      </c>
      <c r="AX15" s="53" t="s">
        <v>126</v>
      </c>
      <c r="AY15" s="53">
        <v>1</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13</v>
      </c>
      <c r="D16" s="53" t="s">
        <v>126</v>
      </c>
      <c r="E16" s="53">
        <v>62</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44</v>
      </c>
      <c r="T16" s="53" t="s">
        <v>126</v>
      </c>
      <c r="U16" s="53">
        <v>0</v>
      </c>
      <c r="V16" s="53" t="s">
        <v>126</v>
      </c>
      <c r="W16" s="53">
        <v>50</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54</v>
      </c>
      <c r="AL16" s="53" t="s">
        <v>126</v>
      </c>
      <c r="AM16" s="53">
        <v>7</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2</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17</v>
      </c>
      <c r="D17" s="53" t="s">
        <v>126</v>
      </c>
      <c r="E17" s="53">
        <v>81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41</v>
      </c>
      <c r="T17" s="53" t="s">
        <v>126</v>
      </c>
      <c r="U17" s="53">
        <v>0</v>
      </c>
      <c r="V17" s="53" t="s">
        <v>126</v>
      </c>
      <c r="W17" s="53">
        <v>43</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45</v>
      </c>
      <c r="AL17" s="53" t="s">
        <v>126</v>
      </c>
      <c r="AM17" s="53">
        <v>5</v>
      </c>
      <c r="AN17" s="53" t="s">
        <v>126</v>
      </c>
      <c r="AO17" s="53">
        <v>0</v>
      </c>
      <c r="AP17" s="53" t="s">
        <v>126</v>
      </c>
      <c r="AQ17" s="53" t="s">
        <v>126</v>
      </c>
      <c r="AR17" s="53" t="s">
        <v>126</v>
      </c>
      <c r="AS17" s="53" t="s">
        <v>126</v>
      </c>
      <c r="AT17" s="53" t="s">
        <v>126</v>
      </c>
      <c r="AU17" s="53" t="s">
        <v>126</v>
      </c>
      <c r="AV17" s="53" t="s">
        <v>126</v>
      </c>
      <c r="AW17" s="53" t="s">
        <v>126</v>
      </c>
      <c r="AX17" s="53" t="s">
        <v>126</v>
      </c>
      <c r="AY17" s="53">
        <v>3</v>
      </c>
      <c r="AZ17" s="53" t="s">
        <v>126</v>
      </c>
      <c r="BA17" s="53">
        <v>0</v>
      </c>
      <c r="BB17" s="53" t="s">
        <v>126</v>
      </c>
      <c r="BC17" s="53">
        <v>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30</v>
      </c>
      <c r="D18" s="53" t="s">
        <v>126</v>
      </c>
      <c r="E18" s="53">
        <v>82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47</v>
      </c>
      <c r="T18" s="53" t="s">
        <v>126</v>
      </c>
      <c r="U18" s="53">
        <v>0</v>
      </c>
      <c r="V18" s="53" t="s">
        <v>126</v>
      </c>
      <c r="W18" s="53">
        <v>52</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57</v>
      </c>
      <c r="AL18" s="53" t="s">
        <v>126</v>
      </c>
      <c r="AM18" s="53">
        <v>10</v>
      </c>
      <c r="AN18" s="53" t="s">
        <v>126</v>
      </c>
      <c r="AO18" s="53">
        <v>0</v>
      </c>
      <c r="AP18" s="53" t="s">
        <v>126</v>
      </c>
      <c r="AQ18" s="53" t="s">
        <v>126</v>
      </c>
      <c r="AR18" s="53" t="s">
        <v>126</v>
      </c>
      <c r="AS18" s="53" t="s">
        <v>126</v>
      </c>
      <c r="AT18" s="53" t="s">
        <v>126</v>
      </c>
      <c r="AU18" s="53" t="s">
        <v>126</v>
      </c>
      <c r="AV18" s="53" t="s">
        <v>126</v>
      </c>
      <c r="AW18" s="53" t="s">
        <v>126</v>
      </c>
      <c r="AX18" s="53" t="s">
        <v>126</v>
      </c>
      <c r="AY18" s="53">
        <v>2</v>
      </c>
      <c r="AZ18" s="53" t="s">
        <v>126</v>
      </c>
      <c r="BA18" s="53">
        <v>1</v>
      </c>
      <c r="BB18" s="53" t="s">
        <v>126</v>
      </c>
      <c r="BC18" s="53">
        <v>4</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15</v>
      </c>
      <c r="D19" s="53" t="s">
        <v>126</v>
      </c>
      <c r="E19" s="53">
        <v>96</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35</v>
      </c>
      <c r="T19" s="53" t="s">
        <v>126</v>
      </c>
      <c r="U19" s="53">
        <v>1</v>
      </c>
      <c r="V19" s="53" t="s">
        <v>126</v>
      </c>
      <c r="W19" s="53">
        <v>46</v>
      </c>
      <c r="X19" s="53" t="s">
        <v>126</v>
      </c>
      <c r="Y19" s="53">
        <v>0</v>
      </c>
      <c r="Z19" s="53" t="s">
        <v>126</v>
      </c>
      <c r="AA19" s="53" t="s">
        <v>126</v>
      </c>
      <c r="AB19" s="53" t="s">
        <v>126</v>
      </c>
      <c r="AC19" s="53" t="s">
        <v>126</v>
      </c>
      <c r="AD19" s="53" t="s">
        <v>126</v>
      </c>
      <c r="AE19" s="53" t="s">
        <v>126</v>
      </c>
      <c r="AF19" s="53" t="s">
        <v>126</v>
      </c>
      <c r="AG19" s="53" t="s">
        <v>126</v>
      </c>
      <c r="AH19" s="53" t="s">
        <v>126</v>
      </c>
      <c r="AI19" s="53">
        <v>2</v>
      </c>
      <c r="AJ19" s="53" t="s">
        <v>126</v>
      </c>
      <c r="AK19" s="53">
        <v>63</v>
      </c>
      <c r="AL19" s="53" t="s">
        <v>126</v>
      </c>
      <c r="AM19" s="53">
        <v>18</v>
      </c>
      <c r="AN19" s="53" t="s">
        <v>126</v>
      </c>
      <c r="AO19" s="53">
        <v>0</v>
      </c>
      <c r="AP19" s="53" t="s">
        <v>126</v>
      </c>
      <c r="AQ19" s="53" t="s">
        <v>126</v>
      </c>
      <c r="AR19" s="53" t="s">
        <v>126</v>
      </c>
      <c r="AS19" s="53" t="s">
        <v>126</v>
      </c>
      <c r="AT19" s="53" t="s">
        <v>126</v>
      </c>
      <c r="AU19" s="53" t="s">
        <v>126</v>
      </c>
      <c r="AV19" s="53" t="s">
        <v>126</v>
      </c>
      <c r="AW19" s="53" t="s">
        <v>126</v>
      </c>
      <c r="AX19" s="53" t="s">
        <v>126</v>
      </c>
      <c r="AY19" s="53">
        <v>3</v>
      </c>
      <c r="AZ19" s="53" t="s">
        <v>126</v>
      </c>
      <c r="BA19" s="53">
        <v>0</v>
      </c>
      <c r="BB19" s="53" t="s">
        <v>126</v>
      </c>
      <c r="BC19" s="53">
        <v>2</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28</v>
      </c>
      <c r="D20" s="53" t="s">
        <v>126</v>
      </c>
      <c r="E20" s="53">
        <v>82</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38</v>
      </c>
      <c r="T20" s="53" t="s">
        <v>126</v>
      </c>
      <c r="U20" s="53">
        <v>0</v>
      </c>
      <c r="V20" s="53" t="s">
        <v>126</v>
      </c>
      <c r="W20" s="53">
        <v>47</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60</v>
      </c>
      <c r="AL20" s="53" t="s">
        <v>126</v>
      </c>
      <c r="AM20" s="53">
        <v>15</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v>
      </c>
      <c r="BB20" s="53" t="s">
        <v>126</v>
      </c>
      <c r="BC20" s="53">
        <v>1</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23</v>
      </c>
      <c r="D21" s="53" t="s">
        <v>126</v>
      </c>
      <c r="E21" s="53">
        <v>61</v>
      </c>
      <c r="F21" s="53" t="s">
        <v>126</v>
      </c>
      <c r="G21" s="53">
        <v>0</v>
      </c>
      <c r="H21" s="53" t="s">
        <v>126</v>
      </c>
      <c r="I21" s="53">
        <v>1</v>
      </c>
      <c r="J21" s="53" t="s">
        <v>126</v>
      </c>
      <c r="K21" s="53" t="s">
        <v>126</v>
      </c>
      <c r="L21" s="53" t="s">
        <v>126</v>
      </c>
      <c r="M21" s="53" t="s">
        <v>126</v>
      </c>
      <c r="N21" s="53" t="s">
        <v>126</v>
      </c>
      <c r="O21" s="53" t="s">
        <v>126</v>
      </c>
      <c r="P21" s="53" t="s">
        <v>126</v>
      </c>
      <c r="Q21" s="53" t="s">
        <v>126</v>
      </c>
      <c r="R21" s="53" t="s">
        <v>126</v>
      </c>
      <c r="S21" s="53">
        <v>31</v>
      </c>
      <c r="T21" s="53" t="s">
        <v>126</v>
      </c>
      <c r="U21" s="53">
        <v>0</v>
      </c>
      <c r="V21" s="53" t="s">
        <v>126</v>
      </c>
      <c r="W21" s="53">
        <v>43</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87</v>
      </c>
      <c r="AL21" s="53" t="s">
        <v>126</v>
      </c>
      <c r="AM21" s="53">
        <v>12</v>
      </c>
      <c r="AN21" s="53" t="s">
        <v>126</v>
      </c>
      <c r="AO21" s="53">
        <v>0</v>
      </c>
      <c r="AP21" s="53" t="s">
        <v>126</v>
      </c>
      <c r="AQ21" s="53" t="s">
        <v>126</v>
      </c>
      <c r="AR21" s="53" t="s">
        <v>126</v>
      </c>
      <c r="AS21" s="53" t="s">
        <v>126</v>
      </c>
      <c r="AT21" s="53" t="s">
        <v>126</v>
      </c>
      <c r="AU21" s="53" t="s">
        <v>126</v>
      </c>
      <c r="AV21" s="53" t="s">
        <v>126</v>
      </c>
      <c r="AW21" s="53" t="s">
        <v>126</v>
      </c>
      <c r="AX21" s="53" t="s">
        <v>126</v>
      </c>
      <c r="AY21" s="53">
        <v>3</v>
      </c>
      <c r="AZ21" s="53" t="s">
        <v>126</v>
      </c>
      <c r="BA21" s="53">
        <v>1</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25</v>
      </c>
      <c r="D22" s="53" t="s">
        <v>126</v>
      </c>
      <c r="E22" s="53">
        <v>55</v>
      </c>
      <c r="F22" s="53" t="s">
        <v>126</v>
      </c>
      <c r="G22" s="53">
        <v>1</v>
      </c>
      <c r="H22" s="53" t="s">
        <v>126</v>
      </c>
      <c r="I22" s="53">
        <v>0</v>
      </c>
      <c r="J22" s="53" t="s">
        <v>126</v>
      </c>
      <c r="K22" s="53" t="s">
        <v>126</v>
      </c>
      <c r="L22" s="53" t="s">
        <v>126</v>
      </c>
      <c r="M22" s="53" t="s">
        <v>126</v>
      </c>
      <c r="N22" s="53" t="s">
        <v>126</v>
      </c>
      <c r="O22" s="53" t="s">
        <v>126</v>
      </c>
      <c r="P22" s="53" t="s">
        <v>126</v>
      </c>
      <c r="Q22" s="53" t="s">
        <v>126</v>
      </c>
      <c r="R22" s="53" t="s">
        <v>126</v>
      </c>
      <c r="S22" s="53">
        <v>20</v>
      </c>
      <c r="T22" s="53" t="s">
        <v>126</v>
      </c>
      <c r="U22" s="53">
        <v>0</v>
      </c>
      <c r="V22" s="53" t="s">
        <v>126</v>
      </c>
      <c r="W22" s="53">
        <v>33</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60</v>
      </c>
      <c r="AL22" s="53" t="s">
        <v>126</v>
      </c>
      <c r="AM22" s="53">
        <v>16</v>
      </c>
      <c r="AN22" s="53" t="s">
        <v>126</v>
      </c>
      <c r="AO22" s="53">
        <v>0</v>
      </c>
      <c r="AP22" s="53" t="s">
        <v>126</v>
      </c>
      <c r="AQ22" s="53" t="s">
        <v>126</v>
      </c>
      <c r="AR22" s="53" t="s">
        <v>126</v>
      </c>
      <c r="AS22" s="53" t="s">
        <v>126</v>
      </c>
      <c r="AT22" s="53" t="s">
        <v>126</v>
      </c>
      <c r="AU22" s="53" t="s">
        <v>126</v>
      </c>
      <c r="AV22" s="53" t="s">
        <v>126</v>
      </c>
      <c r="AW22" s="53" t="s">
        <v>126</v>
      </c>
      <c r="AX22" s="53" t="s">
        <v>126</v>
      </c>
      <c r="AY22" s="53">
        <v>2</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23</v>
      </c>
      <c r="D23" s="53" t="s">
        <v>126</v>
      </c>
      <c r="E23" s="53">
        <v>42</v>
      </c>
      <c r="F23" s="53" t="s">
        <v>126</v>
      </c>
      <c r="G23" s="53">
        <v>1</v>
      </c>
      <c r="H23" s="53" t="s">
        <v>126</v>
      </c>
      <c r="I23" s="53">
        <v>0</v>
      </c>
      <c r="J23" s="53" t="s">
        <v>126</v>
      </c>
      <c r="K23" s="53" t="s">
        <v>126</v>
      </c>
      <c r="L23" s="53" t="s">
        <v>126</v>
      </c>
      <c r="M23" s="53" t="s">
        <v>126</v>
      </c>
      <c r="N23" s="53" t="s">
        <v>126</v>
      </c>
      <c r="O23" s="53" t="s">
        <v>126</v>
      </c>
      <c r="P23" s="53" t="s">
        <v>126</v>
      </c>
      <c r="Q23" s="53" t="s">
        <v>126</v>
      </c>
      <c r="R23" s="53" t="s">
        <v>126</v>
      </c>
      <c r="S23" s="53">
        <v>15</v>
      </c>
      <c r="T23" s="53" t="s">
        <v>126</v>
      </c>
      <c r="U23" s="53">
        <v>0</v>
      </c>
      <c r="V23" s="53" t="s">
        <v>126</v>
      </c>
      <c r="W23" s="53">
        <v>31</v>
      </c>
      <c r="X23" s="53" t="s">
        <v>126</v>
      </c>
      <c r="Y23" s="53">
        <v>0</v>
      </c>
      <c r="Z23" s="53" t="s">
        <v>126</v>
      </c>
      <c r="AA23" s="53" t="s">
        <v>126</v>
      </c>
      <c r="AB23" s="53" t="s">
        <v>126</v>
      </c>
      <c r="AC23" s="53" t="s">
        <v>126</v>
      </c>
      <c r="AD23" s="53" t="s">
        <v>126</v>
      </c>
      <c r="AE23" s="53" t="s">
        <v>126</v>
      </c>
      <c r="AF23" s="53" t="s">
        <v>126</v>
      </c>
      <c r="AG23" s="53" t="s">
        <v>126</v>
      </c>
      <c r="AH23" s="53" t="s">
        <v>126</v>
      </c>
      <c r="AI23" s="53">
        <v>2</v>
      </c>
      <c r="AJ23" s="53" t="s">
        <v>126</v>
      </c>
      <c r="AK23" s="53">
        <v>68</v>
      </c>
      <c r="AL23" s="53" t="s">
        <v>126</v>
      </c>
      <c r="AM23" s="53">
        <v>7</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1</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29</v>
      </c>
      <c r="D24" s="53" t="s">
        <v>126</v>
      </c>
      <c r="E24" s="53">
        <v>51</v>
      </c>
      <c r="F24" s="53" t="s">
        <v>126</v>
      </c>
      <c r="G24" s="53">
        <v>2</v>
      </c>
      <c r="H24" s="53" t="s">
        <v>126</v>
      </c>
      <c r="I24" s="53">
        <v>0</v>
      </c>
      <c r="J24" s="53" t="s">
        <v>126</v>
      </c>
      <c r="K24" s="53" t="s">
        <v>126</v>
      </c>
      <c r="L24" s="53" t="s">
        <v>126</v>
      </c>
      <c r="M24" s="53" t="s">
        <v>126</v>
      </c>
      <c r="N24" s="53" t="s">
        <v>126</v>
      </c>
      <c r="O24" s="53" t="s">
        <v>126</v>
      </c>
      <c r="P24" s="53" t="s">
        <v>126</v>
      </c>
      <c r="Q24" s="53" t="s">
        <v>126</v>
      </c>
      <c r="R24" s="53" t="s">
        <v>126</v>
      </c>
      <c r="S24" s="53">
        <v>6</v>
      </c>
      <c r="T24" s="53" t="s">
        <v>126</v>
      </c>
      <c r="U24" s="53">
        <v>0</v>
      </c>
      <c r="V24" s="53" t="s">
        <v>126</v>
      </c>
      <c r="W24" s="53">
        <v>29</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65</v>
      </c>
      <c r="AL24" s="53" t="s">
        <v>126</v>
      </c>
      <c r="AM24" s="53">
        <v>10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27</v>
      </c>
      <c r="D25" s="53" t="s">
        <v>126</v>
      </c>
      <c r="E25" s="53">
        <v>44</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20</v>
      </c>
      <c r="T25" s="53" t="s">
        <v>126</v>
      </c>
      <c r="U25" s="53">
        <v>0</v>
      </c>
      <c r="V25" s="53" t="s">
        <v>126</v>
      </c>
      <c r="W25" s="53">
        <v>21</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71</v>
      </c>
      <c r="AL25" s="53" t="s">
        <v>126</v>
      </c>
      <c r="AM25" s="53">
        <v>11</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23</v>
      </c>
      <c r="D26" s="53" t="s">
        <v>126</v>
      </c>
      <c r="E26" s="53">
        <v>53</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14</v>
      </c>
      <c r="T26" s="53" t="s">
        <v>126</v>
      </c>
      <c r="U26" s="53">
        <v>0</v>
      </c>
      <c r="V26" s="53" t="s">
        <v>126</v>
      </c>
      <c r="W26" s="53">
        <v>23</v>
      </c>
      <c r="X26" s="53" t="s">
        <v>126</v>
      </c>
      <c r="Y26" s="53">
        <v>0</v>
      </c>
      <c r="Z26" s="53" t="s">
        <v>126</v>
      </c>
      <c r="AA26" s="53" t="s">
        <v>126</v>
      </c>
      <c r="AB26" s="53" t="s">
        <v>126</v>
      </c>
      <c r="AC26" s="53" t="s">
        <v>126</v>
      </c>
      <c r="AD26" s="53" t="s">
        <v>126</v>
      </c>
      <c r="AE26" s="53" t="s">
        <v>126</v>
      </c>
      <c r="AF26" s="53" t="s">
        <v>126</v>
      </c>
      <c r="AG26" s="53" t="s">
        <v>126</v>
      </c>
      <c r="AH26" s="53" t="s">
        <v>126</v>
      </c>
      <c r="AI26" s="53">
        <v>3</v>
      </c>
      <c r="AJ26" s="53" t="s">
        <v>126</v>
      </c>
      <c r="AK26" s="53">
        <v>73</v>
      </c>
      <c r="AL26" s="53" t="s">
        <v>126</v>
      </c>
      <c r="AM26" s="53">
        <v>18</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0</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51</v>
      </c>
      <c r="D28" s="53" t="s">
        <v>126</v>
      </c>
      <c r="E28" s="53">
        <v>64</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10</v>
      </c>
      <c r="T28" s="53" t="s">
        <v>126</v>
      </c>
      <c r="U28" s="53">
        <v>0</v>
      </c>
      <c r="V28" s="53" t="s">
        <v>126</v>
      </c>
      <c r="W28" s="53">
        <v>24</v>
      </c>
      <c r="X28" s="53" t="s">
        <v>126</v>
      </c>
      <c r="Y28" s="53">
        <v>0</v>
      </c>
      <c r="Z28" s="53" t="s">
        <v>126</v>
      </c>
      <c r="AA28" s="53" t="s">
        <v>126</v>
      </c>
      <c r="AB28" s="53" t="s">
        <v>126</v>
      </c>
      <c r="AC28" s="53" t="s">
        <v>126</v>
      </c>
      <c r="AD28" s="53" t="s">
        <v>126</v>
      </c>
      <c r="AE28" s="53" t="s">
        <v>126</v>
      </c>
      <c r="AF28" s="53" t="s">
        <v>126</v>
      </c>
      <c r="AG28" s="53" t="s">
        <v>126</v>
      </c>
      <c r="AH28" s="53" t="s">
        <v>126</v>
      </c>
      <c r="AI28" s="53">
        <v>1</v>
      </c>
      <c r="AJ28" s="53" t="s">
        <v>126</v>
      </c>
      <c r="AK28" s="53">
        <v>101</v>
      </c>
      <c r="AL28" s="53" t="s">
        <v>126</v>
      </c>
      <c r="AM28" s="53">
        <v>25</v>
      </c>
      <c r="AN28" s="53" t="s">
        <v>126</v>
      </c>
      <c r="AO28" s="53">
        <v>0</v>
      </c>
      <c r="AP28" s="53" t="s">
        <v>126</v>
      </c>
      <c r="AQ28" s="53" t="s">
        <v>126</v>
      </c>
      <c r="AR28" s="53" t="s">
        <v>126</v>
      </c>
      <c r="AS28" s="53" t="s">
        <v>126</v>
      </c>
      <c r="AT28" s="53" t="s">
        <v>126</v>
      </c>
      <c r="AU28" s="53" t="s">
        <v>126</v>
      </c>
      <c r="AV28" s="53" t="s">
        <v>126</v>
      </c>
      <c r="AW28" s="53" t="s">
        <v>126</v>
      </c>
      <c r="AX28" s="53" t="s">
        <v>126</v>
      </c>
      <c r="AY28" s="53">
        <v>1</v>
      </c>
      <c r="AZ28" s="53" t="s">
        <v>126</v>
      </c>
      <c r="BA28" s="53">
        <v>0</v>
      </c>
      <c r="BB28" s="53" t="s">
        <v>126</v>
      </c>
      <c r="BC28" s="53">
        <v>1</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56</v>
      </c>
      <c r="D29" s="53" t="s">
        <v>126</v>
      </c>
      <c r="E29" s="53">
        <v>84</v>
      </c>
      <c r="F29" s="53" t="s">
        <v>126</v>
      </c>
      <c r="G29" s="53">
        <v>2</v>
      </c>
      <c r="H29" s="53" t="s">
        <v>126</v>
      </c>
      <c r="I29" s="53">
        <v>0</v>
      </c>
      <c r="J29" s="53" t="s">
        <v>126</v>
      </c>
      <c r="K29" s="53" t="s">
        <v>126</v>
      </c>
      <c r="L29" s="53" t="s">
        <v>126</v>
      </c>
      <c r="M29" s="53" t="s">
        <v>126</v>
      </c>
      <c r="N29" s="53" t="s">
        <v>126</v>
      </c>
      <c r="O29" s="53" t="s">
        <v>126</v>
      </c>
      <c r="P29" s="53" t="s">
        <v>126</v>
      </c>
      <c r="Q29" s="53" t="s">
        <v>126</v>
      </c>
      <c r="R29" s="53" t="s">
        <v>126</v>
      </c>
      <c r="S29" s="53">
        <v>11</v>
      </c>
      <c r="T29" s="53" t="s">
        <v>126</v>
      </c>
      <c r="U29" s="53">
        <v>1</v>
      </c>
      <c r="V29" s="53" t="s">
        <v>126</v>
      </c>
      <c r="W29" s="53">
        <v>32</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109</v>
      </c>
      <c r="AL29" s="53" t="s">
        <v>126</v>
      </c>
      <c r="AM29" s="53">
        <v>24</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66</v>
      </c>
      <c r="D30" s="53" t="s">
        <v>126</v>
      </c>
      <c r="E30" s="53">
        <v>76</v>
      </c>
      <c r="F30" s="53" t="s">
        <v>126</v>
      </c>
      <c r="G30" s="53">
        <v>2</v>
      </c>
      <c r="H30" s="53" t="s">
        <v>126</v>
      </c>
      <c r="I30" s="53">
        <v>0</v>
      </c>
      <c r="J30" s="53" t="s">
        <v>126</v>
      </c>
      <c r="K30" s="53" t="s">
        <v>126</v>
      </c>
      <c r="L30" s="53" t="s">
        <v>126</v>
      </c>
      <c r="M30" s="53" t="s">
        <v>126</v>
      </c>
      <c r="N30" s="53" t="s">
        <v>126</v>
      </c>
      <c r="O30" s="53" t="s">
        <v>126</v>
      </c>
      <c r="P30" s="53" t="s">
        <v>126</v>
      </c>
      <c r="Q30" s="53" t="s">
        <v>126</v>
      </c>
      <c r="R30" s="53" t="s">
        <v>126</v>
      </c>
      <c r="S30" s="53">
        <v>15</v>
      </c>
      <c r="T30" s="53" t="s">
        <v>126</v>
      </c>
      <c r="U30" s="53">
        <v>0</v>
      </c>
      <c r="V30" s="53" t="s">
        <v>126</v>
      </c>
      <c r="W30" s="53">
        <v>33</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109</v>
      </c>
      <c r="AL30" s="53" t="s">
        <v>126</v>
      </c>
      <c r="AM30" s="53">
        <v>26</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60</v>
      </c>
      <c r="D31" s="53" t="s">
        <v>126</v>
      </c>
      <c r="E31" s="53">
        <v>62</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19</v>
      </c>
      <c r="T31" s="53" t="s">
        <v>126</v>
      </c>
      <c r="U31" s="53">
        <v>0</v>
      </c>
      <c r="V31" s="53" t="s">
        <v>126</v>
      </c>
      <c r="W31" s="53">
        <v>22</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107</v>
      </c>
      <c r="AL31" s="53" t="s">
        <v>126</v>
      </c>
      <c r="AM31" s="53">
        <v>41</v>
      </c>
      <c r="AN31" s="53" t="s">
        <v>126</v>
      </c>
      <c r="AO31" s="53">
        <v>0</v>
      </c>
      <c r="AP31" s="53" t="s">
        <v>126</v>
      </c>
      <c r="AQ31" s="53" t="s">
        <v>126</v>
      </c>
      <c r="AR31" s="53" t="s">
        <v>126</v>
      </c>
      <c r="AS31" s="53" t="s">
        <v>126</v>
      </c>
      <c r="AT31" s="53" t="s">
        <v>126</v>
      </c>
      <c r="AU31" s="53" t="s">
        <v>126</v>
      </c>
      <c r="AV31" s="53" t="s">
        <v>126</v>
      </c>
      <c r="AW31" s="53" t="s">
        <v>126</v>
      </c>
      <c r="AX31" s="53" t="s">
        <v>126</v>
      </c>
      <c r="AY31" s="53">
        <v>3</v>
      </c>
      <c r="AZ31" s="53" t="s">
        <v>126</v>
      </c>
      <c r="BA31" s="53">
        <v>0</v>
      </c>
      <c r="BB31" s="53" t="s">
        <v>126</v>
      </c>
      <c r="BC31" s="53">
        <v>2</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74</v>
      </c>
      <c r="D32" s="53" t="s">
        <v>126</v>
      </c>
      <c r="E32" s="53">
        <v>89</v>
      </c>
      <c r="F32" s="53" t="s">
        <v>126</v>
      </c>
      <c r="G32" s="53">
        <v>2</v>
      </c>
      <c r="H32" s="53" t="s">
        <v>126</v>
      </c>
      <c r="I32" s="53">
        <v>0</v>
      </c>
      <c r="J32" s="53" t="s">
        <v>126</v>
      </c>
      <c r="K32" s="53" t="s">
        <v>126</v>
      </c>
      <c r="L32" s="53" t="s">
        <v>126</v>
      </c>
      <c r="M32" s="53" t="s">
        <v>126</v>
      </c>
      <c r="N32" s="53" t="s">
        <v>126</v>
      </c>
      <c r="O32" s="53" t="s">
        <v>126</v>
      </c>
      <c r="P32" s="53" t="s">
        <v>126</v>
      </c>
      <c r="Q32" s="53" t="s">
        <v>126</v>
      </c>
      <c r="R32" s="53" t="s">
        <v>126</v>
      </c>
      <c r="S32" s="53">
        <v>13</v>
      </c>
      <c r="T32" s="53" t="s">
        <v>126</v>
      </c>
      <c r="U32" s="53">
        <v>0</v>
      </c>
      <c r="V32" s="53" t="s">
        <v>126</v>
      </c>
      <c r="W32" s="53">
        <v>34</v>
      </c>
      <c r="X32" s="53" t="s">
        <v>126</v>
      </c>
      <c r="Y32" s="53">
        <v>0</v>
      </c>
      <c r="Z32" s="53" t="s">
        <v>126</v>
      </c>
      <c r="AA32" s="53" t="s">
        <v>126</v>
      </c>
      <c r="AB32" s="53" t="s">
        <v>126</v>
      </c>
      <c r="AC32" s="53" t="s">
        <v>126</v>
      </c>
      <c r="AD32" s="53" t="s">
        <v>126</v>
      </c>
      <c r="AE32" s="53" t="s">
        <v>126</v>
      </c>
      <c r="AF32" s="53" t="s">
        <v>126</v>
      </c>
      <c r="AG32" s="53" t="s">
        <v>126</v>
      </c>
      <c r="AH32" s="53" t="s">
        <v>126</v>
      </c>
      <c r="AI32" s="53">
        <v>6</v>
      </c>
      <c r="AJ32" s="53" t="s">
        <v>126</v>
      </c>
      <c r="AK32" s="53">
        <v>107</v>
      </c>
      <c r="AL32" s="53" t="s">
        <v>126</v>
      </c>
      <c r="AM32" s="53">
        <v>32</v>
      </c>
      <c r="AN32" s="53" t="s">
        <v>126</v>
      </c>
      <c r="AO32" s="53">
        <v>0</v>
      </c>
      <c r="AP32" s="53" t="s">
        <v>126</v>
      </c>
      <c r="AQ32" s="53" t="s">
        <v>126</v>
      </c>
      <c r="AR32" s="53" t="s">
        <v>126</v>
      </c>
      <c r="AS32" s="53" t="s">
        <v>126</v>
      </c>
      <c r="AT32" s="53" t="s">
        <v>126</v>
      </c>
      <c r="AU32" s="53" t="s">
        <v>126</v>
      </c>
      <c r="AV32" s="53" t="s">
        <v>126</v>
      </c>
      <c r="AW32" s="53" t="s">
        <v>126</v>
      </c>
      <c r="AX32" s="53" t="s">
        <v>126</v>
      </c>
      <c r="AY32" s="53">
        <v>2</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66</v>
      </c>
      <c r="D33" s="53" t="s">
        <v>126</v>
      </c>
      <c r="E33" s="53">
        <v>80</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16</v>
      </c>
      <c r="T33" s="53" t="s">
        <v>126</v>
      </c>
      <c r="U33" s="53">
        <v>1</v>
      </c>
      <c r="V33" s="53" t="s">
        <v>126</v>
      </c>
      <c r="W33" s="53">
        <v>38</v>
      </c>
      <c r="X33" s="53" t="s">
        <v>126</v>
      </c>
      <c r="Y33" s="53">
        <v>0</v>
      </c>
      <c r="Z33" s="53" t="s">
        <v>126</v>
      </c>
      <c r="AA33" s="53" t="s">
        <v>126</v>
      </c>
      <c r="AB33" s="53" t="s">
        <v>126</v>
      </c>
      <c r="AC33" s="53" t="s">
        <v>126</v>
      </c>
      <c r="AD33" s="53" t="s">
        <v>126</v>
      </c>
      <c r="AE33" s="53" t="s">
        <v>126</v>
      </c>
      <c r="AF33" s="53" t="s">
        <v>126</v>
      </c>
      <c r="AG33" s="53" t="s">
        <v>126</v>
      </c>
      <c r="AH33" s="53" t="s">
        <v>126</v>
      </c>
      <c r="AI33" s="53">
        <v>2</v>
      </c>
      <c r="AJ33" s="53" t="s">
        <v>126</v>
      </c>
      <c r="AK33" s="53">
        <v>107</v>
      </c>
      <c r="AL33" s="53" t="s">
        <v>126</v>
      </c>
      <c r="AM33" s="53">
        <v>23</v>
      </c>
      <c r="AN33" s="53" t="s">
        <v>126</v>
      </c>
      <c r="AO33" s="53">
        <v>0</v>
      </c>
      <c r="AP33" s="53" t="s">
        <v>126</v>
      </c>
      <c r="AQ33" s="53" t="s">
        <v>126</v>
      </c>
      <c r="AR33" s="53" t="s">
        <v>126</v>
      </c>
      <c r="AS33" s="53" t="s">
        <v>126</v>
      </c>
      <c r="AT33" s="53" t="s">
        <v>126</v>
      </c>
      <c r="AU33" s="53" t="s">
        <v>126</v>
      </c>
      <c r="AV33" s="53" t="s">
        <v>126</v>
      </c>
      <c r="AW33" s="53" t="s">
        <v>126</v>
      </c>
      <c r="AX33" s="53" t="s">
        <v>126</v>
      </c>
      <c r="AY33" s="53">
        <v>2</v>
      </c>
      <c r="AZ33" s="53" t="s">
        <v>126</v>
      </c>
      <c r="BA33" s="53">
        <v>1</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56</v>
      </c>
      <c r="D34" s="53" t="s">
        <v>126</v>
      </c>
      <c r="E34" s="53">
        <v>72</v>
      </c>
      <c r="F34" s="53" t="s">
        <v>126</v>
      </c>
      <c r="G34" s="53">
        <v>2</v>
      </c>
      <c r="H34" s="53" t="s">
        <v>126</v>
      </c>
      <c r="I34" s="53">
        <v>0</v>
      </c>
      <c r="J34" s="53" t="s">
        <v>126</v>
      </c>
      <c r="K34" s="53" t="s">
        <v>126</v>
      </c>
      <c r="L34" s="53" t="s">
        <v>126</v>
      </c>
      <c r="M34" s="53" t="s">
        <v>126</v>
      </c>
      <c r="N34" s="53" t="s">
        <v>126</v>
      </c>
      <c r="O34" s="53" t="s">
        <v>126</v>
      </c>
      <c r="P34" s="53" t="s">
        <v>126</v>
      </c>
      <c r="Q34" s="53" t="s">
        <v>126</v>
      </c>
      <c r="R34" s="53" t="s">
        <v>126</v>
      </c>
      <c r="S34" s="53">
        <v>16</v>
      </c>
      <c r="T34" s="53" t="s">
        <v>126</v>
      </c>
      <c r="U34" s="53">
        <v>0</v>
      </c>
      <c r="V34" s="53" t="s">
        <v>126</v>
      </c>
      <c r="W34" s="53">
        <v>28</v>
      </c>
      <c r="X34" s="53" t="s">
        <v>126</v>
      </c>
      <c r="Y34" s="53">
        <v>0</v>
      </c>
      <c r="Z34" s="53" t="s">
        <v>126</v>
      </c>
      <c r="AA34" s="53" t="s">
        <v>126</v>
      </c>
      <c r="AB34" s="53" t="s">
        <v>126</v>
      </c>
      <c r="AC34" s="53" t="s">
        <v>126</v>
      </c>
      <c r="AD34" s="53" t="s">
        <v>126</v>
      </c>
      <c r="AE34" s="53" t="s">
        <v>126</v>
      </c>
      <c r="AF34" s="53" t="s">
        <v>126</v>
      </c>
      <c r="AG34" s="53" t="s">
        <v>126</v>
      </c>
      <c r="AH34" s="53" t="s">
        <v>126</v>
      </c>
      <c r="AI34" s="53">
        <v>3</v>
      </c>
      <c r="AJ34" s="53" t="s">
        <v>126</v>
      </c>
      <c r="AK34" s="53">
        <v>87</v>
      </c>
      <c r="AL34" s="53" t="s">
        <v>126</v>
      </c>
      <c r="AM34" s="53">
        <v>32</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0</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54</v>
      </c>
      <c r="D35" s="53" t="s">
        <v>126</v>
      </c>
      <c r="E35" s="53">
        <v>67</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18</v>
      </c>
      <c r="T35" s="53" t="s">
        <v>126</v>
      </c>
      <c r="U35" s="53">
        <v>0</v>
      </c>
      <c r="V35" s="53" t="s">
        <v>126</v>
      </c>
      <c r="W35" s="53">
        <v>34</v>
      </c>
      <c r="X35" s="53" t="s">
        <v>126</v>
      </c>
      <c r="Y35" s="53">
        <v>0</v>
      </c>
      <c r="Z35" s="53" t="s">
        <v>126</v>
      </c>
      <c r="AA35" s="53" t="s">
        <v>126</v>
      </c>
      <c r="AB35" s="53" t="s">
        <v>126</v>
      </c>
      <c r="AC35" s="53" t="s">
        <v>126</v>
      </c>
      <c r="AD35" s="53" t="s">
        <v>126</v>
      </c>
      <c r="AE35" s="53" t="s">
        <v>126</v>
      </c>
      <c r="AF35" s="53" t="s">
        <v>126</v>
      </c>
      <c r="AG35" s="53" t="s">
        <v>126</v>
      </c>
      <c r="AH35" s="53" t="s">
        <v>126</v>
      </c>
      <c r="AI35" s="53">
        <v>2</v>
      </c>
      <c r="AJ35" s="53" t="s">
        <v>126</v>
      </c>
      <c r="AK35" s="53">
        <v>81</v>
      </c>
      <c r="AL35" s="53" t="s">
        <v>126</v>
      </c>
      <c r="AM35" s="53">
        <v>29</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1</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2025-04-30T03:51:24Z</dcterms:modified>
</cp:coreProperties>
</file>