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23CBE33-9C58-4187-BDD2-9CBEAB2B7EC8}"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Q96" i="6" s="1"/>
  <c r="L64" i="6"/>
  <c r="L256" i="6"/>
  <c r="L197" i="6"/>
  <c r="Q197" i="6" s="1"/>
  <c r="L109" i="6"/>
  <c r="L45" i="6"/>
  <c r="Q45" i="6" s="1"/>
  <c r="L245" i="6"/>
  <c r="Q245" i="6" s="1"/>
  <c r="L14" i="6"/>
  <c r="L244" i="6"/>
  <c r="Q244" i="6" s="1"/>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Q97" i="6" s="1"/>
  <c r="L33" i="6"/>
  <c r="L224" i="6"/>
  <c r="Q224" i="6" s="1"/>
  <c r="L206" i="6"/>
  <c r="Q206" i="6" s="1"/>
  <c r="L78" i="6"/>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37" i="6"/>
  <c r="Q117" i="6"/>
  <c r="Q109" i="6"/>
  <c r="Q53" i="6"/>
  <c r="Q259" i="6"/>
  <c r="Q243" i="6"/>
  <c r="Q227" i="6"/>
  <c r="Q219" i="6"/>
  <c r="Q203" i="6"/>
  <c r="Q155" i="6"/>
  <c r="Q139" i="6"/>
  <c r="Q282" i="6"/>
  <c r="Q250" i="6"/>
  <c r="Q202" i="6"/>
  <c r="Q162" i="6"/>
  <c r="Q268" i="6"/>
  <c r="Q216" i="6"/>
  <c r="Q140" i="6"/>
  <c r="Q276" i="6"/>
  <c r="Q110" i="6"/>
  <c r="Q71" i="6"/>
  <c r="Q300" i="6"/>
  <c r="Q137" i="6"/>
  <c r="Q73" i="6"/>
  <c r="Q48" i="6"/>
  <c r="Q302" i="6"/>
  <c r="Q238" i="6"/>
  <c r="Q135" i="6"/>
  <c r="Q57" i="6"/>
  <c r="Q287" i="6"/>
  <c r="Q248" i="6"/>
  <c r="Q239" i="6"/>
  <c r="Q225" i="6"/>
  <c r="Q200" i="6"/>
  <c r="Q175" i="6"/>
  <c r="Q111" i="6"/>
  <c r="Q86" i="6"/>
  <c r="Q46" i="6"/>
  <c r="Q272" i="6"/>
  <c r="Q233" i="6"/>
  <c r="Q183" i="6"/>
  <c r="Q132" i="6"/>
  <c r="Q105" i="6"/>
  <c r="Q256" i="6"/>
  <c r="Q118" i="6"/>
  <c r="Q246" i="6"/>
  <c r="Q116" i="6"/>
  <c r="Q64" i="6"/>
  <c r="Q223" i="6"/>
  <c r="Q78" i="6"/>
  <c r="Q54" i="6"/>
  <c r="Q180" i="6"/>
  <c r="Q104" i="6"/>
  <c r="H8" i="6"/>
  <c r="B4" i="7" s="1"/>
  <c r="O6" i="6"/>
  <c r="I284" i="4" l="1"/>
  <c r="I264" i="4"/>
  <c r="I164" i="4"/>
  <c r="I144" i="4"/>
  <c r="I44" i="4"/>
  <c r="I24" i="4"/>
  <c r="I344" i="4"/>
  <c r="I244" i="4"/>
  <c r="I224" i="4"/>
  <c r="I124" i="4"/>
  <c r="I104" i="4"/>
  <c r="I4" i="4"/>
  <c r="I324" i="4"/>
  <c r="I304" i="4"/>
  <c r="I204" i="4"/>
  <c r="I184" i="4"/>
  <c r="I84" i="4"/>
  <c r="I64" i="4"/>
  <c r="I317" i="4"/>
  <c r="I297" i="4"/>
  <c r="I197" i="4"/>
  <c r="I177" i="4"/>
  <c r="I77" i="4"/>
  <c r="I57" i="4"/>
  <c r="I277" i="4"/>
  <c r="I257" i="4"/>
  <c r="I157" i="4"/>
  <c r="I137" i="4"/>
  <c r="I37" i="4"/>
  <c r="I357" i="4"/>
  <c r="I17" i="4"/>
  <c r="I337" i="4"/>
  <c r="I237" i="4"/>
  <c r="I217" i="4"/>
  <c r="I117" i="4"/>
  <c r="I97" i="4"/>
  <c r="I243" i="4"/>
  <c r="I223" i="4"/>
  <c r="I123" i="4"/>
  <c r="I103" i="4"/>
  <c r="I3" i="4"/>
  <c r="I323" i="4"/>
  <c r="I303" i="4"/>
  <c r="I203" i="4"/>
  <c r="I183" i="4"/>
  <c r="I83" i="4"/>
  <c r="I63" i="4"/>
  <c r="I283" i="4"/>
  <c r="I263" i="4"/>
  <c r="I163" i="4"/>
  <c r="I143" i="4"/>
  <c r="I43" i="4"/>
  <c r="I23" i="4"/>
  <c r="I343" i="4"/>
  <c r="I2" i="4"/>
  <c r="I322" i="4"/>
  <c r="I342" i="4"/>
  <c r="I182" i="4"/>
  <c r="I202" i="4"/>
  <c r="I142" i="4"/>
  <c r="I82" i="4"/>
  <c r="I22" i="4"/>
  <c r="I282" i="4"/>
  <c r="I302" i="4"/>
  <c r="I162" i="4"/>
  <c r="I42" i="4"/>
  <c r="I102" i="4"/>
  <c r="I222" i="4"/>
  <c r="I242" i="4"/>
  <c r="I262" i="4"/>
  <c r="I62" i="4"/>
  <c r="I122" i="4"/>
  <c r="I92" i="4"/>
  <c r="I72" i="4"/>
  <c r="I292" i="4"/>
  <c r="I272" i="4"/>
  <c r="I172" i="4"/>
  <c r="I152" i="4"/>
  <c r="I52" i="4"/>
  <c r="I32" i="4"/>
  <c r="I352" i="4"/>
  <c r="I252" i="4"/>
  <c r="I232" i="4"/>
  <c r="I132" i="4"/>
  <c r="I112" i="4"/>
  <c r="I12" i="4"/>
  <c r="I332" i="4"/>
  <c r="I312" i="4"/>
  <c r="I212" i="4"/>
  <c r="I192" i="4"/>
  <c r="I179" i="4"/>
  <c r="I159" i="4"/>
  <c r="I59" i="4"/>
  <c r="I39" i="4"/>
  <c r="I359" i="4"/>
  <c r="I259" i="4"/>
  <c r="I239" i="4"/>
  <c r="I139" i="4"/>
  <c r="I119" i="4"/>
  <c r="I19" i="4"/>
  <c r="I339" i="4"/>
  <c r="I319" i="4"/>
  <c r="I219" i="4"/>
  <c r="I199" i="4"/>
  <c r="I99" i="4"/>
  <c r="I79" i="4"/>
  <c r="I299" i="4"/>
  <c r="I279" i="4"/>
  <c r="I253" i="4"/>
  <c r="I233" i="4"/>
  <c r="I133" i="4"/>
  <c r="I113" i="4"/>
  <c r="I13" i="4"/>
  <c r="I333" i="4"/>
  <c r="I313" i="4"/>
  <c r="I213" i="4"/>
  <c r="I193" i="4"/>
  <c r="I93" i="4"/>
  <c r="I73" i="4"/>
  <c r="I293" i="4"/>
  <c r="I273" i="4"/>
  <c r="I173" i="4"/>
  <c r="I153" i="4"/>
  <c r="I53" i="4"/>
  <c r="I33" i="4"/>
  <c r="I353" i="4"/>
  <c r="I130" i="4"/>
  <c r="I270" i="4"/>
  <c r="I10" i="4"/>
  <c r="I330" i="4"/>
  <c r="I190" i="4"/>
  <c r="I210" i="4"/>
  <c r="I90" i="4"/>
  <c r="I70" i="4"/>
  <c r="I350" i="4"/>
  <c r="I110" i="4"/>
  <c r="I290" i="4"/>
  <c r="I310" i="4"/>
  <c r="I150" i="4"/>
  <c r="I170" i="4"/>
  <c r="I50" i="4"/>
  <c r="I230" i="4"/>
  <c r="I30" i="4"/>
  <c r="I250" i="4"/>
  <c r="I125" i="4"/>
  <c r="I105" i="4"/>
  <c r="I5" i="4"/>
  <c r="I325" i="4"/>
  <c r="I305" i="4"/>
  <c r="I205" i="4"/>
  <c r="I185" i="4"/>
  <c r="I85" i="4"/>
  <c r="I65" i="4"/>
  <c r="I285" i="4"/>
  <c r="I265" i="4"/>
  <c r="I165" i="4"/>
  <c r="I145" i="4"/>
  <c r="I45" i="4"/>
  <c r="I25" i="4"/>
  <c r="I345" i="4"/>
  <c r="I245" i="4"/>
  <c r="I225" i="4"/>
  <c r="I189" i="4"/>
  <c r="I169" i="4"/>
  <c r="I69" i="4"/>
  <c r="I49" i="4"/>
  <c r="I269" i="4"/>
  <c r="I249" i="4"/>
  <c r="I149" i="4"/>
  <c r="I129" i="4"/>
  <c r="I29" i="4"/>
  <c r="I349" i="4"/>
  <c r="I9" i="4"/>
  <c r="I329" i="4"/>
  <c r="I229" i="4"/>
  <c r="I209" i="4"/>
  <c r="I109" i="4"/>
  <c r="I89" i="4"/>
  <c r="I309" i="4"/>
  <c r="I289" i="4"/>
  <c r="I307" i="4"/>
  <c r="I287" i="4"/>
  <c r="I187" i="4"/>
  <c r="I167" i="4"/>
  <c r="I67" i="4"/>
  <c r="I47" i="4"/>
  <c r="I267" i="4"/>
  <c r="I247" i="4"/>
  <c r="I147" i="4"/>
  <c r="I127" i="4"/>
  <c r="I27" i="4"/>
  <c r="I347" i="4"/>
  <c r="I7" i="4"/>
  <c r="I327" i="4"/>
  <c r="I227" i="4"/>
  <c r="I207" i="4"/>
  <c r="I107" i="4"/>
  <c r="I87" i="4"/>
  <c r="I220" i="4"/>
  <c r="I200" i="4"/>
  <c r="I100" i="4"/>
  <c r="I80" i="4"/>
  <c r="I300" i="4"/>
  <c r="I280" i="4"/>
  <c r="I180" i="4"/>
  <c r="I160" i="4"/>
  <c r="I60" i="4"/>
  <c r="I40" i="4"/>
  <c r="I360" i="4"/>
  <c r="I260" i="4"/>
  <c r="I240" i="4"/>
  <c r="I140" i="4"/>
  <c r="I120" i="4"/>
  <c r="I20" i="4"/>
  <c r="I340" i="4"/>
  <c r="I320" i="4"/>
  <c r="I194" i="4"/>
  <c r="I134" i="4"/>
  <c r="I74" i="4"/>
  <c r="I274" i="4"/>
  <c r="I294" i="4"/>
  <c r="I54" i="4"/>
  <c r="I154" i="4"/>
  <c r="I254" i="4"/>
  <c r="I94" i="4"/>
  <c r="I34" i="4"/>
  <c r="I354" i="4"/>
  <c r="I234" i="4"/>
  <c r="I174" i="4"/>
  <c r="I14" i="4"/>
  <c r="I114" i="4"/>
  <c r="I314" i="4"/>
  <c r="I214" i="4"/>
  <c r="I334" i="4"/>
  <c r="I51" i="4"/>
  <c r="I31" i="4"/>
  <c r="I351" i="4"/>
  <c r="I251" i="4"/>
  <c r="I231" i="4"/>
  <c r="I131" i="4"/>
  <c r="I111" i="4"/>
  <c r="I11" i="4"/>
  <c r="I331" i="4"/>
  <c r="I311" i="4"/>
  <c r="I211" i="4"/>
  <c r="I191" i="4"/>
  <c r="I91" i="4"/>
  <c r="I71" i="4"/>
  <c r="I291" i="4"/>
  <c r="I271" i="4"/>
  <c r="I171" i="4"/>
  <c r="I151" i="4"/>
  <c r="I28" i="4"/>
  <c r="I348" i="4"/>
  <c r="I8" i="4"/>
  <c r="I328" i="4"/>
  <c r="I228" i="4"/>
  <c r="I208" i="4"/>
  <c r="I108" i="4"/>
  <c r="I88" i="4"/>
  <c r="I308" i="4"/>
  <c r="I288" i="4"/>
  <c r="I188" i="4"/>
  <c r="I168" i="4"/>
  <c r="I68" i="4"/>
  <c r="I48" i="4"/>
  <c r="I268" i="4"/>
  <c r="I248" i="4"/>
  <c r="I148" i="4"/>
  <c r="I128" i="4"/>
  <c r="I115" i="4"/>
  <c r="I95" i="4"/>
  <c r="I315" i="4"/>
  <c r="I295" i="4"/>
  <c r="I195" i="4"/>
  <c r="I175" i="4"/>
  <c r="I75" i="4"/>
  <c r="I55" i="4"/>
  <c r="I275" i="4"/>
  <c r="I255" i="4"/>
  <c r="I155" i="4"/>
  <c r="I135" i="4"/>
  <c r="I35" i="4"/>
  <c r="I355" i="4"/>
  <c r="I15" i="4"/>
  <c r="I335" i="4"/>
  <c r="I235" i="4"/>
  <c r="I215" i="4"/>
  <c r="I66" i="4"/>
  <c r="I86" i="4"/>
  <c r="I266" i="4"/>
  <c r="I326" i="4"/>
  <c r="I6" i="4"/>
  <c r="I146" i="4"/>
  <c r="I246" i="4"/>
  <c r="I46" i="4"/>
  <c r="I26" i="4"/>
  <c r="I346" i="4"/>
  <c r="I226" i="4"/>
  <c r="I166" i="4"/>
  <c r="I106" i="4"/>
  <c r="I206" i="4"/>
  <c r="I306" i="4"/>
  <c r="I186" i="4"/>
  <c r="I286" i="4"/>
  <c r="I126" i="4"/>
  <c r="I156" i="4"/>
  <c r="I136" i="4"/>
  <c r="I36" i="4"/>
  <c r="I356" i="4"/>
  <c r="I16" i="4"/>
  <c r="I336" i="4"/>
  <c r="I236" i="4"/>
  <c r="I216" i="4"/>
  <c r="I116" i="4"/>
  <c r="I96" i="4"/>
  <c r="I316" i="4"/>
  <c r="I296" i="4"/>
  <c r="I196" i="4"/>
  <c r="I176" i="4"/>
  <c r="I76" i="4"/>
  <c r="I56" i="4"/>
  <c r="I276" i="4"/>
  <c r="I256" i="4"/>
  <c r="I61" i="4"/>
  <c r="I41" i="4"/>
  <c r="I361" i="4"/>
  <c r="I261" i="4"/>
  <c r="I241" i="4"/>
  <c r="I141" i="4"/>
  <c r="I121" i="4"/>
  <c r="I21" i="4"/>
  <c r="I341" i="4"/>
  <c r="I321" i="4"/>
  <c r="I221" i="4"/>
  <c r="I201" i="4"/>
  <c r="I101" i="4"/>
  <c r="I81" i="4"/>
  <c r="I301" i="4"/>
  <c r="I281" i="4"/>
  <c r="I181" i="4"/>
  <c r="I161" i="4"/>
  <c r="I258" i="4"/>
  <c r="I138" i="4"/>
  <c r="I238" i="4"/>
  <c r="I18" i="4"/>
  <c r="I338" i="4"/>
  <c r="I198" i="4"/>
  <c r="I218" i="4"/>
  <c r="I98" i="4"/>
  <c r="I118" i="4"/>
  <c r="I358" i="4"/>
  <c r="I298" i="4"/>
  <c r="I178" i="4"/>
  <c r="I158" i="4"/>
  <c r="I278" i="4"/>
  <c r="I58" i="4"/>
  <c r="I38" i="4"/>
  <c r="I78" i="4"/>
  <c r="I318"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<sst xmlns="http://schemas.openxmlformats.org/spreadsheetml/2006/main" count="7718" uniqueCount="168">
  <si>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</si>
  <si>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</si>
  <si>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</si>
  <si>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</si>
  <si>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</si>
  <si>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</si>
  <si>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</si>
  <si>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</si>
  <si>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</si>
  <si>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</si>
  <si>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</si>
  <si>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</si>
  <si>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</si>
  <si>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</si>
  <si>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</si>
  <si>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</si>
  <si>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</si>
  <si>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</si>
  <si>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</si>
  <si>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</si>
  <si>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</si>
  <si>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</si>
  <si>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</si>
  <si>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</si>
  <si>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</si>
  <si>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</si>
  <si>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</si>
  <si>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</si>
  <si>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</si>
  <si>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</si>
  <si>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</si>
  <si>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</si>
  <si>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</si>
  <si>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</si>
  <si>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</si>
  <si>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</si>
  <si>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</si>
  <si>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</si>
  <si>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</si>
  <si>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</si>
  <si>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</si>
  <si>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</si>
  <si>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</si>
  <si>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</si>
  <si>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</si>
  <si>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</si>
  <si>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</si>
  <si>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</si>
  <si>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</si>
  <si>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</si>
  <si>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</si>
  <si>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</si>
  <si>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</si>
  <si>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</si>
  <si>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</si>
  <si>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</si>
  <si>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</si>
  <si>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</si>
  <si>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</si>
  <si>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</si>
  <si>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</si>
  <si>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</si>
  <si>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</si>
  <si>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</si>
  <si>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</si>
  <si>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</si>
  <si>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</si>
  <si>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</si>
  <si>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</si>
  <si>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</si>
  <si>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</si>
  <si>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</si>
  <si>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</si>
  <si>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</si>
  <si>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</si>
  <si>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</si>
  <si>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</si>
  <si>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</si>
  <si>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</si>
  <si>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</si>
  <si>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</si>
  <si>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</si>
  <si>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</si>
  <si>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</si>
  <si>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</si>
  <si>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</si>
  <si>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</si>
  <si>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</si>
  <si>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</si>
  <si>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</si>
  <si>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</si>
  <si>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Dyers Road_Palinurus Road_Intersection</t>
  </si>
  <si>
    <t>Dyers Road North</t>
  </si>
  <si>
    <t>Dyers Road South</t>
  </si>
  <si>
    <t>Palinurus Road West</t>
  </si>
  <si>
    <t>Thru to Dyers Road South</t>
  </si>
  <si>
    <t>Right into Palinurus Road West</t>
  </si>
  <si>
    <t>Left into Palinurus Road West</t>
  </si>
  <si>
    <t>Thru to Dyers Road North</t>
  </si>
  <si>
    <t>Left into Dyers Road North</t>
  </si>
  <si>
    <t>Right into Dyers Road South</t>
  </si>
  <si>
    <t>Dyers Road_Palinurus Road_Intersection      Fine      9/11/2023</t>
  </si>
  <si>
    <t>Dyers Road North Total</t>
  </si>
  <si>
    <t>Dyers Road South Total</t>
  </si>
  <si>
    <t>Palinurus Road West Total</t>
  </si>
  <si>
    <t>Thru to Dyers Road South Total</t>
  </si>
  <si>
    <t>Right into Palinurus Road West Total</t>
  </si>
  <si>
    <t>Left into Palinurus Road West Total</t>
  </si>
  <si>
    <t>Thru to Dyers Road North Total</t>
  </si>
  <si>
    <t>Left into Dyers Road North Total</t>
  </si>
  <si>
    <t>Right into Dyers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</si>
  <si>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</si>
  <si>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</si>
  <si>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</si>
  <si>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</si>
  <si>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</si>
  <si>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</si>
  <si>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</si>
  <si>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</si>
  <si>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</si>
  <si>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</si>
  <si>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</si>
  <si>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</si>
  <si>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</si>
  <si>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</si>
  <si>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</si>
  <si>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</si>
  <si>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</si>
  <si>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</si>
  <si>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</si>
  <si>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</si>
  <si>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</si>
  <si>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</si>
  <si>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</si>
  <si>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</si>
  <si>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</si>
  <si>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</si>
  <si>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</si>
  <si>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</si>
  <si>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</si>
  <si>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</si>
  <si>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</si>
  <si>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</si>
  <si>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</si>
  <si>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</si>
  <si>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</si>
  <si>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</si>
  <si>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</si>
  <si>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</si>
  <si>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</si>
  <si>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</si>
  <si>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</si>
  <si>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</si>
  <si>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Palinurus Rd</t>
  </si>
  <si>
    <t>Dyers Rd Northbound</t>
  </si>
  <si>
    <t>Dyers Rd Southbound</t>
  </si>
  <si>
    <t>Lights</t>
  </si>
  <si>
    <t>Classification</t>
  </si>
  <si>
    <t>Road</t>
  </si>
  <si>
    <t>Type</t>
  </si>
  <si>
    <t>Project</t>
  </si>
  <si>
    <t>Site Code</t>
  </si>
  <si>
    <t>11/09/2023</t>
  </si>
  <si>
    <t>Start Date</t>
  </si>
  <si>
    <t>CCC I4612 Dyers Rd - Palinurus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</si>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</sst>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EB4B339-F9EB-4CE2-A0B9-C70AC91DAC0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[I4612_Dyers Road_Palinurus Road_Intersection_09-11-2023.xlsx]Graphs!pvtGraphApproach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208</c:v>
                </c:pt>
                <c:pt idx="1">
                  <c:v>263</c:v>
                </c:pt>
                <c:pt idx="2">
                  <c:v>217</c:v>
                </c:pt>
                <c:pt idx="3">
                  <c:v>196</c:v>
                </c:pt>
                <c:pt idx="4">
                  <c:v>146</c:v>
                </c:pt>
                <c:pt idx="5">
                  <c:v>159</c:v>
                </c:pt>
                <c:pt idx="6">
                  <c:v>125</c:v>
                </c:pt>
                <c:pt idx="7">
                  <c:v>137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Dyers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67</c:v>
                </c:pt>
                <c:pt idx="2">
                  <c:v>54</c:v>
                </c:pt>
                <c:pt idx="3">
                  <c:v>44</c:v>
                </c:pt>
                <c:pt idx="4">
                  <c:v>47</c:v>
                </c:pt>
                <c:pt idx="5">
                  <c:v>51</c:v>
                </c:pt>
                <c:pt idx="6">
                  <c:v>55</c:v>
                </c:pt>
                <c:pt idx="7">
                  <c:v>50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Palinurus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87</c:v>
                </c:pt>
                <c:pt idx="2">
                  <c:v>75</c:v>
                </c:pt>
                <c:pt idx="3">
                  <c:v>87</c:v>
                </c:pt>
                <c:pt idx="4">
                  <c:v>74</c:v>
                </c:pt>
                <c:pt idx="5">
                  <c:v>66</c:v>
                </c:pt>
                <c:pt idx="6">
                  <c:v>71</c:v>
                </c:pt>
                <c:pt idx="7">
                  <c:v>48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[I4612_Dyers Road_Palinurus Road_Intersection_09-11-2023.xlsx]Graphs!pvtGraphExit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Dyers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116</c:v>
                </c:pt>
                <c:pt idx="1">
                  <c:v>154</c:v>
                </c:pt>
                <c:pt idx="2">
                  <c:v>129</c:v>
                </c:pt>
                <c:pt idx="3">
                  <c:v>129</c:v>
                </c:pt>
                <c:pt idx="4">
                  <c:v>120</c:v>
                </c:pt>
                <c:pt idx="5">
                  <c:v>116</c:v>
                </c:pt>
                <c:pt idx="6">
                  <c:v>124</c:v>
                </c:pt>
                <c:pt idx="7">
                  <c:v>98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86</c:v>
                </c:pt>
                <c:pt idx="1">
                  <c:v>104</c:v>
                </c:pt>
                <c:pt idx="2">
                  <c:v>87</c:v>
                </c:pt>
                <c:pt idx="3">
                  <c:v>86</c:v>
                </c:pt>
                <c:pt idx="4">
                  <c:v>77</c:v>
                </c:pt>
                <c:pt idx="5">
                  <c:v>68</c:v>
                </c:pt>
                <c:pt idx="6">
                  <c:v>47</c:v>
                </c:pt>
                <c:pt idx="7">
                  <c:v>47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Palinurus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122</c:v>
                </c:pt>
                <c:pt idx="1">
                  <c:v>159</c:v>
                </c:pt>
                <c:pt idx="2">
                  <c:v>130</c:v>
                </c:pt>
                <c:pt idx="3">
                  <c:v>112</c:v>
                </c:pt>
                <c:pt idx="4">
                  <c:v>70</c:v>
                </c:pt>
                <c:pt idx="5">
                  <c:v>92</c:v>
                </c:pt>
                <c:pt idx="6">
                  <c:v>80</c:v>
                </c:pt>
                <c:pt idx="7">
                  <c:v>90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[I4612_Dyers Road_Palinurus Road_Intersection_09-11-2023.xlsx]GraphData!PivotTable2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324</c:v>
                </c:pt>
                <c:pt idx="1">
                  <c:v>417</c:v>
                </c:pt>
                <c:pt idx="2">
                  <c:v>346</c:v>
                </c:pt>
                <c:pt idx="3">
                  <c:v>327</c:v>
                </c:pt>
                <c:pt idx="4">
                  <c:v>267</c:v>
                </c:pt>
                <c:pt idx="5">
                  <c:v>276</c:v>
                </c:pt>
                <c:pt idx="6">
                  <c:v>251</c:v>
                </c:pt>
                <c:pt idx="7">
                  <c:v>235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[I4612_Dyers Road_Palinurus Road_Intersection_09-11-2023.xlsx]PeakCalc!pvtPeak2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324</c:v>
                </c:pt>
                <c:pt idx="1">
                  <c:v>417</c:v>
                </c:pt>
                <c:pt idx="2">
                  <c:v>346</c:v>
                </c:pt>
                <c:pt idx="3">
                  <c:v>327</c:v>
                </c:pt>
                <c:pt idx="4">
                  <c:v>267</c:v>
                </c:pt>
                <c:pt idx="5">
                  <c:v>276</c:v>
                </c:pt>
                <c:pt idx="6">
                  <c:v>251</c:v>
                </c:pt>
                <c:pt idx="7">
                  <c:v>235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324</c:v>
                </c:pt>
                <c:pt idx="1">
                  <c:v>417</c:v>
                </c:pt>
                <c:pt idx="2">
                  <c:v>346</c:v>
                </c:pt>
                <c:pt idx="3">
                  <c:v>327</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331309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446617</xdr:colOff>
      <xdr:row>5</xdr:row>
      <xdr:rowOff>3175</xdr:rowOff>
    </xdr:from>
    <xdr:to>
      <xdr:col>21</xdr:col>
      <xdr:colOff>583192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733424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104774</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61201168981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26"/>
    </cacheField>
    <cacheField name="Peak" numFmtId="0">
      <sharedItems containsSemiMixedTypes="0" containsString="0" containsNumber="1" containsInteger="1" minValue="0" maxValue="42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612088773145" createdVersion="5" refreshedVersion="8" minRefreshableVersion="3" recordCount="360" xr:uid="{00000000-000A-0000-FFFF-FFFF01000000}">
  <cacheSource type="worksheet">
    <worksheetSource name="tblPivotData"/>
  </cacheSource>
  <cacheFields count="9">
    <cacheField name="Approach" numFmtId="0">
      <sharedItems count="6">
        <s v="Dyers Road North"/>
        <s v="Dyers Road South"/>
        <s v="Palinurus Road West"/>
        <s v="Great south Rd (North)" u="1"/>
        <s v="Great south Rd (South)" u="1"/>
        <s v="Grange Rd" u="1"/>
      </sharedItems>
    </cacheField>
    <cacheField name="Movement" numFmtId="0">
      <sharedItems count="14">
        <s v="Thru to Dyers Road South"/>
        <s v="Right into Palinurus Road West"/>
        <s v="Left into Palinurus Road West"/>
        <s v="Thru to Dyers Road North"/>
        <s v="Left into Dyers Road North"/>
        <s v="Right into Dyer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Dyers Road South"/>
        <s v="Palinurus Road West"/>
        <s v="Dyers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5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4"/>
    <n v="324"/>
  </r>
  <r>
    <x v="0"/>
    <x v="1"/>
    <n v="417"/>
    <n v="417"/>
  </r>
  <r>
    <x v="0"/>
    <x v="2"/>
    <n v="346"/>
    <n v="346"/>
  </r>
  <r>
    <x v="0"/>
    <x v="3"/>
    <n v="327"/>
    <n v="327"/>
  </r>
  <r>
    <x v="0"/>
    <x v="4"/>
    <n v="267"/>
    <n v="0"/>
  </r>
  <r>
    <x v="0"/>
    <x v="5"/>
    <n v="276"/>
    <n v="0"/>
  </r>
  <r>
    <x v="0"/>
    <x v="6"/>
    <n v="251"/>
    <n v="0"/>
  </r>
  <r>
    <x v="0"/>
    <x v="7"/>
    <n v="235"/>
    <n v="0"/>
  </r>
  <r>
    <x v="1"/>
    <x v="8"/>
    <n v="321"/>
    <n v="321"/>
  </r>
  <r>
    <x v="1"/>
    <x v="9"/>
    <n v="322"/>
    <n v="322"/>
  </r>
  <r>
    <x v="1"/>
    <x v="10"/>
    <n v="384"/>
    <n v="384"/>
  </r>
  <r>
    <x v="1"/>
    <x v="11"/>
    <n v="329"/>
    <n v="329"/>
  </r>
  <r>
    <x v="2"/>
    <x v="12"/>
    <n v="426"/>
    <n v="426"/>
  </r>
  <r>
    <x v="2"/>
    <x v="13"/>
    <n v="352"/>
    <n v="352"/>
  </r>
  <r>
    <x v="2"/>
    <x v="14"/>
    <n v="332"/>
    <n v="332"/>
  </r>
  <r>
    <x v="2"/>
    <x v="15"/>
    <n v="277"/>
    <n v="277"/>
  </r>
  <r>
    <x v="2"/>
    <x v="16"/>
    <n v="210"/>
    <n v="0"/>
  </r>
  <r>
    <x v="2"/>
    <x v="17"/>
    <n v="183"/>
    <n v="0"/>
  </r>
  <r>
    <x v="2"/>
    <x v="18"/>
    <n v="174"/>
    <n v="0"/>
  </r>
  <r>
    <x v="2"/>
    <x v="19"/>
    <n v="15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9"/>
    <x v="0"/>
    <x v="0"/>
  </r>
  <r>
    <x v="0"/>
    <x v="0"/>
    <x v="0"/>
    <x v="0"/>
    <x v="0"/>
    <x v="1"/>
    <n v="100"/>
    <x v="1"/>
    <x v="0"/>
  </r>
  <r>
    <x v="0"/>
    <x v="0"/>
    <x v="0"/>
    <x v="0"/>
    <x v="0"/>
    <x v="2"/>
    <n v="81"/>
    <x v="2"/>
    <x v="0"/>
  </r>
  <r>
    <x v="0"/>
    <x v="0"/>
    <x v="0"/>
    <x v="0"/>
    <x v="0"/>
    <x v="3"/>
    <n v="75"/>
    <x v="3"/>
    <x v="0"/>
  </r>
  <r>
    <x v="0"/>
    <x v="0"/>
    <x v="0"/>
    <x v="0"/>
    <x v="0"/>
    <x v="4"/>
    <n v="69"/>
    <x v="4"/>
    <x v="1"/>
  </r>
  <r>
    <x v="0"/>
    <x v="0"/>
    <x v="0"/>
    <x v="0"/>
    <x v="0"/>
    <x v="5"/>
    <n v="62"/>
    <x v="5"/>
    <x v="1"/>
  </r>
  <r>
    <x v="0"/>
    <x v="0"/>
    <x v="0"/>
    <x v="0"/>
    <x v="0"/>
    <x v="6"/>
    <n v="39"/>
    <x v="6"/>
    <x v="1"/>
  </r>
  <r>
    <x v="0"/>
    <x v="0"/>
    <x v="0"/>
    <x v="0"/>
    <x v="0"/>
    <x v="7"/>
    <n v="42"/>
    <x v="7"/>
    <x v="1"/>
  </r>
  <r>
    <x v="0"/>
    <x v="0"/>
    <x v="0"/>
    <x v="0"/>
    <x v="1"/>
    <x v="8"/>
    <n v="55"/>
    <x v="8"/>
    <x v="0"/>
  </r>
  <r>
    <x v="0"/>
    <x v="0"/>
    <x v="0"/>
    <x v="0"/>
    <x v="1"/>
    <x v="9"/>
    <n v="54"/>
    <x v="9"/>
    <x v="0"/>
  </r>
  <r>
    <x v="0"/>
    <x v="0"/>
    <x v="0"/>
    <x v="0"/>
    <x v="1"/>
    <x v="10"/>
    <n v="80"/>
    <x v="10"/>
    <x v="0"/>
  </r>
  <r>
    <x v="0"/>
    <x v="0"/>
    <x v="0"/>
    <x v="0"/>
    <x v="1"/>
    <x v="11"/>
    <n v="59"/>
    <x v="11"/>
    <x v="0"/>
  </r>
  <r>
    <x v="0"/>
    <x v="0"/>
    <x v="0"/>
    <x v="0"/>
    <x v="2"/>
    <x v="12"/>
    <n v="71"/>
    <x v="12"/>
    <x v="0"/>
  </r>
  <r>
    <x v="0"/>
    <x v="0"/>
    <x v="0"/>
    <x v="0"/>
    <x v="2"/>
    <x v="13"/>
    <n v="91"/>
    <x v="13"/>
    <x v="0"/>
  </r>
  <r>
    <x v="0"/>
    <x v="0"/>
    <x v="0"/>
    <x v="0"/>
    <x v="2"/>
    <x v="14"/>
    <n v="59"/>
    <x v="14"/>
    <x v="0"/>
  </r>
  <r>
    <x v="0"/>
    <x v="0"/>
    <x v="0"/>
    <x v="0"/>
    <x v="2"/>
    <x v="15"/>
    <n v="56"/>
    <x v="15"/>
    <x v="0"/>
  </r>
  <r>
    <x v="0"/>
    <x v="0"/>
    <x v="0"/>
    <x v="0"/>
    <x v="2"/>
    <x v="16"/>
    <n v="48"/>
    <x v="16"/>
    <x v="1"/>
  </r>
  <r>
    <x v="0"/>
    <x v="0"/>
    <x v="0"/>
    <x v="0"/>
    <x v="2"/>
    <x v="17"/>
    <n v="44"/>
    <x v="17"/>
    <x v="1"/>
  </r>
  <r>
    <x v="0"/>
    <x v="0"/>
    <x v="0"/>
    <x v="0"/>
    <x v="2"/>
    <x v="18"/>
    <n v="37"/>
    <x v="18"/>
    <x v="1"/>
  </r>
  <r>
    <x v="0"/>
    <x v="0"/>
    <x v="0"/>
    <x v="0"/>
    <x v="2"/>
    <x v="19"/>
    <n v="33"/>
    <x v="19"/>
    <x v="1"/>
  </r>
  <r>
    <x v="0"/>
    <x v="0"/>
    <x v="0"/>
    <x v="1"/>
    <x v="0"/>
    <x v="0"/>
    <n v="7"/>
    <x v="0"/>
    <x v="0"/>
  </r>
  <r>
    <x v="0"/>
    <x v="0"/>
    <x v="0"/>
    <x v="1"/>
    <x v="0"/>
    <x v="1"/>
    <n v="4"/>
    <x v="1"/>
    <x v="0"/>
  </r>
  <r>
    <x v="0"/>
    <x v="0"/>
    <x v="0"/>
    <x v="1"/>
    <x v="0"/>
    <x v="2"/>
    <n v="6"/>
    <x v="2"/>
    <x v="0"/>
  </r>
  <r>
    <x v="0"/>
    <x v="0"/>
    <x v="0"/>
    <x v="1"/>
    <x v="0"/>
    <x v="3"/>
    <n v="9"/>
    <x v="3"/>
    <x v="0"/>
  </r>
  <r>
    <x v="0"/>
    <x v="0"/>
    <x v="0"/>
    <x v="1"/>
    <x v="0"/>
    <x v="4"/>
    <n v="7"/>
    <x v="4"/>
    <x v="1"/>
  </r>
  <r>
    <x v="0"/>
    <x v="0"/>
    <x v="0"/>
    <x v="1"/>
    <x v="0"/>
    <x v="5"/>
    <n v="5"/>
    <x v="5"/>
    <x v="1"/>
  </r>
  <r>
    <x v="0"/>
    <x v="0"/>
    <x v="0"/>
    <x v="1"/>
    <x v="0"/>
    <x v="6"/>
    <n v="8"/>
    <x v="6"/>
    <x v="1"/>
  </r>
  <r>
    <x v="0"/>
    <x v="0"/>
    <x v="0"/>
    <x v="1"/>
    <x v="0"/>
    <x v="7"/>
    <n v="5"/>
    <x v="7"/>
    <x v="1"/>
  </r>
  <r>
    <x v="0"/>
    <x v="0"/>
    <x v="0"/>
    <x v="1"/>
    <x v="1"/>
    <x v="8"/>
    <n v="5"/>
    <x v="8"/>
    <x v="0"/>
  </r>
  <r>
    <x v="0"/>
    <x v="0"/>
    <x v="0"/>
    <x v="1"/>
    <x v="1"/>
    <x v="9"/>
    <n v="5"/>
    <x v="9"/>
    <x v="0"/>
  </r>
  <r>
    <x v="0"/>
    <x v="0"/>
    <x v="0"/>
    <x v="1"/>
    <x v="1"/>
    <x v="10"/>
    <n v="7"/>
    <x v="10"/>
    <x v="0"/>
  </r>
  <r>
    <x v="0"/>
    <x v="0"/>
    <x v="0"/>
    <x v="1"/>
    <x v="1"/>
    <x v="11"/>
    <n v="10"/>
    <x v="11"/>
    <x v="0"/>
  </r>
  <r>
    <x v="0"/>
    <x v="0"/>
    <x v="0"/>
    <x v="1"/>
    <x v="2"/>
    <x v="12"/>
    <n v="3"/>
    <x v="12"/>
    <x v="0"/>
  </r>
  <r>
    <x v="0"/>
    <x v="0"/>
    <x v="0"/>
    <x v="1"/>
    <x v="2"/>
    <x v="13"/>
    <n v="1"/>
    <x v="13"/>
    <x v="0"/>
  </r>
  <r>
    <x v="0"/>
    <x v="0"/>
    <x v="0"/>
    <x v="1"/>
    <x v="2"/>
    <x v="14"/>
    <n v="1"/>
    <x v="14"/>
    <x v="0"/>
  </r>
  <r>
    <x v="0"/>
    <x v="0"/>
    <x v="0"/>
    <x v="1"/>
    <x v="2"/>
    <x v="15"/>
    <n v="0"/>
    <x v="15"/>
    <x v="0"/>
  </r>
  <r>
    <x v="0"/>
    <x v="0"/>
    <x v="0"/>
    <x v="1"/>
    <x v="2"/>
    <x v="16"/>
    <n v="0"/>
    <x v="16"/>
    <x v="1"/>
  </r>
  <r>
    <x v="0"/>
    <x v="0"/>
    <x v="0"/>
    <x v="1"/>
    <x v="2"/>
    <x v="17"/>
    <n v="0"/>
    <x v="17"/>
    <x v="1"/>
  </r>
  <r>
    <x v="0"/>
    <x v="0"/>
    <x v="0"/>
    <x v="1"/>
    <x v="2"/>
    <x v="18"/>
    <n v="2"/>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0"/>
    <x v="17"/>
    <x v="1"/>
  </r>
  <r>
    <x v="0"/>
    <x v="0"/>
    <x v="0"/>
    <x v="2"/>
    <x v="2"/>
    <x v="18"/>
    <n v="0"/>
    <x v="18"/>
    <x v="1"/>
  </r>
  <r>
    <x v="0"/>
    <x v="0"/>
    <x v="0"/>
    <x v="2"/>
    <x v="2"/>
    <x v="19"/>
    <n v="0"/>
    <x v="19"/>
    <x v="1"/>
  </r>
  <r>
    <x v="0"/>
    <x v="1"/>
    <x v="1"/>
    <x v="0"/>
    <x v="0"/>
    <x v="0"/>
    <n v="114"/>
    <x v="0"/>
    <x v="0"/>
  </r>
  <r>
    <x v="0"/>
    <x v="1"/>
    <x v="1"/>
    <x v="0"/>
    <x v="0"/>
    <x v="1"/>
    <n v="149"/>
    <x v="1"/>
    <x v="0"/>
  </r>
  <r>
    <x v="0"/>
    <x v="1"/>
    <x v="1"/>
    <x v="0"/>
    <x v="0"/>
    <x v="2"/>
    <n v="120"/>
    <x v="2"/>
    <x v="0"/>
  </r>
  <r>
    <x v="0"/>
    <x v="1"/>
    <x v="1"/>
    <x v="0"/>
    <x v="0"/>
    <x v="3"/>
    <n v="106"/>
    <x v="3"/>
    <x v="0"/>
  </r>
  <r>
    <x v="0"/>
    <x v="1"/>
    <x v="1"/>
    <x v="0"/>
    <x v="0"/>
    <x v="4"/>
    <n v="63"/>
    <x v="4"/>
    <x v="1"/>
  </r>
  <r>
    <x v="0"/>
    <x v="1"/>
    <x v="1"/>
    <x v="0"/>
    <x v="0"/>
    <x v="5"/>
    <n v="80"/>
    <x v="5"/>
    <x v="1"/>
  </r>
  <r>
    <x v="0"/>
    <x v="1"/>
    <x v="1"/>
    <x v="0"/>
    <x v="0"/>
    <x v="6"/>
    <n v="60"/>
    <x v="6"/>
    <x v="1"/>
  </r>
  <r>
    <x v="0"/>
    <x v="1"/>
    <x v="1"/>
    <x v="0"/>
    <x v="0"/>
    <x v="7"/>
    <n v="76"/>
    <x v="7"/>
    <x v="1"/>
  </r>
  <r>
    <x v="0"/>
    <x v="1"/>
    <x v="1"/>
    <x v="0"/>
    <x v="1"/>
    <x v="8"/>
    <n v="54"/>
    <x v="8"/>
    <x v="0"/>
  </r>
  <r>
    <x v="0"/>
    <x v="1"/>
    <x v="1"/>
    <x v="0"/>
    <x v="1"/>
    <x v="9"/>
    <n v="69"/>
    <x v="9"/>
    <x v="0"/>
  </r>
  <r>
    <x v="0"/>
    <x v="1"/>
    <x v="1"/>
    <x v="0"/>
    <x v="1"/>
    <x v="10"/>
    <n v="81"/>
    <x v="10"/>
    <x v="0"/>
  </r>
  <r>
    <x v="0"/>
    <x v="1"/>
    <x v="1"/>
    <x v="0"/>
    <x v="1"/>
    <x v="11"/>
    <n v="73"/>
    <x v="11"/>
    <x v="0"/>
  </r>
  <r>
    <x v="0"/>
    <x v="1"/>
    <x v="1"/>
    <x v="0"/>
    <x v="2"/>
    <x v="12"/>
    <n v="74"/>
    <x v="12"/>
    <x v="0"/>
  </r>
  <r>
    <x v="0"/>
    <x v="1"/>
    <x v="1"/>
    <x v="0"/>
    <x v="2"/>
    <x v="13"/>
    <n v="43"/>
    <x v="13"/>
    <x v="0"/>
  </r>
  <r>
    <x v="0"/>
    <x v="1"/>
    <x v="1"/>
    <x v="0"/>
    <x v="2"/>
    <x v="14"/>
    <n v="65"/>
    <x v="14"/>
    <x v="0"/>
  </r>
  <r>
    <x v="0"/>
    <x v="1"/>
    <x v="1"/>
    <x v="0"/>
    <x v="2"/>
    <x v="15"/>
    <n v="52"/>
    <x v="15"/>
    <x v="0"/>
  </r>
  <r>
    <x v="0"/>
    <x v="1"/>
    <x v="1"/>
    <x v="0"/>
    <x v="2"/>
    <x v="16"/>
    <n v="50"/>
    <x v="16"/>
    <x v="1"/>
  </r>
  <r>
    <x v="0"/>
    <x v="1"/>
    <x v="1"/>
    <x v="0"/>
    <x v="2"/>
    <x v="17"/>
    <n v="34"/>
    <x v="17"/>
    <x v="1"/>
  </r>
  <r>
    <x v="0"/>
    <x v="1"/>
    <x v="1"/>
    <x v="0"/>
    <x v="2"/>
    <x v="18"/>
    <n v="41"/>
    <x v="18"/>
    <x v="1"/>
  </r>
  <r>
    <x v="0"/>
    <x v="1"/>
    <x v="1"/>
    <x v="0"/>
    <x v="2"/>
    <x v="19"/>
    <n v="36"/>
    <x v="19"/>
    <x v="1"/>
  </r>
  <r>
    <x v="0"/>
    <x v="1"/>
    <x v="1"/>
    <x v="1"/>
    <x v="0"/>
    <x v="0"/>
    <n v="8"/>
    <x v="0"/>
    <x v="0"/>
  </r>
  <r>
    <x v="0"/>
    <x v="1"/>
    <x v="1"/>
    <x v="1"/>
    <x v="0"/>
    <x v="1"/>
    <n v="10"/>
    <x v="1"/>
    <x v="0"/>
  </r>
  <r>
    <x v="0"/>
    <x v="1"/>
    <x v="1"/>
    <x v="1"/>
    <x v="0"/>
    <x v="2"/>
    <n v="9"/>
    <x v="2"/>
    <x v="0"/>
  </r>
  <r>
    <x v="0"/>
    <x v="1"/>
    <x v="1"/>
    <x v="1"/>
    <x v="0"/>
    <x v="3"/>
    <n v="6"/>
    <x v="3"/>
    <x v="0"/>
  </r>
  <r>
    <x v="0"/>
    <x v="1"/>
    <x v="1"/>
    <x v="1"/>
    <x v="0"/>
    <x v="4"/>
    <n v="7"/>
    <x v="4"/>
    <x v="1"/>
  </r>
  <r>
    <x v="0"/>
    <x v="1"/>
    <x v="1"/>
    <x v="1"/>
    <x v="0"/>
    <x v="5"/>
    <n v="12"/>
    <x v="5"/>
    <x v="1"/>
  </r>
  <r>
    <x v="0"/>
    <x v="1"/>
    <x v="1"/>
    <x v="1"/>
    <x v="0"/>
    <x v="6"/>
    <n v="18"/>
    <x v="6"/>
    <x v="1"/>
  </r>
  <r>
    <x v="0"/>
    <x v="1"/>
    <x v="1"/>
    <x v="1"/>
    <x v="0"/>
    <x v="7"/>
    <n v="14"/>
    <x v="7"/>
    <x v="1"/>
  </r>
  <r>
    <x v="0"/>
    <x v="1"/>
    <x v="1"/>
    <x v="1"/>
    <x v="1"/>
    <x v="8"/>
    <n v="17"/>
    <x v="8"/>
    <x v="0"/>
  </r>
  <r>
    <x v="0"/>
    <x v="1"/>
    <x v="1"/>
    <x v="1"/>
    <x v="1"/>
    <x v="9"/>
    <n v="13"/>
    <x v="9"/>
    <x v="0"/>
  </r>
  <r>
    <x v="0"/>
    <x v="1"/>
    <x v="1"/>
    <x v="1"/>
    <x v="1"/>
    <x v="10"/>
    <n v="10"/>
    <x v="10"/>
    <x v="0"/>
  </r>
  <r>
    <x v="0"/>
    <x v="1"/>
    <x v="1"/>
    <x v="1"/>
    <x v="1"/>
    <x v="11"/>
    <n v="18"/>
    <x v="11"/>
    <x v="0"/>
  </r>
  <r>
    <x v="0"/>
    <x v="1"/>
    <x v="1"/>
    <x v="1"/>
    <x v="2"/>
    <x v="12"/>
    <n v="1"/>
    <x v="12"/>
    <x v="0"/>
  </r>
  <r>
    <x v="0"/>
    <x v="1"/>
    <x v="1"/>
    <x v="1"/>
    <x v="2"/>
    <x v="13"/>
    <n v="3"/>
    <x v="13"/>
    <x v="0"/>
  </r>
  <r>
    <x v="0"/>
    <x v="1"/>
    <x v="1"/>
    <x v="1"/>
    <x v="2"/>
    <x v="14"/>
    <n v="7"/>
    <x v="14"/>
    <x v="0"/>
  </r>
  <r>
    <x v="0"/>
    <x v="1"/>
    <x v="1"/>
    <x v="1"/>
    <x v="2"/>
    <x v="15"/>
    <n v="3"/>
    <x v="15"/>
    <x v="0"/>
  </r>
  <r>
    <x v="0"/>
    <x v="1"/>
    <x v="1"/>
    <x v="1"/>
    <x v="2"/>
    <x v="16"/>
    <n v="1"/>
    <x v="16"/>
    <x v="1"/>
  </r>
  <r>
    <x v="0"/>
    <x v="1"/>
    <x v="1"/>
    <x v="1"/>
    <x v="2"/>
    <x v="17"/>
    <n v="2"/>
    <x v="17"/>
    <x v="1"/>
  </r>
  <r>
    <x v="0"/>
    <x v="1"/>
    <x v="1"/>
    <x v="1"/>
    <x v="2"/>
    <x v="18"/>
    <n v="1"/>
    <x v="18"/>
    <x v="1"/>
  </r>
  <r>
    <x v="0"/>
    <x v="1"/>
    <x v="1"/>
    <x v="1"/>
    <x v="2"/>
    <x v="19"/>
    <n v="1"/>
    <x v="19"/>
    <x v="1"/>
  </r>
  <r>
    <x v="0"/>
    <x v="1"/>
    <x v="1"/>
    <x v="2"/>
    <x v="0"/>
    <x v="0"/>
    <n v="0"/>
    <x v="0"/>
    <x v="0"/>
  </r>
  <r>
    <x v="0"/>
    <x v="1"/>
    <x v="1"/>
    <x v="2"/>
    <x v="0"/>
    <x v="1"/>
    <n v="0"/>
    <x v="1"/>
    <x v="0"/>
  </r>
  <r>
    <x v="0"/>
    <x v="1"/>
    <x v="1"/>
    <x v="2"/>
    <x v="0"/>
    <x v="2"/>
    <n v="1"/>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1"/>
    <x v="12"/>
    <x v="0"/>
  </r>
  <r>
    <x v="0"/>
    <x v="1"/>
    <x v="1"/>
    <x v="2"/>
    <x v="2"/>
    <x v="13"/>
    <n v="1"/>
    <x v="13"/>
    <x v="0"/>
  </r>
  <r>
    <x v="0"/>
    <x v="1"/>
    <x v="1"/>
    <x v="2"/>
    <x v="2"/>
    <x v="14"/>
    <n v="0"/>
    <x v="14"/>
    <x v="0"/>
  </r>
  <r>
    <x v="0"/>
    <x v="1"/>
    <x v="1"/>
    <x v="2"/>
    <x v="2"/>
    <x v="15"/>
    <n v="0"/>
    <x v="15"/>
    <x v="0"/>
  </r>
  <r>
    <x v="0"/>
    <x v="1"/>
    <x v="1"/>
    <x v="2"/>
    <x v="2"/>
    <x v="16"/>
    <n v="0"/>
    <x v="16"/>
    <x v="1"/>
  </r>
  <r>
    <x v="0"/>
    <x v="1"/>
    <x v="1"/>
    <x v="2"/>
    <x v="2"/>
    <x v="17"/>
    <n v="0"/>
    <x v="17"/>
    <x v="1"/>
  </r>
  <r>
    <x v="0"/>
    <x v="1"/>
    <x v="1"/>
    <x v="2"/>
    <x v="2"/>
    <x v="18"/>
    <n v="0"/>
    <x v="18"/>
    <x v="1"/>
  </r>
  <r>
    <x v="0"/>
    <x v="1"/>
    <x v="1"/>
    <x v="2"/>
    <x v="2"/>
    <x v="19"/>
    <n v="0"/>
    <x v="19"/>
    <x v="1"/>
  </r>
  <r>
    <x v="1"/>
    <x v="2"/>
    <x v="1"/>
    <x v="0"/>
    <x v="0"/>
    <x v="0"/>
    <n v="0"/>
    <x v="0"/>
    <x v="0"/>
  </r>
  <r>
    <x v="1"/>
    <x v="2"/>
    <x v="1"/>
    <x v="0"/>
    <x v="0"/>
    <x v="1"/>
    <n v="0"/>
    <x v="1"/>
    <x v="0"/>
  </r>
  <r>
    <x v="1"/>
    <x v="2"/>
    <x v="1"/>
    <x v="0"/>
    <x v="0"/>
    <x v="2"/>
    <n v="0"/>
    <x v="2"/>
    <x v="0"/>
  </r>
  <r>
    <x v="1"/>
    <x v="2"/>
    <x v="1"/>
    <x v="0"/>
    <x v="0"/>
    <x v="3"/>
    <n v="0"/>
    <x v="3"/>
    <x v="0"/>
  </r>
  <r>
    <x v="1"/>
    <x v="2"/>
    <x v="1"/>
    <x v="0"/>
    <x v="0"/>
    <x v="4"/>
    <n v="0"/>
    <x v="4"/>
    <x v="1"/>
  </r>
  <r>
    <x v="1"/>
    <x v="2"/>
    <x v="1"/>
    <x v="0"/>
    <x v="0"/>
    <x v="5"/>
    <n v="0"/>
    <x v="5"/>
    <x v="1"/>
  </r>
  <r>
    <x v="1"/>
    <x v="2"/>
    <x v="1"/>
    <x v="0"/>
    <x v="0"/>
    <x v="6"/>
    <n v="2"/>
    <x v="6"/>
    <x v="1"/>
  </r>
  <r>
    <x v="1"/>
    <x v="2"/>
    <x v="1"/>
    <x v="0"/>
    <x v="0"/>
    <x v="7"/>
    <n v="0"/>
    <x v="7"/>
    <x v="1"/>
  </r>
  <r>
    <x v="1"/>
    <x v="2"/>
    <x v="1"/>
    <x v="0"/>
    <x v="1"/>
    <x v="8"/>
    <n v="1"/>
    <x v="8"/>
    <x v="0"/>
  </r>
  <r>
    <x v="1"/>
    <x v="2"/>
    <x v="1"/>
    <x v="0"/>
    <x v="1"/>
    <x v="9"/>
    <n v="0"/>
    <x v="9"/>
    <x v="0"/>
  </r>
  <r>
    <x v="1"/>
    <x v="2"/>
    <x v="1"/>
    <x v="0"/>
    <x v="1"/>
    <x v="10"/>
    <n v="1"/>
    <x v="10"/>
    <x v="0"/>
  </r>
  <r>
    <x v="1"/>
    <x v="2"/>
    <x v="1"/>
    <x v="0"/>
    <x v="1"/>
    <x v="11"/>
    <n v="3"/>
    <x v="11"/>
    <x v="0"/>
  </r>
  <r>
    <x v="1"/>
    <x v="2"/>
    <x v="1"/>
    <x v="0"/>
    <x v="2"/>
    <x v="12"/>
    <n v="0"/>
    <x v="12"/>
    <x v="0"/>
  </r>
  <r>
    <x v="1"/>
    <x v="2"/>
    <x v="1"/>
    <x v="0"/>
    <x v="2"/>
    <x v="13"/>
    <n v="0"/>
    <x v="13"/>
    <x v="0"/>
  </r>
  <r>
    <x v="1"/>
    <x v="2"/>
    <x v="1"/>
    <x v="0"/>
    <x v="2"/>
    <x v="14"/>
    <n v="0"/>
    <x v="14"/>
    <x v="0"/>
  </r>
  <r>
    <x v="1"/>
    <x v="2"/>
    <x v="1"/>
    <x v="0"/>
    <x v="2"/>
    <x v="15"/>
    <n v="0"/>
    <x v="15"/>
    <x v="0"/>
  </r>
  <r>
    <x v="1"/>
    <x v="2"/>
    <x v="1"/>
    <x v="0"/>
    <x v="2"/>
    <x v="16"/>
    <n v="0"/>
    <x v="16"/>
    <x v="1"/>
  </r>
  <r>
    <x v="1"/>
    <x v="2"/>
    <x v="1"/>
    <x v="0"/>
    <x v="2"/>
    <x v="17"/>
    <n v="0"/>
    <x v="17"/>
    <x v="1"/>
  </r>
  <r>
    <x v="1"/>
    <x v="2"/>
    <x v="1"/>
    <x v="0"/>
    <x v="2"/>
    <x v="18"/>
    <n v="0"/>
    <x v="18"/>
    <x v="1"/>
  </r>
  <r>
    <x v="1"/>
    <x v="2"/>
    <x v="1"/>
    <x v="0"/>
    <x v="2"/>
    <x v="19"/>
    <n v="0"/>
    <x v="19"/>
    <x v="1"/>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0"/>
    <x v="7"/>
    <x v="1"/>
  </r>
  <r>
    <x v="1"/>
    <x v="2"/>
    <x v="1"/>
    <x v="1"/>
    <x v="1"/>
    <x v="8"/>
    <n v="0"/>
    <x v="8"/>
    <x v="0"/>
  </r>
  <r>
    <x v="1"/>
    <x v="2"/>
    <x v="1"/>
    <x v="1"/>
    <x v="1"/>
    <x v="9"/>
    <n v="0"/>
    <x v="9"/>
    <x v="0"/>
  </r>
  <r>
    <x v="1"/>
    <x v="2"/>
    <x v="1"/>
    <x v="1"/>
    <x v="1"/>
    <x v="10"/>
    <n v="1"/>
    <x v="10"/>
    <x v="0"/>
  </r>
  <r>
    <x v="1"/>
    <x v="2"/>
    <x v="1"/>
    <x v="1"/>
    <x v="1"/>
    <x v="11"/>
    <n v="0"/>
    <x v="11"/>
    <x v="0"/>
  </r>
  <r>
    <x v="1"/>
    <x v="2"/>
    <x v="1"/>
    <x v="1"/>
    <x v="2"/>
    <x v="12"/>
    <n v="0"/>
    <x v="12"/>
    <x v="0"/>
  </r>
  <r>
    <x v="1"/>
    <x v="2"/>
    <x v="1"/>
    <x v="1"/>
    <x v="2"/>
    <x v="13"/>
    <n v="0"/>
    <x v="13"/>
    <x v="0"/>
  </r>
  <r>
    <x v="1"/>
    <x v="2"/>
    <x v="1"/>
    <x v="1"/>
    <x v="2"/>
    <x v="14"/>
    <n v="0"/>
    <x v="14"/>
    <x v="0"/>
  </r>
  <r>
    <x v="1"/>
    <x v="2"/>
    <x v="1"/>
    <x v="1"/>
    <x v="2"/>
    <x v="15"/>
    <n v="0"/>
    <x v="15"/>
    <x v="0"/>
  </r>
  <r>
    <x v="1"/>
    <x v="2"/>
    <x v="1"/>
    <x v="1"/>
    <x v="2"/>
    <x v="16"/>
    <n v="0"/>
    <x v="16"/>
    <x v="1"/>
  </r>
  <r>
    <x v="1"/>
    <x v="2"/>
    <x v="1"/>
    <x v="1"/>
    <x v="2"/>
    <x v="17"/>
    <n v="0"/>
    <x v="17"/>
    <x v="1"/>
  </r>
  <r>
    <x v="1"/>
    <x v="2"/>
    <x v="1"/>
    <x v="1"/>
    <x v="2"/>
    <x v="18"/>
    <n v="0"/>
    <x v="18"/>
    <x v="1"/>
  </r>
  <r>
    <x v="1"/>
    <x v="2"/>
    <x v="1"/>
    <x v="1"/>
    <x v="2"/>
    <x v="19"/>
    <n v="0"/>
    <x v="19"/>
    <x v="1"/>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0"/>
  </r>
  <r>
    <x v="1"/>
    <x v="2"/>
    <x v="1"/>
    <x v="2"/>
    <x v="1"/>
    <x v="9"/>
    <n v="0"/>
    <x v="9"/>
    <x v="0"/>
  </r>
  <r>
    <x v="1"/>
    <x v="2"/>
    <x v="1"/>
    <x v="2"/>
    <x v="1"/>
    <x v="10"/>
    <n v="0"/>
    <x v="10"/>
    <x v="0"/>
  </r>
  <r>
    <x v="1"/>
    <x v="2"/>
    <x v="1"/>
    <x v="2"/>
    <x v="1"/>
    <x v="11"/>
    <n v="0"/>
    <x v="11"/>
    <x v="0"/>
  </r>
  <r>
    <x v="1"/>
    <x v="2"/>
    <x v="1"/>
    <x v="2"/>
    <x v="2"/>
    <x v="12"/>
    <n v="0"/>
    <x v="12"/>
    <x v="0"/>
  </r>
  <r>
    <x v="1"/>
    <x v="2"/>
    <x v="1"/>
    <x v="2"/>
    <x v="2"/>
    <x v="13"/>
    <n v="0"/>
    <x v="13"/>
    <x v="0"/>
  </r>
  <r>
    <x v="1"/>
    <x v="2"/>
    <x v="1"/>
    <x v="2"/>
    <x v="2"/>
    <x v="14"/>
    <n v="0"/>
    <x v="14"/>
    <x v="0"/>
  </r>
  <r>
    <x v="1"/>
    <x v="2"/>
    <x v="1"/>
    <x v="2"/>
    <x v="2"/>
    <x v="15"/>
    <n v="0"/>
    <x v="15"/>
    <x v="0"/>
  </r>
  <r>
    <x v="1"/>
    <x v="2"/>
    <x v="1"/>
    <x v="2"/>
    <x v="2"/>
    <x v="16"/>
    <n v="0"/>
    <x v="16"/>
    <x v="1"/>
  </r>
  <r>
    <x v="1"/>
    <x v="2"/>
    <x v="1"/>
    <x v="2"/>
    <x v="2"/>
    <x v="17"/>
    <n v="0"/>
    <x v="17"/>
    <x v="1"/>
  </r>
  <r>
    <x v="1"/>
    <x v="2"/>
    <x v="1"/>
    <x v="2"/>
    <x v="2"/>
    <x v="18"/>
    <n v="0"/>
    <x v="18"/>
    <x v="1"/>
  </r>
  <r>
    <x v="1"/>
    <x v="2"/>
    <x v="1"/>
    <x v="2"/>
    <x v="2"/>
    <x v="19"/>
    <n v="0"/>
    <x v="19"/>
    <x v="1"/>
  </r>
  <r>
    <x v="1"/>
    <x v="3"/>
    <x v="2"/>
    <x v="0"/>
    <x v="0"/>
    <x v="0"/>
    <n v="48"/>
    <x v="0"/>
    <x v="0"/>
  </r>
  <r>
    <x v="1"/>
    <x v="3"/>
    <x v="2"/>
    <x v="0"/>
    <x v="0"/>
    <x v="1"/>
    <n v="61"/>
    <x v="1"/>
    <x v="0"/>
  </r>
  <r>
    <x v="1"/>
    <x v="3"/>
    <x v="2"/>
    <x v="0"/>
    <x v="0"/>
    <x v="2"/>
    <n v="49"/>
    <x v="2"/>
    <x v="0"/>
  </r>
  <r>
    <x v="1"/>
    <x v="3"/>
    <x v="2"/>
    <x v="0"/>
    <x v="0"/>
    <x v="3"/>
    <n v="38"/>
    <x v="3"/>
    <x v="0"/>
  </r>
  <r>
    <x v="1"/>
    <x v="3"/>
    <x v="2"/>
    <x v="0"/>
    <x v="0"/>
    <x v="4"/>
    <n v="40"/>
    <x v="4"/>
    <x v="1"/>
  </r>
  <r>
    <x v="1"/>
    <x v="3"/>
    <x v="2"/>
    <x v="0"/>
    <x v="0"/>
    <x v="5"/>
    <n v="44"/>
    <x v="5"/>
    <x v="1"/>
  </r>
  <r>
    <x v="1"/>
    <x v="3"/>
    <x v="2"/>
    <x v="0"/>
    <x v="0"/>
    <x v="6"/>
    <n v="44"/>
    <x v="6"/>
    <x v="1"/>
  </r>
  <r>
    <x v="1"/>
    <x v="3"/>
    <x v="2"/>
    <x v="0"/>
    <x v="0"/>
    <x v="7"/>
    <n v="42"/>
    <x v="7"/>
    <x v="1"/>
  </r>
  <r>
    <x v="1"/>
    <x v="3"/>
    <x v="2"/>
    <x v="0"/>
    <x v="1"/>
    <x v="8"/>
    <n v="81"/>
    <x v="8"/>
    <x v="0"/>
  </r>
  <r>
    <x v="1"/>
    <x v="3"/>
    <x v="2"/>
    <x v="0"/>
    <x v="1"/>
    <x v="9"/>
    <n v="79"/>
    <x v="9"/>
    <x v="0"/>
  </r>
  <r>
    <x v="1"/>
    <x v="3"/>
    <x v="2"/>
    <x v="0"/>
    <x v="1"/>
    <x v="10"/>
    <n v="87"/>
    <x v="10"/>
    <x v="0"/>
  </r>
  <r>
    <x v="1"/>
    <x v="3"/>
    <x v="2"/>
    <x v="0"/>
    <x v="1"/>
    <x v="11"/>
    <n v="66"/>
    <x v="11"/>
    <x v="0"/>
  </r>
  <r>
    <x v="1"/>
    <x v="3"/>
    <x v="2"/>
    <x v="0"/>
    <x v="2"/>
    <x v="12"/>
    <n v="117"/>
    <x v="12"/>
    <x v="0"/>
  </r>
  <r>
    <x v="1"/>
    <x v="3"/>
    <x v="2"/>
    <x v="0"/>
    <x v="2"/>
    <x v="13"/>
    <n v="78"/>
    <x v="13"/>
    <x v="0"/>
  </r>
  <r>
    <x v="1"/>
    <x v="3"/>
    <x v="2"/>
    <x v="0"/>
    <x v="2"/>
    <x v="14"/>
    <n v="83"/>
    <x v="14"/>
    <x v="0"/>
  </r>
  <r>
    <x v="1"/>
    <x v="3"/>
    <x v="2"/>
    <x v="0"/>
    <x v="2"/>
    <x v="15"/>
    <n v="74"/>
    <x v="15"/>
    <x v="0"/>
  </r>
  <r>
    <x v="1"/>
    <x v="3"/>
    <x v="2"/>
    <x v="0"/>
    <x v="2"/>
    <x v="16"/>
    <n v="48"/>
    <x v="16"/>
    <x v="1"/>
  </r>
  <r>
    <x v="1"/>
    <x v="3"/>
    <x v="2"/>
    <x v="0"/>
    <x v="2"/>
    <x v="17"/>
    <n v="44"/>
    <x v="17"/>
    <x v="1"/>
  </r>
  <r>
    <x v="1"/>
    <x v="3"/>
    <x v="2"/>
    <x v="0"/>
    <x v="2"/>
    <x v="18"/>
    <n v="33"/>
    <x v="18"/>
    <x v="1"/>
  </r>
  <r>
    <x v="1"/>
    <x v="3"/>
    <x v="2"/>
    <x v="0"/>
    <x v="2"/>
    <x v="19"/>
    <n v="31"/>
    <x v="19"/>
    <x v="1"/>
  </r>
  <r>
    <x v="1"/>
    <x v="3"/>
    <x v="2"/>
    <x v="1"/>
    <x v="0"/>
    <x v="0"/>
    <n v="16"/>
    <x v="0"/>
    <x v="0"/>
  </r>
  <r>
    <x v="1"/>
    <x v="3"/>
    <x v="2"/>
    <x v="1"/>
    <x v="0"/>
    <x v="1"/>
    <n v="6"/>
    <x v="1"/>
    <x v="0"/>
  </r>
  <r>
    <x v="1"/>
    <x v="3"/>
    <x v="2"/>
    <x v="1"/>
    <x v="0"/>
    <x v="2"/>
    <n v="5"/>
    <x v="2"/>
    <x v="0"/>
  </r>
  <r>
    <x v="1"/>
    <x v="3"/>
    <x v="2"/>
    <x v="1"/>
    <x v="0"/>
    <x v="3"/>
    <n v="6"/>
    <x v="3"/>
    <x v="0"/>
  </r>
  <r>
    <x v="1"/>
    <x v="3"/>
    <x v="2"/>
    <x v="1"/>
    <x v="0"/>
    <x v="4"/>
    <n v="7"/>
    <x v="4"/>
    <x v="1"/>
  </r>
  <r>
    <x v="1"/>
    <x v="3"/>
    <x v="2"/>
    <x v="1"/>
    <x v="0"/>
    <x v="5"/>
    <n v="7"/>
    <x v="5"/>
    <x v="1"/>
  </r>
  <r>
    <x v="1"/>
    <x v="3"/>
    <x v="2"/>
    <x v="1"/>
    <x v="0"/>
    <x v="6"/>
    <n v="9"/>
    <x v="6"/>
    <x v="1"/>
  </r>
  <r>
    <x v="1"/>
    <x v="3"/>
    <x v="2"/>
    <x v="1"/>
    <x v="0"/>
    <x v="7"/>
    <n v="8"/>
    <x v="7"/>
    <x v="1"/>
  </r>
  <r>
    <x v="1"/>
    <x v="3"/>
    <x v="2"/>
    <x v="1"/>
    <x v="1"/>
    <x v="8"/>
    <n v="8"/>
    <x v="8"/>
    <x v="0"/>
  </r>
  <r>
    <x v="1"/>
    <x v="3"/>
    <x v="2"/>
    <x v="1"/>
    <x v="1"/>
    <x v="9"/>
    <n v="6"/>
    <x v="9"/>
    <x v="0"/>
  </r>
  <r>
    <x v="1"/>
    <x v="3"/>
    <x v="2"/>
    <x v="1"/>
    <x v="1"/>
    <x v="10"/>
    <n v="7"/>
    <x v="10"/>
    <x v="0"/>
  </r>
  <r>
    <x v="1"/>
    <x v="3"/>
    <x v="2"/>
    <x v="1"/>
    <x v="1"/>
    <x v="11"/>
    <n v="4"/>
    <x v="11"/>
    <x v="0"/>
  </r>
  <r>
    <x v="1"/>
    <x v="3"/>
    <x v="2"/>
    <x v="1"/>
    <x v="2"/>
    <x v="12"/>
    <n v="3"/>
    <x v="12"/>
    <x v="0"/>
  </r>
  <r>
    <x v="1"/>
    <x v="3"/>
    <x v="2"/>
    <x v="1"/>
    <x v="2"/>
    <x v="13"/>
    <n v="7"/>
    <x v="13"/>
    <x v="0"/>
  </r>
  <r>
    <x v="1"/>
    <x v="3"/>
    <x v="2"/>
    <x v="1"/>
    <x v="2"/>
    <x v="14"/>
    <n v="1"/>
    <x v="14"/>
    <x v="0"/>
  </r>
  <r>
    <x v="1"/>
    <x v="3"/>
    <x v="2"/>
    <x v="1"/>
    <x v="2"/>
    <x v="15"/>
    <n v="1"/>
    <x v="15"/>
    <x v="0"/>
  </r>
  <r>
    <x v="1"/>
    <x v="3"/>
    <x v="2"/>
    <x v="1"/>
    <x v="2"/>
    <x v="16"/>
    <n v="2"/>
    <x v="16"/>
    <x v="1"/>
  </r>
  <r>
    <x v="1"/>
    <x v="3"/>
    <x v="2"/>
    <x v="1"/>
    <x v="2"/>
    <x v="17"/>
    <n v="2"/>
    <x v="17"/>
    <x v="1"/>
  </r>
  <r>
    <x v="1"/>
    <x v="3"/>
    <x v="2"/>
    <x v="1"/>
    <x v="2"/>
    <x v="18"/>
    <n v="0"/>
    <x v="18"/>
    <x v="1"/>
  </r>
  <r>
    <x v="1"/>
    <x v="3"/>
    <x v="2"/>
    <x v="1"/>
    <x v="2"/>
    <x v="19"/>
    <n v="0"/>
    <x v="19"/>
    <x v="1"/>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0"/>
  </r>
  <r>
    <x v="1"/>
    <x v="3"/>
    <x v="2"/>
    <x v="2"/>
    <x v="1"/>
    <x v="9"/>
    <n v="0"/>
    <x v="9"/>
    <x v="0"/>
  </r>
  <r>
    <x v="1"/>
    <x v="3"/>
    <x v="2"/>
    <x v="2"/>
    <x v="1"/>
    <x v="10"/>
    <n v="1"/>
    <x v="10"/>
    <x v="0"/>
  </r>
  <r>
    <x v="1"/>
    <x v="3"/>
    <x v="2"/>
    <x v="2"/>
    <x v="1"/>
    <x v="11"/>
    <n v="0"/>
    <x v="11"/>
    <x v="0"/>
  </r>
  <r>
    <x v="1"/>
    <x v="3"/>
    <x v="2"/>
    <x v="2"/>
    <x v="2"/>
    <x v="12"/>
    <n v="0"/>
    <x v="12"/>
    <x v="0"/>
  </r>
  <r>
    <x v="1"/>
    <x v="3"/>
    <x v="2"/>
    <x v="2"/>
    <x v="2"/>
    <x v="13"/>
    <n v="0"/>
    <x v="13"/>
    <x v="0"/>
  </r>
  <r>
    <x v="1"/>
    <x v="3"/>
    <x v="2"/>
    <x v="2"/>
    <x v="2"/>
    <x v="14"/>
    <n v="0"/>
    <x v="14"/>
    <x v="0"/>
  </r>
  <r>
    <x v="1"/>
    <x v="3"/>
    <x v="2"/>
    <x v="2"/>
    <x v="2"/>
    <x v="15"/>
    <n v="0"/>
    <x v="15"/>
    <x v="0"/>
  </r>
  <r>
    <x v="1"/>
    <x v="3"/>
    <x v="2"/>
    <x v="2"/>
    <x v="2"/>
    <x v="16"/>
    <n v="0"/>
    <x v="16"/>
    <x v="1"/>
  </r>
  <r>
    <x v="1"/>
    <x v="3"/>
    <x v="2"/>
    <x v="2"/>
    <x v="2"/>
    <x v="17"/>
    <n v="0"/>
    <x v="17"/>
    <x v="1"/>
  </r>
  <r>
    <x v="1"/>
    <x v="3"/>
    <x v="2"/>
    <x v="2"/>
    <x v="2"/>
    <x v="18"/>
    <n v="0"/>
    <x v="18"/>
    <x v="1"/>
  </r>
  <r>
    <x v="1"/>
    <x v="3"/>
    <x v="2"/>
    <x v="2"/>
    <x v="2"/>
    <x v="19"/>
    <n v="0"/>
    <x v="19"/>
    <x v="1"/>
  </r>
  <r>
    <x v="2"/>
    <x v="4"/>
    <x v="2"/>
    <x v="0"/>
    <x v="0"/>
    <x v="0"/>
    <n v="43"/>
    <x v="0"/>
    <x v="0"/>
  </r>
  <r>
    <x v="2"/>
    <x v="4"/>
    <x v="2"/>
    <x v="0"/>
    <x v="0"/>
    <x v="1"/>
    <n v="81"/>
    <x v="1"/>
    <x v="0"/>
  </r>
  <r>
    <x v="2"/>
    <x v="4"/>
    <x v="2"/>
    <x v="0"/>
    <x v="0"/>
    <x v="2"/>
    <n v="69"/>
    <x v="2"/>
    <x v="0"/>
  </r>
  <r>
    <x v="2"/>
    <x v="4"/>
    <x v="2"/>
    <x v="0"/>
    <x v="0"/>
    <x v="3"/>
    <n v="75"/>
    <x v="3"/>
    <x v="0"/>
  </r>
  <r>
    <x v="2"/>
    <x v="4"/>
    <x v="2"/>
    <x v="0"/>
    <x v="0"/>
    <x v="4"/>
    <n v="64"/>
    <x v="4"/>
    <x v="1"/>
  </r>
  <r>
    <x v="2"/>
    <x v="4"/>
    <x v="2"/>
    <x v="0"/>
    <x v="0"/>
    <x v="5"/>
    <n v="56"/>
    <x v="5"/>
    <x v="1"/>
  </r>
  <r>
    <x v="2"/>
    <x v="4"/>
    <x v="2"/>
    <x v="0"/>
    <x v="0"/>
    <x v="6"/>
    <n v="61"/>
    <x v="6"/>
    <x v="1"/>
  </r>
  <r>
    <x v="2"/>
    <x v="4"/>
    <x v="2"/>
    <x v="0"/>
    <x v="0"/>
    <x v="7"/>
    <n v="42"/>
    <x v="7"/>
    <x v="1"/>
  </r>
  <r>
    <x v="2"/>
    <x v="4"/>
    <x v="2"/>
    <x v="0"/>
    <x v="1"/>
    <x v="8"/>
    <n v="86"/>
    <x v="8"/>
    <x v="0"/>
  </r>
  <r>
    <x v="2"/>
    <x v="4"/>
    <x v="2"/>
    <x v="0"/>
    <x v="1"/>
    <x v="9"/>
    <n v="88"/>
    <x v="9"/>
    <x v="0"/>
  </r>
  <r>
    <x v="2"/>
    <x v="4"/>
    <x v="2"/>
    <x v="0"/>
    <x v="1"/>
    <x v="10"/>
    <n v="96"/>
    <x v="10"/>
    <x v="0"/>
  </r>
  <r>
    <x v="2"/>
    <x v="4"/>
    <x v="2"/>
    <x v="0"/>
    <x v="1"/>
    <x v="11"/>
    <n v="86"/>
    <x v="11"/>
    <x v="0"/>
  </r>
  <r>
    <x v="2"/>
    <x v="4"/>
    <x v="2"/>
    <x v="0"/>
    <x v="2"/>
    <x v="12"/>
    <n v="155"/>
    <x v="12"/>
    <x v="0"/>
  </r>
  <r>
    <x v="2"/>
    <x v="4"/>
    <x v="2"/>
    <x v="0"/>
    <x v="2"/>
    <x v="13"/>
    <n v="124"/>
    <x v="13"/>
    <x v="0"/>
  </r>
  <r>
    <x v="2"/>
    <x v="4"/>
    <x v="2"/>
    <x v="0"/>
    <x v="2"/>
    <x v="14"/>
    <n v="115"/>
    <x v="14"/>
    <x v="0"/>
  </r>
  <r>
    <x v="2"/>
    <x v="4"/>
    <x v="2"/>
    <x v="0"/>
    <x v="2"/>
    <x v="15"/>
    <n v="89"/>
    <x v="15"/>
    <x v="0"/>
  </r>
  <r>
    <x v="2"/>
    <x v="4"/>
    <x v="2"/>
    <x v="0"/>
    <x v="2"/>
    <x v="16"/>
    <n v="58"/>
    <x v="16"/>
    <x v="1"/>
  </r>
  <r>
    <x v="2"/>
    <x v="4"/>
    <x v="2"/>
    <x v="0"/>
    <x v="2"/>
    <x v="17"/>
    <n v="56"/>
    <x v="17"/>
    <x v="1"/>
  </r>
  <r>
    <x v="2"/>
    <x v="4"/>
    <x v="2"/>
    <x v="0"/>
    <x v="2"/>
    <x v="18"/>
    <n v="58"/>
    <x v="18"/>
    <x v="1"/>
  </r>
  <r>
    <x v="2"/>
    <x v="4"/>
    <x v="2"/>
    <x v="0"/>
    <x v="2"/>
    <x v="19"/>
    <n v="55"/>
    <x v="19"/>
    <x v="1"/>
  </r>
  <r>
    <x v="2"/>
    <x v="4"/>
    <x v="2"/>
    <x v="1"/>
    <x v="0"/>
    <x v="0"/>
    <n v="9"/>
    <x v="0"/>
    <x v="0"/>
  </r>
  <r>
    <x v="2"/>
    <x v="4"/>
    <x v="2"/>
    <x v="1"/>
    <x v="0"/>
    <x v="1"/>
    <n v="6"/>
    <x v="1"/>
    <x v="0"/>
  </r>
  <r>
    <x v="2"/>
    <x v="4"/>
    <x v="2"/>
    <x v="1"/>
    <x v="0"/>
    <x v="2"/>
    <n v="6"/>
    <x v="2"/>
    <x v="0"/>
  </r>
  <r>
    <x v="2"/>
    <x v="4"/>
    <x v="2"/>
    <x v="1"/>
    <x v="0"/>
    <x v="3"/>
    <n v="10"/>
    <x v="3"/>
    <x v="0"/>
  </r>
  <r>
    <x v="2"/>
    <x v="4"/>
    <x v="2"/>
    <x v="1"/>
    <x v="0"/>
    <x v="4"/>
    <n v="9"/>
    <x v="4"/>
    <x v="1"/>
  </r>
  <r>
    <x v="2"/>
    <x v="4"/>
    <x v="2"/>
    <x v="1"/>
    <x v="0"/>
    <x v="5"/>
    <n v="9"/>
    <x v="5"/>
    <x v="1"/>
  </r>
  <r>
    <x v="2"/>
    <x v="4"/>
    <x v="2"/>
    <x v="1"/>
    <x v="0"/>
    <x v="6"/>
    <n v="10"/>
    <x v="6"/>
    <x v="1"/>
  </r>
  <r>
    <x v="2"/>
    <x v="4"/>
    <x v="2"/>
    <x v="1"/>
    <x v="0"/>
    <x v="7"/>
    <n v="6"/>
    <x v="7"/>
    <x v="1"/>
  </r>
  <r>
    <x v="2"/>
    <x v="4"/>
    <x v="2"/>
    <x v="1"/>
    <x v="1"/>
    <x v="8"/>
    <n v="13"/>
    <x v="8"/>
    <x v="0"/>
  </r>
  <r>
    <x v="2"/>
    <x v="4"/>
    <x v="2"/>
    <x v="1"/>
    <x v="1"/>
    <x v="9"/>
    <n v="8"/>
    <x v="9"/>
    <x v="0"/>
  </r>
  <r>
    <x v="2"/>
    <x v="4"/>
    <x v="2"/>
    <x v="1"/>
    <x v="1"/>
    <x v="10"/>
    <n v="13"/>
    <x v="10"/>
    <x v="0"/>
  </r>
  <r>
    <x v="2"/>
    <x v="4"/>
    <x v="2"/>
    <x v="1"/>
    <x v="1"/>
    <x v="11"/>
    <n v="7"/>
    <x v="11"/>
    <x v="0"/>
  </r>
  <r>
    <x v="2"/>
    <x v="4"/>
    <x v="2"/>
    <x v="1"/>
    <x v="2"/>
    <x v="12"/>
    <n v="0"/>
    <x v="12"/>
    <x v="0"/>
  </r>
  <r>
    <x v="2"/>
    <x v="4"/>
    <x v="2"/>
    <x v="1"/>
    <x v="2"/>
    <x v="13"/>
    <n v="4"/>
    <x v="13"/>
    <x v="0"/>
  </r>
  <r>
    <x v="2"/>
    <x v="4"/>
    <x v="2"/>
    <x v="1"/>
    <x v="2"/>
    <x v="14"/>
    <n v="1"/>
    <x v="14"/>
    <x v="0"/>
  </r>
  <r>
    <x v="2"/>
    <x v="4"/>
    <x v="2"/>
    <x v="1"/>
    <x v="2"/>
    <x v="15"/>
    <n v="1"/>
    <x v="15"/>
    <x v="0"/>
  </r>
  <r>
    <x v="2"/>
    <x v="4"/>
    <x v="2"/>
    <x v="1"/>
    <x v="2"/>
    <x v="16"/>
    <n v="3"/>
    <x v="16"/>
    <x v="1"/>
  </r>
  <r>
    <x v="2"/>
    <x v="4"/>
    <x v="2"/>
    <x v="1"/>
    <x v="2"/>
    <x v="17"/>
    <n v="1"/>
    <x v="17"/>
    <x v="1"/>
  </r>
  <r>
    <x v="2"/>
    <x v="4"/>
    <x v="2"/>
    <x v="1"/>
    <x v="2"/>
    <x v="18"/>
    <n v="2"/>
    <x v="18"/>
    <x v="1"/>
  </r>
  <r>
    <x v="2"/>
    <x v="4"/>
    <x v="2"/>
    <x v="1"/>
    <x v="2"/>
    <x v="19"/>
    <n v="0"/>
    <x v="19"/>
    <x v="1"/>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0"/>
  </r>
  <r>
    <x v="2"/>
    <x v="4"/>
    <x v="2"/>
    <x v="2"/>
    <x v="1"/>
    <x v="9"/>
    <n v="0"/>
    <x v="9"/>
    <x v="0"/>
  </r>
  <r>
    <x v="2"/>
    <x v="4"/>
    <x v="2"/>
    <x v="2"/>
    <x v="1"/>
    <x v="10"/>
    <n v="0"/>
    <x v="10"/>
    <x v="0"/>
  </r>
  <r>
    <x v="2"/>
    <x v="4"/>
    <x v="2"/>
    <x v="2"/>
    <x v="1"/>
    <x v="11"/>
    <n v="1"/>
    <x v="11"/>
    <x v="0"/>
  </r>
  <r>
    <x v="2"/>
    <x v="4"/>
    <x v="2"/>
    <x v="2"/>
    <x v="2"/>
    <x v="12"/>
    <n v="0"/>
    <x v="12"/>
    <x v="0"/>
  </r>
  <r>
    <x v="2"/>
    <x v="4"/>
    <x v="2"/>
    <x v="2"/>
    <x v="2"/>
    <x v="13"/>
    <n v="0"/>
    <x v="13"/>
    <x v="0"/>
  </r>
  <r>
    <x v="2"/>
    <x v="4"/>
    <x v="2"/>
    <x v="2"/>
    <x v="2"/>
    <x v="14"/>
    <n v="0"/>
    <x v="14"/>
    <x v="0"/>
  </r>
  <r>
    <x v="2"/>
    <x v="4"/>
    <x v="2"/>
    <x v="2"/>
    <x v="2"/>
    <x v="15"/>
    <n v="0"/>
    <x v="15"/>
    <x v="0"/>
  </r>
  <r>
    <x v="2"/>
    <x v="4"/>
    <x v="2"/>
    <x v="2"/>
    <x v="2"/>
    <x v="16"/>
    <n v="0"/>
    <x v="16"/>
    <x v="1"/>
  </r>
  <r>
    <x v="2"/>
    <x v="4"/>
    <x v="2"/>
    <x v="2"/>
    <x v="2"/>
    <x v="17"/>
    <n v="0"/>
    <x v="17"/>
    <x v="1"/>
  </r>
  <r>
    <x v="2"/>
    <x v="4"/>
    <x v="2"/>
    <x v="2"/>
    <x v="2"/>
    <x v="18"/>
    <n v="0"/>
    <x v="18"/>
    <x v="1"/>
  </r>
  <r>
    <x v="2"/>
    <x v="4"/>
    <x v="2"/>
    <x v="2"/>
    <x v="2"/>
    <x v="19"/>
    <n v="0"/>
    <x v="19"/>
    <x v="1"/>
  </r>
  <r>
    <x v="2"/>
    <x v="5"/>
    <x v="0"/>
    <x v="0"/>
    <x v="0"/>
    <x v="0"/>
    <n v="0"/>
    <x v="0"/>
    <x v="0"/>
  </r>
  <r>
    <x v="2"/>
    <x v="5"/>
    <x v="0"/>
    <x v="0"/>
    <x v="0"/>
    <x v="1"/>
    <n v="0"/>
    <x v="1"/>
    <x v="0"/>
  </r>
  <r>
    <x v="2"/>
    <x v="5"/>
    <x v="0"/>
    <x v="0"/>
    <x v="0"/>
    <x v="2"/>
    <n v="0"/>
    <x v="2"/>
    <x v="0"/>
  </r>
  <r>
    <x v="2"/>
    <x v="5"/>
    <x v="0"/>
    <x v="0"/>
    <x v="0"/>
    <x v="3"/>
    <n v="2"/>
    <x v="3"/>
    <x v="0"/>
  </r>
  <r>
    <x v="2"/>
    <x v="5"/>
    <x v="0"/>
    <x v="0"/>
    <x v="0"/>
    <x v="4"/>
    <n v="1"/>
    <x v="4"/>
    <x v="1"/>
  </r>
  <r>
    <x v="2"/>
    <x v="5"/>
    <x v="0"/>
    <x v="0"/>
    <x v="0"/>
    <x v="5"/>
    <n v="1"/>
    <x v="5"/>
    <x v="1"/>
  </r>
  <r>
    <x v="2"/>
    <x v="5"/>
    <x v="0"/>
    <x v="0"/>
    <x v="0"/>
    <x v="6"/>
    <n v="0"/>
    <x v="6"/>
    <x v="1"/>
  </r>
  <r>
    <x v="2"/>
    <x v="5"/>
    <x v="0"/>
    <x v="0"/>
    <x v="0"/>
    <x v="7"/>
    <n v="0"/>
    <x v="7"/>
    <x v="1"/>
  </r>
  <r>
    <x v="2"/>
    <x v="5"/>
    <x v="0"/>
    <x v="0"/>
    <x v="1"/>
    <x v="8"/>
    <n v="1"/>
    <x v="8"/>
    <x v="0"/>
  </r>
  <r>
    <x v="2"/>
    <x v="5"/>
    <x v="0"/>
    <x v="0"/>
    <x v="1"/>
    <x v="9"/>
    <n v="0"/>
    <x v="9"/>
    <x v="0"/>
  </r>
  <r>
    <x v="2"/>
    <x v="5"/>
    <x v="0"/>
    <x v="0"/>
    <x v="1"/>
    <x v="10"/>
    <n v="0"/>
    <x v="10"/>
    <x v="0"/>
  </r>
  <r>
    <x v="2"/>
    <x v="5"/>
    <x v="0"/>
    <x v="0"/>
    <x v="1"/>
    <x v="11"/>
    <n v="1"/>
    <x v="11"/>
    <x v="0"/>
  </r>
  <r>
    <x v="2"/>
    <x v="5"/>
    <x v="0"/>
    <x v="0"/>
    <x v="2"/>
    <x v="12"/>
    <n v="1"/>
    <x v="12"/>
    <x v="0"/>
  </r>
  <r>
    <x v="2"/>
    <x v="5"/>
    <x v="0"/>
    <x v="0"/>
    <x v="2"/>
    <x v="13"/>
    <n v="0"/>
    <x v="13"/>
    <x v="0"/>
  </r>
  <r>
    <x v="2"/>
    <x v="5"/>
    <x v="0"/>
    <x v="0"/>
    <x v="2"/>
    <x v="14"/>
    <n v="0"/>
    <x v="14"/>
    <x v="0"/>
  </r>
  <r>
    <x v="2"/>
    <x v="5"/>
    <x v="0"/>
    <x v="0"/>
    <x v="2"/>
    <x v="15"/>
    <n v="1"/>
    <x v="15"/>
    <x v="0"/>
  </r>
  <r>
    <x v="2"/>
    <x v="5"/>
    <x v="0"/>
    <x v="0"/>
    <x v="2"/>
    <x v="16"/>
    <n v="0"/>
    <x v="16"/>
    <x v="1"/>
  </r>
  <r>
    <x v="2"/>
    <x v="5"/>
    <x v="0"/>
    <x v="0"/>
    <x v="2"/>
    <x v="17"/>
    <n v="0"/>
    <x v="17"/>
    <x v="1"/>
  </r>
  <r>
    <x v="2"/>
    <x v="5"/>
    <x v="0"/>
    <x v="0"/>
    <x v="2"/>
    <x v="18"/>
    <n v="0"/>
    <x v="18"/>
    <x v="1"/>
  </r>
  <r>
    <x v="2"/>
    <x v="5"/>
    <x v="0"/>
    <x v="0"/>
    <x v="2"/>
    <x v="19"/>
    <n v="0"/>
    <x v="19"/>
    <x v="1"/>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0"/>
  </r>
  <r>
    <x v="2"/>
    <x v="5"/>
    <x v="0"/>
    <x v="1"/>
    <x v="1"/>
    <x v="9"/>
    <n v="0"/>
    <x v="9"/>
    <x v="0"/>
  </r>
  <r>
    <x v="2"/>
    <x v="5"/>
    <x v="0"/>
    <x v="1"/>
    <x v="1"/>
    <x v="10"/>
    <n v="0"/>
    <x v="10"/>
    <x v="0"/>
  </r>
  <r>
    <x v="2"/>
    <x v="5"/>
    <x v="0"/>
    <x v="1"/>
    <x v="1"/>
    <x v="11"/>
    <n v="0"/>
    <x v="11"/>
    <x v="0"/>
  </r>
  <r>
    <x v="2"/>
    <x v="5"/>
    <x v="0"/>
    <x v="1"/>
    <x v="2"/>
    <x v="12"/>
    <n v="0"/>
    <x v="12"/>
    <x v="0"/>
  </r>
  <r>
    <x v="2"/>
    <x v="5"/>
    <x v="0"/>
    <x v="1"/>
    <x v="2"/>
    <x v="13"/>
    <n v="0"/>
    <x v="13"/>
    <x v="0"/>
  </r>
  <r>
    <x v="2"/>
    <x v="5"/>
    <x v="0"/>
    <x v="1"/>
    <x v="2"/>
    <x v="14"/>
    <n v="0"/>
    <x v="14"/>
    <x v="0"/>
  </r>
  <r>
    <x v="2"/>
    <x v="5"/>
    <x v="0"/>
    <x v="1"/>
    <x v="2"/>
    <x v="15"/>
    <n v="0"/>
    <x v="15"/>
    <x v="0"/>
  </r>
  <r>
    <x v="2"/>
    <x v="5"/>
    <x v="0"/>
    <x v="1"/>
    <x v="2"/>
    <x v="16"/>
    <n v="0"/>
    <x v="16"/>
    <x v="1"/>
  </r>
  <r>
    <x v="2"/>
    <x v="5"/>
    <x v="0"/>
    <x v="1"/>
    <x v="2"/>
    <x v="17"/>
    <n v="0"/>
    <x v="17"/>
    <x v="1"/>
  </r>
  <r>
    <x v="2"/>
    <x v="5"/>
    <x v="0"/>
    <x v="1"/>
    <x v="2"/>
    <x v="18"/>
    <n v="0"/>
    <x v="18"/>
    <x v="1"/>
  </r>
  <r>
    <x v="2"/>
    <x v="5"/>
    <x v="0"/>
    <x v="1"/>
    <x v="2"/>
    <x v="19"/>
    <n v="0"/>
    <x v="19"/>
    <x v="1"/>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0"/>
  </r>
  <r>
    <x v="2"/>
    <x v="5"/>
    <x v="0"/>
    <x v="2"/>
    <x v="1"/>
    <x v="9"/>
    <n v="0"/>
    <x v="9"/>
    <x v="0"/>
  </r>
  <r>
    <x v="2"/>
    <x v="5"/>
    <x v="0"/>
    <x v="2"/>
    <x v="1"/>
    <x v="10"/>
    <n v="0"/>
    <x v="10"/>
    <x v="0"/>
  </r>
  <r>
    <x v="2"/>
    <x v="5"/>
    <x v="0"/>
    <x v="2"/>
    <x v="1"/>
    <x v="11"/>
    <n v="1"/>
    <x v="11"/>
    <x v="0"/>
  </r>
  <r>
    <x v="2"/>
    <x v="5"/>
    <x v="0"/>
    <x v="2"/>
    <x v="2"/>
    <x v="12"/>
    <n v="0"/>
    <x v="12"/>
    <x v="0"/>
  </r>
  <r>
    <x v="2"/>
    <x v="5"/>
    <x v="0"/>
    <x v="2"/>
    <x v="2"/>
    <x v="13"/>
    <n v="0"/>
    <x v="13"/>
    <x v="0"/>
  </r>
  <r>
    <x v="2"/>
    <x v="5"/>
    <x v="0"/>
    <x v="2"/>
    <x v="2"/>
    <x v="14"/>
    <n v="0"/>
    <x v="14"/>
    <x v="0"/>
  </r>
  <r>
    <x v="2"/>
    <x v="5"/>
    <x v="0"/>
    <x v="2"/>
    <x v="2"/>
    <x v="15"/>
    <n v="0"/>
    <x v="15"/>
    <x v="0"/>
  </r>
  <r>
    <x v="2"/>
    <x v="5"/>
    <x v="0"/>
    <x v="2"/>
    <x v="2"/>
    <x v="16"/>
    <n v="0"/>
    <x v="16"/>
    <x v="1"/>
  </r>
  <r>
    <x v="2"/>
    <x v="5"/>
    <x v="0"/>
    <x v="2"/>
    <x v="2"/>
    <x v="17"/>
    <n v="0"/>
    <x v="17"/>
    <x v="1"/>
  </r>
  <r>
    <x v="2"/>
    <x v="5"/>
    <x v="0"/>
    <x v="2"/>
    <x v="2"/>
    <x v="18"/>
    <n v="0"/>
    <x v="18"/>
    <x v="1"/>
  </r>
  <r>
    <x v="2"/>
    <x v="5"/>
    <x v="0"/>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4"/>
        <item m="1" x="5"/>
        <item m="1" x="3"/>
        <item m="1" x="6"/>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7" activePane="bottomLeft" state="frozen"/>
      <selection pane="bottomLeft" activeCell="G41" sqref="G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Dyers Road North</v>
      </c>
      <c r="C4" s="1" t="str">
        <f>Input!C31</f>
        <v>Dyers Road South</v>
      </c>
      <c r="D4" s="1" t="str">
        <f>Input!C42</f>
        <v>Palinurus Road West</v>
      </c>
      <c r="E4" s="1">
        <f>Input!C53</f>
        <v>0</v>
      </c>
      <c r="F4" s="1">
        <f>Input!C64</f>
        <v>0</v>
      </c>
      <c r="G4" s="1">
        <f>Input!C75</f>
        <v>0</v>
      </c>
      <c r="H4" s="1">
        <f>Input!C86</f>
        <v>0</v>
      </c>
    </row>
    <row r="6" spans="2:8" x14ac:dyDescent="0.25">
      <c r="B6" t="s">
        <v>18</v>
      </c>
    </row>
    <row r="8" spans="2:8" x14ac:dyDescent="0.25">
      <c r="B8" s="1" t="str">
        <f>Input!C22</f>
        <v>Thru to Dyers Road South</v>
      </c>
      <c r="C8" s="1" t="str">
        <f>Input!C33</f>
        <v>Left into Palinurus Road West</v>
      </c>
      <c r="D8" s="1" t="str">
        <f>Input!C44</f>
        <v>Left into Dyers Road North</v>
      </c>
      <c r="E8" s="1">
        <f>Input!C55</f>
        <v>0</v>
      </c>
      <c r="F8" s="1">
        <f>Input!C66</f>
        <v>0</v>
      </c>
      <c r="G8" s="1">
        <f>Input!C77</f>
        <v>0</v>
      </c>
      <c r="H8" s="1">
        <f>Input!C88</f>
        <v>0</v>
      </c>
    </row>
    <row r="9" spans="2:8" x14ac:dyDescent="0.25">
      <c r="B9" s="1" t="str">
        <f>Input!C23</f>
        <v>Right into Palinurus Road West</v>
      </c>
      <c r="C9" s="1" t="str">
        <f>Input!C34</f>
        <v>Thru to Dyers Road North</v>
      </c>
      <c r="D9" s="1" t="str">
        <f>Input!C45</f>
        <v>Right into Dyers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Dyers Road South</v>
      </c>
      <c r="C18" s="1" t="str">
        <f>Input!E33</f>
        <v>Palinurus Road West</v>
      </c>
      <c r="D18" s="1" t="str">
        <f>Input!E44</f>
        <v>Dyers Road North</v>
      </c>
      <c r="E18" s="1">
        <f>Input!E55</f>
        <v>0</v>
      </c>
      <c r="F18" s="1">
        <f>Input!E66</f>
        <v>0</v>
      </c>
      <c r="G18" s="1">
        <f>Input!E77</f>
        <v>0</v>
      </c>
      <c r="H18" s="1">
        <f>Input!E88</f>
        <v>0</v>
      </c>
    </row>
    <row r="19" spans="2:8" x14ac:dyDescent="0.25">
      <c r="B19" s="1" t="str">
        <f>Input!E23</f>
        <v>Palinurus Road West</v>
      </c>
      <c r="C19" s="1" t="str">
        <f>Input!E34</f>
        <v>Dyers Road North</v>
      </c>
      <c r="D19" s="1" t="str">
        <f>Input!E45</f>
        <v>Dyers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79</v>
      </c>
      <c r="D8">
        <v>7</v>
      </c>
      <c r="E8">
        <v>0</v>
      </c>
      <c r="F8" s="28">
        <v>114</v>
      </c>
      <c r="G8">
        <v>8</v>
      </c>
      <c r="H8">
        <v>0</v>
      </c>
      <c r="I8" s="31">
        <v>0</v>
      </c>
      <c r="J8">
        <v>0</v>
      </c>
      <c r="K8">
        <v>0</v>
      </c>
      <c r="L8" s="28">
        <v>48</v>
      </c>
      <c r="M8">
        <v>16</v>
      </c>
      <c r="N8">
        <v>0</v>
      </c>
      <c r="O8" s="31">
        <v>43</v>
      </c>
      <c r="P8">
        <v>9</v>
      </c>
      <c r="Q8">
        <v>0</v>
      </c>
      <c r="R8" s="28">
        <v>0</v>
      </c>
      <c r="S8">
        <v>0</v>
      </c>
      <c r="T8" s="34">
        <v>0</v>
      </c>
    </row>
    <row r="9" spans="1:20" x14ac:dyDescent="0.25">
      <c r="A9" s="2" t="s">
        <v>43</v>
      </c>
      <c r="B9" s="7">
        <v>0.30208333333333331</v>
      </c>
      <c r="C9" s="31">
        <v>100</v>
      </c>
      <c r="D9">
        <v>4</v>
      </c>
      <c r="E9">
        <v>0</v>
      </c>
      <c r="F9" s="28">
        <v>149</v>
      </c>
      <c r="G9">
        <v>10</v>
      </c>
      <c r="H9">
        <v>0</v>
      </c>
      <c r="I9" s="31">
        <v>0</v>
      </c>
      <c r="J9">
        <v>0</v>
      </c>
      <c r="K9">
        <v>0</v>
      </c>
      <c r="L9" s="28">
        <v>61</v>
      </c>
      <c r="M9">
        <v>6</v>
      </c>
      <c r="N9">
        <v>0</v>
      </c>
      <c r="O9" s="31">
        <v>81</v>
      </c>
      <c r="P9">
        <v>6</v>
      </c>
      <c r="Q9">
        <v>0</v>
      </c>
      <c r="R9" s="28">
        <v>0</v>
      </c>
      <c r="S9">
        <v>0</v>
      </c>
      <c r="T9" s="34">
        <v>0</v>
      </c>
    </row>
    <row r="10" spans="1:20" x14ac:dyDescent="0.25">
      <c r="A10" s="2" t="s">
        <v>43</v>
      </c>
      <c r="B10" s="7">
        <v>0.3125</v>
      </c>
      <c r="C10" s="31">
        <v>81</v>
      </c>
      <c r="D10">
        <v>6</v>
      </c>
      <c r="E10">
        <v>0</v>
      </c>
      <c r="F10" s="28">
        <v>120</v>
      </c>
      <c r="G10">
        <v>9</v>
      </c>
      <c r="H10">
        <v>1</v>
      </c>
      <c r="I10" s="31">
        <v>0</v>
      </c>
      <c r="J10">
        <v>0</v>
      </c>
      <c r="K10">
        <v>0</v>
      </c>
      <c r="L10" s="28">
        <v>49</v>
      </c>
      <c r="M10">
        <v>5</v>
      </c>
      <c r="N10">
        <v>0</v>
      </c>
      <c r="O10" s="31">
        <v>69</v>
      </c>
      <c r="P10">
        <v>6</v>
      </c>
      <c r="Q10">
        <v>0</v>
      </c>
      <c r="R10" s="28">
        <v>0</v>
      </c>
      <c r="S10">
        <v>0</v>
      </c>
      <c r="T10" s="34">
        <v>0</v>
      </c>
    </row>
    <row r="11" spans="1:20" x14ac:dyDescent="0.25">
      <c r="A11" s="2" t="s">
        <v>43</v>
      </c>
      <c r="B11" s="7">
        <v>0.32291666666666669</v>
      </c>
      <c r="C11" s="31">
        <v>75</v>
      </c>
      <c r="D11">
        <v>9</v>
      </c>
      <c r="E11">
        <v>0</v>
      </c>
      <c r="F11" s="28">
        <v>106</v>
      </c>
      <c r="G11">
        <v>6</v>
      </c>
      <c r="H11">
        <v>0</v>
      </c>
      <c r="I11" s="31">
        <v>0</v>
      </c>
      <c r="J11">
        <v>0</v>
      </c>
      <c r="K11">
        <v>0</v>
      </c>
      <c r="L11" s="28">
        <v>38</v>
      </c>
      <c r="M11">
        <v>6</v>
      </c>
      <c r="N11">
        <v>0</v>
      </c>
      <c r="O11" s="31">
        <v>75</v>
      </c>
      <c r="P11">
        <v>10</v>
      </c>
      <c r="Q11">
        <v>0</v>
      </c>
      <c r="R11" s="28">
        <v>2</v>
      </c>
      <c r="S11">
        <v>0</v>
      </c>
      <c r="T11" s="34">
        <v>0</v>
      </c>
    </row>
    <row r="12" spans="1:20" x14ac:dyDescent="0.25">
      <c r="A12" s="2" t="s">
        <v>43</v>
      </c>
      <c r="B12" s="7">
        <v>0.33333333333333331</v>
      </c>
      <c r="C12" s="31">
        <v>69</v>
      </c>
      <c r="D12">
        <v>7</v>
      </c>
      <c r="E12">
        <v>0</v>
      </c>
      <c r="F12" s="28">
        <v>63</v>
      </c>
      <c r="G12">
        <v>7</v>
      </c>
      <c r="H12">
        <v>0</v>
      </c>
      <c r="I12" s="31">
        <v>0</v>
      </c>
      <c r="J12">
        <v>0</v>
      </c>
      <c r="K12">
        <v>0</v>
      </c>
      <c r="L12" s="28">
        <v>40</v>
      </c>
      <c r="M12">
        <v>7</v>
      </c>
      <c r="N12">
        <v>0</v>
      </c>
      <c r="O12" s="31">
        <v>64</v>
      </c>
      <c r="P12">
        <v>9</v>
      </c>
      <c r="Q12">
        <v>0</v>
      </c>
      <c r="R12" s="28">
        <v>1</v>
      </c>
      <c r="S12">
        <v>0</v>
      </c>
      <c r="T12" s="34">
        <v>0</v>
      </c>
    </row>
    <row r="13" spans="1:20" x14ac:dyDescent="0.25">
      <c r="A13" s="2" t="s">
        <v>43</v>
      </c>
      <c r="B13" s="7">
        <v>0.34375</v>
      </c>
      <c r="C13" s="31">
        <v>62</v>
      </c>
      <c r="D13">
        <v>5</v>
      </c>
      <c r="E13">
        <v>0</v>
      </c>
      <c r="F13" s="28">
        <v>80</v>
      </c>
      <c r="G13">
        <v>12</v>
      </c>
      <c r="H13">
        <v>0</v>
      </c>
      <c r="I13" s="31">
        <v>0</v>
      </c>
      <c r="J13">
        <v>0</v>
      </c>
      <c r="K13">
        <v>0</v>
      </c>
      <c r="L13" s="28">
        <v>44</v>
      </c>
      <c r="M13">
        <v>7</v>
      </c>
      <c r="N13">
        <v>0</v>
      </c>
      <c r="O13" s="31">
        <v>56</v>
      </c>
      <c r="P13">
        <v>9</v>
      </c>
      <c r="Q13">
        <v>0</v>
      </c>
      <c r="R13" s="28">
        <v>1</v>
      </c>
      <c r="S13">
        <v>0</v>
      </c>
      <c r="T13" s="34">
        <v>0</v>
      </c>
    </row>
    <row r="14" spans="1:20" x14ac:dyDescent="0.25">
      <c r="A14" s="2" t="s">
        <v>43</v>
      </c>
      <c r="B14" s="7">
        <v>0.35416666666666669</v>
      </c>
      <c r="C14" s="31">
        <v>39</v>
      </c>
      <c r="D14">
        <v>8</v>
      </c>
      <c r="E14">
        <v>0</v>
      </c>
      <c r="F14" s="28">
        <v>60</v>
      </c>
      <c r="G14">
        <v>18</v>
      </c>
      <c r="H14">
        <v>0</v>
      </c>
      <c r="I14" s="31">
        <v>2</v>
      </c>
      <c r="J14">
        <v>0</v>
      </c>
      <c r="K14">
        <v>0</v>
      </c>
      <c r="L14" s="28">
        <v>44</v>
      </c>
      <c r="M14">
        <v>9</v>
      </c>
      <c r="N14">
        <v>0</v>
      </c>
      <c r="O14" s="31">
        <v>61</v>
      </c>
      <c r="P14">
        <v>10</v>
      </c>
      <c r="Q14">
        <v>0</v>
      </c>
      <c r="R14" s="28">
        <v>0</v>
      </c>
      <c r="S14">
        <v>0</v>
      </c>
      <c r="T14" s="34">
        <v>0</v>
      </c>
    </row>
    <row r="15" spans="1:20" ht="15.75" thickBot="1" x14ac:dyDescent="0.3">
      <c r="A15" s="2" t="s">
        <v>43</v>
      </c>
      <c r="B15" s="7">
        <v>0.36458333333333331</v>
      </c>
      <c r="C15" s="31">
        <v>42</v>
      </c>
      <c r="D15">
        <v>5</v>
      </c>
      <c r="E15">
        <v>0</v>
      </c>
      <c r="F15" s="28">
        <v>76</v>
      </c>
      <c r="G15">
        <v>14</v>
      </c>
      <c r="H15">
        <v>0</v>
      </c>
      <c r="I15" s="31">
        <v>0</v>
      </c>
      <c r="J15">
        <v>0</v>
      </c>
      <c r="K15">
        <v>0</v>
      </c>
      <c r="L15" s="28">
        <v>42</v>
      </c>
      <c r="M15">
        <v>8</v>
      </c>
      <c r="N15">
        <v>0</v>
      </c>
      <c r="O15" s="31">
        <v>42</v>
      </c>
      <c r="P15">
        <v>6</v>
      </c>
      <c r="Q15">
        <v>0</v>
      </c>
      <c r="R15" s="28">
        <v>0</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55</v>
      </c>
      <c r="D17">
        <v>5</v>
      </c>
      <c r="E17">
        <v>0</v>
      </c>
      <c r="F17" s="28">
        <v>54</v>
      </c>
      <c r="G17">
        <v>17</v>
      </c>
      <c r="H17">
        <v>0</v>
      </c>
      <c r="I17" s="31">
        <v>1</v>
      </c>
      <c r="J17">
        <v>0</v>
      </c>
      <c r="K17">
        <v>0</v>
      </c>
      <c r="L17" s="28">
        <v>81</v>
      </c>
      <c r="M17">
        <v>8</v>
      </c>
      <c r="N17">
        <v>0</v>
      </c>
      <c r="O17" s="31">
        <v>86</v>
      </c>
      <c r="P17">
        <v>13</v>
      </c>
      <c r="Q17">
        <v>0</v>
      </c>
      <c r="R17" s="28">
        <v>1</v>
      </c>
      <c r="S17">
        <v>0</v>
      </c>
      <c r="T17" s="34">
        <v>0</v>
      </c>
    </row>
    <row r="18" spans="1:20" x14ac:dyDescent="0.25">
      <c r="A18" s="2" t="s">
        <v>90</v>
      </c>
      <c r="B18" s="7">
        <v>0.55208333333333337</v>
      </c>
      <c r="C18" s="31">
        <v>54</v>
      </c>
      <c r="D18">
        <v>5</v>
      </c>
      <c r="E18">
        <v>0</v>
      </c>
      <c r="F18" s="28">
        <v>69</v>
      </c>
      <c r="G18">
        <v>13</v>
      </c>
      <c r="H18">
        <v>0</v>
      </c>
      <c r="I18" s="31">
        <v>0</v>
      </c>
      <c r="J18">
        <v>0</v>
      </c>
      <c r="K18">
        <v>0</v>
      </c>
      <c r="L18" s="28">
        <v>79</v>
      </c>
      <c r="M18">
        <v>6</v>
      </c>
      <c r="N18">
        <v>0</v>
      </c>
      <c r="O18" s="31">
        <v>88</v>
      </c>
      <c r="P18">
        <v>8</v>
      </c>
      <c r="Q18">
        <v>0</v>
      </c>
      <c r="R18" s="28">
        <v>0</v>
      </c>
      <c r="S18">
        <v>0</v>
      </c>
      <c r="T18" s="34">
        <v>0</v>
      </c>
    </row>
    <row r="19" spans="1:20" x14ac:dyDescent="0.25">
      <c r="A19" s="2" t="s">
        <v>90</v>
      </c>
      <c r="B19" s="7">
        <v>0.5625</v>
      </c>
      <c r="C19" s="31">
        <v>80</v>
      </c>
      <c r="D19">
        <v>7</v>
      </c>
      <c r="E19">
        <v>0</v>
      </c>
      <c r="F19" s="28">
        <v>81</v>
      </c>
      <c r="G19">
        <v>10</v>
      </c>
      <c r="H19">
        <v>0</v>
      </c>
      <c r="I19" s="31">
        <v>1</v>
      </c>
      <c r="J19">
        <v>1</v>
      </c>
      <c r="K19">
        <v>0</v>
      </c>
      <c r="L19" s="28">
        <v>87</v>
      </c>
      <c r="M19">
        <v>7</v>
      </c>
      <c r="N19">
        <v>1</v>
      </c>
      <c r="O19" s="31">
        <v>96</v>
      </c>
      <c r="P19">
        <v>13</v>
      </c>
      <c r="Q19">
        <v>0</v>
      </c>
      <c r="R19" s="28">
        <v>0</v>
      </c>
      <c r="S19">
        <v>0</v>
      </c>
      <c r="T19" s="34">
        <v>0</v>
      </c>
    </row>
    <row r="20" spans="1:20" ht="15.75" thickBot="1" x14ac:dyDescent="0.3">
      <c r="A20" s="2" t="s">
        <v>90</v>
      </c>
      <c r="B20" s="7">
        <v>0.57291666666666663</v>
      </c>
      <c r="C20" s="31">
        <v>59</v>
      </c>
      <c r="D20">
        <v>10</v>
      </c>
      <c r="E20">
        <v>0</v>
      </c>
      <c r="F20" s="28">
        <v>73</v>
      </c>
      <c r="G20">
        <v>18</v>
      </c>
      <c r="H20">
        <v>0</v>
      </c>
      <c r="I20" s="31">
        <v>3</v>
      </c>
      <c r="J20">
        <v>0</v>
      </c>
      <c r="K20">
        <v>0</v>
      </c>
      <c r="L20" s="28">
        <v>66</v>
      </c>
      <c r="M20">
        <v>4</v>
      </c>
      <c r="N20">
        <v>0</v>
      </c>
      <c r="O20" s="31">
        <v>86</v>
      </c>
      <c r="P20">
        <v>7</v>
      </c>
      <c r="Q20">
        <v>1</v>
      </c>
      <c r="R20" s="28">
        <v>1</v>
      </c>
      <c r="S20">
        <v>0</v>
      </c>
      <c r="T20" s="34">
        <v>1</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71</v>
      </c>
      <c r="D22">
        <v>3</v>
      </c>
      <c r="E22">
        <v>0</v>
      </c>
      <c r="F22" s="28">
        <v>74</v>
      </c>
      <c r="G22">
        <v>1</v>
      </c>
      <c r="H22">
        <v>1</v>
      </c>
      <c r="I22" s="31">
        <v>0</v>
      </c>
      <c r="J22">
        <v>0</v>
      </c>
      <c r="K22">
        <v>0</v>
      </c>
      <c r="L22" s="28">
        <v>117</v>
      </c>
      <c r="M22">
        <v>3</v>
      </c>
      <c r="N22">
        <v>0</v>
      </c>
      <c r="O22" s="31">
        <v>155</v>
      </c>
      <c r="P22">
        <v>0</v>
      </c>
      <c r="Q22">
        <v>0</v>
      </c>
      <c r="R22" s="28">
        <v>1</v>
      </c>
      <c r="S22">
        <v>0</v>
      </c>
      <c r="T22" s="34">
        <v>0</v>
      </c>
    </row>
    <row r="23" spans="1:20" x14ac:dyDescent="0.25">
      <c r="A23" s="2" t="s">
        <v>44</v>
      </c>
      <c r="B23" s="7">
        <v>0.67708333333333337</v>
      </c>
      <c r="C23" s="31">
        <v>91</v>
      </c>
      <c r="D23">
        <v>1</v>
      </c>
      <c r="E23">
        <v>0</v>
      </c>
      <c r="F23" s="28">
        <v>43</v>
      </c>
      <c r="G23">
        <v>3</v>
      </c>
      <c r="H23">
        <v>1</v>
      </c>
      <c r="I23" s="31">
        <v>0</v>
      </c>
      <c r="J23">
        <v>0</v>
      </c>
      <c r="K23">
        <v>0</v>
      </c>
      <c r="L23" s="28">
        <v>78</v>
      </c>
      <c r="M23">
        <v>7</v>
      </c>
      <c r="N23">
        <v>0</v>
      </c>
      <c r="O23" s="31">
        <v>124</v>
      </c>
      <c r="P23">
        <v>4</v>
      </c>
      <c r="Q23">
        <v>0</v>
      </c>
      <c r="R23" s="28">
        <v>0</v>
      </c>
      <c r="S23">
        <v>0</v>
      </c>
      <c r="T23" s="34">
        <v>0</v>
      </c>
    </row>
    <row r="24" spans="1:20" x14ac:dyDescent="0.25">
      <c r="A24" s="2" t="s">
        <v>44</v>
      </c>
      <c r="B24" s="7">
        <v>0.6875</v>
      </c>
      <c r="C24" s="31">
        <v>59</v>
      </c>
      <c r="D24">
        <v>1</v>
      </c>
      <c r="E24">
        <v>0</v>
      </c>
      <c r="F24" s="28">
        <v>65</v>
      </c>
      <c r="G24">
        <v>7</v>
      </c>
      <c r="H24">
        <v>0</v>
      </c>
      <c r="I24" s="31">
        <v>0</v>
      </c>
      <c r="J24">
        <v>0</v>
      </c>
      <c r="K24">
        <v>0</v>
      </c>
      <c r="L24" s="28">
        <v>83</v>
      </c>
      <c r="M24">
        <v>1</v>
      </c>
      <c r="N24">
        <v>0</v>
      </c>
      <c r="O24" s="31">
        <v>115</v>
      </c>
      <c r="P24">
        <v>1</v>
      </c>
      <c r="Q24">
        <v>0</v>
      </c>
      <c r="R24" s="28">
        <v>0</v>
      </c>
      <c r="S24">
        <v>0</v>
      </c>
      <c r="T24" s="34">
        <v>0</v>
      </c>
    </row>
    <row r="25" spans="1:20" x14ac:dyDescent="0.25">
      <c r="A25" s="2" t="s">
        <v>44</v>
      </c>
      <c r="B25" s="7">
        <v>0.69791666666666663</v>
      </c>
      <c r="C25" s="31">
        <v>56</v>
      </c>
      <c r="D25">
        <v>0</v>
      </c>
      <c r="E25">
        <v>0</v>
      </c>
      <c r="F25" s="28">
        <v>52</v>
      </c>
      <c r="G25">
        <v>3</v>
      </c>
      <c r="H25">
        <v>0</v>
      </c>
      <c r="I25" s="31">
        <v>0</v>
      </c>
      <c r="J25">
        <v>0</v>
      </c>
      <c r="K25">
        <v>0</v>
      </c>
      <c r="L25" s="28">
        <v>74</v>
      </c>
      <c r="M25">
        <v>1</v>
      </c>
      <c r="N25">
        <v>0</v>
      </c>
      <c r="O25" s="31">
        <v>89</v>
      </c>
      <c r="P25">
        <v>1</v>
      </c>
      <c r="Q25">
        <v>0</v>
      </c>
      <c r="R25" s="28">
        <v>1</v>
      </c>
      <c r="S25">
        <v>0</v>
      </c>
      <c r="T25" s="34">
        <v>0</v>
      </c>
    </row>
    <row r="26" spans="1:20" x14ac:dyDescent="0.25">
      <c r="A26" s="2" t="s">
        <v>44</v>
      </c>
      <c r="B26" s="7">
        <v>0.70833333333333337</v>
      </c>
      <c r="C26" s="31">
        <v>48</v>
      </c>
      <c r="D26">
        <v>0</v>
      </c>
      <c r="E26">
        <v>0</v>
      </c>
      <c r="F26" s="28">
        <v>50</v>
      </c>
      <c r="G26">
        <v>1</v>
      </c>
      <c r="H26">
        <v>0</v>
      </c>
      <c r="I26" s="31">
        <v>0</v>
      </c>
      <c r="J26">
        <v>0</v>
      </c>
      <c r="K26">
        <v>0</v>
      </c>
      <c r="L26" s="28">
        <v>48</v>
      </c>
      <c r="M26">
        <v>2</v>
      </c>
      <c r="N26">
        <v>0</v>
      </c>
      <c r="O26" s="31">
        <v>58</v>
      </c>
      <c r="P26">
        <v>3</v>
      </c>
      <c r="Q26">
        <v>0</v>
      </c>
      <c r="R26" s="28">
        <v>0</v>
      </c>
      <c r="S26">
        <v>0</v>
      </c>
      <c r="T26" s="34">
        <v>0</v>
      </c>
    </row>
    <row r="27" spans="1:20" x14ac:dyDescent="0.25">
      <c r="A27" s="2" t="s">
        <v>44</v>
      </c>
      <c r="B27" s="7">
        <v>0.71875</v>
      </c>
      <c r="C27" s="31">
        <v>44</v>
      </c>
      <c r="D27">
        <v>0</v>
      </c>
      <c r="E27">
        <v>0</v>
      </c>
      <c r="F27" s="28">
        <v>34</v>
      </c>
      <c r="G27">
        <v>2</v>
      </c>
      <c r="H27">
        <v>0</v>
      </c>
      <c r="I27" s="31">
        <v>0</v>
      </c>
      <c r="J27">
        <v>0</v>
      </c>
      <c r="K27">
        <v>0</v>
      </c>
      <c r="L27" s="28">
        <v>44</v>
      </c>
      <c r="M27">
        <v>2</v>
      </c>
      <c r="N27">
        <v>0</v>
      </c>
      <c r="O27" s="31">
        <v>56</v>
      </c>
      <c r="P27">
        <v>1</v>
      </c>
      <c r="Q27">
        <v>0</v>
      </c>
      <c r="R27" s="28">
        <v>0</v>
      </c>
      <c r="S27">
        <v>0</v>
      </c>
      <c r="T27" s="34">
        <v>0</v>
      </c>
    </row>
    <row r="28" spans="1:20" x14ac:dyDescent="0.25">
      <c r="A28" s="2" t="s">
        <v>44</v>
      </c>
      <c r="B28" s="7">
        <v>0.72916666666666663</v>
      </c>
      <c r="C28" s="31">
        <v>37</v>
      </c>
      <c r="D28">
        <v>2</v>
      </c>
      <c r="E28">
        <v>0</v>
      </c>
      <c r="F28" s="28">
        <v>41</v>
      </c>
      <c r="G28">
        <v>1</v>
      </c>
      <c r="H28">
        <v>0</v>
      </c>
      <c r="I28" s="31">
        <v>0</v>
      </c>
      <c r="J28">
        <v>0</v>
      </c>
      <c r="K28">
        <v>0</v>
      </c>
      <c r="L28" s="28">
        <v>33</v>
      </c>
      <c r="M28">
        <v>0</v>
      </c>
      <c r="N28">
        <v>0</v>
      </c>
      <c r="O28" s="31">
        <v>58</v>
      </c>
      <c r="P28">
        <v>2</v>
      </c>
      <c r="Q28">
        <v>0</v>
      </c>
      <c r="R28" s="28">
        <v>0</v>
      </c>
      <c r="S28">
        <v>0</v>
      </c>
      <c r="T28" s="34">
        <v>0</v>
      </c>
    </row>
    <row r="29" spans="1:20" ht="15.75" thickBot="1" x14ac:dyDescent="0.3">
      <c r="A29" s="23" t="s">
        <v>44</v>
      </c>
      <c r="B29" s="48">
        <v>0.73958333333333337</v>
      </c>
      <c r="C29" s="39">
        <v>33</v>
      </c>
      <c r="D29" s="38">
        <v>0</v>
      </c>
      <c r="E29" s="38">
        <v>0</v>
      </c>
      <c r="F29" s="40">
        <v>36</v>
      </c>
      <c r="G29" s="38">
        <v>1</v>
      </c>
      <c r="H29" s="38">
        <v>0</v>
      </c>
      <c r="I29" s="39">
        <v>0</v>
      </c>
      <c r="J29" s="38">
        <v>0</v>
      </c>
      <c r="K29" s="38">
        <v>0</v>
      </c>
      <c r="L29" s="40">
        <v>31</v>
      </c>
      <c r="M29" s="38">
        <v>0</v>
      </c>
      <c r="N29" s="38">
        <v>0</v>
      </c>
      <c r="O29" s="39">
        <v>55</v>
      </c>
      <c r="P29" s="38">
        <v>0</v>
      </c>
      <c r="Q29" s="38">
        <v>0</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79</v>
      </c>
      <c r="H2" s="6">
        <f>FLOOR(tblPivotData[[#This Row],[Time]],Summary!$B$6/1440)</f>
        <v>0.29166666666666663</v>
      </c>
      <c r="I2">
        <f>INDEX(PeakCalc!$L$10:$L$303,MATCH(tblPivotData[[#This Row],[Time]],PeakCalc!$G$10:$G$303,0))</f>
        <v>1</v>
      </c>
    </row>
    <row r="3" spans="1:9" x14ac:dyDescent="0.25">
      <c r="A3" t="s">
        <v>92</v>
      </c>
      <c r="B3" t="s">
        <v>95</v>
      </c>
      <c r="C3" t="s">
        <v>93</v>
      </c>
      <c r="D3" t="s">
        <v>79</v>
      </c>
      <c r="E3" t="s">
        <v>43</v>
      </c>
      <c r="F3" s="6">
        <v>0.30208333333333331</v>
      </c>
      <c r="G3">
        <v>100</v>
      </c>
      <c r="H3" s="6">
        <f>FLOOR(tblPivotData[[#This Row],[Time]],Summary!$B$6/1440)</f>
        <v>0.30208333333333331</v>
      </c>
      <c r="I3">
        <f>INDEX(PeakCalc!$L$10:$L$303,MATCH(tblPivotData[[#This Row],[Time]],PeakCalc!$G$10:$G$303,0))</f>
        <v>1</v>
      </c>
    </row>
    <row r="4" spans="1:9" x14ac:dyDescent="0.25">
      <c r="A4" t="s">
        <v>92</v>
      </c>
      <c r="B4" t="s">
        <v>95</v>
      </c>
      <c r="C4" t="s">
        <v>93</v>
      </c>
      <c r="D4" t="s">
        <v>79</v>
      </c>
      <c r="E4" t="s">
        <v>43</v>
      </c>
      <c r="F4" s="6">
        <v>0.3125</v>
      </c>
      <c r="G4">
        <v>81</v>
      </c>
      <c r="H4" s="6">
        <f>FLOOR(tblPivotData[[#This Row],[Time]],Summary!$B$6/1440)</f>
        <v>0.3125</v>
      </c>
      <c r="I4">
        <f>INDEX(PeakCalc!$L$10:$L$303,MATCH(tblPivotData[[#This Row],[Time]],PeakCalc!$G$10:$G$303,0))</f>
        <v>1</v>
      </c>
    </row>
    <row r="5" spans="1:9" x14ac:dyDescent="0.25">
      <c r="A5" t="s">
        <v>92</v>
      </c>
      <c r="B5" t="s">
        <v>95</v>
      </c>
      <c r="C5" t="s">
        <v>93</v>
      </c>
      <c r="D5" t="s">
        <v>79</v>
      </c>
      <c r="E5" t="s">
        <v>43</v>
      </c>
      <c r="F5" s="6">
        <v>0.32291666666666669</v>
      </c>
      <c r="G5">
        <v>75</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69</v>
      </c>
      <c r="H6" s="6">
        <f>FLOOR(tblPivotData[[#This Row],[Time]],Summary!$B$6/1440)</f>
        <v>0.33333333333333331</v>
      </c>
      <c r="I6">
        <f>INDEX(PeakCalc!$L$10:$L$303,MATCH(tblPivotData[[#This Row],[Time]],PeakCalc!$G$10:$G$303,0))</f>
        <v>0</v>
      </c>
    </row>
    <row r="7" spans="1:9" x14ac:dyDescent="0.25">
      <c r="A7" t="s">
        <v>92</v>
      </c>
      <c r="B7" t="s">
        <v>95</v>
      </c>
      <c r="C7" t="s">
        <v>93</v>
      </c>
      <c r="D7" t="s">
        <v>79</v>
      </c>
      <c r="E7" t="s">
        <v>43</v>
      </c>
      <c r="F7" s="6">
        <v>0.34375</v>
      </c>
      <c r="G7">
        <v>62</v>
      </c>
      <c r="H7" s="6">
        <f>FLOOR(tblPivotData[[#This Row],[Time]],Summary!$B$6/1440)</f>
        <v>0.34375</v>
      </c>
      <c r="I7">
        <f>INDEX(PeakCalc!$L$10:$L$303,MATCH(tblPivotData[[#This Row],[Time]],PeakCalc!$G$10:$G$303,0))</f>
        <v>0</v>
      </c>
    </row>
    <row r="8" spans="1:9" x14ac:dyDescent="0.25">
      <c r="A8" t="s">
        <v>92</v>
      </c>
      <c r="B8" t="s">
        <v>95</v>
      </c>
      <c r="C8" t="s">
        <v>93</v>
      </c>
      <c r="D8" t="s">
        <v>79</v>
      </c>
      <c r="E8" t="s">
        <v>43</v>
      </c>
      <c r="F8" s="6">
        <v>0.35416666666666669</v>
      </c>
      <c r="G8">
        <v>39</v>
      </c>
      <c r="H8" s="6">
        <f>FLOOR(tblPivotData[[#This Row],[Time]],Summary!$B$6/1440)</f>
        <v>0.35416666666666663</v>
      </c>
      <c r="I8">
        <f>INDEX(PeakCalc!$L$10:$L$303,MATCH(tblPivotData[[#This Row],[Time]],PeakCalc!$G$10:$G$303,0))</f>
        <v>0</v>
      </c>
    </row>
    <row r="9" spans="1:9" x14ac:dyDescent="0.25">
      <c r="A9" t="s">
        <v>92</v>
      </c>
      <c r="B9" t="s">
        <v>95</v>
      </c>
      <c r="C9" t="s">
        <v>93</v>
      </c>
      <c r="D9" t="s">
        <v>79</v>
      </c>
      <c r="E9" t="s">
        <v>43</v>
      </c>
      <c r="F9" s="6">
        <v>0.36458333333333331</v>
      </c>
      <c r="G9">
        <v>42</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55</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54</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80</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59</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71</v>
      </c>
      <c r="H14" s="6">
        <f>FLOOR(tblPivotData[[#This Row],[Time]],Summary!$B$6/1440)</f>
        <v>0.66666666666666663</v>
      </c>
      <c r="I14">
        <f>INDEX(PeakCalc!$L$10:$L$303,MATCH(tblPivotData[[#This Row],[Time]],PeakCalc!$G$10:$G$303,0))</f>
        <v>1</v>
      </c>
    </row>
    <row r="15" spans="1:9" x14ac:dyDescent="0.25">
      <c r="A15" t="s">
        <v>92</v>
      </c>
      <c r="B15" t="s">
        <v>95</v>
      </c>
      <c r="C15" t="s">
        <v>93</v>
      </c>
      <c r="D15" t="s">
        <v>79</v>
      </c>
      <c r="E15" t="s">
        <v>44</v>
      </c>
      <c r="F15" s="6">
        <v>0.67708333333333337</v>
      </c>
      <c r="G15">
        <v>91</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59</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56</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48</v>
      </c>
      <c r="H18" s="6">
        <f>FLOOR(tblPivotData[[#This Row],[Time]],Summary!$B$6/1440)</f>
        <v>0.70833333333333326</v>
      </c>
      <c r="I18">
        <f>INDEX(PeakCalc!$L$10:$L$303,MATCH(tblPivotData[[#This Row],[Time]],PeakCalc!$G$10:$G$303,0))</f>
        <v>0</v>
      </c>
    </row>
    <row r="19" spans="1:9" x14ac:dyDescent="0.25">
      <c r="A19" t="s">
        <v>92</v>
      </c>
      <c r="B19" t="s">
        <v>95</v>
      </c>
      <c r="C19" t="s">
        <v>93</v>
      </c>
      <c r="D19" t="s">
        <v>79</v>
      </c>
      <c r="E19" t="s">
        <v>44</v>
      </c>
      <c r="F19" s="6">
        <v>0.71875</v>
      </c>
      <c r="G19">
        <v>44</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37</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33</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7</v>
      </c>
      <c r="H22" s="6">
        <f>FLOOR(tblPivotData[[#This Row],[Time]],Summary!$B$6/1440)</f>
        <v>0.29166666666666663</v>
      </c>
      <c r="I22">
        <f>INDEX(PeakCalc!$L$10:$L$303,MATCH(tblPivotData[[#This Row],[Time]],PeakCalc!$G$10:$G$303,0))</f>
        <v>1</v>
      </c>
    </row>
    <row r="23" spans="1:9" x14ac:dyDescent="0.25">
      <c r="A23" t="s">
        <v>92</v>
      </c>
      <c r="B23" t="s">
        <v>95</v>
      </c>
      <c r="C23" t="s">
        <v>93</v>
      </c>
      <c r="D23" t="s">
        <v>88</v>
      </c>
      <c r="E23" t="s">
        <v>43</v>
      </c>
      <c r="F23" s="6">
        <v>0.30208333333333331</v>
      </c>
      <c r="G23">
        <v>4</v>
      </c>
      <c r="H23" s="6">
        <f>FLOOR(tblPivotData[[#This Row],[Time]],Summary!$B$6/1440)</f>
        <v>0.30208333333333331</v>
      </c>
      <c r="I23">
        <f>INDEX(PeakCalc!$L$10:$L$303,MATCH(tblPivotData[[#This Row],[Time]],PeakCalc!$G$10:$G$303,0))</f>
        <v>1</v>
      </c>
    </row>
    <row r="24" spans="1:9" x14ac:dyDescent="0.25">
      <c r="A24" t="s">
        <v>92</v>
      </c>
      <c r="B24" t="s">
        <v>95</v>
      </c>
      <c r="C24" t="s">
        <v>93</v>
      </c>
      <c r="D24" t="s">
        <v>88</v>
      </c>
      <c r="E24" t="s">
        <v>43</v>
      </c>
      <c r="F24" s="6">
        <v>0.3125</v>
      </c>
      <c r="G24">
        <v>6</v>
      </c>
      <c r="H24" s="6">
        <f>FLOOR(tblPivotData[[#This Row],[Time]],Summary!$B$6/1440)</f>
        <v>0.3125</v>
      </c>
      <c r="I24">
        <f>INDEX(PeakCalc!$L$10:$L$303,MATCH(tblPivotData[[#This Row],[Time]],PeakCalc!$G$10:$G$303,0))</f>
        <v>1</v>
      </c>
    </row>
    <row r="25" spans="1:9" x14ac:dyDescent="0.25">
      <c r="A25" t="s">
        <v>92</v>
      </c>
      <c r="B25" t="s">
        <v>95</v>
      </c>
      <c r="C25" t="s">
        <v>93</v>
      </c>
      <c r="D25" t="s">
        <v>88</v>
      </c>
      <c r="E25" t="s">
        <v>43</v>
      </c>
      <c r="F25" s="6">
        <v>0.32291666666666669</v>
      </c>
      <c r="G25">
        <v>9</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7</v>
      </c>
      <c r="H26" s="6">
        <f>FLOOR(tblPivotData[[#This Row],[Time]],Summary!$B$6/1440)</f>
        <v>0.33333333333333331</v>
      </c>
      <c r="I26">
        <f>INDEX(PeakCalc!$L$10:$L$303,MATCH(tblPivotData[[#This Row],[Time]],PeakCalc!$G$10:$G$303,0))</f>
        <v>0</v>
      </c>
    </row>
    <row r="27" spans="1:9" x14ac:dyDescent="0.25">
      <c r="A27" t="s">
        <v>92</v>
      </c>
      <c r="B27" t="s">
        <v>95</v>
      </c>
      <c r="C27" t="s">
        <v>93</v>
      </c>
      <c r="D27" t="s">
        <v>88</v>
      </c>
      <c r="E27" t="s">
        <v>43</v>
      </c>
      <c r="F27" s="6">
        <v>0.34375</v>
      </c>
      <c r="G27">
        <v>5</v>
      </c>
      <c r="H27" s="6">
        <f>FLOOR(tblPivotData[[#This Row],[Time]],Summary!$B$6/1440)</f>
        <v>0.34375</v>
      </c>
      <c r="I27">
        <f>INDEX(PeakCalc!$L$10:$L$303,MATCH(tblPivotData[[#This Row],[Time]],PeakCalc!$G$10:$G$303,0))</f>
        <v>0</v>
      </c>
    </row>
    <row r="28" spans="1:9" x14ac:dyDescent="0.25">
      <c r="A28" t="s">
        <v>92</v>
      </c>
      <c r="B28" t="s">
        <v>95</v>
      </c>
      <c r="C28" t="s">
        <v>93</v>
      </c>
      <c r="D28" t="s">
        <v>88</v>
      </c>
      <c r="E28" t="s">
        <v>43</v>
      </c>
      <c r="F28" s="6">
        <v>0.35416666666666669</v>
      </c>
      <c r="G28">
        <v>8</v>
      </c>
      <c r="H28" s="6">
        <f>FLOOR(tblPivotData[[#This Row],[Time]],Summary!$B$6/1440)</f>
        <v>0.35416666666666663</v>
      </c>
      <c r="I28">
        <f>INDEX(PeakCalc!$L$10:$L$303,MATCH(tblPivotData[[#This Row],[Time]],PeakCalc!$G$10:$G$303,0))</f>
        <v>0</v>
      </c>
    </row>
    <row r="29" spans="1:9" x14ac:dyDescent="0.25">
      <c r="A29" t="s">
        <v>92</v>
      </c>
      <c r="B29" t="s">
        <v>95</v>
      </c>
      <c r="C29" t="s">
        <v>93</v>
      </c>
      <c r="D29" t="s">
        <v>88</v>
      </c>
      <c r="E29" t="s">
        <v>43</v>
      </c>
      <c r="F29" s="6">
        <v>0.36458333333333331</v>
      </c>
      <c r="G29">
        <v>5</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5</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5</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7</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10</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3</v>
      </c>
      <c r="H34" s="6">
        <f>FLOOR(tblPivotData[[#This Row],[Time]],Summary!$B$6/1440)</f>
        <v>0.66666666666666663</v>
      </c>
      <c r="I34">
        <f>INDEX(PeakCalc!$L$10:$L$303,MATCH(tblPivotData[[#This Row],[Time]],PeakCalc!$G$10:$G$303,0))</f>
        <v>1</v>
      </c>
    </row>
    <row r="35" spans="1:9" x14ac:dyDescent="0.25">
      <c r="A35" t="s">
        <v>92</v>
      </c>
      <c r="B35" t="s">
        <v>95</v>
      </c>
      <c r="C35" t="s">
        <v>93</v>
      </c>
      <c r="D35" t="s">
        <v>88</v>
      </c>
      <c r="E35" t="s">
        <v>44</v>
      </c>
      <c r="F35" s="6">
        <v>0.67708333333333337</v>
      </c>
      <c r="G35">
        <v>1</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1</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0</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2</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1</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0</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0</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114</v>
      </c>
      <c r="H62" s="6">
        <f>FLOOR(tblPivotData[[#This Row],[Time]],Summary!$B$6/1440)</f>
        <v>0.29166666666666663</v>
      </c>
      <c r="I62">
        <f>INDEX(PeakCalc!$L$10:$L$303,MATCH(tblPivotData[[#This Row],[Time]],PeakCalc!$G$10:$G$303,0))</f>
        <v>1</v>
      </c>
    </row>
    <row r="63" spans="1:9" x14ac:dyDescent="0.25">
      <c r="A63" t="s">
        <v>92</v>
      </c>
      <c r="B63" t="s">
        <v>96</v>
      </c>
      <c r="C63" t="s">
        <v>94</v>
      </c>
      <c r="D63" t="s">
        <v>79</v>
      </c>
      <c r="E63" t="s">
        <v>43</v>
      </c>
      <c r="F63" s="6">
        <v>0.30208333333333331</v>
      </c>
      <c r="G63">
        <v>149</v>
      </c>
      <c r="H63" s="6">
        <f>FLOOR(tblPivotData[[#This Row],[Time]],Summary!$B$6/1440)</f>
        <v>0.30208333333333331</v>
      </c>
      <c r="I63">
        <f>INDEX(PeakCalc!$L$10:$L$303,MATCH(tblPivotData[[#This Row],[Time]],PeakCalc!$G$10:$G$303,0))</f>
        <v>1</v>
      </c>
    </row>
    <row r="64" spans="1:9" x14ac:dyDescent="0.25">
      <c r="A64" t="s">
        <v>92</v>
      </c>
      <c r="B64" t="s">
        <v>96</v>
      </c>
      <c r="C64" t="s">
        <v>94</v>
      </c>
      <c r="D64" t="s">
        <v>79</v>
      </c>
      <c r="E64" t="s">
        <v>43</v>
      </c>
      <c r="F64" s="6">
        <v>0.3125</v>
      </c>
      <c r="G64">
        <v>120</v>
      </c>
      <c r="H64" s="6">
        <f>FLOOR(tblPivotData[[#This Row],[Time]],Summary!$B$6/1440)</f>
        <v>0.3125</v>
      </c>
      <c r="I64">
        <f>INDEX(PeakCalc!$L$10:$L$303,MATCH(tblPivotData[[#This Row],[Time]],PeakCalc!$G$10:$G$303,0))</f>
        <v>1</v>
      </c>
    </row>
    <row r="65" spans="1:9" x14ac:dyDescent="0.25">
      <c r="A65" t="s">
        <v>92</v>
      </c>
      <c r="B65" t="s">
        <v>96</v>
      </c>
      <c r="C65" t="s">
        <v>94</v>
      </c>
      <c r="D65" t="s">
        <v>79</v>
      </c>
      <c r="E65" t="s">
        <v>43</v>
      </c>
      <c r="F65" s="6">
        <v>0.32291666666666669</v>
      </c>
      <c r="G65">
        <v>106</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63</v>
      </c>
      <c r="H66" s="6">
        <f>FLOOR(tblPivotData[[#This Row],[Time]],Summary!$B$6/1440)</f>
        <v>0.33333333333333331</v>
      </c>
      <c r="I66">
        <f>INDEX(PeakCalc!$L$10:$L$303,MATCH(tblPivotData[[#This Row],[Time]],PeakCalc!$G$10:$G$303,0))</f>
        <v>0</v>
      </c>
    </row>
    <row r="67" spans="1:9" x14ac:dyDescent="0.25">
      <c r="A67" t="s">
        <v>92</v>
      </c>
      <c r="B67" t="s">
        <v>96</v>
      </c>
      <c r="C67" t="s">
        <v>94</v>
      </c>
      <c r="D67" t="s">
        <v>79</v>
      </c>
      <c r="E67" t="s">
        <v>43</v>
      </c>
      <c r="F67" s="6">
        <v>0.34375</v>
      </c>
      <c r="G67">
        <v>80</v>
      </c>
      <c r="H67" s="6">
        <f>FLOOR(tblPivotData[[#This Row],[Time]],Summary!$B$6/1440)</f>
        <v>0.34375</v>
      </c>
      <c r="I67">
        <f>INDEX(PeakCalc!$L$10:$L$303,MATCH(tblPivotData[[#This Row],[Time]],PeakCalc!$G$10:$G$303,0))</f>
        <v>0</v>
      </c>
    </row>
    <row r="68" spans="1:9" x14ac:dyDescent="0.25">
      <c r="A68" t="s">
        <v>92</v>
      </c>
      <c r="B68" t="s">
        <v>96</v>
      </c>
      <c r="C68" t="s">
        <v>94</v>
      </c>
      <c r="D68" t="s">
        <v>79</v>
      </c>
      <c r="E68" t="s">
        <v>43</v>
      </c>
      <c r="F68" s="6">
        <v>0.35416666666666669</v>
      </c>
      <c r="G68">
        <v>60</v>
      </c>
      <c r="H68" s="6">
        <f>FLOOR(tblPivotData[[#This Row],[Time]],Summary!$B$6/1440)</f>
        <v>0.35416666666666663</v>
      </c>
      <c r="I68">
        <f>INDEX(PeakCalc!$L$10:$L$303,MATCH(tblPivotData[[#This Row],[Time]],PeakCalc!$G$10:$G$303,0))</f>
        <v>0</v>
      </c>
    </row>
    <row r="69" spans="1:9" x14ac:dyDescent="0.25">
      <c r="A69" t="s">
        <v>92</v>
      </c>
      <c r="B69" t="s">
        <v>96</v>
      </c>
      <c r="C69" t="s">
        <v>94</v>
      </c>
      <c r="D69" t="s">
        <v>79</v>
      </c>
      <c r="E69" t="s">
        <v>43</v>
      </c>
      <c r="F69" s="6">
        <v>0.36458333333333331</v>
      </c>
      <c r="G69">
        <v>76</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54</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69</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81</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73</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74</v>
      </c>
      <c r="H74" s="6">
        <f>FLOOR(tblPivotData[[#This Row],[Time]],Summary!$B$6/1440)</f>
        <v>0.66666666666666663</v>
      </c>
      <c r="I74">
        <f>INDEX(PeakCalc!$L$10:$L$303,MATCH(tblPivotData[[#This Row],[Time]],PeakCalc!$G$10:$G$303,0))</f>
        <v>1</v>
      </c>
    </row>
    <row r="75" spans="1:9" x14ac:dyDescent="0.25">
      <c r="A75" t="s">
        <v>92</v>
      </c>
      <c r="B75" t="s">
        <v>96</v>
      </c>
      <c r="C75" t="s">
        <v>94</v>
      </c>
      <c r="D75" t="s">
        <v>79</v>
      </c>
      <c r="E75" t="s">
        <v>44</v>
      </c>
      <c r="F75" s="6">
        <v>0.67708333333333337</v>
      </c>
      <c r="G75">
        <v>43</v>
      </c>
      <c r="H75" s="6">
        <f>FLOOR(tblPivotData[[#This Row],[Time]],Summary!$B$6/1440)</f>
        <v>0.67708333333333326</v>
      </c>
      <c r="I75">
        <f>INDEX(PeakCalc!$L$10:$L$303,MATCH(tblPivotData[[#This Row],[Time]],PeakCalc!$G$10:$G$303,0))</f>
        <v>1</v>
      </c>
    </row>
    <row r="76" spans="1:9" x14ac:dyDescent="0.25">
      <c r="A76" t="s">
        <v>92</v>
      </c>
      <c r="B76" t="s">
        <v>96</v>
      </c>
      <c r="C76" t="s">
        <v>94</v>
      </c>
      <c r="D76" t="s">
        <v>79</v>
      </c>
      <c r="E76" t="s">
        <v>44</v>
      </c>
      <c r="F76" s="6">
        <v>0.6875</v>
      </c>
      <c r="G76">
        <v>65</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52</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50</v>
      </c>
      <c r="H78" s="6">
        <f>FLOOR(tblPivotData[[#This Row],[Time]],Summary!$B$6/1440)</f>
        <v>0.70833333333333326</v>
      </c>
      <c r="I78">
        <f>INDEX(PeakCalc!$L$10:$L$303,MATCH(tblPivotData[[#This Row],[Time]],PeakCalc!$G$10:$G$303,0))</f>
        <v>0</v>
      </c>
    </row>
    <row r="79" spans="1:9" x14ac:dyDescent="0.25">
      <c r="A79" t="s">
        <v>92</v>
      </c>
      <c r="B79" t="s">
        <v>96</v>
      </c>
      <c r="C79" t="s">
        <v>94</v>
      </c>
      <c r="D79" t="s">
        <v>79</v>
      </c>
      <c r="E79" t="s">
        <v>44</v>
      </c>
      <c r="F79" s="6">
        <v>0.71875</v>
      </c>
      <c r="G79">
        <v>34</v>
      </c>
      <c r="H79" s="6">
        <f>FLOOR(tblPivotData[[#This Row],[Time]],Summary!$B$6/1440)</f>
        <v>0.71875</v>
      </c>
      <c r="I79">
        <f>INDEX(PeakCalc!$L$10:$L$303,MATCH(tblPivotData[[#This Row],[Time]],PeakCalc!$G$10:$G$303,0))</f>
        <v>0</v>
      </c>
    </row>
    <row r="80" spans="1:9" x14ac:dyDescent="0.25">
      <c r="A80" t="s">
        <v>92</v>
      </c>
      <c r="B80" t="s">
        <v>96</v>
      </c>
      <c r="C80" t="s">
        <v>94</v>
      </c>
      <c r="D80" t="s">
        <v>79</v>
      </c>
      <c r="E80" t="s">
        <v>44</v>
      </c>
      <c r="F80" s="6">
        <v>0.72916666666666663</v>
      </c>
      <c r="G80">
        <v>41</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36</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8</v>
      </c>
      <c r="H82" s="6">
        <f>FLOOR(tblPivotData[[#This Row],[Time]],Summary!$B$6/1440)</f>
        <v>0.29166666666666663</v>
      </c>
      <c r="I82">
        <f>INDEX(PeakCalc!$L$10:$L$303,MATCH(tblPivotData[[#This Row],[Time]],PeakCalc!$G$10:$G$303,0))</f>
        <v>1</v>
      </c>
    </row>
    <row r="83" spans="1:9" x14ac:dyDescent="0.25">
      <c r="A83" t="s">
        <v>92</v>
      </c>
      <c r="B83" t="s">
        <v>96</v>
      </c>
      <c r="C83" t="s">
        <v>94</v>
      </c>
      <c r="D83" t="s">
        <v>88</v>
      </c>
      <c r="E83" t="s">
        <v>43</v>
      </c>
      <c r="F83" s="6">
        <v>0.30208333333333331</v>
      </c>
      <c r="G83">
        <v>10</v>
      </c>
      <c r="H83" s="6">
        <f>FLOOR(tblPivotData[[#This Row],[Time]],Summary!$B$6/1440)</f>
        <v>0.30208333333333331</v>
      </c>
      <c r="I83">
        <f>INDEX(PeakCalc!$L$10:$L$303,MATCH(tblPivotData[[#This Row],[Time]],PeakCalc!$G$10:$G$303,0))</f>
        <v>1</v>
      </c>
    </row>
    <row r="84" spans="1:9" x14ac:dyDescent="0.25">
      <c r="A84" t="s">
        <v>92</v>
      </c>
      <c r="B84" t="s">
        <v>96</v>
      </c>
      <c r="C84" t="s">
        <v>94</v>
      </c>
      <c r="D84" t="s">
        <v>88</v>
      </c>
      <c r="E84" t="s">
        <v>43</v>
      </c>
      <c r="F84" s="6">
        <v>0.3125</v>
      </c>
      <c r="G84">
        <v>9</v>
      </c>
      <c r="H84" s="6">
        <f>FLOOR(tblPivotData[[#This Row],[Time]],Summary!$B$6/1440)</f>
        <v>0.3125</v>
      </c>
      <c r="I84">
        <f>INDEX(PeakCalc!$L$10:$L$303,MATCH(tblPivotData[[#This Row],[Time]],PeakCalc!$G$10:$G$303,0))</f>
        <v>1</v>
      </c>
    </row>
    <row r="85" spans="1:9" x14ac:dyDescent="0.25">
      <c r="A85" t="s">
        <v>92</v>
      </c>
      <c r="B85" t="s">
        <v>96</v>
      </c>
      <c r="C85" t="s">
        <v>94</v>
      </c>
      <c r="D85" t="s">
        <v>88</v>
      </c>
      <c r="E85" t="s">
        <v>43</v>
      </c>
      <c r="F85" s="6">
        <v>0.32291666666666669</v>
      </c>
      <c r="G85">
        <v>6</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7</v>
      </c>
      <c r="H86" s="6">
        <f>FLOOR(tblPivotData[[#This Row],[Time]],Summary!$B$6/1440)</f>
        <v>0.33333333333333331</v>
      </c>
      <c r="I86">
        <f>INDEX(PeakCalc!$L$10:$L$303,MATCH(tblPivotData[[#This Row],[Time]],PeakCalc!$G$10:$G$303,0))</f>
        <v>0</v>
      </c>
    </row>
    <row r="87" spans="1:9" x14ac:dyDescent="0.25">
      <c r="A87" t="s">
        <v>92</v>
      </c>
      <c r="B87" t="s">
        <v>96</v>
      </c>
      <c r="C87" t="s">
        <v>94</v>
      </c>
      <c r="D87" t="s">
        <v>88</v>
      </c>
      <c r="E87" t="s">
        <v>43</v>
      </c>
      <c r="F87" s="6">
        <v>0.34375</v>
      </c>
      <c r="G87">
        <v>12</v>
      </c>
      <c r="H87" s="6">
        <f>FLOOR(tblPivotData[[#This Row],[Time]],Summary!$B$6/1440)</f>
        <v>0.34375</v>
      </c>
      <c r="I87">
        <f>INDEX(PeakCalc!$L$10:$L$303,MATCH(tblPivotData[[#This Row],[Time]],PeakCalc!$G$10:$G$303,0))</f>
        <v>0</v>
      </c>
    </row>
    <row r="88" spans="1:9" x14ac:dyDescent="0.25">
      <c r="A88" t="s">
        <v>92</v>
      </c>
      <c r="B88" t="s">
        <v>96</v>
      </c>
      <c r="C88" t="s">
        <v>94</v>
      </c>
      <c r="D88" t="s">
        <v>88</v>
      </c>
      <c r="E88" t="s">
        <v>43</v>
      </c>
      <c r="F88" s="6">
        <v>0.35416666666666669</v>
      </c>
      <c r="G88">
        <v>18</v>
      </c>
      <c r="H88" s="6">
        <f>FLOOR(tblPivotData[[#This Row],[Time]],Summary!$B$6/1440)</f>
        <v>0.35416666666666663</v>
      </c>
      <c r="I88">
        <f>INDEX(PeakCalc!$L$10:$L$303,MATCH(tblPivotData[[#This Row],[Time]],PeakCalc!$G$10:$G$303,0))</f>
        <v>0</v>
      </c>
    </row>
    <row r="89" spans="1:9" x14ac:dyDescent="0.25">
      <c r="A89" t="s">
        <v>92</v>
      </c>
      <c r="B89" t="s">
        <v>96</v>
      </c>
      <c r="C89" t="s">
        <v>94</v>
      </c>
      <c r="D89" t="s">
        <v>88</v>
      </c>
      <c r="E89" t="s">
        <v>43</v>
      </c>
      <c r="F89" s="6">
        <v>0.36458333333333331</v>
      </c>
      <c r="G89">
        <v>14</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17</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13</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10</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18</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1</v>
      </c>
      <c r="H94" s="6">
        <f>FLOOR(tblPivotData[[#This Row],[Time]],Summary!$B$6/1440)</f>
        <v>0.66666666666666663</v>
      </c>
      <c r="I94">
        <f>INDEX(PeakCalc!$L$10:$L$303,MATCH(tblPivotData[[#This Row],[Time]],PeakCalc!$G$10:$G$303,0))</f>
        <v>1</v>
      </c>
    </row>
    <row r="95" spans="1:9" x14ac:dyDescent="0.25">
      <c r="A95" t="s">
        <v>92</v>
      </c>
      <c r="B95" t="s">
        <v>96</v>
      </c>
      <c r="C95" t="s">
        <v>94</v>
      </c>
      <c r="D95" t="s">
        <v>88</v>
      </c>
      <c r="E95" t="s">
        <v>44</v>
      </c>
      <c r="F95" s="6">
        <v>0.67708333333333337</v>
      </c>
      <c r="G95">
        <v>3</v>
      </c>
      <c r="H95" s="6">
        <f>FLOOR(tblPivotData[[#This Row],[Time]],Summary!$B$6/1440)</f>
        <v>0.67708333333333326</v>
      </c>
      <c r="I95">
        <f>INDEX(PeakCalc!$L$10:$L$303,MATCH(tblPivotData[[#This Row],[Time]],PeakCalc!$G$10:$G$303,0))</f>
        <v>1</v>
      </c>
    </row>
    <row r="96" spans="1:9" x14ac:dyDescent="0.25">
      <c r="A96" t="s">
        <v>92</v>
      </c>
      <c r="B96" t="s">
        <v>96</v>
      </c>
      <c r="C96" t="s">
        <v>94</v>
      </c>
      <c r="D96" t="s">
        <v>88</v>
      </c>
      <c r="E96" t="s">
        <v>44</v>
      </c>
      <c r="F96" s="6">
        <v>0.6875</v>
      </c>
      <c r="G96">
        <v>7</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3</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0</v>
      </c>
    </row>
    <row r="99" spans="1:9" x14ac:dyDescent="0.25">
      <c r="A99" t="s">
        <v>92</v>
      </c>
      <c r="B99" t="s">
        <v>96</v>
      </c>
      <c r="C99" t="s">
        <v>94</v>
      </c>
      <c r="D99" t="s">
        <v>88</v>
      </c>
      <c r="E99" t="s">
        <v>44</v>
      </c>
      <c r="F99" s="6">
        <v>0.71875</v>
      </c>
      <c r="G99">
        <v>2</v>
      </c>
      <c r="H99" s="6">
        <f>FLOOR(tblPivotData[[#This Row],[Time]],Summary!$B$6/1440)</f>
        <v>0.71875</v>
      </c>
      <c r="I99">
        <f>INDEX(PeakCalc!$L$10:$L$303,MATCH(tblPivotData[[#This Row],[Time]],PeakCalc!$G$10:$G$303,0))</f>
        <v>0</v>
      </c>
    </row>
    <row r="100" spans="1:9" x14ac:dyDescent="0.25">
      <c r="A100" t="s">
        <v>92</v>
      </c>
      <c r="B100" t="s">
        <v>96</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1</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96</v>
      </c>
      <c r="C104" t="s">
        <v>94</v>
      </c>
      <c r="D104" t="s">
        <v>89</v>
      </c>
      <c r="E104" t="s">
        <v>43</v>
      </c>
      <c r="F104" s="6">
        <v>0.3125</v>
      </c>
      <c r="G104">
        <v>1</v>
      </c>
      <c r="H104" s="6">
        <f>FLOOR(tblPivotData[[#This Row],[Time]],Summary!$B$6/1440)</f>
        <v>0.3125</v>
      </c>
      <c r="I104">
        <f>INDEX(PeakCalc!$L$10:$L$303,MATCH(tblPivotData[[#This Row],[Time]],PeakCalc!$G$10:$G$303,0))</f>
        <v>1</v>
      </c>
    </row>
    <row r="105" spans="1:9" x14ac:dyDescent="0.25">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0</v>
      </c>
    </row>
    <row r="107" spans="1:9" x14ac:dyDescent="0.25">
      <c r="A107" t="s">
        <v>92</v>
      </c>
      <c r="B107" t="s">
        <v>96</v>
      </c>
      <c r="C107" t="s">
        <v>94</v>
      </c>
      <c r="D107" t="s">
        <v>89</v>
      </c>
      <c r="E107" t="s">
        <v>43</v>
      </c>
      <c r="F107" s="6">
        <v>0.34375</v>
      </c>
      <c r="G107">
        <v>0</v>
      </c>
      <c r="H107" s="6">
        <f>FLOOR(tblPivotData[[#This Row],[Time]],Summary!$B$6/1440)</f>
        <v>0.34375</v>
      </c>
      <c r="I107">
        <f>INDEX(PeakCalc!$L$10:$L$303,MATCH(tblPivotData[[#This Row],[Time]],PeakCalc!$G$10:$G$303,0))</f>
        <v>0</v>
      </c>
    </row>
    <row r="108" spans="1:9" x14ac:dyDescent="0.25">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1</v>
      </c>
      <c r="H114" s="6">
        <f>FLOOR(tblPivotData[[#This Row],[Time]],Summary!$B$6/1440)</f>
        <v>0.66666666666666663</v>
      </c>
      <c r="I114">
        <f>INDEX(PeakCalc!$L$10:$L$303,MATCH(tblPivotData[[#This Row],[Time]],PeakCalc!$G$10:$G$303,0))</f>
        <v>1</v>
      </c>
    </row>
    <row r="115" spans="1:9" x14ac:dyDescent="0.25">
      <c r="A115" t="s">
        <v>92</v>
      </c>
      <c r="B115" t="s">
        <v>96</v>
      </c>
      <c r="C115" t="s">
        <v>94</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0</v>
      </c>
      <c r="H122" s="6">
        <f>FLOOR(tblPivotData[[#This Row],[Time]],Summary!$B$6/1440)</f>
        <v>0.29166666666666663</v>
      </c>
      <c r="I122">
        <f>INDEX(PeakCalc!$L$10:$L$303,MATCH(tblPivotData[[#This Row],[Time]],PeakCalc!$G$10:$G$303,0))</f>
        <v>1</v>
      </c>
    </row>
    <row r="123" spans="1:9" x14ac:dyDescent="0.25">
      <c r="A123" t="s">
        <v>93</v>
      </c>
      <c r="B123" t="s">
        <v>97</v>
      </c>
      <c r="C123" t="s">
        <v>94</v>
      </c>
      <c r="D123" t="s">
        <v>79</v>
      </c>
      <c r="E123" t="s">
        <v>43</v>
      </c>
      <c r="F123" s="6">
        <v>0.30208333333333331</v>
      </c>
      <c r="G123">
        <v>0</v>
      </c>
      <c r="H123" s="6">
        <f>FLOOR(tblPivotData[[#This Row],[Time]],Summary!$B$6/1440)</f>
        <v>0.30208333333333331</v>
      </c>
      <c r="I123">
        <f>INDEX(PeakCalc!$L$10:$L$303,MATCH(tblPivotData[[#This Row],[Time]],PeakCalc!$G$10:$G$303,0))</f>
        <v>1</v>
      </c>
    </row>
    <row r="124" spans="1:9" x14ac:dyDescent="0.25">
      <c r="A124" t="s">
        <v>93</v>
      </c>
      <c r="B124" t="s">
        <v>97</v>
      </c>
      <c r="C124" t="s">
        <v>94</v>
      </c>
      <c r="D124" t="s">
        <v>79</v>
      </c>
      <c r="E124" t="s">
        <v>43</v>
      </c>
      <c r="F124" s="6">
        <v>0.3125</v>
      </c>
      <c r="G124">
        <v>0</v>
      </c>
      <c r="H124" s="6">
        <f>FLOOR(tblPivotData[[#This Row],[Time]],Summary!$B$6/1440)</f>
        <v>0.3125</v>
      </c>
      <c r="I124">
        <f>INDEX(PeakCalc!$L$10:$L$303,MATCH(tblPivotData[[#This Row],[Time]],PeakCalc!$G$10:$G$303,0))</f>
        <v>1</v>
      </c>
    </row>
    <row r="125" spans="1:9" x14ac:dyDescent="0.25">
      <c r="A125" t="s">
        <v>93</v>
      </c>
      <c r="B125" t="s">
        <v>97</v>
      </c>
      <c r="C125" t="s">
        <v>94</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0</v>
      </c>
      <c r="H126" s="6">
        <f>FLOOR(tblPivotData[[#This Row],[Time]],Summary!$B$6/1440)</f>
        <v>0.33333333333333331</v>
      </c>
      <c r="I126">
        <f>INDEX(PeakCalc!$L$10:$L$303,MATCH(tblPivotData[[#This Row],[Time]],PeakCalc!$G$10:$G$303,0))</f>
        <v>0</v>
      </c>
    </row>
    <row r="127" spans="1:9" x14ac:dyDescent="0.25">
      <c r="A127" t="s">
        <v>93</v>
      </c>
      <c r="B127" t="s">
        <v>97</v>
      </c>
      <c r="C127" t="s">
        <v>94</v>
      </c>
      <c r="D127" t="s">
        <v>79</v>
      </c>
      <c r="E127" t="s">
        <v>43</v>
      </c>
      <c r="F127" s="6">
        <v>0.34375</v>
      </c>
      <c r="G127">
        <v>0</v>
      </c>
      <c r="H127" s="6">
        <f>FLOOR(tblPivotData[[#This Row],[Time]],Summary!$B$6/1440)</f>
        <v>0.34375</v>
      </c>
      <c r="I127">
        <f>INDEX(PeakCalc!$L$10:$L$303,MATCH(tblPivotData[[#This Row],[Time]],PeakCalc!$G$10:$G$303,0))</f>
        <v>0</v>
      </c>
    </row>
    <row r="128" spans="1:9" x14ac:dyDescent="0.25">
      <c r="A128" t="s">
        <v>93</v>
      </c>
      <c r="B128" t="s">
        <v>97</v>
      </c>
      <c r="C128" t="s">
        <v>94</v>
      </c>
      <c r="D128" t="s">
        <v>79</v>
      </c>
      <c r="E128" t="s">
        <v>43</v>
      </c>
      <c r="F128" s="6">
        <v>0.35416666666666669</v>
      </c>
      <c r="G128">
        <v>2</v>
      </c>
      <c r="H128" s="6">
        <f>FLOOR(tblPivotData[[#This Row],[Time]],Summary!$B$6/1440)</f>
        <v>0.35416666666666663</v>
      </c>
      <c r="I128">
        <f>INDEX(PeakCalc!$L$10:$L$303,MATCH(tblPivotData[[#This Row],[Time]],PeakCalc!$G$10:$G$303,0))</f>
        <v>0</v>
      </c>
    </row>
    <row r="129" spans="1:9" x14ac:dyDescent="0.25">
      <c r="A129" t="s">
        <v>93</v>
      </c>
      <c r="B129" t="s">
        <v>97</v>
      </c>
      <c r="C129" t="s">
        <v>94</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1</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1</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3</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0</v>
      </c>
      <c r="H134" s="6">
        <f>FLOOR(tblPivotData[[#This Row],[Time]],Summary!$B$6/1440)</f>
        <v>0.66666666666666663</v>
      </c>
      <c r="I134">
        <f>INDEX(PeakCalc!$L$10:$L$303,MATCH(tblPivotData[[#This Row],[Time]],PeakCalc!$G$10:$G$303,0))</f>
        <v>1</v>
      </c>
    </row>
    <row r="135" spans="1:9" x14ac:dyDescent="0.25">
      <c r="A135" t="s">
        <v>93</v>
      </c>
      <c r="B135" t="s">
        <v>97</v>
      </c>
      <c r="C135" t="s">
        <v>94</v>
      </c>
      <c r="D135" t="s">
        <v>79</v>
      </c>
      <c r="E135" t="s">
        <v>44</v>
      </c>
      <c r="F135" s="6">
        <v>0.67708333333333337</v>
      </c>
      <c r="G135">
        <v>0</v>
      </c>
      <c r="H135" s="6">
        <f>FLOOR(tblPivotData[[#This Row],[Time]],Summary!$B$6/1440)</f>
        <v>0.67708333333333326</v>
      </c>
      <c r="I135">
        <f>INDEX(PeakCalc!$L$10:$L$303,MATCH(tblPivotData[[#This Row],[Time]],PeakCalc!$G$10:$G$303,0))</f>
        <v>1</v>
      </c>
    </row>
    <row r="136" spans="1:9" x14ac:dyDescent="0.25">
      <c r="A136" t="s">
        <v>93</v>
      </c>
      <c r="B136" t="s">
        <v>97</v>
      </c>
      <c r="C136" t="s">
        <v>94</v>
      </c>
      <c r="D136" t="s">
        <v>79</v>
      </c>
      <c r="E136" t="s">
        <v>44</v>
      </c>
      <c r="F136" s="6">
        <v>0.6875</v>
      </c>
      <c r="G136">
        <v>0</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0</v>
      </c>
      <c r="H138" s="6">
        <f>FLOOR(tblPivotData[[#This Row],[Time]],Summary!$B$6/1440)</f>
        <v>0.70833333333333326</v>
      </c>
      <c r="I138">
        <f>INDEX(PeakCalc!$L$10:$L$303,MATCH(tblPivotData[[#This Row],[Time]],PeakCalc!$G$10:$G$303,0))</f>
        <v>0</v>
      </c>
    </row>
    <row r="139" spans="1:9" x14ac:dyDescent="0.25">
      <c r="A139" t="s">
        <v>93</v>
      </c>
      <c r="B139" t="s">
        <v>97</v>
      </c>
      <c r="C139" t="s">
        <v>94</v>
      </c>
      <c r="D139" t="s">
        <v>79</v>
      </c>
      <c r="E139" t="s">
        <v>44</v>
      </c>
      <c r="F139" s="6">
        <v>0.71875</v>
      </c>
      <c r="G139">
        <v>0</v>
      </c>
      <c r="H139" s="6">
        <f>FLOOR(tblPivotData[[#This Row],[Time]],Summary!$B$6/1440)</f>
        <v>0.71875</v>
      </c>
      <c r="I139">
        <f>INDEX(PeakCalc!$L$10:$L$303,MATCH(tblPivotData[[#This Row],[Time]],PeakCalc!$G$10:$G$303,0))</f>
        <v>0</v>
      </c>
    </row>
    <row r="140" spans="1:9" x14ac:dyDescent="0.25">
      <c r="A140" t="s">
        <v>93</v>
      </c>
      <c r="B140" t="s">
        <v>97</v>
      </c>
      <c r="C140" t="s">
        <v>94</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1</v>
      </c>
    </row>
    <row r="143" spans="1:9" x14ac:dyDescent="0.25">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1</v>
      </c>
    </row>
    <row r="144" spans="1:9" x14ac:dyDescent="0.25">
      <c r="A144" t="s">
        <v>93</v>
      </c>
      <c r="B144" t="s">
        <v>97</v>
      </c>
      <c r="C144" t="s">
        <v>94</v>
      </c>
      <c r="D144" t="s">
        <v>88</v>
      </c>
      <c r="E144" t="s">
        <v>43</v>
      </c>
      <c r="F144" s="6">
        <v>0.3125</v>
      </c>
      <c r="G144">
        <v>0</v>
      </c>
      <c r="H144" s="6">
        <f>FLOOR(tblPivotData[[#This Row],[Time]],Summary!$B$6/1440)</f>
        <v>0.3125</v>
      </c>
      <c r="I144">
        <f>INDEX(PeakCalc!$L$10:$L$303,MATCH(tblPivotData[[#This Row],[Time]],PeakCalc!$G$10:$G$303,0))</f>
        <v>1</v>
      </c>
    </row>
    <row r="145" spans="1:9" x14ac:dyDescent="0.25">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0</v>
      </c>
    </row>
    <row r="147" spans="1:9" x14ac:dyDescent="0.25">
      <c r="A147" t="s">
        <v>93</v>
      </c>
      <c r="B147" t="s">
        <v>97</v>
      </c>
      <c r="C147" t="s">
        <v>94</v>
      </c>
      <c r="D147" t="s">
        <v>88</v>
      </c>
      <c r="E147" t="s">
        <v>43</v>
      </c>
      <c r="F147" s="6">
        <v>0.34375</v>
      </c>
      <c r="G147">
        <v>0</v>
      </c>
      <c r="H147" s="6">
        <f>FLOOR(tblPivotData[[#This Row],[Time]],Summary!$B$6/1440)</f>
        <v>0.34375</v>
      </c>
      <c r="I147">
        <f>INDEX(PeakCalc!$L$10:$L$303,MATCH(tblPivotData[[#This Row],[Time]],PeakCalc!$G$10:$G$303,0))</f>
        <v>0</v>
      </c>
    </row>
    <row r="148" spans="1:9" x14ac:dyDescent="0.25">
      <c r="A148" t="s">
        <v>93</v>
      </c>
      <c r="B148" t="s">
        <v>97</v>
      </c>
      <c r="C148" t="s">
        <v>94</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93</v>
      </c>
      <c r="B149" t="s">
        <v>97</v>
      </c>
      <c r="C149" t="s">
        <v>94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1</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97</v>
      </c>
      <c r="C156" t="s">
        <v>94</v>
      </c>
      <c r="D156" t="s">
        <v>88</v>
      </c>
      <c r="E156" t="s">
        <v>44</v>
      </c>
      <c r="F156" s="6">
        <v>0.6875</v>
      </c>
      <c r="G156">
        <v>0</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93</v>
      </c>
      <c r="B159" t="s">
        <v>97</v>
      </c>
      <c r="C159" t="s">
        <v>94</v>
      </c>
      <c r="D159" t="s">
        <v>88</v>
      </c>
      <c r="E159" t="s">
        <v>44</v>
      </c>
      <c r="F159" s="6">
        <v>0.71875</v>
      </c>
      <c r="G159">
        <v>0</v>
      </c>
      <c r="H159" s="6">
        <f>FLOOR(tblPivotData[[#This Row],[Time]],Summary!$B$6/1440)</f>
        <v>0.71875</v>
      </c>
      <c r="I159">
        <f>INDEX(PeakCalc!$L$10:$L$303,MATCH(tblPivotData[[#This Row],[Time]],PeakCalc!$G$10:$G$303,0))</f>
        <v>0</v>
      </c>
    </row>
    <row r="160" spans="1:9" x14ac:dyDescent="0.25">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1</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93</v>
      </c>
      <c r="B164" t="s">
        <v>97</v>
      </c>
      <c r="C164" t="s">
        <v>94</v>
      </c>
      <c r="D164" t="s">
        <v>89</v>
      </c>
      <c r="E164" t="s">
        <v>43</v>
      </c>
      <c r="F164" s="6">
        <v>0.3125</v>
      </c>
      <c r="G164">
        <v>0</v>
      </c>
      <c r="H164" s="6">
        <f>FLOOR(tblPivotData[[#This Row],[Time]],Summary!$B$6/1440)</f>
        <v>0.3125</v>
      </c>
      <c r="I164">
        <f>INDEX(PeakCalc!$L$10:$L$303,MATCH(tblPivotData[[#This Row],[Time]],PeakCalc!$G$10:$G$303,0))</f>
        <v>1</v>
      </c>
    </row>
    <row r="165" spans="1:9" x14ac:dyDescent="0.25">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0</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0</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48</v>
      </c>
      <c r="H182" s="6">
        <f>FLOOR(tblPivotData[[#This Row],[Time]],Summary!$B$6/1440)</f>
        <v>0.29166666666666663</v>
      </c>
      <c r="I182">
        <f>INDEX(PeakCalc!$L$10:$L$303,MATCH(tblPivotData[[#This Row],[Time]],PeakCalc!$G$10:$G$303,0))</f>
        <v>1</v>
      </c>
    </row>
    <row r="183" spans="1:9" x14ac:dyDescent="0.25">
      <c r="A183" t="s">
        <v>93</v>
      </c>
      <c r="B183" t="s">
        <v>98</v>
      </c>
      <c r="C183" t="s">
        <v>92</v>
      </c>
      <c r="D183" t="s">
        <v>79</v>
      </c>
      <c r="E183" t="s">
        <v>43</v>
      </c>
      <c r="F183" s="6">
        <v>0.30208333333333331</v>
      </c>
      <c r="G183">
        <v>61</v>
      </c>
      <c r="H183" s="6">
        <f>FLOOR(tblPivotData[[#This Row],[Time]],Summary!$B$6/1440)</f>
        <v>0.30208333333333331</v>
      </c>
      <c r="I183">
        <f>INDEX(PeakCalc!$L$10:$L$303,MATCH(tblPivotData[[#This Row],[Time]],PeakCalc!$G$10:$G$303,0))</f>
        <v>1</v>
      </c>
    </row>
    <row r="184" spans="1:9" x14ac:dyDescent="0.25">
      <c r="A184" t="s">
        <v>93</v>
      </c>
      <c r="B184" t="s">
        <v>98</v>
      </c>
      <c r="C184" t="s">
        <v>92</v>
      </c>
      <c r="D184" t="s">
        <v>79</v>
      </c>
      <c r="E184" t="s">
        <v>43</v>
      </c>
      <c r="F184" s="6">
        <v>0.3125</v>
      </c>
      <c r="G184">
        <v>49</v>
      </c>
      <c r="H184" s="6">
        <f>FLOOR(tblPivotData[[#This Row],[Time]],Summary!$B$6/1440)</f>
        <v>0.3125</v>
      </c>
      <c r="I184">
        <f>INDEX(PeakCalc!$L$10:$L$303,MATCH(tblPivotData[[#This Row],[Time]],PeakCalc!$G$10:$G$303,0))</f>
        <v>1</v>
      </c>
    </row>
    <row r="185" spans="1:9" x14ac:dyDescent="0.25">
      <c r="A185" t="s">
        <v>93</v>
      </c>
      <c r="B185" t="s">
        <v>98</v>
      </c>
      <c r="C185" t="s">
        <v>92</v>
      </c>
      <c r="D185" t="s">
        <v>79</v>
      </c>
      <c r="E185" t="s">
        <v>43</v>
      </c>
      <c r="F185" s="6">
        <v>0.32291666666666669</v>
      </c>
      <c r="G185">
        <v>38</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40</v>
      </c>
      <c r="H186" s="6">
        <f>FLOOR(tblPivotData[[#This Row],[Time]],Summary!$B$6/1440)</f>
        <v>0.33333333333333331</v>
      </c>
      <c r="I186">
        <f>INDEX(PeakCalc!$L$10:$L$303,MATCH(tblPivotData[[#This Row],[Time]],PeakCalc!$G$10:$G$303,0))</f>
        <v>0</v>
      </c>
    </row>
    <row r="187" spans="1:9" x14ac:dyDescent="0.25">
      <c r="A187" t="s">
        <v>93</v>
      </c>
      <c r="B187" t="s">
        <v>98</v>
      </c>
      <c r="C187" t="s">
        <v>92</v>
      </c>
      <c r="D187" t="s">
        <v>79</v>
      </c>
      <c r="E187" t="s">
        <v>43</v>
      </c>
      <c r="F187" s="6">
        <v>0.34375</v>
      </c>
      <c r="G187">
        <v>44</v>
      </c>
      <c r="H187" s="6">
        <f>FLOOR(tblPivotData[[#This Row],[Time]],Summary!$B$6/1440)</f>
        <v>0.34375</v>
      </c>
      <c r="I187">
        <f>INDEX(PeakCalc!$L$10:$L$303,MATCH(tblPivotData[[#This Row],[Time]],PeakCalc!$G$10:$G$303,0))</f>
        <v>0</v>
      </c>
    </row>
    <row r="188" spans="1:9" x14ac:dyDescent="0.25">
      <c r="A188" t="s">
        <v>93</v>
      </c>
      <c r="B188" t="s">
        <v>98</v>
      </c>
      <c r="C188" t="s">
        <v>92</v>
      </c>
      <c r="D188" t="s">
        <v>79</v>
      </c>
      <c r="E188" t="s">
        <v>43</v>
      </c>
      <c r="F188" s="6">
        <v>0.35416666666666669</v>
      </c>
      <c r="G188">
        <v>44</v>
      </c>
      <c r="H188" s="6">
        <f>FLOOR(tblPivotData[[#This Row],[Time]],Summary!$B$6/1440)</f>
        <v>0.35416666666666663</v>
      </c>
      <c r="I188">
        <f>INDEX(PeakCalc!$L$10:$L$303,MATCH(tblPivotData[[#This Row],[Time]],PeakCalc!$G$10:$G$303,0))</f>
        <v>0</v>
      </c>
    </row>
    <row r="189" spans="1:9" x14ac:dyDescent="0.25">
      <c r="A189" t="s">
        <v>93</v>
      </c>
      <c r="B189" t="s">
        <v>98</v>
      </c>
      <c r="C189" t="s">
        <v>92</v>
      </c>
      <c r="D189" t="s">
        <v>79</v>
      </c>
      <c r="E189" t="s">
        <v>43</v>
      </c>
      <c r="F189" s="6">
        <v>0.36458333333333331</v>
      </c>
      <c r="G189">
        <v>42</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81</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79</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87</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66</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117</v>
      </c>
      <c r="H194" s="6">
        <f>FLOOR(tblPivotData[[#This Row],[Time]],Summary!$B$6/1440)</f>
        <v>0.66666666666666663</v>
      </c>
      <c r="I194">
        <f>INDEX(PeakCalc!$L$10:$L$303,MATCH(tblPivotData[[#This Row],[Time]],PeakCalc!$G$10:$G$303,0))</f>
        <v>1</v>
      </c>
    </row>
    <row r="195" spans="1:9" x14ac:dyDescent="0.25">
      <c r="A195" t="s">
        <v>93</v>
      </c>
      <c r="B195" t="s">
        <v>98</v>
      </c>
      <c r="C195" t="s">
        <v>92</v>
      </c>
      <c r="D195" t="s">
        <v>79</v>
      </c>
      <c r="E195" t="s">
        <v>44</v>
      </c>
      <c r="F195" s="6">
        <v>0.67708333333333337</v>
      </c>
      <c r="G195">
        <v>78</v>
      </c>
      <c r="H195" s="6">
        <f>FLOOR(tblPivotData[[#This Row],[Time]],Summary!$B$6/1440)</f>
        <v>0.67708333333333326</v>
      </c>
      <c r="I195">
        <f>INDEX(PeakCalc!$L$10:$L$303,MATCH(tblPivotData[[#This Row],[Time]],PeakCalc!$G$10:$G$303,0))</f>
        <v>1</v>
      </c>
    </row>
    <row r="196" spans="1:9" x14ac:dyDescent="0.25">
      <c r="A196" t="s">
        <v>93</v>
      </c>
      <c r="B196" t="s">
        <v>98</v>
      </c>
      <c r="C196" t="s">
        <v>92</v>
      </c>
      <c r="D196" t="s">
        <v>79</v>
      </c>
      <c r="E196" t="s">
        <v>44</v>
      </c>
      <c r="F196" s="6">
        <v>0.6875</v>
      </c>
      <c r="G196">
        <v>83</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74</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48</v>
      </c>
      <c r="H198" s="6">
        <f>FLOOR(tblPivotData[[#This Row],[Time]],Summary!$B$6/1440)</f>
        <v>0.70833333333333326</v>
      </c>
      <c r="I198">
        <f>INDEX(PeakCalc!$L$10:$L$303,MATCH(tblPivotData[[#This Row],[Time]],PeakCalc!$G$10:$G$303,0))</f>
        <v>0</v>
      </c>
    </row>
    <row r="199" spans="1:9" x14ac:dyDescent="0.25">
      <c r="A199" t="s">
        <v>93</v>
      </c>
      <c r="B199" t="s">
        <v>98</v>
      </c>
      <c r="C199" t="s">
        <v>92</v>
      </c>
      <c r="D199" t="s">
        <v>79</v>
      </c>
      <c r="E199" t="s">
        <v>44</v>
      </c>
      <c r="F199" s="6">
        <v>0.71875</v>
      </c>
      <c r="G199">
        <v>44</v>
      </c>
      <c r="H199" s="6">
        <f>FLOOR(tblPivotData[[#This Row],[Time]],Summary!$B$6/1440)</f>
        <v>0.71875</v>
      </c>
      <c r="I199">
        <f>INDEX(PeakCalc!$L$10:$L$303,MATCH(tblPivotData[[#This Row],[Time]],PeakCalc!$G$10:$G$303,0))</f>
        <v>0</v>
      </c>
    </row>
    <row r="200" spans="1:9" x14ac:dyDescent="0.25">
      <c r="A200" t="s">
        <v>93</v>
      </c>
      <c r="B200" t="s">
        <v>98</v>
      </c>
      <c r="C200" t="s">
        <v>92</v>
      </c>
      <c r="D200" t="s">
        <v>79</v>
      </c>
      <c r="E200" t="s">
        <v>44</v>
      </c>
      <c r="F200" s="6">
        <v>0.72916666666666663</v>
      </c>
      <c r="G200">
        <v>33</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31</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16</v>
      </c>
      <c r="H202" s="6">
        <f>FLOOR(tblPivotData[[#This Row],[Time]],Summary!$B$6/1440)</f>
        <v>0.29166666666666663</v>
      </c>
      <c r="I202">
        <f>INDEX(PeakCalc!$L$10:$L$303,MATCH(tblPivotData[[#This Row],[Time]],PeakCalc!$G$10:$G$303,0))</f>
        <v>1</v>
      </c>
    </row>
    <row r="203" spans="1:9" x14ac:dyDescent="0.25">
      <c r="A203" t="s">
        <v>93</v>
      </c>
      <c r="B203" t="s">
        <v>98</v>
      </c>
      <c r="C203" t="s">
        <v>92</v>
      </c>
      <c r="D203" t="s">
        <v>88</v>
      </c>
      <c r="E203" t="s">
        <v>43</v>
      </c>
      <c r="F203" s="6">
        <v>0.30208333333333331</v>
      </c>
      <c r="G203">
        <v>6</v>
      </c>
      <c r="H203" s="6">
        <f>FLOOR(tblPivotData[[#This Row],[Time]],Summary!$B$6/1440)</f>
        <v>0.30208333333333331</v>
      </c>
      <c r="I203">
        <f>INDEX(PeakCalc!$L$10:$L$303,MATCH(tblPivotData[[#This Row],[Time]],PeakCalc!$G$10:$G$303,0))</f>
        <v>1</v>
      </c>
    </row>
    <row r="204" spans="1:9" x14ac:dyDescent="0.25">
      <c r="A204" t="s">
        <v>93</v>
      </c>
      <c r="B204" t="s">
        <v>98</v>
      </c>
      <c r="C204" t="s">
        <v>92</v>
      </c>
      <c r="D204" t="s">
        <v>88</v>
      </c>
      <c r="E204" t="s">
        <v>43</v>
      </c>
      <c r="F204" s="6">
        <v>0.3125</v>
      </c>
      <c r="G204">
        <v>5</v>
      </c>
      <c r="H204" s="6">
        <f>FLOOR(tblPivotData[[#This Row],[Time]],Summary!$B$6/1440)</f>
        <v>0.3125</v>
      </c>
      <c r="I204">
        <f>INDEX(PeakCalc!$L$10:$L$303,MATCH(tblPivotData[[#This Row],[Time]],PeakCalc!$G$10:$G$303,0))</f>
        <v>1</v>
      </c>
    </row>
    <row r="205" spans="1:9" x14ac:dyDescent="0.25">
      <c r="A205" t="s">
        <v>93</v>
      </c>
      <c r="B205" t="s">
        <v>98</v>
      </c>
      <c r="C205" t="s">
        <v>92</v>
      </c>
      <c r="D205" t="s">
        <v>88</v>
      </c>
      <c r="E205" t="s">
        <v>43</v>
      </c>
      <c r="F205" s="6">
        <v>0.32291666666666669</v>
      </c>
      <c r="G205">
        <v>6</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7</v>
      </c>
      <c r="H206" s="6">
        <f>FLOOR(tblPivotData[[#This Row],[Time]],Summary!$B$6/1440)</f>
        <v>0.33333333333333331</v>
      </c>
      <c r="I206">
        <f>INDEX(PeakCalc!$L$10:$L$303,MATCH(tblPivotData[[#This Row],[Time]],PeakCalc!$G$10:$G$303,0))</f>
        <v>0</v>
      </c>
    </row>
    <row r="207" spans="1:9" x14ac:dyDescent="0.25">
      <c r="A207" t="s">
        <v>93</v>
      </c>
      <c r="B207" t="s">
        <v>98</v>
      </c>
      <c r="C207" t="s">
        <v>92</v>
      </c>
      <c r="D207" t="s">
        <v>88</v>
      </c>
      <c r="E207" t="s">
        <v>43</v>
      </c>
      <c r="F207" s="6">
        <v>0.34375</v>
      </c>
      <c r="G207">
        <v>7</v>
      </c>
      <c r="H207" s="6">
        <f>FLOOR(tblPivotData[[#This Row],[Time]],Summary!$B$6/1440)</f>
        <v>0.34375</v>
      </c>
      <c r="I207">
        <f>INDEX(PeakCalc!$L$10:$L$303,MATCH(tblPivotData[[#This Row],[Time]],PeakCalc!$G$10:$G$303,0))</f>
        <v>0</v>
      </c>
    </row>
    <row r="208" spans="1:9" x14ac:dyDescent="0.25">
      <c r="A208" t="s">
        <v>93</v>
      </c>
      <c r="B208" t="s">
        <v>98</v>
      </c>
      <c r="C208" t="s">
        <v>92</v>
      </c>
      <c r="D208" t="s">
        <v>88</v>
      </c>
      <c r="E208" t="s">
        <v>43</v>
      </c>
      <c r="F208" s="6">
        <v>0.35416666666666669</v>
      </c>
      <c r="G208">
        <v>9</v>
      </c>
      <c r="H208" s="6">
        <f>FLOOR(tblPivotData[[#This Row],[Time]],Summary!$B$6/1440)</f>
        <v>0.35416666666666663</v>
      </c>
      <c r="I208">
        <f>INDEX(PeakCalc!$L$10:$L$303,MATCH(tblPivotData[[#This Row],[Time]],PeakCalc!$G$10:$G$303,0))</f>
        <v>0</v>
      </c>
    </row>
    <row r="209" spans="1:9" x14ac:dyDescent="0.25">
      <c r="A209" t="s">
        <v>93</v>
      </c>
      <c r="B209" t="s">
        <v>98</v>
      </c>
      <c r="C209" t="s">
        <v>92</v>
      </c>
      <c r="D209" t="s">
        <v>88</v>
      </c>
      <c r="E209" t="s">
        <v>43</v>
      </c>
      <c r="F209" s="6">
        <v>0.36458333333333331</v>
      </c>
      <c r="G209">
        <v>8</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8</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6</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7</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4</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3</v>
      </c>
      <c r="H214" s="6">
        <f>FLOOR(tblPivotData[[#This Row],[Time]],Summary!$B$6/1440)</f>
        <v>0.66666666666666663</v>
      </c>
      <c r="I214">
        <f>INDEX(PeakCalc!$L$10:$L$303,MATCH(tblPivotData[[#This Row],[Time]],PeakCalc!$G$10:$G$303,0))</f>
        <v>1</v>
      </c>
    </row>
    <row r="215" spans="1:9" x14ac:dyDescent="0.25">
      <c r="A215" t="s">
        <v>93</v>
      </c>
      <c r="B215" t="s">
        <v>98</v>
      </c>
      <c r="C215" t="s">
        <v>92</v>
      </c>
      <c r="D215" t="s">
        <v>88</v>
      </c>
      <c r="E215" t="s">
        <v>44</v>
      </c>
      <c r="F215" s="6">
        <v>0.67708333333333337</v>
      </c>
      <c r="G215">
        <v>7</v>
      </c>
      <c r="H215" s="6">
        <f>FLOOR(tblPivotData[[#This Row],[Time]],Summary!$B$6/1440)</f>
        <v>0.67708333333333326</v>
      </c>
      <c r="I215">
        <f>INDEX(PeakCalc!$L$10:$L$303,MATCH(tblPivotData[[#This Row],[Time]],PeakCalc!$G$10:$G$303,0))</f>
        <v>1</v>
      </c>
    </row>
    <row r="216" spans="1:9" x14ac:dyDescent="0.25">
      <c r="A216" t="s">
        <v>93</v>
      </c>
      <c r="B216" t="s">
        <v>98</v>
      </c>
      <c r="C216" t="s">
        <v>92</v>
      </c>
      <c r="D216" t="s">
        <v>88</v>
      </c>
      <c r="E216" t="s">
        <v>44</v>
      </c>
      <c r="F216" s="6">
        <v>0.6875</v>
      </c>
      <c r="G216">
        <v>1</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2</v>
      </c>
      <c r="H218" s="6">
        <f>FLOOR(tblPivotData[[#This Row],[Time]],Summary!$B$6/1440)</f>
        <v>0.70833333333333326</v>
      </c>
      <c r="I218">
        <f>INDEX(PeakCalc!$L$10:$L$303,MATCH(tblPivotData[[#This Row],[Time]],PeakCalc!$G$10:$G$303,0))</f>
        <v>0</v>
      </c>
    </row>
    <row r="219" spans="1:9" x14ac:dyDescent="0.25">
      <c r="A219" t="s">
        <v>93</v>
      </c>
      <c r="B219" t="s">
        <v>98</v>
      </c>
      <c r="C219" t="s">
        <v>92</v>
      </c>
      <c r="D219" t="s">
        <v>88</v>
      </c>
      <c r="E219" t="s">
        <v>44</v>
      </c>
      <c r="F219" s="6">
        <v>0.71875</v>
      </c>
      <c r="G219">
        <v>2</v>
      </c>
      <c r="H219" s="6">
        <f>FLOOR(tblPivotData[[#This Row],[Time]],Summary!$B$6/1440)</f>
        <v>0.71875</v>
      </c>
      <c r="I219">
        <f>INDEX(PeakCalc!$L$10:$L$303,MATCH(tblPivotData[[#This Row],[Time]],PeakCalc!$G$10:$G$303,0))</f>
        <v>0</v>
      </c>
    </row>
    <row r="220" spans="1:9" x14ac:dyDescent="0.25">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1</v>
      </c>
    </row>
    <row r="223" spans="1:9" x14ac:dyDescent="0.25">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0</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0</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1</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43</v>
      </c>
      <c r="H242" s="6">
        <f>FLOOR(tblPivotData[[#This Row],[Time]],Summary!$B$6/1440)</f>
        <v>0.29166666666666663</v>
      </c>
      <c r="I242">
        <f>INDEX(PeakCalc!$L$10:$L$303,MATCH(tblPivotData[[#This Row],[Time]],PeakCalc!$G$10:$G$303,0))</f>
        <v>1</v>
      </c>
    </row>
    <row r="243" spans="1:9" x14ac:dyDescent="0.25">
      <c r="A243" t="s">
        <v>94</v>
      </c>
      <c r="B243" t="s">
        <v>99</v>
      </c>
      <c r="C243" t="s">
        <v>92</v>
      </c>
      <c r="D243" t="s">
        <v>79</v>
      </c>
      <c r="E243" t="s">
        <v>43</v>
      </c>
      <c r="F243" s="6">
        <v>0.30208333333333331</v>
      </c>
      <c r="G243">
        <v>81</v>
      </c>
      <c r="H243" s="6">
        <f>FLOOR(tblPivotData[[#This Row],[Time]],Summary!$B$6/1440)</f>
        <v>0.30208333333333331</v>
      </c>
      <c r="I243">
        <f>INDEX(PeakCalc!$L$10:$L$303,MATCH(tblPivotData[[#This Row],[Time]],PeakCalc!$G$10:$G$303,0))</f>
        <v>1</v>
      </c>
    </row>
    <row r="244" spans="1:9" x14ac:dyDescent="0.25">
      <c r="A244" t="s">
        <v>94</v>
      </c>
      <c r="B244" t="s">
        <v>99</v>
      </c>
      <c r="C244" t="s">
        <v>92</v>
      </c>
      <c r="D244" t="s">
        <v>79</v>
      </c>
      <c r="E244" t="s">
        <v>43</v>
      </c>
      <c r="F244" s="6">
        <v>0.3125</v>
      </c>
      <c r="G244">
        <v>69</v>
      </c>
      <c r="H244" s="6">
        <f>FLOOR(tblPivotData[[#This Row],[Time]],Summary!$B$6/1440)</f>
        <v>0.3125</v>
      </c>
      <c r="I244">
        <f>INDEX(PeakCalc!$L$10:$L$303,MATCH(tblPivotData[[#This Row],[Time]],PeakCalc!$G$10:$G$303,0))</f>
        <v>1</v>
      </c>
    </row>
    <row r="245" spans="1:9" x14ac:dyDescent="0.25">
      <c r="A245" t="s">
        <v>94</v>
      </c>
      <c r="B245" t="s">
        <v>99</v>
      </c>
      <c r="C245" t="s">
        <v>92</v>
      </c>
      <c r="D245" t="s">
        <v>79</v>
      </c>
      <c r="E245" t="s">
        <v>43</v>
      </c>
      <c r="F245" s="6">
        <v>0.32291666666666669</v>
      </c>
      <c r="G245">
        <v>75</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64</v>
      </c>
      <c r="H246" s="6">
        <f>FLOOR(tblPivotData[[#This Row],[Time]],Summary!$B$6/1440)</f>
        <v>0.33333333333333331</v>
      </c>
      <c r="I246">
        <f>INDEX(PeakCalc!$L$10:$L$303,MATCH(tblPivotData[[#This Row],[Time]],PeakCalc!$G$10:$G$303,0))</f>
        <v>0</v>
      </c>
    </row>
    <row r="247" spans="1:9" x14ac:dyDescent="0.25">
      <c r="A247" t="s">
        <v>94</v>
      </c>
      <c r="B247" t="s">
        <v>99</v>
      </c>
      <c r="C247" t="s">
        <v>92</v>
      </c>
      <c r="D247" t="s">
        <v>79</v>
      </c>
      <c r="E247" t="s">
        <v>43</v>
      </c>
      <c r="F247" s="6">
        <v>0.34375</v>
      </c>
      <c r="G247">
        <v>56</v>
      </c>
      <c r="H247" s="6">
        <f>FLOOR(tblPivotData[[#This Row],[Time]],Summary!$B$6/1440)</f>
        <v>0.34375</v>
      </c>
      <c r="I247">
        <f>INDEX(PeakCalc!$L$10:$L$303,MATCH(tblPivotData[[#This Row],[Time]],PeakCalc!$G$10:$G$303,0))</f>
        <v>0</v>
      </c>
    </row>
    <row r="248" spans="1:9" x14ac:dyDescent="0.25">
      <c r="A248" t="s">
        <v>94</v>
      </c>
      <c r="B248" t="s">
        <v>99</v>
      </c>
      <c r="C248" t="s">
        <v>92</v>
      </c>
      <c r="D248" t="s">
        <v>79</v>
      </c>
      <c r="E248" t="s">
        <v>43</v>
      </c>
      <c r="F248" s="6">
        <v>0.35416666666666669</v>
      </c>
      <c r="G248">
        <v>61</v>
      </c>
      <c r="H248" s="6">
        <f>FLOOR(tblPivotData[[#This Row],[Time]],Summary!$B$6/1440)</f>
        <v>0.35416666666666663</v>
      </c>
      <c r="I248">
        <f>INDEX(PeakCalc!$L$10:$L$303,MATCH(tblPivotData[[#This Row],[Time]],PeakCalc!$G$10:$G$303,0))</f>
        <v>0</v>
      </c>
    </row>
    <row r="249" spans="1:9" x14ac:dyDescent="0.25">
      <c r="A249" t="s">
        <v>94</v>
      </c>
      <c r="B249" t="s">
        <v>99</v>
      </c>
      <c r="C249" t="s">
        <v>92</v>
      </c>
      <c r="D249" t="s">
        <v>79</v>
      </c>
      <c r="E249" t="s">
        <v>43</v>
      </c>
      <c r="F249" s="6">
        <v>0.36458333333333331</v>
      </c>
      <c r="G249">
        <v>42</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86</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88</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96</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86</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155</v>
      </c>
      <c r="H254" s="6">
        <f>FLOOR(tblPivotData[[#This Row],[Time]],Summary!$B$6/1440)</f>
        <v>0.66666666666666663</v>
      </c>
      <c r="I254">
        <f>INDEX(PeakCalc!$L$10:$L$303,MATCH(tblPivotData[[#This Row],[Time]],PeakCalc!$G$10:$G$303,0))</f>
        <v>1</v>
      </c>
    </row>
    <row r="255" spans="1:9" x14ac:dyDescent="0.25">
      <c r="A255" t="s">
        <v>94</v>
      </c>
      <c r="B255" t="s">
        <v>99</v>
      </c>
      <c r="C255" t="s">
        <v>92</v>
      </c>
      <c r="D255" t="s">
        <v>79</v>
      </c>
      <c r="E255" t="s">
        <v>44</v>
      </c>
      <c r="F255" s="6">
        <v>0.67708333333333337</v>
      </c>
      <c r="G255">
        <v>124</v>
      </c>
      <c r="H255" s="6">
        <f>FLOOR(tblPivotData[[#This Row],[Time]],Summary!$B$6/1440)</f>
        <v>0.67708333333333326</v>
      </c>
      <c r="I255">
        <f>INDEX(PeakCalc!$L$10:$L$303,MATCH(tblPivotData[[#This Row],[Time]],PeakCalc!$G$10:$G$303,0))</f>
        <v>1</v>
      </c>
    </row>
    <row r="256" spans="1:9" x14ac:dyDescent="0.25">
      <c r="A256" t="s">
        <v>94</v>
      </c>
      <c r="B256" t="s">
        <v>99</v>
      </c>
      <c r="C256" t="s">
        <v>92</v>
      </c>
      <c r="D256" t="s">
        <v>79</v>
      </c>
      <c r="E256" t="s">
        <v>44</v>
      </c>
      <c r="F256" s="6">
        <v>0.6875</v>
      </c>
      <c r="G256">
        <v>115</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89</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58</v>
      </c>
      <c r="H258" s="6">
        <f>FLOOR(tblPivotData[[#This Row],[Time]],Summary!$B$6/1440)</f>
        <v>0.70833333333333326</v>
      </c>
      <c r="I258">
        <f>INDEX(PeakCalc!$L$10:$L$303,MATCH(tblPivotData[[#This Row],[Time]],PeakCalc!$G$10:$G$303,0))</f>
        <v>0</v>
      </c>
    </row>
    <row r="259" spans="1:9" x14ac:dyDescent="0.25">
      <c r="A259" t="s">
        <v>94</v>
      </c>
      <c r="B259" t="s">
        <v>99</v>
      </c>
      <c r="C259" t="s">
        <v>92</v>
      </c>
      <c r="D259" t="s">
        <v>79</v>
      </c>
      <c r="E259" t="s">
        <v>44</v>
      </c>
      <c r="F259" s="6">
        <v>0.71875</v>
      </c>
      <c r="G259">
        <v>56</v>
      </c>
      <c r="H259" s="6">
        <f>FLOOR(tblPivotData[[#This Row],[Time]],Summary!$B$6/1440)</f>
        <v>0.71875</v>
      </c>
      <c r="I259">
        <f>INDEX(PeakCalc!$L$10:$L$303,MATCH(tblPivotData[[#This Row],[Time]],PeakCalc!$G$10:$G$303,0))</f>
        <v>0</v>
      </c>
    </row>
    <row r="260" spans="1:9" x14ac:dyDescent="0.25">
      <c r="A260" t="s">
        <v>94</v>
      </c>
      <c r="B260" t="s">
        <v>99</v>
      </c>
      <c r="C260" t="s">
        <v>92</v>
      </c>
      <c r="D260" t="s">
        <v>79</v>
      </c>
      <c r="E260" t="s">
        <v>44</v>
      </c>
      <c r="F260" s="6">
        <v>0.72916666666666663</v>
      </c>
      <c r="G260">
        <v>58</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55</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9</v>
      </c>
      <c r="H262" s="6">
        <f>FLOOR(tblPivotData[[#This Row],[Time]],Summary!$B$6/1440)</f>
        <v>0.29166666666666663</v>
      </c>
      <c r="I262">
        <f>INDEX(PeakCalc!$L$10:$L$303,MATCH(tblPivotData[[#This Row],[Time]],PeakCalc!$G$10:$G$303,0))</f>
        <v>1</v>
      </c>
    </row>
    <row r="263" spans="1:9" x14ac:dyDescent="0.25">
      <c r="A263" t="s">
        <v>94</v>
      </c>
      <c r="B263" t="s">
        <v>99</v>
      </c>
      <c r="C263" t="s">
        <v>92</v>
      </c>
      <c r="D263" t="s">
        <v>88</v>
      </c>
      <c r="E263" t="s">
        <v>43</v>
      </c>
      <c r="F263" s="6">
        <v>0.30208333333333331</v>
      </c>
      <c r="G263">
        <v>6</v>
      </c>
      <c r="H263" s="6">
        <f>FLOOR(tblPivotData[[#This Row],[Time]],Summary!$B$6/1440)</f>
        <v>0.30208333333333331</v>
      </c>
      <c r="I263">
        <f>INDEX(PeakCalc!$L$10:$L$303,MATCH(tblPivotData[[#This Row],[Time]],PeakCalc!$G$10:$G$303,0))</f>
        <v>1</v>
      </c>
    </row>
    <row r="264" spans="1:9" x14ac:dyDescent="0.25">
      <c r="A264" t="s">
        <v>94</v>
      </c>
      <c r="B264" t="s">
        <v>99</v>
      </c>
      <c r="C264" t="s">
        <v>92</v>
      </c>
      <c r="D264" t="s">
        <v>88</v>
      </c>
      <c r="E264" t="s">
        <v>43</v>
      </c>
      <c r="F264" s="6">
        <v>0.3125</v>
      </c>
      <c r="G264">
        <v>6</v>
      </c>
      <c r="H264" s="6">
        <f>FLOOR(tblPivotData[[#This Row],[Time]],Summary!$B$6/1440)</f>
        <v>0.3125</v>
      </c>
      <c r="I264">
        <f>INDEX(PeakCalc!$L$10:$L$303,MATCH(tblPivotData[[#This Row],[Time]],PeakCalc!$G$10:$G$303,0))</f>
        <v>1</v>
      </c>
    </row>
    <row r="265" spans="1:9" x14ac:dyDescent="0.25">
      <c r="A265" t="s">
        <v>94</v>
      </c>
      <c r="B265" t="s">
        <v>99</v>
      </c>
      <c r="C265" t="s">
        <v>92</v>
      </c>
      <c r="D265" t="s">
        <v>88</v>
      </c>
      <c r="E265" t="s">
        <v>43</v>
      </c>
      <c r="F265" s="6">
        <v>0.32291666666666669</v>
      </c>
      <c r="G265">
        <v>10</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9</v>
      </c>
      <c r="H266" s="6">
        <f>FLOOR(tblPivotData[[#This Row],[Time]],Summary!$B$6/1440)</f>
        <v>0.33333333333333331</v>
      </c>
      <c r="I266">
        <f>INDEX(PeakCalc!$L$10:$L$303,MATCH(tblPivotData[[#This Row],[Time]],PeakCalc!$G$10:$G$303,0))</f>
        <v>0</v>
      </c>
    </row>
    <row r="267" spans="1:9" x14ac:dyDescent="0.25">
      <c r="A267" t="s">
        <v>94</v>
      </c>
      <c r="B267" t="s">
        <v>99</v>
      </c>
      <c r="C267" t="s">
        <v>92</v>
      </c>
      <c r="D267" t="s">
        <v>88</v>
      </c>
      <c r="E267" t="s">
        <v>43</v>
      </c>
      <c r="F267" s="6">
        <v>0.34375</v>
      </c>
      <c r="G267">
        <v>9</v>
      </c>
      <c r="H267" s="6">
        <f>FLOOR(tblPivotData[[#This Row],[Time]],Summary!$B$6/1440)</f>
        <v>0.34375</v>
      </c>
      <c r="I267">
        <f>INDEX(PeakCalc!$L$10:$L$303,MATCH(tblPivotData[[#This Row],[Time]],PeakCalc!$G$10:$G$303,0))</f>
        <v>0</v>
      </c>
    </row>
    <row r="268" spans="1:9" x14ac:dyDescent="0.25">
      <c r="A268" t="s">
        <v>94</v>
      </c>
      <c r="B268" t="s">
        <v>99</v>
      </c>
      <c r="C268" t="s">
        <v>92</v>
      </c>
      <c r="D268" t="s">
        <v>88</v>
      </c>
      <c r="E268" t="s">
        <v>43</v>
      </c>
      <c r="F268" s="6">
        <v>0.35416666666666669</v>
      </c>
      <c r="G268">
        <v>10</v>
      </c>
      <c r="H268" s="6">
        <f>FLOOR(tblPivotData[[#This Row],[Time]],Summary!$B$6/1440)</f>
        <v>0.35416666666666663</v>
      </c>
      <c r="I268">
        <f>INDEX(PeakCalc!$L$10:$L$303,MATCH(tblPivotData[[#This Row],[Time]],PeakCalc!$G$10:$G$303,0))</f>
        <v>0</v>
      </c>
    </row>
    <row r="269" spans="1:9" x14ac:dyDescent="0.25">
      <c r="A269" t="s">
        <v>94</v>
      </c>
      <c r="B269" t="s">
        <v>99</v>
      </c>
      <c r="C269" t="s">
        <v>92</v>
      </c>
      <c r="D269" t="s">
        <v>88</v>
      </c>
      <c r="E269" t="s">
        <v>43</v>
      </c>
      <c r="F269" s="6">
        <v>0.36458333333333331</v>
      </c>
      <c r="G269">
        <v>6</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13</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8</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13</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7</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94</v>
      </c>
      <c r="B275" t="s">
        <v>99</v>
      </c>
      <c r="C275" t="s">
        <v>92</v>
      </c>
      <c r="D275" t="s">
        <v>88</v>
      </c>
      <c r="E275" t="s">
        <v>44</v>
      </c>
      <c r="F275" s="6">
        <v>0.67708333333333337</v>
      </c>
      <c r="G275">
        <v>4</v>
      </c>
      <c r="H275" s="6">
        <f>FLOOR(tblPivotData[[#This Row],[Time]],Summary!$B$6/1440)</f>
        <v>0.67708333333333326</v>
      </c>
      <c r="I275">
        <f>INDEX(PeakCalc!$L$10:$L$303,MATCH(tblPivotData[[#This Row],[Time]],PeakCalc!$G$10:$G$303,0))</f>
        <v>1</v>
      </c>
    </row>
    <row r="276" spans="1:9" x14ac:dyDescent="0.25">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3</v>
      </c>
      <c r="H278" s="6">
        <f>FLOOR(tblPivotData[[#This Row],[Time]],Summary!$B$6/1440)</f>
        <v>0.70833333333333326</v>
      </c>
      <c r="I278">
        <f>INDEX(PeakCalc!$L$10:$L$303,MATCH(tblPivotData[[#This Row],[Time]],PeakCalc!$G$10:$G$303,0))</f>
        <v>0</v>
      </c>
    </row>
    <row r="279" spans="1:9" x14ac:dyDescent="0.25">
      <c r="A279" t="s">
        <v>94</v>
      </c>
      <c r="B279" t="s">
        <v>99</v>
      </c>
      <c r="C279" t="s">
        <v>92</v>
      </c>
      <c r="D279" t="s">
        <v>88</v>
      </c>
      <c r="E279" t="s">
        <v>44</v>
      </c>
      <c r="F279" s="6">
        <v>0.71875</v>
      </c>
      <c r="G279">
        <v>1</v>
      </c>
      <c r="H279" s="6">
        <f>FLOOR(tblPivotData[[#This Row],[Time]],Summary!$B$6/1440)</f>
        <v>0.71875</v>
      </c>
      <c r="I279">
        <f>INDEX(PeakCalc!$L$10:$L$303,MATCH(tblPivotData[[#This Row],[Time]],PeakCalc!$G$10:$G$303,0))</f>
        <v>0</v>
      </c>
    </row>
    <row r="280" spans="1:9" x14ac:dyDescent="0.25">
      <c r="A280" t="s">
        <v>94</v>
      </c>
      <c r="B280" t="s">
        <v>99</v>
      </c>
      <c r="C280" t="s">
        <v>92</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1</v>
      </c>
    </row>
    <row r="283" spans="1:9" x14ac:dyDescent="0.25">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94</v>
      </c>
      <c r="B284" t="s">
        <v>99</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0</v>
      </c>
    </row>
    <row r="287" spans="1:9" x14ac:dyDescent="0.25">
      <c r="A287" t="s">
        <v>94</v>
      </c>
      <c r="B287" t="s">
        <v>99</v>
      </c>
      <c r="C287" t="s">
        <v>92</v>
      </c>
      <c r="D287" t="s">
        <v>89</v>
      </c>
      <c r="E287" t="s">
        <v>43</v>
      </c>
      <c r="F287" s="6">
        <v>0.34375</v>
      </c>
      <c r="G287">
        <v>0</v>
      </c>
      <c r="H287" s="6">
        <f>FLOOR(tblPivotData[[#This Row],[Time]],Summary!$B$6/1440)</f>
        <v>0.34375</v>
      </c>
      <c r="I287">
        <f>INDEX(PeakCalc!$L$10:$L$303,MATCH(tblPivotData[[#This Row],[Time]],PeakCalc!$G$10:$G$303,0))</f>
        <v>0</v>
      </c>
    </row>
    <row r="288" spans="1:9" x14ac:dyDescent="0.25">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0</v>
      </c>
      <c r="H302" s="6">
        <f>FLOOR(tblPivotData[[#This Row],[Time]],Summary!$B$6/1440)</f>
        <v>0.29166666666666663</v>
      </c>
      <c r="I302">
        <f>INDEX(PeakCalc!$L$10:$L$303,MATCH(tblPivotData[[#This Row],[Time]],PeakCalc!$G$10:$G$303,0))</f>
        <v>1</v>
      </c>
    </row>
    <row r="303" spans="1:9" x14ac:dyDescent="0.25">
      <c r="A303" t="s">
        <v>94</v>
      </c>
      <c r="B303" t="s">
        <v>100</v>
      </c>
      <c r="C303" t="s">
        <v>93</v>
      </c>
      <c r="D303" t="s">
        <v>79</v>
      </c>
      <c r="E303" t="s">
        <v>43</v>
      </c>
      <c r="F303" s="6">
        <v>0.30208333333333331</v>
      </c>
      <c r="G303">
        <v>0</v>
      </c>
      <c r="H303" s="6">
        <f>FLOOR(tblPivotData[[#This Row],[Time]],Summary!$B$6/1440)</f>
        <v>0.30208333333333331</v>
      </c>
      <c r="I303">
        <f>INDEX(PeakCalc!$L$10:$L$303,MATCH(tblPivotData[[#This Row],[Time]],PeakCalc!$G$10:$G$303,0))</f>
        <v>1</v>
      </c>
    </row>
    <row r="304" spans="1:9" x14ac:dyDescent="0.25">
      <c r="A304" t="s">
        <v>94</v>
      </c>
      <c r="B304" t="s">
        <v>100</v>
      </c>
      <c r="C304" t="s">
        <v>93</v>
      </c>
      <c r="D304" t="s">
        <v>79</v>
      </c>
      <c r="E304" t="s">
        <v>43</v>
      </c>
      <c r="F304" s="6">
        <v>0.3125</v>
      </c>
      <c r="G304">
        <v>0</v>
      </c>
      <c r="H304" s="6">
        <f>FLOOR(tblPivotData[[#This Row],[Time]],Summary!$B$6/1440)</f>
        <v>0.3125</v>
      </c>
      <c r="I304">
        <f>INDEX(PeakCalc!$L$10:$L$303,MATCH(tblPivotData[[#This Row],[Time]],PeakCalc!$G$10:$G$303,0))</f>
        <v>1</v>
      </c>
    </row>
    <row r="305" spans="1:9" x14ac:dyDescent="0.25">
      <c r="A305" t="s">
        <v>94</v>
      </c>
      <c r="B305" t="s">
        <v>100</v>
      </c>
      <c r="C305" t="s">
        <v>93</v>
      </c>
      <c r="D305" t="s">
        <v>79</v>
      </c>
      <c r="E305" t="s">
        <v>43</v>
      </c>
      <c r="F305" s="6">
        <v>0.32291666666666669</v>
      </c>
      <c r="G305">
        <v>2</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1</v>
      </c>
      <c r="H306" s="6">
        <f>FLOOR(tblPivotData[[#This Row],[Time]],Summary!$B$6/1440)</f>
        <v>0.33333333333333331</v>
      </c>
      <c r="I306">
        <f>INDEX(PeakCalc!$L$10:$L$303,MATCH(tblPivotData[[#This Row],[Time]],PeakCalc!$G$10:$G$303,0))</f>
        <v>0</v>
      </c>
    </row>
    <row r="307" spans="1:9" x14ac:dyDescent="0.25">
      <c r="A307" t="s">
        <v>94</v>
      </c>
      <c r="B307" t="s">
        <v>100</v>
      </c>
      <c r="C307" t="s">
        <v>93</v>
      </c>
      <c r="D307" t="s">
        <v>79</v>
      </c>
      <c r="E307" t="s">
        <v>43</v>
      </c>
      <c r="F307" s="6">
        <v>0.34375</v>
      </c>
      <c r="G307">
        <v>1</v>
      </c>
      <c r="H307" s="6">
        <f>FLOOR(tblPivotData[[#This Row],[Time]],Summary!$B$6/1440)</f>
        <v>0.34375</v>
      </c>
      <c r="I307">
        <f>INDEX(PeakCalc!$L$10:$L$303,MATCH(tblPivotData[[#This Row],[Time]],PeakCalc!$G$10:$G$303,0))</f>
        <v>0</v>
      </c>
    </row>
    <row r="308" spans="1:9" x14ac:dyDescent="0.25">
      <c r="A308" t="s">
        <v>94</v>
      </c>
      <c r="B308" t="s">
        <v>100</v>
      </c>
      <c r="C308" t="s">
        <v>93</v>
      </c>
      <c r="D308" t="s">
        <v>79</v>
      </c>
      <c r="E308" t="s">
        <v>43</v>
      </c>
      <c r="F308" s="6">
        <v>0.35416666666666669</v>
      </c>
      <c r="G308">
        <v>0</v>
      </c>
      <c r="H308" s="6">
        <f>FLOOR(tblPivotData[[#This Row],[Time]],Summary!$B$6/1440)</f>
        <v>0.35416666666666663</v>
      </c>
      <c r="I308">
        <f>INDEX(PeakCalc!$L$10:$L$303,MATCH(tblPivotData[[#This Row],[Time]],PeakCalc!$G$10:$G$303,0))</f>
        <v>0</v>
      </c>
    </row>
    <row r="309" spans="1:9" x14ac:dyDescent="0.25">
      <c r="A309" t="s">
        <v>94</v>
      </c>
      <c r="B309" t="s">
        <v>100</v>
      </c>
      <c r="C309" t="s">
        <v>93</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1</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0</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1</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1</v>
      </c>
      <c r="H314" s="6">
        <f>FLOOR(tblPivotData[[#This Row],[Time]],Summary!$B$6/1440)</f>
        <v>0.66666666666666663</v>
      </c>
      <c r="I314">
        <f>INDEX(PeakCalc!$L$10:$L$303,MATCH(tblPivotData[[#This Row],[Time]],PeakCalc!$G$10:$G$303,0))</f>
        <v>1</v>
      </c>
    </row>
    <row r="315" spans="1:9" x14ac:dyDescent="0.25">
      <c r="A315" t="s">
        <v>94</v>
      </c>
      <c r="B315" t="s">
        <v>100</v>
      </c>
      <c r="C315" t="s">
        <v>93</v>
      </c>
      <c r="D315" t="s">
        <v>79</v>
      </c>
      <c r="E315" t="s">
        <v>44</v>
      </c>
      <c r="F315" s="6">
        <v>0.67708333333333337</v>
      </c>
      <c r="G315">
        <v>0</v>
      </c>
      <c r="H315" s="6">
        <f>FLOOR(tblPivotData[[#This Row],[Time]],Summary!$B$6/1440)</f>
        <v>0.67708333333333326</v>
      </c>
      <c r="I315">
        <f>INDEX(PeakCalc!$L$10:$L$303,MATCH(tblPivotData[[#This Row],[Time]],PeakCalc!$G$10:$G$303,0))</f>
        <v>1</v>
      </c>
    </row>
    <row r="316" spans="1:9" x14ac:dyDescent="0.25">
      <c r="A316" t="s">
        <v>94</v>
      </c>
      <c r="B316" t="s">
        <v>100</v>
      </c>
      <c r="C316" t="s">
        <v>93</v>
      </c>
      <c r="D316" t="s">
        <v>79</v>
      </c>
      <c r="E316" t="s">
        <v>44</v>
      </c>
      <c r="F316" s="6">
        <v>0.6875</v>
      </c>
      <c r="G316">
        <v>0</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1</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0</v>
      </c>
      <c r="H318" s="6">
        <f>FLOOR(tblPivotData[[#This Row],[Time]],Summary!$B$6/1440)</f>
        <v>0.70833333333333326</v>
      </c>
      <c r="I318">
        <f>INDEX(PeakCalc!$L$10:$L$303,MATCH(tblPivotData[[#This Row],[Time]],PeakCalc!$G$10:$G$303,0))</f>
        <v>0</v>
      </c>
    </row>
    <row r="319" spans="1:9" x14ac:dyDescent="0.25">
      <c r="A319" t="s">
        <v>94</v>
      </c>
      <c r="B319" t="s">
        <v>100</v>
      </c>
      <c r="C319" t="s">
        <v>93</v>
      </c>
      <c r="D319" t="s">
        <v>79</v>
      </c>
      <c r="E319" t="s">
        <v>44</v>
      </c>
      <c r="F319" s="6">
        <v>0.71875</v>
      </c>
      <c r="G319">
        <v>0</v>
      </c>
      <c r="H319" s="6">
        <f>FLOOR(tblPivotData[[#This Row],[Time]],Summary!$B$6/1440)</f>
        <v>0.71875</v>
      </c>
      <c r="I319">
        <f>INDEX(PeakCalc!$L$10:$L$303,MATCH(tblPivotData[[#This Row],[Time]],PeakCalc!$G$10:$G$303,0))</f>
        <v>0</v>
      </c>
    </row>
    <row r="320" spans="1:9" x14ac:dyDescent="0.25">
      <c r="A320" t="s">
        <v>94</v>
      </c>
      <c r="B320" t="s">
        <v>100</v>
      </c>
      <c r="C320" t="s">
        <v>93</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1</v>
      </c>
    </row>
    <row r="323" spans="1:9" x14ac:dyDescent="0.25">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1</v>
      </c>
    </row>
    <row r="324" spans="1:9" x14ac:dyDescent="0.25">
      <c r="A324" t="s">
        <v>94</v>
      </c>
      <c r="B324" t="s">
        <v>100</v>
      </c>
      <c r="C324" t="s">
        <v>93</v>
      </c>
      <c r="D324" t="s">
        <v>88</v>
      </c>
      <c r="E324" t="s">
        <v>43</v>
      </c>
      <c r="F324" s="6">
        <v>0.3125</v>
      </c>
      <c r="G324">
        <v>0</v>
      </c>
      <c r="H324" s="6">
        <f>FLOOR(tblPivotData[[#This Row],[Time]],Summary!$B$6/1440)</f>
        <v>0.3125</v>
      </c>
      <c r="I324">
        <f>INDEX(PeakCalc!$L$10:$L$303,MATCH(tblPivotData[[#This Row],[Time]],PeakCalc!$G$10:$G$303,0))</f>
        <v>1</v>
      </c>
    </row>
    <row r="325" spans="1:9" x14ac:dyDescent="0.25">
      <c r="A325" t="s">
        <v>94</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0</v>
      </c>
      <c r="H326" s="6">
        <f>FLOOR(tblPivotData[[#This Row],[Time]],Summary!$B$6/1440)</f>
        <v>0.33333333333333331</v>
      </c>
      <c r="I326">
        <f>INDEX(PeakCalc!$L$10:$L$303,MATCH(tblPivotData[[#This Row],[Time]],PeakCalc!$G$10:$G$303,0))</f>
        <v>0</v>
      </c>
    </row>
    <row r="327" spans="1:9" x14ac:dyDescent="0.25">
      <c r="A327" t="s">
        <v>94</v>
      </c>
      <c r="B327" t="s">
        <v>100</v>
      </c>
      <c r="C327" t="s">
        <v>93</v>
      </c>
      <c r="D327" t="s">
        <v>88</v>
      </c>
      <c r="E327" t="s">
        <v>43</v>
      </c>
      <c r="F327" s="6">
        <v>0.34375</v>
      </c>
      <c r="G327">
        <v>0</v>
      </c>
      <c r="H327" s="6">
        <f>FLOOR(tblPivotData[[#This Row],[Time]],Summary!$B$6/1440)</f>
        <v>0.34375</v>
      </c>
      <c r="I327">
        <f>INDEX(PeakCalc!$L$10:$L$303,MATCH(tblPivotData[[#This Row],[Time]],PeakCalc!$G$10:$G$303,0))</f>
        <v>0</v>
      </c>
    </row>
    <row r="328" spans="1:9" x14ac:dyDescent="0.25">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100</v>
      </c>
      <c r="C329" t="s">
        <v>93</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0</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1</v>
      </c>
    </row>
    <row r="335" spans="1:9" x14ac:dyDescent="0.25">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94</v>
      </c>
      <c r="B339" t="s">
        <v>100</v>
      </c>
      <c r="C339" t="s">
        <v>93</v>
      </c>
      <c r="D339" t="s">
        <v>88</v>
      </c>
      <c r="E339" t="s">
        <v>44</v>
      </c>
      <c r="F339" s="6">
        <v>0.71875</v>
      </c>
      <c r="G339">
        <v>0</v>
      </c>
      <c r="H339" s="6">
        <f>FLOOR(tblPivotData[[#This Row],[Time]],Summary!$B$6/1440)</f>
        <v>0.71875</v>
      </c>
      <c r="I339">
        <f>INDEX(PeakCalc!$L$10:$L$303,MATCH(tblPivotData[[#This Row],[Time]],PeakCalc!$G$10:$G$303,0))</f>
        <v>0</v>
      </c>
    </row>
    <row r="340" spans="1:9" x14ac:dyDescent="0.25">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1</v>
      </c>
    </row>
    <row r="343" spans="1:9" x14ac:dyDescent="0.25">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1</v>
      </c>
    </row>
    <row r="345" spans="1:9" x14ac:dyDescent="0.25">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0</v>
      </c>
    </row>
    <row r="347" spans="1:9" x14ac:dyDescent="0.25">
      <c r="A347" t="s">
        <v>94</v>
      </c>
      <c r="B347" t="s">
        <v>100</v>
      </c>
      <c r="C347" t="s">
        <v>93</v>
      </c>
      <c r="D347" t="s">
        <v>89</v>
      </c>
      <c r="E347" t="s">
        <v>43</v>
      </c>
      <c r="F347" s="6">
        <v>0.34375</v>
      </c>
      <c r="G347">
        <v>0</v>
      </c>
      <c r="H347" s="6">
        <f>FLOOR(tblPivotData[[#This Row],[Time]],Summary!$B$6/1440)</f>
        <v>0.34375</v>
      </c>
      <c r="I347">
        <f>INDEX(PeakCalc!$L$10:$L$303,MATCH(tblPivotData[[#This Row],[Time]],PeakCalc!$G$10:$G$303,0))</f>
        <v>0</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547</v>
      </c>
      <c r="D14">
        <v>51</v>
      </c>
      <c r="E14">
        <v>0</v>
      </c>
      <c r="F14">
        <v>598</v>
      </c>
      <c r="G14">
        <v>768</v>
      </c>
      <c r="H14">
        <v>84</v>
      </c>
      <c r="I14">
        <v>1</v>
      </c>
      <c r="J14">
        <v>853</v>
      </c>
      <c r="K14">
        <v>1451</v>
      </c>
      <c r="L14">
        <v>2</v>
      </c>
      <c r="M14">
        <v>0</v>
      </c>
      <c r="N14">
        <v>0</v>
      </c>
      <c r="O14">
        <v>2</v>
      </c>
      <c r="P14">
        <v>366</v>
      </c>
      <c r="Q14">
        <v>64</v>
      </c>
      <c r="R14">
        <v>0</v>
      </c>
      <c r="S14">
        <v>430</v>
      </c>
      <c r="T14">
        <v>432</v>
      </c>
      <c r="U14">
        <v>491</v>
      </c>
      <c r="V14">
        <v>65</v>
      </c>
      <c r="W14">
        <v>0</v>
      </c>
      <c r="X14">
        <v>556</v>
      </c>
      <c r="Y14">
        <v>4</v>
      </c>
      <c r="Z14">
        <v>0</v>
      </c>
      <c r="AA14">
        <v>0</v>
      </c>
      <c r="AB14">
        <v>4</v>
      </c>
      <c r="AC14">
        <v>560</v>
      </c>
      <c r="AD14">
        <v>2443</v>
      </c>
    </row>
    <row r="15" spans="2:30" x14ac:dyDescent="0.25">
      <c r="B15" s="11">
        <v>0.29166666666666669</v>
      </c>
      <c r="C15">
        <v>79</v>
      </c>
      <c r="D15">
        <v>7</v>
      </c>
      <c r="E15">
        <v>0</v>
      </c>
      <c r="F15">
        <v>86</v>
      </c>
      <c r="G15">
        <v>114</v>
      </c>
      <c r="H15">
        <v>8</v>
      </c>
      <c r="I15">
        <v>0</v>
      </c>
      <c r="J15">
        <v>122</v>
      </c>
      <c r="K15">
        <v>208</v>
      </c>
      <c r="L15">
        <v>0</v>
      </c>
      <c r="M15">
        <v>0</v>
      </c>
      <c r="N15">
        <v>0</v>
      </c>
      <c r="O15">
        <v>0</v>
      </c>
      <c r="P15">
        <v>48</v>
      </c>
      <c r="Q15">
        <v>16</v>
      </c>
      <c r="R15">
        <v>0</v>
      </c>
      <c r="S15">
        <v>64</v>
      </c>
      <c r="T15">
        <v>64</v>
      </c>
      <c r="U15">
        <v>43</v>
      </c>
      <c r="V15">
        <v>9</v>
      </c>
      <c r="W15">
        <v>0</v>
      </c>
      <c r="X15">
        <v>52</v>
      </c>
      <c r="Y15">
        <v>0</v>
      </c>
      <c r="Z15">
        <v>0</v>
      </c>
      <c r="AA15">
        <v>0</v>
      </c>
      <c r="AB15">
        <v>0</v>
      </c>
      <c r="AC15">
        <v>52</v>
      </c>
      <c r="AD15">
        <v>324</v>
      </c>
    </row>
    <row r="16" spans="2:30" x14ac:dyDescent="0.25">
      <c r="B16" s="11">
        <v>0.30208333333333331</v>
      </c>
      <c r="C16">
        <v>100</v>
      </c>
      <c r="D16">
        <v>4</v>
      </c>
      <c r="E16">
        <v>0</v>
      </c>
      <c r="F16">
        <v>104</v>
      </c>
      <c r="G16">
        <v>149</v>
      </c>
      <c r="H16">
        <v>10</v>
      </c>
      <c r="I16">
        <v>0</v>
      </c>
      <c r="J16">
        <v>159</v>
      </c>
      <c r="K16">
        <v>263</v>
      </c>
      <c r="L16">
        <v>0</v>
      </c>
      <c r="M16">
        <v>0</v>
      </c>
      <c r="N16">
        <v>0</v>
      </c>
      <c r="O16">
        <v>0</v>
      </c>
      <c r="P16">
        <v>61</v>
      </c>
      <c r="Q16">
        <v>6</v>
      </c>
      <c r="R16">
        <v>0</v>
      </c>
      <c r="S16">
        <v>67</v>
      </c>
      <c r="T16">
        <v>67</v>
      </c>
      <c r="U16">
        <v>81</v>
      </c>
      <c r="V16">
        <v>6</v>
      </c>
      <c r="W16">
        <v>0</v>
      </c>
      <c r="X16">
        <v>87</v>
      </c>
      <c r="Y16">
        <v>0</v>
      </c>
      <c r="Z16">
        <v>0</v>
      </c>
      <c r="AA16">
        <v>0</v>
      </c>
      <c r="AB16">
        <v>0</v>
      </c>
      <c r="AC16">
        <v>87</v>
      </c>
      <c r="AD16">
        <v>417</v>
      </c>
    </row>
    <row r="17" spans="2:30" x14ac:dyDescent="0.25">
      <c r="B17" s="11">
        <v>0.3125</v>
      </c>
      <c r="C17">
        <v>81</v>
      </c>
      <c r="D17">
        <v>6</v>
      </c>
      <c r="E17">
        <v>0</v>
      </c>
      <c r="F17">
        <v>87</v>
      </c>
      <c r="G17">
        <v>120</v>
      </c>
      <c r="H17">
        <v>9</v>
      </c>
      <c r="I17">
        <v>1</v>
      </c>
      <c r="J17">
        <v>130</v>
      </c>
      <c r="K17">
        <v>217</v>
      </c>
      <c r="L17">
        <v>0</v>
      </c>
      <c r="M17">
        <v>0</v>
      </c>
      <c r="N17">
        <v>0</v>
      </c>
      <c r="O17">
        <v>0</v>
      </c>
      <c r="P17">
        <v>49</v>
      </c>
      <c r="Q17">
        <v>5</v>
      </c>
      <c r="R17">
        <v>0</v>
      </c>
      <c r="S17">
        <v>54</v>
      </c>
      <c r="T17">
        <v>54</v>
      </c>
      <c r="U17">
        <v>69</v>
      </c>
      <c r="V17">
        <v>6</v>
      </c>
      <c r="W17">
        <v>0</v>
      </c>
      <c r="X17">
        <v>75</v>
      </c>
      <c r="Y17">
        <v>0</v>
      </c>
      <c r="Z17">
        <v>0</v>
      </c>
      <c r="AA17">
        <v>0</v>
      </c>
      <c r="AB17">
        <v>0</v>
      </c>
      <c r="AC17">
        <v>75</v>
      </c>
      <c r="AD17">
        <v>346</v>
      </c>
    </row>
    <row r="18" spans="2:30" x14ac:dyDescent="0.25">
      <c r="B18" s="11">
        <v>0.32291666666666669</v>
      </c>
      <c r="C18">
        <v>75</v>
      </c>
      <c r="D18">
        <v>9</v>
      </c>
      <c r="E18">
        <v>0</v>
      </c>
      <c r="F18">
        <v>84</v>
      </c>
      <c r="G18">
        <v>106</v>
      </c>
      <c r="H18">
        <v>6</v>
      </c>
      <c r="I18">
        <v>0</v>
      </c>
      <c r="J18">
        <v>112</v>
      </c>
      <c r="K18">
        <v>196</v>
      </c>
      <c r="L18">
        <v>0</v>
      </c>
      <c r="M18">
        <v>0</v>
      </c>
      <c r="N18">
        <v>0</v>
      </c>
      <c r="O18">
        <v>0</v>
      </c>
      <c r="P18">
        <v>38</v>
      </c>
      <c r="Q18">
        <v>6</v>
      </c>
      <c r="R18">
        <v>0</v>
      </c>
      <c r="S18">
        <v>44</v>
      </c>
      <c r="T18">
        <v>44</v>
      </c>
      <c r="U18">
        <v>75</v>
      </c>
      <c r="V18">
        <v>10</v>
      </c>
      <c r="W18">
        <v>0</v>
      </c>
      <c r="X18">
        <v>85</v>
      </c>
      <c r="Y18">
        <v>2</v>
      </c>
      <c r="Z18">
        <v>0</v>
      </c>
      <c r="AA18">
        <v>0</v>
      </c>
      <c r="AB18">
        <v>2</v>
      </c>
      <c r="AC18">
        <v>87</v>
      </c>
      <c r="AD18">
        <v>327</v>
      </c>
    </row>
    <row r="19" spans="2:30" x14ac:dyDescent="0.25">
      <c r="B19" s="11">
        <v>0.33333333333333331</v>
      </c>
      <c r="C19">
        <v>69</v>
      </c>
      <c r="D19">
        <v>7</v>
      </c>
      <c r="E19">
        <v>0</v>
      </c>
      <c r="F19">
        <v>76</v>
      </c>
      <c r="G19">
        <v>63</v>
      </c>
      <c r="H19">
        <v>7</v>
      </c>
      <c r="I19">
        <v>0</v>
      </c>
      <c r="J19">
        <v>70</v>
      </c>
      <c r="K19">
        <v>146</v>
      </c>
      <c r="L19">
        <v>0</v>
      </c>
      <c r="M19">
        <v>0</v>
      </c>
      <c r="N19">
        <v>0</v>
      </c>
      <c r="O19">
        <v>0</v>
      </c>
      <c r="P19">
        <v>40</v>
      </c>
      <c r="Q19">
        <v>7</v>
      </c>
      <c r="R19">
        <v>0</v>
      </c>
      <c r="S19">
        <v>47</v>
      </c>
      <c r="T19">
        <v>47</v>
      </c>
      <c r="U19">
        <v>64</v>
      </c>
      <c r="V19">
        <v>9</v>
      </c>
      <c r="W19">
        <v>0</v>
      </c>
      <c r="X19">
        <v>73</v>
      </c>
      <c r="Y19">
        <v>1</v>
      </c>
      <c r="Z19">
        <v>0</v>
      </c>
      <c r="AA19">
        <v>0</v>
      </c>
      <c r="AB19">
        <v>1</v>
      </c>
      <c r="AC19">
        <v>74</v>
      </c>
      <c r="AD19">
        <v>267</v>
      </c>
    </row>
    <row r="20" spans="2:30" x14ac:dyDescent="0.25">
      <c r="B20" s="11">
        <v>0.34375</v>
      </c>
      <c r="C20">
        <v>62</v>
      </c>
      <c r="D20">
        <v>5</v>
      </c>
      <c r="E20">
        <v>0</v>
      </c>
      <c r="F20">
        <v>67</v>
      </c>
      <c r="G20">
        <v>80</v>
      </c>
      <c r="H20">
        <v>12</v>
      </c>
      <c r="I20">
        <v>0</v>
      </c>
      <c r="J20">
        <v>92</v>
      </c>
      <c r="K20">
        <v>159</v>
      </c>
      <c r="L20">
        <v>0</v>
      </c>
      <c r="M20">
        <v>0</v>
      </c>
      <c r="N20">
        <v>0</v>
      </c>
      <c r="O20">
        <v>0</v>
      </c>
      <c r="P20">
        <v>44</v>
      </c>
      <c r="Q20">
        <v>7</v>
      </c>
      <c r="R20">
        <v>0</v>
      </c>
      <c r="S20">
        <v>51</v>
      </c>
      <c r="T20">
        <v>51</v>
      </c>
      <c r="U20">
        <v>56</v>
      </c>
      <c r="V20">
        <v>9</v>
      </c>
      <c r="W20">
        <v>0</v>
      </c>
      <c r="X20">
        <v>65</v>
      </c>
      <c r="Y20">
        <v>1</v>
      </c>
      <c r="Z20">
        <v>0</v>
      </c>
      <c r="AA20">
        <v>0</v>
      </c>
      <c r="AB20">
        <v>1</v>
      </c>
      <c r="AC20">
        <v>66</v>
      </c>
      <c r="AD20">
        <v>276</v>
      </c>
    </row>
    <row r="21" spans="2:30" x14ac:dyDescent="0.25">
      <c r="B21" s="11">
        <v>0.35416666666666669</v>
      </c>
      <c r="C21">
        <v>39</v>
      </c>
      <c r="D21">
        <v>8</v>
      </c>
      <c r="E21">
        <v>0</v>
      </c>
      <c r="F21">
        <v>47</v>
      </c>
      <c r="G21">
        <v>60</v>
      </c>
      <c r="H21">
        <v>18</v>
      </c>
      <c r="I21">
        <v>0</v>
      </c>
      <c r="J21">
        <v>78</v>
      </c>
      <c r="K21">
        <v>125</v>
      </c>
      <c r="L21">
        <v>2</v>
      </c>
      <c r="M21">
        <v>0</v>
      </c>
      <c r="N21">
        <v>0</v>
      </c>
      <c r="O21">
        <v>2</v>
      </c>
      <c r="P21">
        <v>44</v>
      </c>
      <c r="Q21">
        <v>9</v>
      </c>
      <c r="R21">
        <v>0</v>
      </c>
      <c r="S21">
        <v>53</v>
      </c>
      <c r="T21">
        <v>55</v>
      </c>
      <c r="U21">
        <v>61</v>
      </c>
      <c r="V21">
        <v>10</v>
      </c>
      <c r="W21">
        <v>0</v>
      </c>
      <c r="X21">
        <v>71</v>
      </c>
      <c r="Y21">
        <v>0</v>
      </c>
      <c r="Z21">
        <v>0</v>
      </c>
      <c r="AA21">
        <v>0</v>
      </c>
      <c r="AB21">
        <v>0</v>
      </c>
      <c r="AC21">
        <v>71</v>
      </c>
      <c r="AD21">
        <v>251</v>
      </c>
    </row>
    <row r="22" spans="2:30" x14ac:dyDescent="0.25">
      <c r="B22" s="11">
        <v>0.36458333333333331</v>
      </c>
      <c r="C22">
        <v>42</v>
      </c>
      <c r="D22">
        <v>5</v>
      </c>
      <c r="E22">
        <v>0</v>
      </c>
      <c r="F22">
        <v>47</v>
      </c>
      <c r="G22">
        <v>76</v>
      </c>
      <c r="H22">
        <v>14</v>
      </c>
      <c r="I22">
        <v>0</v>
      </c>
      <c r="J22">
        <v>90</v>
      </c>
      <c r="K22">
        <v>137</v>
      </c>
      <c r="L22">
        <v>0</v>
      </c>
      <c r="M22">
        <v>0</v>
      </c>
      <c r="N22">
        <v>0</v>
      </c>
      <c r="O22">
        <v>0</v>
      </c>
      <c r="P22">
        <v>42</v>
      </c>
      <c r="Q22">
        <v>8</v>
      </c>
      <c r="R22">
        <v>0</v>
      </c>
      <c r="S22">
        <v>50</v>
      </c>
      <c r="T22">
        <v>50</v>
      </c>
      <c r="U22">
        <v>42</v>
      </c>
      <c r="V22">
        <v>6</v>
      </c>
      <c r="W22">
        <v>0</v>
      </c>
      <c r="X22">
        <v>48</v>
      </c>
      <c r="Y22">
        <v>0</v>
      </c>
      <c r="Z22">
        <v>0</v>
      </c>
      <c r="AA22">
        <v>0</v>
      </c>
      <c r="AB22">
        <v>0</v>
      </c>
      <c r="AC22">
        <v>48</v>
      </c>
      <c r="AD22">
        <v>235</v>
      </c>
    </row>
    <row r="23" spans="2:30" x14ac:dyDescent="0.25">
      <c r="B23" s="10" t="s">
        <v>44</v>
      </c>
      <c r="C23">
        <v>439</v>
      </c>
      <c r="D23">
        <v>7</v>
      </c>
      <c r="E23">
        <v>0</v>
      </c>
      <c r="F23">
        <v>446</v>
      </c>
      <c r="G23">
        <v>395</v>
      </c>
      <c r="H23">
        <v>19</v>
      </c>
      <c r="I23">
        <v>2</v>
      </c>
      <c r="J23">
        <v>416</v>
      </c>
      <c r="K23">
        <v>862</v>
      </c>
      <c r="L23">
        <v>0</v>
      </c>
      <c r="M23">
        <v>0</v>
      </c>
      <c r="N23">
        <v>0</v>
      </c>
      <c r="O23">
        <v>0</v>
      </c>
      <c r="P23">
        <v>508</v>
      </c>
      <c r="Q23">
        <v>16</v>
      </c>
      <c r="R23">
        <v>0</v>
      </c>
      <c r="S23">
        <v>524</v>
      </c>
      <c r="T23">
        <v>524</v>
      </c>
      <c r="U23">
        <v>710</v>
      </c>
      <c r="V23">
        <v>12</v>
      </c>
      <c r="W23">
        <v>0</v>
      </c>
      <c r="X23">
        <v>722</v>
      </c>
      <c r="Y23">
        <v>2</v>
      </c>
      <c r="Z23">
        <v>0</v>
      </c>
      <c r="AA23">
        <v>0</v>
      </c>
      <c r="AB23">
        <v>2</v>
      </c>
      <c r="AC23">
        <v>724</v>
      </c>
      <c r="AD23">
        <v>2110</v>
      </c>
    </row>
    <row r="24" spans="2:30" x14ac:dyDescent="0.25">
      <c r="B24" s="11">
        <v>0.66666666666666663</v>
      </c>
      <c r="C24">
        <v>71</v>
      </c>
      <c r="D24">
        <v>3</v>
      </c>
      <c r="E24">
        <v>0</v>
      </c>
      <c r="F24">
        <v>74</v>
      </c>
      <c r="G24">
        <v>74</v>
      </c>
      <c r="H24">
        <v>1</v>
      </c>
      <c r="I24">
        <v>1</v>
      </c>
      <c r="J24">
        <v>76</v>
      </c>
      <c r="K24">
        <v>150</v>
      </c>
      <c r="L24">
        <v>0</v>
      </c>
      <c r="M24">
        <v>0</v>
      </c>
      <c r="N24">
        <v>0</v>
      </c>
      <c r="O24">
        <v>0</v>
      </c>
      <c r="P24">
        <v>117</v>
      </c>
      <c r="Q24">
        <v>3</v>
      </c>
      <c r="R24">
        <v>0</v>
      </c>
      <c r="S24">
        <v>120</v>
      </c>
      <c r="T24">
        <v>120</v>
      </c>
      <c r="U24">
        <v>155</v>
      </c>
      <c r="V24">
        <v>0</v>
      </c>
      <c r="W24">
        <v>0</v>
      </c>
      <c r="X24">
        <v>155</v>
      </c>
      <c r="Y24">
        <v>1</v>
      </c>
      <c r="Z24">
        <v>0</v>
      </c>
      <c r="AA24">
        <v>0</v>
      </c>
      <c r="AB24">
        <v>1</v>
      </c>
      <c r="AC24">
        <v>156</v>
      </c>
      <c r="AD24">
        <v>426</v>
      </c>
    </row>
    <row r="25" spans="2:30" x14ac:dyDescent="0.25">
      <c r="B25" s="11">
        <v>0.67708333333333337</v>
      </c>
      <c r="C25">
        <v>91</v>
      </c>
      <c r="D25">
        <v>1</v>
      </c>
      <c r="E25">
        <v>0</v>
      </c>
      <c r="F25">
        <v>92</v>
      </c>
      <c r="G25">
        <v>43</v>
      </c>
      <c r="H25">
        <v>3</v>
      </c>
      <c r="I25">
        <v>1</v>
      </c>
      <c r="J25">
        <v>47</v>
      </c>
      <c r="K25">
        <v>139</v>
      </c>
      <c r="L25">
        <v>0</v>
      </c>
      <c r="M25">
        <v>0</v>
      </c>
      <c r="N25">
        <v>0</v>
      </c>
      <c r="O25">
        <v>0</v>
      </c>
      <c r="P25">
        <v>78</v>
      </c>
      <c r="Q25">
        <v>7</v>
      </c>
      <c r="R25">
        <v>0</v>
      </c>
      <c r="S25">
        <v>85</v>
      </c>
      <c r="T25">
        <v>85</v>
      </c>
      <c r="U25">
        <v>124</v>
      </c>
      <c r="V25">
        <v>4</v>
      </c>
      <c r="W25">
        <v>0</v>
      </c>
      <c r="X25">
        <v>128</v>
      </c>
      <c r="Y25">
        <v>0</v>
      </c>
      <c r="Z25">
        <v>0</v>
      </c>
      <c r="AA25">
        <v>0</v>
      </c>
      <c r="AB25">
        <v>0</v>
      </c>
      <c r="AC25">
        <v>128</v>
      </c>
      <c r="AD25">
        <v>352</v>
      </c>
    </row>
    <row r="26" spans="2:30" x14ac:dyDescent="0.25">
      <c r="B26" s="11">
        <v>0.6875</v>
      </c>
      <c r="C26">
        <v>59</v>
      </c>
      <c r="D26">
        <v>1</v>
      </c>
      <c r="E26">
        <v>0</v>
      </c>
      <c r="F26">
        <v>60</v>
      </c>
      <c r="G26">
        <v>65</v>
      </c>
      <c r="H26">
        <v>7</v>
      </c>
      <c r="I26">
        <v>0</v>
      </c>
      <c r="J26">
        <v>72</v>
      </c>
      <c r="K26">
        <v>132</v>
      </c>
      <c r="L26">
        <v>0</v>
      </c>
      <c r="M26">
        <v>0</v>
      </c>
      <c r="N26">
        <v>0</v>
      </c>
      <c r="O26">
        <v>0</v>
      </c>
      <c r="P26">
        <v>83</v>
      </c>
      <c r="Q26">
        <v>1</v>
      </c>
      <c r="R26">
        <v>0</v>
      </c>
      <c r="S26">
        <v>84</v>
      </c>
      <c r="T26">
        <v>84</v>
      </c>
      <c r="U26">
        <v>115</v>
      </c>
      <c r="V26">
        <v>1</v>
      </c>
      <c r="W26">
        <v>0</v>
      </c>
      <c r="X26">
        <v>116</v>
      </c>
      <c r="Y26">
        <v>0</v>
      </c>
      <c r="Z26">
        <v>0</v>
      </c>
      <c r="AA26">
        <v>0</v>
      </c>
      <c r="AB26">
        <v>0</v>
      </c>
      <c r="AC26">
        <v>116</v>
      </c>
      <c r="AD26">
        <v>332</v>
      </c>
    </row>
    <row r="27" spans="2:30" x14ac:dyDescent="0.25">
      <c r="B27" s="11">
        <v>0.69791666666666663</v>
      </c>
      <c r="C27">
        <v>56</v>
      </c>
      <c r="D27">
        <v>0</v>
      </c>
      <c r="E27">
        <v>0</v>
      </c>
      <c r="F27">
        <v>56</v>
      </c>
      <c r="G27">
        <v>52</v>
      </c>
      <c r="H27">
        <v>3</v>
      </c>
      <c r="I27">
        <v>0</v>
      </c>
      <c r="J27">
        <v>55</v>
      </c>
      <c r="K27">
        <v>111</v>
      </c>
      <c r="L27">
        <v>0</v>
      </c>
      <c r="M27">
        <v>0</v>
      </c>
      <c r="N27">
        <v>0</v>
      </c>
      <c r="O27">
        <v>0</v>
      </c>
      <c r="P27">
        <v>74</v>
      </c>
      <c r="Q27">
        <v>1</v>
      </c>
      <c r="R27">
        <v>0</v>
      </c>
      <c r="S27">
        <v>75</v>
      </c>
      <c r="T27">
        <v>75</v>
      </c>
      <c r="U27">
        <v>89</v>
      </c>
      <c r="V27">
        <v>1</v>
      </c>
      <c r="W27">
        <v>0</v>
      </c>
      <c r="X27">
        <v>90</v>
      </c>
      <c r="Y27">
        <v>1</v>
      </c>
      <c r="Z27">
        <v>0</v>
      </c>
      <c r="AA27">
        <v>0</v>
      </c>
      <c r="AB27">
        <v>1</v>
      </c>
      <c r="AC27">
        <v>91</v>
      </c>
      <c r="AD27">
        <v>277</v>
      </c>
    </row>
    <row r="28" spans="2:30" x14ac:dyDescent="0.25">
      <c r="B28" s="11">
        <v>0.70833333333333337</v>
      </c>
      <c r="C28">
        <v>48</v>
      </c>
      <c r="D28">
        <v>0</v>
      </c>
      <c r="E28">
        <v>0</v>
      </c>
      <c r="F28">
        <v>48</v>
      </c>
      <c r="G28">
        <v>50</v>
      </c>
      <c r="H28">
        <v>1</v>
      </c>
      <c r="I28">
        <v>0</v>
      </c>
      <c r="J28">
        <v>51</v>
      </c>
      <c r="K28">
        <v>99</v>
      </c>
      <c r="L28">
        <v>0</v>
      </c>
      <c r="M28">
        <v>0</v>
      </c>
      <c r="N28">
        <v>0</v>
      </c>
      <c r="O28">
        <v>0</v>
      </c>
      <c r="P28">
        <v>48</v>
      </c>
      <c r="Q28">
        <v>2</v>
      </c>
      <c r="R28">
        <v>0</v>
      </c>
      <c r="S28">
        <v>50</v>
      </c>
      <c r="T28">
        <v>50</v>
      </c>
      <c r="U28">
        <v>58</v>
      </c>
      <c r="V28">
        <v>3</v>
      </c>
      <c r="W28">
        <v>0</v>
      </c>
      <c r="X28">
        <v>61</v>
      </c>
      <c r="Y28">
        <v>0</v>
      </c>
      <c r="Z28">
        <v>0</v>
      </c>
      <c r="AA28">
        <v>0</v>
      </c>
      <c r="AB28">
        <v>0</v>
      </c>
      <c r="AC28">
        <v>61</v>
      </c>
      <c r="AD28">
        <v>210</v>
      </c>
    </row>
    <row r="29" spans="2:30" x14ac:dyDescent="0.25">
      <c r="B29" s="11">
        <v>0.71875</v>
      </c>
      <c r="C29">
        <v>44</v>
      </c>
      <c r="D29">
        <v>0</v>
      </c>
      <c r="E29">
        <v>0</v>
      </c>
      <c r="F29">
        <v>44</v>
      </c>
      <c r="G29">
        <v>34</v>
      </c>
      <c r="H29">
        <v>2</v>
      </c>
      <c r="I29">
        <v>0</v>
      </c>
      <c r="J29">
        <v>36</v>
      </c>
      <c r="K29">
        <v>80</v>
      </c>
      <c r="L29">
        <v>0</v>
      </c>
      <c r="M29">
        <v>0</v>
      </c>
      <c r="N29">
        <v>0</v>
      </c>
      <c r="O29">
        <v>0</v>
      </c>
      <c r="P29">
        <v>44</v>
      </c>
      <c r="Q29">
        <v>2</v>
      </c>
      <c r="R29">
        <v>0</v>
      </c>
      <c r="S29">
        <v>46</v>
      </c>
      <c r="T29">
        <v>46</v>
      </c>
      <c r="U29">
        <v>56</v>
      </c>
      <c r="V29">
        <v>1</v>
      </c>
      <c r="W29">
        <v>0</v>
      </c>
      <c r="X29">
        <v>57</v>
      </c>
      <c r="Y29">
        <v>0</v>
      </c>
      <c r="Z29">
        <v>0</v>
      </c>
      <c r="AA29">
        <v>0</v>
      </c>
      <c r="AB29">
        <v>0</v>
      </c>
      <c r="AC29">
        <v>57</v>
      </c>
      <c r="AD29">
        <v>183</v>
      </c>
    </row>
    <row r="30" spans="2:30" x14ac:dyDescent="0.25">
      <c r="B30" s="11">
        <v>0.72916666666666663</v>
      </c>
      <c r="C30">
        <v>37</v>
      </c>
      <c r="D30">
        <v>2</v>
      </c>
      <c r="E30">
        <v>0</v>
      </c>
      <c r="F30">
        <v>39</v>
      </c>
      <c r="G30">
        <v>41</v>
      </c>
      <c r="H30">
        <v>1</v>
      </c>
      <c r="I30">
        <v>0</v>
      </c>
      <c r="J30">
        <v>42</v>
      </c>
      <c r="K30">
        <v>81</v>
      </c>
      <c r="L30">
        <v>0</v>
      </c>
      <c r="M30">
        <v>0</v>
      </c>
      <c r="N30">
        <v>0</v>
      </c>
      <c r="O30">
        <v>0</v>
      </c>
      <c r="P30">
        <v>33</v>
      </c>
      <c r="Q30">
        <v>0</v>
      </c>
      <c r="R30">
        <v>0</v>
      </c>
      <c r="S30">
        <v>33</v>
      </c>
      <c r="T30">
        <v>33</v>
      </c>
      <c r="U30">
        <v>58</v>
      </c>
      <c r="V30">
        <v>2</v>
      </c>
      <c r="W30">
        <v>0</v>
      </c>
      <c r="X30">
        <v>60</v>
      </c>
      <c r="Y30">
        <v>0</v>
      </c>
      <c r="Z30">
        <v>0</v>
      </c>
      <c r="AA30">
        <v>0</v>
      </c>
      <c r="AB30">
        <v>0</v>
      </c>
      <c r="AC30">
        <v>60</v>
      </c>
      <c r="AD30">
        <v>174</v>
      </c>
    </row>
    <row r="31" spans="2:30" x14ac:dyDescent="0.25">
      <c r="B31" s="11">
        <v>0.73958333333333337</v>
      </c>
      <c r="C31">
        <v>33</v>
      </c>
      <c r="D31">
        <v>0</v>
      </c>
      <c r="E31">
        <v>0</v>
      </c>
      <c r="F31">
        <v>33</v>
      </c>
      <c r="G31">
        <v>36</v>
      </c>
      <c r="H31">
        <v>1</v>
      </c>
      <c r="I31">
        <v>0</v>
      </c>
      <c r="J31">
        <v>37</v>
      </c>
      <c r="K31">
        <v>70</v>
      </c>
      <c r="L31">
        <v>0</v>
      </c>
      <c r="M31">
        <v>0</v>
      </c>
      <c r="N31">
        <v>0</v>
      </c>
      <c r="O31">
        <v>0</v>
      </c>
      <c r="P31">
        <v>31</v>
      </c>
      <c r="Q31">
        <v>0</v>
      </c>
      <c r="R31">
        <v>0</v>
      </c>
      <c r="S31">
        <v>31</v>
      </c>
      <c r="T31">
        <v>31</v>
      </c>
      <c r="U31">
        <v>55</v>
      </c>
      <c r="V31">
        <v>0</v>
      </c>
      <c r="W31">
        <v>0</v>
      </c>
      <c r="X31">
        <v>55</v>
      </c>
      <c r="Y31">
        <v>0</v>
      </c>
      <c r="Z31">
        <v>0</v>
      </c>
      <c r="AA31">
        <v>0</v>
      </c>
      <c r="AB31">
        <v>0</v>
      </c>
      <c r="AC31">
        <v>55</v>
      </c>
      <c r="AD31">
        <v>156</v>
      </c>
    </row>
    <row r="32" spans="2:30" x14ac:dyDescent="0.25">
      <c r="B32" s="10" t="s">
        <v>90</v>
      </c>
      <c r="C32">
        <v>248</v>
      </c>
      <c r="D32">
        <v>27</v>
      </c>
      <c r="E32">
        <v>0</v>
      </c>
      <c r="F32">
        <v>275</v>
      </c>
      <c r="G32">
        <v>277</v>
      </c>
      <c r="H32">
        <v>58</v>
      </c>
      <c r="I32">
        <v>0</v>
      </c>
      <c r="J32">
        <v>335</v>
      </c>
      <c r="K32">
        <v>610</v>
      </c>
      <c r="L32">
        <v>5</v>
      </c>
      <c r="M32">
        <v>1</v>
      </c>
      <c r="N32">
        <v>0</v>
      </c>
      <c r="O32">
        <v>6</v>
      </c>
      <c r="P32">
        <v>313</v>
      </c>
      <c r="Q32">
        <v>25</v>
      </c>
      <c r="R32">
        <v>1</v>
      </c>
      <c r="S32">
        <v>339</v>
      </c>
      <c r="T32">
        <v>345</v>
      </c>
      <c r="U32">
        <v>356</v>
      </c>
      <c r="V32">
        <v>41</v>
      </c>
      <c r="W32">
        <v>1</v>
      </c>
      <c r="X32">
        <v>398</v>
      </c>
      <c r="Y32">
        <v>2</v>
      </c>
      <c r="Z32">
        <v>0</v>
      </c>
      <c r="AA32">
        <v>1</v>
      </c>
      <c r="AB32">
        <v>3</v>
      </c>
      <c r="AC32">
        <v>401</v>
      </c>
      <c r="AD32">
        <v>1356</v>
      </c>
    </row>
    <row r="33" spans="2:30" x14ac:dyDescent="0.25">
      <c r="B33" s="11">
        <v>0.54166666666666663</v>
      </c>
      <c r="C33">
        <v>55</v>
      </c>
      <c r="D33">
        <v>5</v>
      </c>
      <c r="E33">
        <v>0</v>
      </c>
      <c r="F33">
        <v>60</v>
      </c>
      <c r="G33">
        <v>54</v>
      </c>
      <c r="H33">
        <v>17</v>
      </c>
      <c r="I33">
        <v>0</v>
      </c>
      <c r="J33">
        <v>71</v>
      </c>
      <c r="K33">
        <v>131</v>
      </c>
      <c r="L33">
        <v>1</v>
      </c>
      <c r="M33">
        <v>0</v>
      </c>
      <c r="N33">
        <v>0</v>
      </c>
      <c r="O33">
        <v>1</v>
      </c>
      <c r="P33">
        <v>81</v>
      </c>
      <c r="Q33">
        <v>8</v>
      </c>
      <c r="R33">
        <v>0</v>
      </c>
      <c r="S33">
        <v>89</v>
      </c>
      <c r="T33">
        <v>90</v>
      </c>
      <c r="U33">
        <v>86</v>
      </c>
      <c r="V33">
        <v>13</v>
      </c>
      <c r="W33">
        <v>0</v>
      </c>
      <c r="X33">
        <v>99</v>
      </c>
      <c r="Y33">
        <v>1</v>
      </c>
      <c r="Z33">
        <v>0</v>
      </c>
      <c r="AA33">
        <v>0</v>
      </c>
      <c r="AB33">
        <v>1</v>
      </c>
      <c r="AC33">
        <v>100</v>
      </c>
      <c r="AD33">
        <v>321</v>
      </c>
    </row>
    <row r="34" spans="2:30" x14ac:dyDescent="0.25">
      <c r="B34" s="11">
        <v>0.55208333333333337</v>
      </c>
      <c r="C34">
        <v>54</v>
      </c>
      <c r="D34">
        <v>5</v>
      </c>
      <c r="E34">
        <v>0</v>
      </c>
      <c r="F34">
        <v>59</v>
      </c>
      <c r="G34">
        <v>69</v>
      </c>
      <c r="H34">
        <v>13</v>
      </c>
      <c r="I34">
        <v>0</v>
      </c>
      <c r="J34">
        <v>82</v>
      </c>
      <c r="K34">
        <v>141</v>
      </c>
      <c r="L34">
        <v>0</v>
      </c>
      <c r="M34">
        <v>0</v>
      </c>
      <c r="N34">
        <v>0</v>
      </c>
      <c r="O34">
        <v>0</v>
      </c>
      <c r="P34">
        <v>79</v>
      </c>
      <c r="Q34">
        <v>6</v>
      </c>
      <c r="R34">
        <v>0</v>
      </c>
      <c r="S34">
        <v>85</v>
      </c>
      <c r="T34">
        <v>85</v>
      </c>
      <c r="U34">
        <v>88</v>
      </c>
      <c r="V34">
        <v>8</v>
      </c>
      <c r="W34">
        <v>0</v>
      </c>
      <c r="X34">
        <v>96</v>
      </c>
      <c r="Y34">
        <v>0</v>
      </c>
      <c r="Z34">
        <v>0</v>
      </c>
      <c r="AA34">
        <v>0</v>
      </c>
      <c r="AB34">
        <v>0</v>
      </c>
      <c r="AC34">
        <v>96</v>
      </c>
      <c r="AD34">
        <v>322</v>
      </c>
    </row>
    <row r="35" spans="2:30" x14ac:dyDescent="0.25">
      <c r="B35" s="11">
        <v>0.5625</v>
      </c>
      <c r="C35">
        <v>80</v>
      </c>
      <c r="D35">
        <v>7</v>
      </c>
      <c r="E35">
        <v>0</v>
      </c>
      <c r="F35">
        <v>87</v>
      </c>
      <c r="G35">
        <v>81</v>
      </c>
      <c r="H35">
        <v>10</v>
      </c>
      <c r="I35">
        <v>0</v>
      </c>
      <c r="J35">
        <v>91</v>
      </c>
      <c r="K35">
        <v>178</v>
      </c>
      <c r="L35">
        <v>1</v>
      </c>
      <c r="M35">
        <v>1</v>
      </c>
      <c r="N35">
        <v>0</v>
      </c>
      <c r="O35">
        <v>2</v>
      </c>
      <c r="P35">
        <v>87</v>
      </c>
      <c r="Q35">
        <v>7</v>
      </c>
      <c r="R35">
        <v>1</v>
      </c>
      <c r="S35">
        <v>95</v>
      </c>
      <c r="T35">
        <v>97</v>
      </c>
      <c r="U35">
        <v>96</v>
      </c>
      <c r="V35">
        <v>13</v>
      </c>
      <c r="W35">
        <v>0</v>
      </c>
      <c r="X35">
        <v>109</v>
      </c>
      <c r="Y35">
        <v>0</v>
      </c>
      <c r="Z35">
        <v>0</v>
      </c>
      <c r="AA35">
        <v>0</v>
      </c>
      <c r="AB35">
        <v>0</v>
      </c>
      <c r="AC35">
        <v>109</v>
      </c>
      <c r="AD35">
        <v>384</v>
      </c>
    </row>
    <row r="36" spans="2:30" x14ac:dyDescent="0.25">
      <c r="B36" s="11">
        <v>0.57291666666666663</v>
      </c>
      <c r="C36">
        <v>59</v>
      </c>
      <c r="D36">
        <v>10</v>
      </c>
      <c r="E36">
        <v>0</v>
      </c>
      <c r="F36">
        <v>69</v>
      </c>
      <c r="G36">
        <v>73</v>
      </c>
      <c r="H36">
        <v>18</v>
      </c>
      <c r="I36">
        <v>0</v>
      </c>
      <c r="J36">
        <v>91</v>
      </c>
      <c r="K36">
        <v>160</v>
      </c>
      <c r="L36">
        <v>3</v>
      </c>
      <c r="M36">
        <v>0</v>
      </c>
      <c r="N36">
        <v>0</v>
      </c>
      <c r="O36">
        <v>3</v>
      </c>
      <c r="P36">
        <v>66</v>
      </c>
      <c r="Q36">
        <v>4</v>
      </c>
      <c r="R36">
        <v>0</v>
      </c>
      <c r="S36">
        <v>70</v>
      </c>
      <c r="T36">
        <v>73</v>
      </c>
      <c r="U36">
        <v>86</v>
      </c>
      <c r="V36">
        <v>7</v>
      </c>
      <c r="W36">
        <v>1</v>
      </c>
      <c r="X36">
        <v>94</v>
      </c>
      <c r="Y36">
        <v>1</v>
      </c>
      <c r="Z36">
        <v>0</v>
      </c>
      <c r="AA36">
        <v>1</v>
      </c>
      <c r="AB36">
        <v>2</v>
      </c>
      <c r="AC36">
        <v>96</v>
      </c>
      <c r="AD36">
        <v>329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1414</v>
      </c>
      <c r="I5">
        <f>MAX(I11:I303)</f>
        <v>1356</v>
      </c>
      <c r="J5">
        <f>MAX(J11:J303)</f>
        <v>1387</v>
      </c>
      <c r="K5">
        <f>MAX(K11:K303)</f>
        <v>0</v>
      </c>
      <c r="N5" t="s">
        <v>53</v>
      </c>
      <c r="O5">
        <f>INDEX($H5:$K5,1,MATCH($O$4,$H$10:$K$10,0))</f>
        <v>0</v>
      </c>
    </row>
    <row r="6" spans="1:21" x14ac:dyDescent="0.25">
      <c r="G6" t="s">
        <v>55</v>
      </c>
      <c r="H6" s="6">
        <f>IF(H5=0,0,H7-1/24)</f>
        <v>0.29166666666666663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1414 vehicles between 07:00 and 08:00</v>
      </c>
      <c r="I8" s="6" t="str">
        <f>IF(I5=0,"","The peak hour for " &amp;I10&amp;" is "&amp;I5&amp;" vehicles between " &amp; TEXT(I6, "hh:mm")&amp; " and " &amp;TEXT(I7,"hh:mm"))</f>
        <v>The peak hour for INT is 1356 vehicles between 13:00 and 14:00</v>
      </c>
      <c r="J8" s="6" t="str">
        <f>IF(J5=0,"","The peak hour for " &amp;J10&amp;" is "&amp;J5&amp;" vehicles between " &amp; TEXT(J6, "hh:mm")&amp; " and " &amp;TEXT(J7,"hh:mm"))</f>
        <v>The peak hour for PM is 1387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324</v>
      </c>
      <c r="G11" s="7">
        <f>A11</f>
        <v>0.29166666666666669</v>
      </c>
      <c r="H11">
        <f>IF(B11&lt;&gt;0,SUMIF($G$11:$G11,"&gt;"&amp;$G11-1/24,B$11:B11),0)</f>
        <v>324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324</v>
      </c>
      <c r="Q11">
        <f>P11*L11</f>
        <v>324</v>
      </c>
      <c r="S11" s="9">
        <v>0.29166666666666669</v>
      </c>
      <c r="T11">
        <v>324</v>
      </c>
      <c r="U11">
        <v>324</v>
      </c>
    </row>
    <row r="12" spans="1:21" x14ac:dyDescent="0.25">
      <c r="A12" s="9">
        <v>0.30208333333333331</v>
      </c>
      <c r="B12">
        <v>417</v>
      </c>
      <c r="G12" s="7">
        <f t="shared" ref="G12:G26" si="3">A12</f>
        <v>0.30208333333333331</v>
      </c>
      <c r="H12">
        <f>IF(B12&lt;&gt;0,SUMIF($G$11:$G12,"&gt;"&amp;$G12-1/24,B$11:B12),0)</f>
        <v>741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417</v>
      </c>
      <c r="Q12">
        <f t="shared" ref="Q12:Q75" si="7">P12*L12</f>
        <v>417</v>
      </c>
      <c r="S12" s="9">
        <v>0.30208333333333331</v>
      </c>
      <c r="T12">
        <v>417</v>
      </c>
      <c r="U12">
        <v>417</v>
      </c>
    </row>
    <row r="13" spans="1:21" x14ac:dyDescent="0.25">
      <c r="A13" s="9">
        <v>0.3125</v>
      </c>
      <c r="B13">
        <v>346</v>
      </c>
      <c r="G13" s="7">
        <f t="shared" si="3"/>
        <v>0.3125</v>
      </c>
      <c r="H13">
        <f>IF(B13&lt;&gt;0,SUMIF($G$11:$G13,"&gt;"&amp;$G13-1/24,B$11:B13),0)</f>
        <v>1087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346</v>
      </c>
      <c r="Q13">
        <f t="shared" si="7"/>
        <v>346</v>
      </c>
      <c r="S13" s="9">
        <v>0.3125</v>
      </c>
      <c r="T13">
        <v>346</v>
      </c>
      <c r="U13">
        <v>346</v>
      </c>
    </row>
    <row r="14" spans="1:21" x14ac:dyDescent="0.25">
      <c r="A14" s="9">
        <v>0.32291666666666669</v>
      </c>
      <c r="B14">
        <v>327</v>
      </c>
      <c r="G14" s="7">
        <f t="shared" si="3"/>
        <v>0.32291666666666669</v>
      </c>
      <c r="H14">
        <f>IF(B14&lt;&gt;0,SUMIF($G$11:$G14,"&gt;"&amp;$G14-1/24,B$11:B14),0)</f>
        <v>1414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327</v>
      </c>
      <c r="Q14">
        <f t="shared" si="7"/>
        <v>327</v>
      </c>
      <c r="S14" s="9">
        <v>0.32291666666666669</v>
      </c>
      <c r="T14">
        <v>327</v>
      </c>
      <c r="U14">
        <v>327</v>
      </c>
    </row>
    <row r="15" spans="1:21" x14ac:dyDescent="0.25">
      <c r="A15" s="9">
        <v>0.33333333333333331</v>
      </c>
      <c r="B15">
        <v>267</v>
      </c>
      <c r="G15" s="7">
        <f t="shared" si="3"/>
        <v>0.33333333333333331</v>
      </c>
      <c r="H15">
        <f>IF(B15&lt;&gt;0,SUMIF($G$11:$G15,"&gt;"&amp;$G15-1/24,B$11:B15),0)</f>
        <v>1357</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267</v>
      </c>
      <c r="Q15">
        <f t="shared" si="7"/>
        <v>0</v>
      </c>
      <c r="S15" s="9">
        <v>0.33333333333333331</v>
      </c>
      <c r="T15">
        <v>267</v>
      </c>
      <c r="U15">
        <v>0</v>
      </c>
    </row>
    <row r="16" spans="1:21" x14ac:dyDescent="0.25">
      <c r="A16" s="9">
        <v>0.34375</v>
      </c>
      <c r="B16">
        <v>276</v>
      </c>
      <c r="G16" s="7">
        <f t="shared" si="3"/>
        <v>0.34375</v>
      </c>
      <c r="H16">
        <f>IF(B16&lt;&gt;0,SUMIF($G$11:$G16,"&gt;"&amp;$G16-1/24,B$11:B16),0)</f>
        <v>1216</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276</v>
      </c>
      <c r="Q16">
        <f t="shared" si="7"/>
        <v>0</v>
      </c>
      <c r="S16" s="9">
        <v>0.34375</v>
      </c>
      <c r="T16">
        <v>276</v>
      </c>
      <c r="U16">
        <v>0</v>
      </c>
    </row>
    <row r="17" spans="1:21" x14ac:dyDescent="0.25">
      <c r="A17" s="9">
        <v>0.35416666666666669</v>
      </c>
      <c r="B17">
        <v>251</v>
      </c>
      <c r="G17" s="7">
        <f t="shared" si="3"/>
        <v>0.35416666666666669</v>
      </c>
      <c r="H17">
        <f>IF(B17&lt;&gt;0,SUMIF($G$11:$G17,"&gt;"&amp;$G17-1/24,B$11:B17),0)</f>
        <v>1121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251</v>
      </c>
      <c r="Q17">
        <f t="shared" si="7"/>
        <v>0</v>
      </c>
      <c r="S17" s="9">
        <v>0.35416666666666669</v>
      </c>
      <c r="T17">
        <v>251</v>
      </c>
      <c r="U17">
        <v>0</v>
      </c>
    </row>
    <row r="18" spans="1:21" x14ac:dyDescent="0.25">
      <c r="A18" s="9">
        <v>0.36458333333333331</v>
      </c>
      <c r="B18">
        <v>235</v>
      </c>
      <c r="G18" s="7">
        <f t="shared" si="3"/>
        <v>0.36458333333333331</v>
      </c>
      <c r="H18">
        <f>IF(B18&lt;&gt;0,SUMIF($G$11:$G18,"&gt;"&amp;$G18-1/24,B$11:B18),0)</f>
        <v>1029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235</v>
      </c>
      <c r="Q18">
        <f t="shared" si="7"/>
        <v>0</v>
      </c>
      <c r="S18" s="9">
        <v>0.36458333333333331</v>
      </c>
      <c r="T18">
        <v>235</v>
      </c>
      <c r="U18">
        <v>0</v>
      </c>
    </row>
    <row r="19" spans="1:21" x14ac:dyDescent="0.25">
      <c r="A19" s="9">
        <v>0.54166666666666663</v>
      </c>
      <c r="C19">
        <v>321</v>
      </c>
      <c r="G19" s="7">
        <f t="shared" si="3"/>
        <v>0.54166666666666663</v>
      </c>
      <c r="H19">
        <f>IF(B19&lt;&gt;0,SUMIF($G$11:$G19,"&gt;"&amp;$G19-1/24,B$11:B19),0)</f>
        <v>0</v>
      </c>
      <c r="I19">
        <f>IF(C19&lt;&gt;0,SUMIF($G$11:$G19,"&gt;"&amp;$G19-1/24,C$11:C19),0)</f>
        <v>321</v>
      </c>
      <c r="J19">
        <f>IF(D19&lt;&gt;0,SUMIF($G$11:$G19,"&gt;"&amp;$G19-1/24,D$11:D19),0)</f>
        <v>0</v>
      </c>
      <c r="K19">
        <f>IF(E19&lt;&gt;0,SUMIF($G$11:$G19,"&gt;"&amp;$G19-1/24,E$11:E19),0)</f>
        <v>0</v>
      </c>
      <c r="L19">
        <f t="shared" si="4"/>
        <v>1</v>
      </c>
      <c r="N19" t="str">
        <f t="shared" si="5"/>
        <v>INT</v>
      </c>
      <c r="O19" s="7">
        <f t="shared" si="2"/>
        <v>0.54166666666666663</v>
      </c>
      <c r="P19">
        <f t="shared" si="6"/>
        <v>321</v>
      </c>
      <c r="Q19">
        <f t="shared" si="7"/>
        <v>321</v>
      </c>
      <c r="S19" s="9" t="s">
        <v>49</v>
      </c>
      <c r="T19">
        <v>2443</v>
      </c>
      <c r="U19">
        <v>1414</v>
      </c>
    </row>
    <row r="20" spans="1:21" x14ac:dyDescent="0.25">
      <c r="A20" s="9">
        <v>0.55208333333333337</v>
      </c>
      <c r="C20">
        <v>322</v>
      </c>
      <c r="G20" s="7">
        <f t="shared" si="3"/>
        <v>0.55208333333333337</v>
      </c>
      <c r="H20">
        <f>IF(B20&lt;&gt;0,SUMIF($G$11:$G20,"&gt;"&amp;$G20-1/24,B$11:B20),0)</f>
        <v>0</v>
      </c>
      <c r="I20">
        <f>IF(C20&lt;&gt;0,SUMIF($G$11:$G20,"&gt;"&amp;$G20-1/24,C$11:C20),0)</f>
        <v>643</v>
      </c>
      <c r="J20">
        <f>IF(D20&lt;&gt;0,SUMIF($G$11:$G20,"&gt;"&amp;$G20-1/24,D$11:D20),0)</f>
        <v>0</v>
      </c>
      <c r="K20">
        <f>IF(E20&lt;&gt;0,SUMIF($G$11:$G20,"&gt;"&amp;$G20-1/24,E$11:E20),0)</f>
        <v>0</v>
      </c>
      <c r="L20">
        <f t="shared" si="4"/>
        <v>1</v>
      </c>
      <c r="N20" t="str">
        <f t="shared" si="5"/>
        <v>INT</v>
      </c>
      <c r="O20" s="7">
        <f t="shared" si="2"/>
        <v>0.55208333333333337</v>
      </c>
      <c r="P20">
        <f t="shared" si="6"/>
        <v>322</v>
      </c>
      <c r="Q20">
        <f t="shared" si="7"/>
        <v>322</v>
      </c>
    </row>
    <row r="21" spans="1:21" x14ac:dyDescent="0.25">
      <c r="A21" s="9">
        <v>0.5625</v>
      </c>
      <c r="C21">
        <v>384</v>
      </c>
      <c r="G21" s="7">
        <f t="shared" si="3"/>
        <v>0.5625</v>
      </c>
      <c r="H21">
        <f>IF(B21&lt;&gt;0,SUMIF($G$11:$G21,"&gt;"&amp;$G21-1/24,B$11:B21),0)</f>
        <v>0</v>
      </c>
      <c r="I21">
        <f>IF(C21&lt;&gt;0,SUMIF($G$11:$G21,"&gt;"&amp;$G21-1/24,C$11:C21),0)</f>
        <v>1027</v>
      </c>
      <c r="J21">
        <f>IF(D21&lt;&gt;0,SUMIF($G$11:$G21,"&gt;"&amp;$G21-1/24,D$11:D21),0)</f>
        <v>0</v>
      </c>
      <c r="K21">
        <f>IF(E21&lt;&gt;0,SUMIF($G$11:$G21,"&gt;"&amp;$G21-1/24,E$11:E21),0)</f>
        <v>0</v>
      </c>
      <c r="L21">
        <f t="shared" si="4"/>
        <v>1</v>
      </c>
      <c r="N21" t="str">
        <f t="shared" si="5"/>
        <v>INT</v>
      </c>
      <c r="O21" s="7">
        <f t="shared" si="2"/>
        <v>0.5625</v>
      </c>
      <c r="P21">
        <f t="shared" si="6"/>
        <v>384</v>
      </c>
      <c r="Q21">
        <f t="shared" si="7"/>
        <v>384</v>
      </c>
    </row>
    <row r="22" spans="1:21" x14ac:dyDescent="0.25">
      <c r="A22" s="9">
        <v>0.57291666666666663</v>
      </c>
      <c r="C22">
        <v>329</v>
      </c>
      <c r="G22" s="7">
        <f t="shared" si="3"/>
        <v>0.57291666666666663</v>
      </c>
      <c r="H22">
        <f>IF(B22&lt;&gt;0,SUMIF($G$11:$G22,"&gt;"&amp;$G22-1/24,B$11:B22),0)</f>
        <v>0</v>
      </c>
      <c r="I22">
        <f>IF(C22&lt;&gt;0,SUMIF($G$11:$G22,"&gt;"&amp;$G22-1/24,C$11:C22),0)</f>
        <v>1356</v>
      </c>
      <c r="J22">
        <f>IF(D22&lt;&gt;0,SUMIF($G$11:$G22,"&gt;"&amp;$G22-1/24,D$11:D22),0)</f>
        <v>0</v>
      </c>
      <c r="K22">
        <f>IF(E22&lt;&gt;0,SUMIF($G$11:$G22,"&gt;"&amp;$G22-1/24,E$11:E22),0)</f>
        <v>0</v>
      </c>
      <c r="L22">
        <f t="shared" si="4"/>
        <v>1</v>
      </c>
      <c r="N22" t="str">
        <f t="shared" si="5"/>
        <v>INT</v>
      </c>
      <c r="O22" s="7">
        <f t="shared" si="2"/>
        <v>0.57291666666666663</v>
      </c>
      <c r="P22">
        <f t="shared" si="6"/>
        <v>329</v>
      </c>
      <c r="Q22">
        <f t="shared" si="7"/>
        <v>329</v>
      </c>
    </row>
    <row r="23" spans="1:21" x14ac:dyDescent="0.25">
      <c r="A23" s="9">
        <v>0.66666666666666663</v>
      </c>
      <c r="D23">
        <v>426</v>
      </c>
      <c r="G23" s="7">
        <f t="shared" si="3"/>
        <v>0.66666666666666663</v>
      </c>
      <c r="H23">
        <f>IF(B23&lt;&gt;0,SUMIF($G$11:$G23,"&gt;"&amp;$G23-1/24,B$11:B23),0)</f>
        <v>0</v>
      </c>
      <c r="I23">
        <f>IF(C23&lt;&gt;0,SUMIF($G$11:$G23,"&gt;"&amp;$G23-1/24,C$11:C23),0)</f>
        <v>0</v>
      </c>
      <c r="J23">
        <f>IF(D23&lt;&gt;0,SUMIF($G$11:$G23,"&gt;"&amp;$G23-1/24,D$11:D23),0)</f>
        <v>426</v>
      </c>
      <c r="K23">
        <f>IF(E23&lt;&gt;0,SUMIF($G$11:$G23,"&gt;"&amp;$G23-1/24,E$11:E23),0)</f>
        <v>0</v>
      </c>
      <c r="L23">
        <f t="shared" si="4"/>
        <v>1</v>
      </c>
      <c r="N23" t="str">
        <f t="shared" si="5"/>
        <v>PM</v>
      </c>
      <c r="O23" s="7">
        <f t="shared" si="2"/>
        <v>0.66666666666666663</v>
      </c>
      <c r="P23">
        <f t="shared" si="6"/>
        <v>426</v>
      </c>
      <c r="Q23">
        <f t="shared" si="7"/>
        <v>426</v>
      </c>
    </row>
    <row r="24" spans="1:21" x14ac:dyDescent="0.25">
      <c r="A24" s="9">
        <v>0.67708333333333337</v>
      </c>
      <c r="D24">
        <v>352</v>
      </c>
      <c r="G24" s="7">
        <f t="shared" si="3"/>
        <v>0.67708333333333337</v>
      </c>
      <c r="H24">
        <f>IF(B24&lt;&gt;0,SUMIF($G$11:$G24,"&gt;"&amp;$G24-1/24,B$11:B24),0)</f>
        <v>0</v>
      </c>
      <c r="I24">
        <f>IF(C24&lt;&gt;0,SUMIF($G$11:$G24,"&gt;"&amp;$G24-1/24,C$11:C24),0)</f>
        <v>0</v>
      </c>
      <c r="J24">
        <f>IF(D24&lt;&gt;0,SUMIF($G$11:$G24,"&gt;"&amp;$G24-1/24,D$11:D24),0)</f>
        <v>778</v>
      </c>
      <c r="K24">
        <f>IF(E24&lt;&gt;0,SUMIF($G$11:$G24,"&gt;"&amp;$G24-1/24,E$11:E24),0)</f>
        <v>0</v>
      </c>
      <c r="L24">
        <f t="shared" si="4"/>
        <v>1</v>
      </c>
      <c r="N24" t="str">
        <f t="shared" si="5"/>
        <v>PM</v>
      </c>
      <c r="O24" s="7">
        <f t="shared" si="2"/>
        <v>0.67708333333333337</v>
      </c>
      <c r="P24">
        <f t="shared" si="6"/>
        <v>352</v>
      </c>
      <c r="Q24">
        <f t="shared" si="7"/>
        <v>352</v>
      </c>
    </row>
    <row r="25" spans="1:21" x14ac:dyDescent="0.25">
      <c r="A25" s="9">
        <v>0.6875</v>
      </c>
      <c r="D25">
        <v>332</v>
      </c>
      <c r="G25" s="7">
        <f t="shared" si="3"/>
        <v>0.6875</v>
      </c>
      <c r="H25">
        <f>IF(B25&lt;&gt;0,SUMIF($G$11:$G25,"&gt;"&amp;$G25-1/24,B$11:B25),0)</f>
        <v>0</v>
      </c>
      <c r="I25">
        <f>IF(C25&lt;&gt;0,SUMIF($G$11:$G25,"&gt;"&amp;$G25-1/24,C$11:C25),0)</f>
        <v>0</v>
      </c>
      <c r="J25">
        <f>IF(D25&lt;&gt;0,SUMIF($G$11:$G25,"&gt;"&amp;$G25-1/24,D$11:D25),0)</f>
        <v>1110</v>
      </c>
      <c r="K25">
        <f>IF(E25&lt;&gt;0,SUMIF($G$11:$G25,"&gt;"&amp;$G25-1/24,E$11:E25),0)</f>
        <v>0</v>
      </c>
      <c r="L25">
        <f t="shared" si="4"/>
        <v>1</v>
      </c>
      <c r="N25" t="str">
        <f t="shared" si="5"/>
        <v>PM</v>
      </c>
      <c r="O25" s="7">
        <f t="shared" si="2"/>
        <v>0.6875</v>
      </c>
      <c r="P25">
        <f t="shared" si="6"/>
        <v>332</v>
      </c>
      <c r="Q25">
        <f t="shared" si="7"/>
        <v>332</v>
      </c>
    </row>
    <row r="26" spans="1:21" x14ac:dyDescent="0.25">
      <c r="A26" s="9">
        <v>0.69791666666666663</v>
      </c>
      <c r="D26">
        <v>277</v>
      </c>
      <c r="G26" s="7">
        <f t="shared" si="3"/>
        <v>0.69791666666666663</v>
      </c>
      <c r="H26">
        <f>IF(B26&lt;&gt;0,SUMIF($G$11:$G26,"&gt;"&amp;$G26-1/24,B$11:B26),0)</f>
        <v>0</v>
      </c>
      <c r="I26">
        <f>IF(C26&lt;&gt;0,SUMIF($G$11:$G26,"&gt;"&amp;$G26-1/24,C$11:C26),0)</f>
        <v>0</v>
      </c>
      <c r="J26">
        <f>IF(D26&lt;&gt;0,SUMIF($G$11:$G26,"&gt;"&amp;$G26-1/24,D$11:D26),0)</f>
        <v>1387</v>
      </c>
      <c r="K26">
        <f>IF(E26&lt;&gt;0,SUMIF($G$11:$G26,"&gt;"&amp;$G26-1/24,E$11:E26),0)</f>
        <v>0</v>
      </c>
      <c r="L26">
        <f t="shared" si="4"/>
        <v>1</v>
      </c>
      <c r="N26" t="str">
        <f t="shared" si="5"/>
        <v>PM</v>
      </c>
      <c r="O26" s="7">
        <f t="shared" si="2"/>
        <v>0.69791666666666663</v>
      </c>
      <c r="P26">
        <f t="shared" si="6"/>
        <v>277</v>
      </c>
      <c r="Q26">
        <f t="shared" si="7"/>
        <v>277</v>
      </c>
    </row>
    <row r="27" spans="1:21" x14ac:dyDescent="0.25">
      <c r="A27" s="9">
        <v>0.70833333333333337</v>
      </c>
      <c r="D27">
        <v>210</v>
      </c>
      <c r="G27" s="7">
        <f t="shared" ref="G27:G90" si="8">A27</f>
        <v>0.70833333333333337</v>
      </c>
      <c r="H27">
        <f>IF(B27&lt;&gt;0,SUMIF($G$11:$G27,"&gt;"&amp;$G27-1/24,B$11:B27),0)</f>
        <v>0</v>
      </c>
      <c r="I27">
        <f>IF(C27&lt;&gt;0,SUMIF($G$11:$G27,"&gt;"&amp;$G27-1/24,C$11:C27),0)</f>
        <v>0</v>
      </c>
      <c r="J27">
        <f>IF(D27&lt;&gt;0,SUMIF($G$11:$G27,"&gt;"&amp;$G27-1/24,D$11:D27),0)</f>
        <v>1171</v>
      </c>
      <c r="K27">
        <f>IF(E27&lt;&gt;0,SUMIF($G$11:$G27,"&gt;"&amp;$G27-1/24,E$11:E27),0)</f>
        <v>0</v>
      </c>
      <c r="L27">
        <f t="shared" si="4"/>
        <v>0</v>
      </c>
      <c r="N27" t="str">
        <f t="shared" si="5"/>
        <v>PM</v>
      </c>
      <c r="O27" s="7">
        <f t="shared" si="2"/>
        <v>0.70833333333333337</v>
      </c>
      <c r="P27">
        <f t="shared" si="6"/>
        <v>210</v>
      </c>
      <c r="Q27">
        <f t="shared" si="7"/>
        <v>0</v>
      </c>
    </row>
    <row r="28" spans="1:21" x14ac:dyDescent="0.25">
      <c r="A28" s="9">
        <v>0.71875</v>
      </c>
      <c r="D28">
        <v>183</v>
      </c>
      <c r="G28" s="7">
        <f t="shared" si="8"/>
        <v>0.71875</v>
      </c>
      <c r="H28">
        <f>IF(B28&lt;&gt;0,SUMIF($G$11:$G28,"&gt;"&amp;$G28-1/24,B$11:B28),0)</f>
        <v>0</v>
      </c>
      <c r="I28">
        <f>IF(C28&lt;&gt;0,SUMIF($G$11:$G28,"&gt;"&amp;$G28-1/24,C$11:C28),0)</f>
        <v>0</v>
      </c>
      <c r="J28">
        <f>IF(D28&lt;&gt;0,SUMIF($G$11:$G28,"&gt;"&amp;$G28-1/24,D$11:D28),0)</f>
        <v>1002</v>
      </c>
      <c r="K28">
        <f>IF(E28&lt;&gt;0,SUMIF($G$11:$G28,"&gt;"&amp;$G28-1/24,E$11:E28),0)</f>
        <v>0</v>
      </c>
      <c r="L28">
        <f t="shared" si="4"/>
        <v>0</v>
      </c>
      <c r="N28" t="str">
        <f t="shared" si="5"/>
        <v>PM</v>
      </c>
      <c r="O28" s="7">
        <f t="shared" si="2"/>
        <v>0.71875</v>
      </c>
      <c r="P28">
        <f t="shared" si="6"/>
        <v>183</v>
      </c>
      <c r="Q28">
        <f t="shared" si="7"/>
        <v>0</v>
      </c>
    </row>
    <row r="29" spans="1:21" x14ac:dyDescent="0.25">
      <c r="A29" s="9">
        <v>0.72916666666666663</v>
      </c>
      <c r="D29">
        <v>174</v>
      </c>
      <c r="G29" s="7">
        <f t="shared" si="8"/>
        <v>0.72916666666666663</v>
      </c>
      <c r="H29">
        <f>IF(B29&lt;&gt;0,SUMIF($G$11:$G29,"&gt;"&amp;$G29-1/24,B$11:B29),0)</f>
        <v>0</v>
      </c>
      <c r="I29">
        <f>IF(C29&lt;&gt;0,SUMIF($G$11:$G29,"&gt;"&amp;$G29-1/24,C$11:C29),0)</f>
        <v>0</v>
      </c>
      <c r="J29">
        <f>IF(D29&lt;&gt;0,SUMIF($G$11:$G29,"&gt;"&amp;$G29-1/24,D$11:D29),0)</f>
        <v>844</v>
      </c>
      <c r="K29">
        <f>IF(E29&lt;&gt;0,SUMIF($G$11:$G29,"&gt;"&amp;$G29-1/24,E$11:E29),0)</f>
        <v>0</v>
      </c>
      <c r="L29">
        <f t="shared" si="4"/>
        <v>0</v>
      </c>
      <c r="N29" t="str">
        <f t="shared" si="5"/>
        <v>PM</v>
      </c>
      <c r="O29" s="7">
        <f t="shared" si="2"/>
        <v>0.72916666666666663</v>
      </c>
      <c r="P29">
        <f t="shared" si="6"/>
        <v>174</v>
      </c>
      <c r="Q29">
        <f t="shared" si="7"/>
        <v>0</v>
      </c>
    </row>
    <row r="30" spans="1:21" x14ac:dyDescent="0.25">
      <c r="A30" s="9">
        <v>0.73958333333333337</v>
      </c>
      <c r="D30">
        <v>156</v>
      </c>
      <c r="G30" s="7">
        <f t="shared" si="8"/>
        <v>0.73958333333333337</v>
      </c>
      <c r="H30">
        <f>IF(B30&lt;&gt;0,SUMIF($G$11:$G30,"&gt;"&amp;$G30-1/24,B$11:B30),0)</f>
        <v>0</v>
      </c>
      <c r="I30">
        <f>IF(C30&lt;&gt;0,SUMIF($G$11:$G30,"&gt;"&amp;$G30-1/24,C$11:C30),0)</f>
        <v>0</v>
      </c>
      <c r="J30">
        <f>IF(D30&lt;&gt;0,SUMIF($G$11:$G30,"&gt;"&amp;$G30-1/24,D$11:D30),0)</f>
        <v>723</v>
      </c>
      <c r="K30">
        <f>IF(E30&lt;&gt;0,SUMIF($G$11:$G30,"&gt;"&amp;$G30-1/24,E$11:E30),0)</f>
        <v>0</v>
      </c>
      <c r="L30">
        <f t="shared" si="4"/>
        <v>0</v>
      </c>
      <c r="N30" t="str">
        <f t="shared" si="5"/>
        <v>PM</v>
      </c>
      <c r="O30" s="7">
        <f t="shared" si="2"/>
        <v>0.73958333333333337</v>
      </c>
      <c r="P30">
        <f t="shared" si="6"/>
        <v>156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324</v>
      </c>
      <c r="E5" t="str">
        <f>"Vehicle Count by Exit Leg for "&amp;C2&amp;" Period"</f>
        <v>Vehicle Count by Exit Leg for AM Period</v>
      </c>
    </row>
    <row r="6" spans="2:5" x14ac:dyDescent="0.25">
      <c r="B6" s="9">
        <v>0.30208333333333331</v>
      </c>
      <c r="C6">
        <v>417</v>
      </c>
    </row>
    <row r="7" spans="2:5" x14ac:dyDescent="0.25">
      <c r="B7" s="9">
        <v>0.3125</v>
      </c>
      <c r="C7">
        <v>346</v>
      </c>
    </row>
    <row r="8" spans="2:5" x14ac:dyDescent="0.25">
      <c r="B8" s="9">
        <v>0.32291666666666669</v>
      </c>
      <c r="C8">
        <v>327</v>
      </c>
    </row>
    <row r="9" spans="2:5" x14ac:dyDescent="0.25">
      <c r="B9" s="9">
        <v>0.33333333333333331</v>
      </c>
      <c r="C9">
        <v>267</v>
      </c>
    </row>
    <row r="10" spans="2:5" x14ac:dyDescent="0.25">
      <c r="B10" s="9">
        <v>0.34375</v>
      </c>
      <c r="C10">
        <v>276</v>
      </c>
    </row>
    <row r="11" spans="2:5" x14ac:dyDescent="0.25">
      <c r="B11" s="9">
        <v>0.35416666666666669</v>
      </c>
      <c r="C11">
        <v>251</v>
      </c>
    </row>
    <row r="12" spans="2:5" x14ac:dyDescent="0.25">
      <c r="B12" s="9">
        <v>0.36458333333333331</v>
      </c>
      <c r="C12">
        <v>235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6.5703125" bestFit="1" customWidth="1"/>
    <col min="13" max="13" width="19.5703125" bestFit="1" customWidth="1"/>
    <col min="14" max="14" width="8.28515625" customWidth="1"/>
    <col min="15" max="15" width="5.5703125" customWidth="1"/>
    <col min="16" max="18" width="3.28515625" customWidth="1"/>
    <col min="19" max="19" width="11.28515625" bestFit="1" customWidth="1"/>
    <col min="20" max="21" width="16.5703125" bestFit="1" customWidth="1"/>
    <col min="22" max="22" width="19.57031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94</v>
      </c>
      <c r="T25" s="16" t="s">
        <v>92</v>
      </c>
      <c r="U25" s="16" t="s">
        <v>93</v>
      </c>
      <c r="V25" s="16" t="s">
        <v>94</v>
      </c>
      <c r="X25" s="13"/>
    </row>
    <row r="26" spans="2:24" x14ac:dyDescent="0.25">
      <c r="B26" s="9">
        <v>0.29166666666666669</v>
      </c>
      <c r="C26" s="16">
        <v>324</v>
      </c>
      <c r="J26" s="9">
        <v>0.29166666666666669</v>
      </c>
      <c r="K26" s="16">
        <v>208</v>
      </c>
      <c r="L26" s="16">
        <v>64</v>
      </c>
      <c r="M26" s="16">
        <v>52</v>
      </c>
      <c r="S26" s="9">
        <v>0.29166666666666669</v>
      </c>
      <c r="T26" s="16">
        <v>116</v>
      </c>
      <c r="U26" s="16">
        <v>86</v>
      </c>
      <c r="V26" s="16">
        <v>122</v>
      </c>
    </row>
    <row r="27" spans="2:24" x14ac:dyDescent="0.25">
      <c r="B27" s="9">
        <v>0.30208333333333331</v>
      </c>
      <c r="C27" s="16">
        <v>417</v>
      </c>
      <c r="J27" s="9">
        <v>0.30208333333333331</v>
      </c>
      <c r="K27" s="16">
        <v>263</v>
      </c>
      <c r="L27" s="16">
        <v>67</v>
      </c>
      <c r="M27" s="16">
        <v>87</v>
      </c>
      <c r="S27" s="9">
        <v>0.30208333333333331</v>
      </c>
      <c r="T27" s="16">
        <v>154</v>
      </c>
      <c r="U27" s="16">
        <v>104</v>
      </c>
      <c r="V27" s="16">
        <v>159</v>
      </c>
    </row>
    <row r="28" spans="2:24" x14ac:dyDescent="0.25">
      <c r="B28" s="9">
        <v>0.3125</v>
      </c>
      <c r="C28" s="16">
        <v>346</v>
      </c>
      <c r="J28" s="9">
        <v>0.3125</v>
      </c>
      <c r="K28" s="16">
        <v>217</v>
      </c>
      <c r="L28" s="16">
        <v>54</v>
      </c>
      <c r="M28" s="16">
        <v>75</v>
      </c>
      <c r="S28" s="9">
        <v>0.3125</v>
      </c>
      <c r="T28" s="16">
        <v>129</v>
      </c>
      <c r="U28" s="16">
        <v>87</v>
      </c>
      <c r="V28" s="16">
        <v>130</v>
      </c>
    </row>
    <row r="29" spans="2:24" x14ac:dyDescent="0.25">
      <c r="B29" s="9">
        <v>0.32291666666666669</v>
      </c>
      <c r="C29" s="16">
        <v>327</v>
      </c>
      <c r="J29" s="9">
        <v>0.32291666666666669</v>
      </c>
      <c r="K29" s="16">
        <v>196</v>
      </c>
      <c r="L29" s="16">
        <v>44</v>
      </c>
      <c r="M29" s="16">
        <v>87</v>
      </c>
      <c r="S29" s="9">
        <v>0.32291666666666669</v>
      </c>
      <c r="T29" s="16">
        <v>129</v>
      </c>
      <c r="U29" s="16">
        <v>86</v>
      </c>
      <c r="V29" s="16">
        <v>112</v>
      </c>
    </row>
    <row r="30" spans="2:24" x14ac:dyDescent="0.25">
      <c r="B30" s="9">
        <v>0.33333333333333331</v>
      </c>
      <c r="C30" s="16">
        <v>267</v>
      </c>
      <c r="J30" s="9">
        <v>0.33333333333333331</v>
      </c>
      <c r="K30" s="16">
        <v>146</v>
      </c>
      <c r="L30" s="16">
        <v>47</v>
      </c>
      <c r="M30" s="16">
        <v>74</v>
      </c>
      <c r="S30" s="9">
        <v>0.33333333333333331</v>
      </c>
      <c r="T30" s="16">
        <v>120</v>
      </c>
      <c r="U30" s="16">
        <v>77</v>
      </c>
      <c r="V30" s="16">
        <v>70</v>
      </c>
    </row>
    <row r="31" spans="2:24" x14ac:dyDescent="0.25">
      <c r="B31" s="9">
        <v>0.34375</v>
      </c>
      <c r="C31" s="16">
        <v>276</v>
      </c>
      <c r="J31" s="9">
        <v>0.34375</v>
      </c>
      <c r="K31" s="16">
        <v>159</v>
      </c>
      <c r="L31" s="16">
        <v>51</v>
      </c>
      <c r="M31" s="16">
        <v>66</v>
      </c>
      <c r="S31" s="9">
        <v>0.34375</v>
      </c>
      <c r="T31" s="16">
        <v>116</v>
      </c>
      <c r="U31" s="16">
        <v>68</v>
      </c>
      <c r="V31" s="16">
        <v>92</v>
      </c>
    </row>
    <row r="32" spans="2:24" x14ac:dyDescent="0.25">
      <c r="B32" s="9">
        <v>0.35416666666666669</v>
      </c>
      <c r="C32" s="16">
        <v>251</v>
      </c>
      <c r="J32" s="9">
        <v>0.35416666666666669</v>
      </c>
      <c r="K32" s="16">
        <v>125</v>
      </c>
      <c r="L32" s="16">
        <v>55</v>
      </c>
      <c r="M32" s="16">
        <v>71</v>
      </c>
      <c r="S32" s="9">
        <v>0.35416666666666669</v>
      </c>
      <c r="T32" s="16">
        <v>124</v>
      </c>
      <c r="U32" s="16">
        <v>47</v>
      </c>
      <c r="V32" s="16">
        <v>80</v>
      </c>
    </row>
    <row r="33" spans="2:22" x14ac:dyDescent="0.25">
      <c r="B33" s="9">
        <v>0.36458333333333331</v>
      </c>
      <c r="C33" s="16">
        <v>235</v>
      </c>
      <c r="J33" s="9">
        <v>0.36458333333333331</v>
      </c>
      <c r="K33" s="16">
        <v>137</v>
      </c>
      <c r="L33" s="16">
        <v>50</v>
      </c>
      <c r="M33" s="16">
        <v>48</v>
      </c>
      <c r="S33" s="9">
        <v>0.36458333333333331</v>
      </c>
      <c r="T33" s="16">
        <v>98</v>
      </c>
      <c r="U33" s="16">
        <v>47</v>
      </c>
      <c r="V33" s="16">
        <v>90</v>
      </c>
    </row>
    <row r="34" spans="2:22" x14ac:dyDescent="0.25">
      <c r="B34" s="9" t="s">
        <v>49</v>
      </c>
      <c r="C34" s="16">
        <v>2443</v>
      </c>
      <c r="J34" s="9" t="s">
        <v>49</v>
      </c>
      <c r="K34" s="16">
        <v>1451</v>
      </c>
      <c r="L34" s="16">
        <v>432</v>
      </c>
      <c r="M34" s="16">
        <v>560</v>
      </c>
      <c r="S34" s="9" t="s">
        <v>49</v>
      </c>
      <c r="T34" s="16">
        <v>986</v>
      </c>
      <c r="U34" s="16">
        <v>602</v>
      </c>
      <c r="V34" s="16">
        <v>855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1414 vehicles between 07:00 and 08:00</v>
      </c>
    </row>
    <row r="5" spans="2:2" x14ac:dyDescent="0.25">
      <c r="B5" s="6" t="str">
        <f>PeakCalc!I8</f>
        <v>The peak hour for INT is 1356 vehicles between 13:00 and 14:00</v>
      </c>
    </row>
    <row r="6" spans="2:2" x14ac:dyDescent="0.25">
      <c r="B6" s="6" t="str">
        <f>PeakCalc!J8</f>
        <v>The peak hour for PM is 1387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824</v>
      </c>
      <c r="D32">
        <v>59</v>
      </c>
      <c r="E32">
        <v>1</v>
      </c>
      <c r="F32">
        <v>884</v>
      </c>
      <c r="G32">
        <v>511</v>
      </c>
      <c r="H32">
        <v>19</v>
      </c>
      <c r="I32">
        <v>2</v>
      </c>
      <c r="J32">
        <v>532</v>
      </c>
      <c r="K32">
        <v>525</v>
      </c>
      <c r="L32">
        <v>85</v>
      </c>
      <c r="M32">
        <v>0</v>
      </c>
      <c r="N32">
        <v>610</v>
      </c>
    </row>
    <row r="33" spans="2:14" x14ac:dyDescent="0.25">
      <c r="B33" s="14" t="s">
        <v>95</v>
      </c>
      <c r="C33">
        <v>335</v>
      </c>
      <c r="D33">
        <v>26</v>
      </c>
      <c r="E33">
        <v>0</v>
      </c>
      <c r="F33">
        <v>361</v>
      </c>
      <c r="G33">
        <v>277</v>
      </c>
      <c r="H33">
        <v>5</v>
      </c>
      <c r="I33">
        <v>0</v>
      </c>
      <c r="J33">
        <v>282</v>
      </c>
      <c r="K33">
        <v>248</v>
      </c>
      <c r="L33">
        <v>27</v>
      </c>
      <c r="M33">
        <v>0</v>
      </c>
      <c r="N33">
        <v>275</v>
      </c>
    </row>
    <row r="34" spans="2:14" x14ac:dyDescent="0.25">
      <c r="B34" s="14" t="s">
        <v>96</v>
      </c>
      <c r="C34">
        <v>489</v>
      </c>
      <c r="D34">
        <v>33</v>
      </c>
      <c r="E34">
        <v>1</v>
      </c>
      <c r="F34">
        <v>523</v>
      </c>
      <c r="G34">
        <v>234</v>
      </c>
      <c r="H34">
        <v>14</v>
      </c>
      <c r="I34">
        <v>2</v>
      </c>
      <c r="J34">
        <v>250</v>
      </c>
      <c r="K34">
        <v>277</v>
      </c>
      <c r="L34">
        <v>58</v>
      </c>
      <c r="M34">
        <v>0</v>
      </c>
      <c r="N34">
        <v>335</v>
      </c>
    </row>
    <row r="35" spans="2:14" x14ac:dyDescent="0.25">
      <c r="B35" s="10" t="s">
        <v>93</v>
      </c>
      <c r="C35">
        <v>196</v>
      </c>
      <c r="D35">
        <v>33</v>
      </c>
      <c r="E35">
        <v>0</v>
      </c>
      <c r="F35">
        <v>229</v>
      </c>
      <c r="G35">
        <v>352</v>
      </c>
      <c r="H35">
        <v>12</v>
      </c>
      <c r="I35">
        <v>0</v>
      </c>
      <c r="J35">
        <v>364</v>
      </c>
      <c r="K35">
        <v>318</v>
      </c>
      <c r="L35">
        <v>26</v>
      </c>
      <c r="M35">
        <v>1</v>
      </c>
      <c r="N35">
        <v>345</v>
      </c>
    </row>
    <row r="36" spans="2:14" x14ac:dyDescent="0.25">
      <c r="B36" s="14" t="s">
        <v>97</v>
      </c>
      <c r="C36">
        <v>0</v>
      </c>
      <c r="D36">
        <v>0</v>
      </c>
      <c r="E36">
        <v>0</v>
      </c>
      <c r="F36">
        <v>0</v>
      </c>
      <c r="G36">
        <v>0</v>
      </c>
      <c r="H36">
        <v>0</v>
      </c>
      <c r="I36">
        <v>0</v>
      </c>
      <c r="J36">
        <v>0</v>
      </c>
      <c r="K36">
        <v>5</v>
      </c>
      <c r="L36">
        <v>1</v>
      </c>
      <c r="M36">
        <v>0</v>
      </c>
      <c r="N36">
        <v>6</v>
      </c>
    </row>
    <row r="37" spans="2:14" x14ac:dyDescent="0.25">
      <c r="B37" s="14" t="s">
        <v>98</v>
      </c>
      <c r="C37">
        <v>196</v>
      </c>
      <c r="D37">
        <v>33</v>
      </c>
      <c r="E37">
        <v>0</v>
      </c>
      <c r="F37">
        <v>229</v>
      </c>
      <c r="G37">
        <v>352</v>
      </c>
      <c r="H37">
        <v>12</v>
      </c>
      <c r="I37">
        <v>0</v>
      </c>
      <c r="J37">
        <v>364</v>
      </c>
      <c r="K37">
        <v>313</v>
      </c>
      <c r="L37">
        <v>25</v>
      </c>
      <c r="M37">
        <v>1</v>
      </c>
      <c r="N37">
        <v>339</v>
      </c>
    </row>
    <row r="38" spans="2:14" x14ac:dyDescent="0.25">
      <c r="B38" s="10" t="s">
        <v>94</v>
      </c>
      <c r="C38">
        <v>270</v>
      </c>
      <c r="D38">
        <v>31</v>
      </c>
      <c r="E38">
        <v>0</v>
      </c>
      <c r="F38">
        <v>301</v>
      </c>
      <c r="G38">
        <v>485</v>
      </c>
      <c r="H38">
        <v>6</v>
      </c>
      <c r="I38">
        <v>0</v>
      </c>
      <c r="J38">
        <v>491</v>
      </c>
      <c r="K38">
        <v>358</v>
      </c>
      <c r="L38">
        <v>41</v>
      </c>
      <c r="M38">
        <v>2</v>
      </c>
      <c r="N38">
        <v>401</v>
      </c>
    </row>
    <row r="39" spans="2:14" x14ac:dyDescent="0.25">
      <c r="B39" s="14" t="s">
        <v>99</v>
      </c>
      <c r="C39">
        <v>268</v>
      </c>
      <c r="D39">
        <v>31</v>
      </c>
      <c r="E39">
        <v>0</v>
      </c>
      <c r="F39">
        <v>299</v>
      </c>
      <c r="G39">
        <v>483</v>
      </c>
      <c r="H39">
        <v>6</v>
      </c>
      <c r="I39">
        <v>0</v>
      </c>
      <c r="J39">
        <v>489</v>
      </c>
      <c r="K39">
        <v>356</v>
      </c>
      <c r="L39">
        <v>41</v>
      </c>
      <c r="M39">
        <v>1</v>
      </c>
      <c r="N39">
        <v>398</v>
      </c>
    </row>
    <row r="40" spans="2:14" x14ac:dyDescent="0.25">
      <c r="B40" s="14" t="s">
        <v>100</v>
      </c>
      <c r="C40">
        <v>2</v>
      </c>
      <c r="D40">
        <v>0</v>
      </c>
      <c r="E40">
        <v>0</v>
      </c>
      <c r="F40">
        <v>2</v>
      </c>
      <c r="G40">
        <v>2</v>
      </c>
      <c r="H40">
        <v>0</v>
      </c>
      <c r="I40">
        <v>0</v>
      </c>
      <c r="J40">
        <v>2</v>
      </c>
      <c r="K40">
        <v>2</v>
      </c>
      <c r="L40">
        <v>0</v>
      </c>
      <c r="M40">
        <v>1</v>
      </c>
      <c r="N40">
        <v>3</v>
      </c>
    </row>
    <row r="41" spans="2:14" x14ac:dyDescent="0.25">
      <c r="B41" s="10" t="s">
        <v>49</v>
      </c>
      <c r="C41">
        <v>1290</v>
      </c>
      <c r="D41">
        <v>123</v>
      </c>
      <c r="E41">
        <v>1</v>
      </c>
      <c r="F41">
        <v>1414</v>
      </c>
      <c r="G41">
        <v>1348</v>
      </c>
      <c r="H41">
        <v>37</v>
      </c>
      <c r="I41">
        <v>2</v>
      </c>
      <c r="J41">
        <v>1387</v>
      </c>
      <c r="K41">
        <v>1201</v>
      </c>
      <c r="L41">
        <v>152</v>
      </c>
      <c r="M41">
        <v>3</v>
      </c>
      <c r="N41">
        <v>1356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B56AA-0C10-4955-BFD7-F5EF11E7AE2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v>79</v>
      </c>
      <c r="F15" s="53" t="s">
        <v>112</v>
      </c>
      <c r="G15" s="53">
        <v>114</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0</v>
      </c>
      <c r="AJ15" s="53" t="s">
        <v>112</v>
      </c>
      <c r="AK15" s="53">
        <v>48</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43</v>
      </c>
      <c r="AZ15" s="53" t="s">
        <v>112</v>
      </c>
      <c r="BA15" s="53" t="s">
        <v>112</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v>100</v>
      </c>
      <c r="F16" s="53" t="s">
        <v>112</v>
      </c>
      <c r="G16" s="53">
        <v>149</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0</v>
      </c>
      <c r="AJ16" s="53" t="s">
        <v>112</v>
      </c>
      <c r="AK16" s="53">
        <v>61</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81</v>
      </c>
      <c r="AZ16" s="53" t="s">
        <v>112</v>
      </c>
      <c r="BA16" s="53" t="s">
        <v>112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v>81</v>
      </c>
      <c r="F17" s="53" t="s">
        <v>112</v>
      </c>
      <c r="G17" s="53">
        <v>120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0</v>
      </c>
      <c r="AJ17" s="53" t="s">
        <v>112</v>
      </c>
      <c r="AK17" s="53">
        <v>49</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69</v>
      </c>
      <c r="AZ17" s="53" t="s">
        <v>112</v>
      </c>
      <c r="BA17" s="53" t="s">
        <v>112</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v>75</v>
      </c>
      <c r="F18" s="53" t="s">
        <v>112</v>
      </c>
      <c r="G18" s="53">
        <v>106</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0</v>
      </c>
      <c r="AJ18" s="53" t="s">
        <v>112</v>
      </c>
      <c r="AK18" s="53">
        <v>38</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75</v>
      </c>
      <c r="AZ18" s="53" t="s">
        <v>112</v>
      </c>
      <c r="BA18" s="53" t="s">
        <v>112</v>
      </c>
      <c r="BB18" s="53" t="s">
        <v>112</v>
      </c>
      <c r="BC18" s="53">
        <v>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v>69</v>
      </c>
      <c r="F19" s="53" t="s">
        <v>112</v>
      </c>
      <c r="G19" s="53">
        <v>63</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0</v>
      </c>
      <c r="AJ19" s="53" t="s">
        <v>112</v>
      </c>
      <c r="AK19" s="53">
        <v>40</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64</v>
      </c>
      <c r="AZ19" s="53" t="s">
        <v>112</v>
      </c>
      <c r="BA19" s="53" t="s">
        <v>112</v>
      </c>
      <c r="BB19" s="53" t="s">
        <v>112</v>
      </c>
      <c r="BC19" s="53">
        <v>1</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v>62</v>
      </c>
      <c r="F20" s="53" t="s">
        <v>112</v>
      </c>
      <c r="G20" s="53">
        <v>80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0</v>
      </c>
      <c r="AJ20" s="53" t="s">
        <v>112</v>
      </c>
      <c r="AK20" s="53">
        <v>44</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56</v>
      </c>
      <c r="AZ20" s="53" t="s">
        <v>112</v>
      </c>
      <c r="BA20" s="53" t="s">
        <v>112</v>
      </c>
      <c r="BB20" s="53" t="s">
        <v>112</v>
      </c>
      <c r="BC20" s="53">
        <v>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v>39</v>
      </c>
      <c r="F21" s="53" t="s">
        <v>112</v>
      </c>
      <c r="G21" s="53">
        <v>60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2</v>
      </c>
      <c r="AJ21" s="53" t="s">
        <v>112</v>
      </c>
      <c r="AK21" s="53">
        <v>44</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61</v>
      </c>
      <c r="AZ21" s="53" t="s">
        <v>112</v>
      </c>
      <c r="BA21" s="53" t="s">
        <v>112</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v>42</v>
      </c>
      <c r="F22" s="53" t="s">
        <v>112</v>
      </c>
      <c r="G22" s="53">
        <v>76</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0</v>
      </c>
      <c r="AJ22" s="53" t="s">
        <v>112</v>
      </c>
      <c r="AK22" s="53">
        <v>42</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42</v>
      </c>
      <c r="AZ22" s="53" t="s">
        <v>112</v>
      </c>
      <c r="BA22" s="53" t="s">
        <v>112</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v>0</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0</v>
      </c>
      <c r="AJ23" s="53" t="s">
        <v>112</v>
      </c>
      <c r="AK23" s="53">
        <v>0</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t="s">
        <v>112</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v>55</v>
      </c>
      <c r="F24" s="53" t="s">
        <v>112</v>
      </c>
      <c r="G24" s="53">
        <v>54</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1</v>
      </c>
      <c r="AJ24" s="53" t="s">
        <v>112</v>
      </c>
      <c r="AK24" s="53">
        <v>81</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86</v>
      </c>
      <c r="AZ24" s="53" t="s">
        <v>112</v>
      </c>
      <c r="BA24" s="53" t="s">
        <v>112</v>
      </c>
      <c r="BB24" s="53" t="s">
        <v>112</v>
      </c>
      <c r="BC24" s="53">
        <v>1</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v>54</v>
      </c>
      <c r="F25" s="53" t="s">
        <v>112</v>
      </c>
      <c r="G25" s="53">
        <v>69</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0</v>
      </c>
      <c r="AJ25" s="53" t="s">
        <v>112</v>
      </c>
      <c r="AK25" s="53">
        <v>79</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88</v>
      </c>
      <c r="AZ25" s="53" t="s">
        <v>112</v>
      </c>
      <c r="BA25" s="53" t="s">
        <v>112</v>
      </c>
      <c r="BB25" s="53" t="s">
        <v>112</v>
      </c>
      <c r="BC25" s="53">
        <v>0</v>
      </c>
      <c r="BD25" s="53" t="s">
        <v>112</v>
      </c>
      <c r="BE25" s="53">
        <v>1</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v>80</v>
      </c>
      <c r="F26" s="53" t="s">
        <v>112</v>
      </c>
      <c r="G26" s="53">
        <v>81</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1</v>
      </c>
      <c r="AJ26" s="53" t="s">
        <v>112</v>
      </c>
      <c r="AK26" s="53">
        <v>87</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96</v>
      </c>
      <c r="AZ26" s="53" t="s">
        <v>112</v>
      </c>
      <c r="BA26" s="53" t="s">
        <v>112</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v>59</v>
      </c>
      <c r="F27" s="53" t="s">
        <v>112</v>
      </c>
      <c r="G27" s="53">
        <v>73</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3</v>
      </c>
      <c r="AJ27" s="53" t="s">
        <v>112</v>
      </c>
      <c r="AK27" s="53">
        <v>66</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86</v>
      </c>
      <c r="AZ27" s="53" t="s">
        <v>112</v>
      </c>
      <c r="BA27" s="53" t="s">
        <v>112</v>
      </c>
      <c r="BB27" s="53" t="s">
        <v>112</v>
      </c>
      <c r="BC27" s="53">
        <v>1</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v>0</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0</v>
      </c>
      <c r="AJ28" s="53" t="s">
        <v>112</v>
      </c>
      <c r="AK28" s="53">
        <v>0</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t="s">
        <v>112</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v>71</v>
      </c>
      <c r="F29" s="53" t="s">
        <v>112</v>
      </c>
      <c r="G29" s="53">
        <v>74</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0</v>
      </c>
      <c r="AJ29" s="53" t="s">
        <v>112</v>
      </c>
      <c r="AK29" s="53">
        <v>117</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155</v>
      </c>
      <c r="AZ29" s="53" t="s">
        <v>112</v>
      </c>
      <c r="BA29" s="53" t="s">
        <v>112</v>
      </c>
      <c r="BB29" s="53" t="s">
        <v>112</v>
      </c>
      <c r="BC29" s="53">
        <v>1</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v>91</v>
      </c>
      <c r="F30" s="53" t="s">
        <v>112</v>
      </c>
      <c r="G30" s="53">
        <v>43</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0</v>
      </c>
      <c r="AJ30" s="53" t="s">
        <v>112</v>
      </c>
      <c r="AK30" s="53">
        <v>78</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124</v>
      </c>
      <c r="AZ30" s="53" t="s">
        <v>112</v>
      </c>
      <c r="BA30" s="53" t="s">
        <v>112</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v>59</v>
      </c>
      <c r="F31" s="53" t="s">
        <v>112</v>
      </c>
      <c r="G31" s="53">
        <v>65</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0</v>
      </c>
      <c r="AJ31" s="53" t="s">
        <v>112</v>
      </c>
      <c r="AK31" s="53">
        <v>83</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115</v>
      </c>
      <c r="AZ31" s="53" t="s">
        <v>112</v>
      </c>
      <c r="BA31" s="53" t="s">
        <v>112</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v>56</v>
      </c>
      <c r="F32" s="53" t="s">
        <v>112</v>
      </c>
      <c r="G32" s="53">
        <v>52</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0</v>
      </c>
      <c r="AJ32" s="53" t="s">
        <v>112</v>
      </c>
      <c r="AK32" s="53">
        <v>74</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89</v>
      </c>
      <c r="AZ32" s="53" t="s">
        <v>112</v>
      </c>
      <c r="BA32" s="53" t="s">
        <v>112</v>
      </c>
      <c r="BB32" s="53" t="s">
        <v>112</v>
      </c>
      <c r="BC32" s="53">
        <v>1</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v>48</v>
      </c>
      <c r="F33" s="53" t="s">
        <v>112</v>
      </c>
      <c r="G33" s="53">
        <v>50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0</v>
      </c>
      <c r="AJ33" s="53" t="s">
        <v>112</v>
      </c>
      <c r="AK33" s="53">
        <v>48</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58</v>
      </c>
      <c r="AZ33" s="53" t="s">
        <v>112</v>
      </c>
      <c r="BA33" s="53" t="s">
        <v>112</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v>44</v>
      </c>
      <c r="F34" s="53" t="s">
        <v>112</v>
      </c>
      <c r="G34" s="53">
        <v>34</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0</v>
      </c>
      <c r="AJ34" s="53" t="s">
        <v>112</v>
      </c>
      <c r="AK34" s="53">
        <v>44</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56</v>
      </c>
      <c r="AZ34" s="53" t="s">
        <v>112</v>
      </c>
      <c r="BA34" s="53" t="s">
        <v>112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v>37</v>
      </c>
      <c r="F35" s="53" t="s">
        <v>112</v>
      </c>
      <c r="G35" s="53">
        <v>41</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0</v>
      </c>
      <c r="AJ35" s="53" t="s">
        <v>112</v>
      </c>
      <c r="AK35" s="53">
        <v>33</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58</v>
      </c>
      <c r="AZ35" s="53" t="s">
        <v>112</v>
      </c>
      <c r="BA35" s="53" t="s">
        <v>112</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v>33</v>
      </c>
      <c r="F36" s="53" t="s">
        <v>112</v>
      </c>
      <c r="G36" s="53">
        <v>36</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v>0</v>
      </c>
      <c r="AJ36" s="53" t="s">
        <v>112</v>
      </c>
      <c r="AK36" s="53">
        <v>31</v>
      </c>
      <c r="AL36" s="53" t="s">
        <v>112</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v>55</v>
      </c>
      <c r="AZ36" s="53" t="s">
        <v>112</v>
      </c>
      <c r="BA36" s="53" t="s">
        <v>112</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v>0</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v>0</v>
      </c>
      <c r="AJ37" s="53" t="s">
        <v>112</v>
      </c>
      <c r="AK37" s="53">
        <v>0</v>
      </c>
      <c r="AL37" s="53" t="s">
        <v>112</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v>0</v>
      </c>
      <c r="AZ37" s="53" t="s">
        <v>112</v>
      </c>
      <c r="BA37" s="53" t="s">
        <v>112</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E90D3-D104-4845-9D03-01956850807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v>7</v>
      </c>
      <c r="F15" s="53" t="s">
        <v>112</v>
      </c>
      <c r="G15" s="53">
        <v>8</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0</v>
      </c>
      <c r="AJ15" s="53" t="s">
        <v>112</v>
      </c>
      <c r="AK15" s="53">
        <v>16</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9</v>
      </c>
      <c r="AZ15" s="53" t="s">
        <v>112</v>
      </c>
      <c r="BA15" s="53" t="s">
        <v>112</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v>4</v>
      </c>
      <c r="F16" s="53" t="s">
        <v>112</v>
      </c>
      <c r="G16" s="53">
        <v>10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0</v>
      </c>
      <c r="AJ16" s="53" t="s">
        <v>112</v>
      </c>
      <c r="AK16" s="53">
        <v>6</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6</v>
      </c>
      <c r="AZ16" s="53" t="s">
        <v>112</v>
      </c>
      <c r="BA16" s="53" t="s">
        <v>112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v>6</v>
      </c>
      <c r="F17" s="53" t="s">
        <v>112</v>
      </c>
      <c r="G17" s="53">
        <v>9</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0</v>
      </c>
      <c r="AJ17" s="53" t="s">
        <v>112</v>
      </c>
      <c r="AK17" s="53">
        <v>5</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6</v>
      </c>
      <c r="AZ17" s="53" t="s">
        <v>112</v>
      </c>
      <c r="BA17" s="53" t="s">
        <v>112</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v>9</v>
      </c>
      <c r="F18" s="53" t="s">
        <v>112</v>
      </c>
      <c r="G18" s="53">
        <v>6</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0</v>
      </c>
      <c r="AJ18" s="53" t="s">
        <v>112</v>
      </c>
      <c r="AK18" s="53">
        <v>6</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10</v>
      </c>
      <c r="AZ18" s="53" t="s">
        <v>112</v>
      </c>
      <c r="BA18" s="53" t="s">
        <v>112</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v>7</v>
      </c>
      <c r="F19" s="53" t="s">
        <v>112</v>
      </c>
      <c r="G19" s="53">
        <v>7</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0</v>
      </c>
      <c r="AJ19" s="53" t="s">
        <v>112</v>
      </c>
      <c r="AK19" s="53">
        <v>7</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9</v>
      </c>
      <c r="AZ19" s="53" t="s">
        <v>112</v>
      </c>
      <c r="BA19" s="53" t="s">
        <v>112</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v>5</v>
      </c>
      <c r="F20" s="53" t="s">
        <v>112</v>
      </c>
      <c r="G20" s="53">
        <v>12</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0</v>
      </c>
      <c r="AJ20" s="53" t="s">
        <v>112</v>
      </c>
      <c r="AK20" s="53">
        <v>7</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9</v>
      </c>
      <c r="AZ20" s="53" t="s">
        <v>112</v>
      </c>
      <c r="BA20" s="53" t="s">
        <v>112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v>8</v>
      </c>
      <c r="F21" s="53" t="s">
        <v>112</v>
      </c>
      <c r="G21" s="53">
        <v>18</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0</v>
      </c>
      <c r="AJ21" s="53" t="s">
        <v>112</v>
      </c>
      <c r="AK21" s="53">
        <v>9</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10</v>
      </c>
      <c r="AZ21" s="53" t="s">
        <v>112</v>
      </c>
      <c r="BA21" s="53" t="s">
        <v>112</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v>5</v>
      </c>
      <c r="F22" s="53" t="s">
        <v>112</v>
      </c>
      <c r="G22" s="53">
        <v>14</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0</v>
      </c>
      <c r="AJ22" s="53" t="s">
        <v>112</v>
      </c>
      <c r="AK22" s="53">
        <v>8</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6</v>
      </c>
      <c r="AZ22" s="53" t="s">
        <v>112</v>
      </c>
      <c r="BA22" s="53" t="s">
        <v>112</v>
      </c>
      <c r="BB22" s="53" t="s">
        <v>112</v>
      </c>
      <c r="BC22" s="53">
        <v>0</v>
      </c>
      <c r="BD22" s="53" t="s">
        <v>112</v>
      </c>
      <c r="BE22" s="53">
        <v>1</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v>0</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0</v>
      </c>
      <c r="AJ23" s="53" t="s">
        <v>112</v>
      </c>
      <c r="AK23" s="53">
        <v>0</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t="s">
        <v>112</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v>5</v>
      </c>
      <c r="F24" s="53" t="s">
        <v>112</v>
      </c>
      <c r="G24" s="53">
        <v>17</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0</v>
      </c>
      <c r="AJ24" s="53" t="s">
        <v>112</v>
      </c>
      <c r="AK24" s="53">
        <v>8</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13</v>
      </c>
      <c r="AZ24" s="53" t="s">
        <v>112</v>
      </c>
      <c r="BA24" s="53" t="s">
        <v>112</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v>5</v>
      </c>
      <c r="F25" s="53" t="s">
        <v>112</v>
      </c>
      <c r="G25" s="53">
        <v>13</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0</v>
      </c>
      <c r="AJ25" s="53" t="s">
        <v>112</v>
      </c>
      <c r="AK25" s="53">
        <v>6</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8</v>
      </c>
      <c r="AZ25" s="53" t="s">
        <v>112</v>
      </c>
      <c r="BA25" s="53" t="s">
        <v>112</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v>7</v>
      </c>
      <c r="F26" s="53" t="s">
        <v>112</v>
      </c>
      <c r="G26" s="53">
        <v>10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1</v>
      </c>
      <c r="AJ26" s="53" t="s">
        <v>112</v>
      </c>
      <c r="AK26" s="53">
        <v>7</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13</v>
      </c>
      <c r="AZ26" s="53" t="s">
        <v>112</v>
      </c>
      <c r="BA26" s="53" t="s">
        <v>112</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v>10</v>
      </c>
      <c r="F27" s="53" t="s">
        <v>112</v>
      </c>
      <c r="G27" s="53">
        <v>18</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4</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7</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v>0</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0</v>
      </c>
      <c r="AJ28" s="53" t="s">
        <v>112</v>
      </c>
      <c r="AK28" s="53">
        <v>0</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t="s">
        <v>112</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v>3</v>
      </c>
      <c r="F29" s="53" t="s">
        <v>112</v>
      </c>
      <c r="G29" s="53">
        <v>1</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0</v>
      </c>
      <c r="AJ29" s="53" t="s">
        <v>112</v>
      </c>
      <c r="AK29" s="53">
        <v>3</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0</v>
      </c>
      <c r="AZ29" s="53" t="s">
        <v>112</v>
      </c>
      <c r="BA29" s="53" t="s">
        <v>112</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v>1</v>
      </c>
      <c r="F30" s="53" t="s">
        <v>112</v>
      </c>
      <c r="G30" s="53">
        <v>3</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0</v>
      </c>
      <c r="AJ30" s="53" t="s">
        <v>112</v>
      </c>
      <c r="AK30" s="53">
        <v>7</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4</v>
      </c>
      <c r="AZ30" s="53" t="s">
        <v>112</v>
      </c>
      <c r="BA30" s="53" t="s">
        <v>112</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v>1</v>
      </c>
      <c r="F31" s="53" t="s">
        <v>112</v>
      </c>
      <c r="G31" s="53">
        <v>7</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0</v>
      </c>
      <c r="AJ31" s="53" t="s">
        <v>112</v>
      </c>
      <c r="AK31" s="53">
        <v>1</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1</v>
      </c>
      <c r="AZ31" s="53" t="s">
        <v>112</v>
      </c>
      <c r="BA31" s="53" t="s">
        <v>112</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v>0</v>
      </c>
      <c r="F32" s="53" t="s">
        <v>112</v>
      </c>
      <c r="G32" s="53">
        <v>3</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0</v>
      </c>
      <c r="AJ32" s="53" t="s">
        <v>112</v>
      </c>
      <c r="AK32" s="53">
        <v>1</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1</v>
      </c>
      <c r="AZ32" s="53" t="s">
        <v>112</v>
      </c>
      <c r="BA32" s="53" t="s">
        <v>112</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v>0</v>
      </c>
      <c r="F33" s="53" t="s">
        <v>112</v>
      </c>
      <c r="G33" s="53">
        <v>1</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0</v>
      </c>
      <c r="AJ33" s="53" t="s">
        <v>112</v>
      </c>
      <c r="AK33" s="53">
        <v>2</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3</v>
      </c>
      <c r="AZ33" s="53" t="s">
        <v>112</v>
      </c>
      <c r="BA33" s="53" t="s">
        <v>112</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v>0</v>
      </c>
      <c r="F34" s="53" t="s">
        <v>112</v>
      </c>
      <c r="G34" s="53">
        <v>2</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0</v>
      </c>
      <c r="AJ34" s="53" t="s">
        <v>112</v>
      </c>
      <c r="AK34" s="53">
        <v>2</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1</v>
      </c>
      <c r="AZ34" s="53" t="s">
        <v>112</v>
      </c>
      <c r="BA34" s="53" t="s">
        <v>112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v>2</v>
      </c>
      <c r="F35" s="53" t="s">
        <v>112</v>
      </c>
      <c r="G35" s="53">
        <v>1</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0</v>
      </c>
      <c r="AJ35" s="53" t="s">
        <v>112</v>
      </c>
      <c r="AK35" s="53">
        <v>0</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2</v>
      </c>
      <c r="AZ35" s="53" t="s">
        <v>112</v>
      </c>
      <c r="BA35" s="53" t="s">
        <v>112</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v>0</v>
      </c>
      <c r="F36" s="53" t="s">
        <v>112</v>
      </c>
      <c r="G36" s="53">
        <v>1</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v>0</v>
      </c>
      <c r="AJ36" s="53" t="s">
        <v>112</v>
      </c>
      <c r="AK36" s="53">
        <v>0</v>
      </c>
      <c r="AL36" s="53" t="s">
        <v>112</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v>0</v>
      </c>
      <c r="AZ36" s="53" t="s">
        <v>112</v>
      </c>
      <c r="BA36" s="53" t="s">
        <v>112</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v>0</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v>0</v>
      </c>
      <c r="AJ37" s="53" t="s">
        <v>112</v>
      </c>
      <c r="AK37" s="53">
        <v>0</v>
      </c>
      <c r="AL37" s="53" t="s">
        <v>112</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v>0</v>
      </c>
      <c r="AZ37" s="53" t="s">
        <v>112</v>
      </c>
      <c r="BA37" s="53" t="s">
        <v>112</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08FD6-9676-4096-9F7E-76BC84AB4BA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v>0</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0</v>
      </c>
      <c r="AJ15" s="53" t="s">
        <v>112</v>
      </c>
      <c r="AK15" s="53">
        <v>0</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0</v>
      </c>
      <c r="AZ15" s="53" t="s">
        <v>112</v>
      </c>
      <c r="BA15" s="53" t="s">
        <v>112</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v>0</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0</v>
      </c>
      <c r="AJ16" s="53" t="s">
        <v>112</v>
      </c>
      <c r="AK16" s="53">
        <v>0</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0</v>
      </c>
      <c r="AZ16" s="53" t="s">
        <v>112</v>
      </c>
      <c r="BA16" s="53" t="s">
        <v>112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v>0</v>
      </c>
      <c r="F17" s="53" t="s">
        <v>112</v>
      </c>
      <c r="G17" s="53">
        <v>1</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0</v>
      </c>
      <c r="AJ17" s="53" t="s">
        <v>112</v>
      </c>
      <c r="AK17" s="53">
        <v>0</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0</v>
      </c>
      <c r="AZ17" s="53" t="s">
        <v>112</v>
      </c>
      <c r="BA17" s="53" t="s">
        <v>112</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v>0</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0</v>
      </c>
      <c r="AJ18" s="53" t="s">
        <v>112</v>
      </c>
      <c r="AK18" s="53">
        <v>0</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0</v>
      </c>
      <c r="AZ18" s="53" t="s">
        <v>112</v>
      </c>
      <c r="BA18" s="53" t="s">
        <v>112</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v>0</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0</v>
      </c>
      <c r="AJ19" s="53" t="s">
        <v>112</v>
      </c>
      <c r="AK19" s="53">
        <v>0</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0</v>
      </c>
      <c r="AZ19" s="53" t="s">
        <v>112</v>
      </c>
      <c r="BA19" s="53" t="s">
        <v>112</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v>0</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0</v>
      </c>
      <c r="AJ20" s="53" t="s">
        <v>112</v>
      </c>
      <c r="AK20" s="53">
        <v>0</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0</v>
      </c>
      <c r="AZ20" s="53" t="s">
        <v>112</v>
      </c>
      <c r="BA20" s="53" t="s">
        <v>112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v>0</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0</v>
      </c>
      <c r="AJ21" s="53" t="s">
        <v>112</v>
      </c>
      <c r="AK21" s="53">
        <v>0</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0</v>
      </c>
      <c r="AZ21" s="53" t="s">
        <v>112</v>
      </c>
      <c r="BA21" s="53" t="s">
        <v>112</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v>0</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0</v>
      </c>
      <c r="AJ22" s="53" t="s">
        <v>112</v>
      </c>
      <c r="AK22" s="53">
        <v>0</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0</v>
      </c>
      <c r="AZ22" s="53" t="s">
        <v>112</v>
      </c>
      <c r="BA22" s="53" t="s">
        <v>112</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v>0</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0</v>
      </c>
      <c r="AJ23" s="53" t="s">
        <v>112</v>
      </c>
      <c r="AK23" s="53">
        <v>0</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t="s">
        <v>112</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v>0</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0</v>
      </c>
      <c r="AJ24" s="53" t="s">
        <v>112</v>
      </c>
      <c r="AK24" s="53">
        <v>0</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0</v>
      </c>
      <c r="AZ24" s="53" t="s">
        <v>112</v>
      </c>
      <c r="BA24" s="53" t="s">
        <v>112</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v>0</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0</v>
      </c>
      <c r="AJ25" s="53" t="s">
        <v>112</v>
      </c>
      <c r="AK25" s="53">
        <v>0</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0</v>
      </c>
      <c r="AZ25" s="53" t="s">
        <v>112</v>
      </c>
      <c r="BA25" s="53" t="s">
        <v>112</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v>0</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0</v>
      </c>
      <c r="AJ26" s="53" t="s">
        <v>112</v>
      </c>
      <c r="AK26" s="53">
        <v>1</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0</v>
      </c>
      <c r="AZ26" s="53" t="s">
        <v>112</v>
      </c>
      <c r="BA26" s="53" t="s">
        <v>112</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v>0</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1</v>
      </c>
      <c r="AZ27" s="53" t="s">
        <v>112</v>
      </c>
      <c r="BA27" s="53" t="s">
        <v>112</v>
      </c>
      <c r="BB27" s="53" t="s">
        <v>112</v>
      </c>
      <c r="BC27" s="53">
        <v>1</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v>0</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0</v>
      </c>
      <c r="AJ28" s="53" t="s">
        <v>112</v>
      </c>
      <c r="AK28" s="53">
        <v>0</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t="s">
        <v>112</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v>0</v>
      </c>
      <c r="F29" s="53" t="s">
        <v>112</v>
      </c>
      <c r="G29" s="53">
        <v>1</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0</v>
      </c>
      <c r="AJ29" s="53" t="s">
        <v>112</v>
      </c>
      <c r="AK29" s="53">
        <v>0</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0</v>
      </c>
      <c r="AZ29" s="53" t="s">
        <v>112</v>
      </c>
      <c r="BA29" s="53" t="s">
        <v>112</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v>0</v>
      </c>
      <c r="F30" s="53" t="s">
        <v>112</v>
      </c>
      <c r="G30" s="53">
        <v>1</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0</v>
      </c>
      <c r="AJ30" s="53" t="s">
        <v>112</v>
      </c>
      <c r="AK30" s="53">
        <v>0</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0</v>
      </c>
      <c r="AZ30" s="53" t="s">
        <v>112</v>
      </c>
      <c r="BA30" s="53" t="s">
        <v>112</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v>0</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0</v>
      </c>
      <c r="AJ31" s="53" t="s">
        <v>112</v>
      </c>
      <c r="AK31" s="53">
        <v>0</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0</v>
      </c>
      <c r="AZ31" s="53" t="s">
        <v>112</v>
      </c>
      <c r="BA31" s="53" t="s">
        <v>112</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v>0</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0</v>
      </c>
      <c r="AJ32" s="53" t="s">
        <v>112</v>
      </c>
      <c r="AK32" s="53">
        <v>0</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0</v>
      </c>
      <c r="AZ32" s="53" t="s">
        <v>112</v>
      </c>
      <c r="BA32" s="53" t="s">
        <v>112</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v>0</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0</v>
      </c>
      <c r="AJ33" s="53" t="s">
        <v>112</v>
      </c>
      <c r="AK33" s="53">
        <v>0</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0</v>
      </c>
      <c r="AZ33" s="53" t="s">
        <v>112</v>
      </c>
      <c r="BA33" s="53" t="s">
        <v>112</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v>0</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0</v>
      </c>
      <c r="AJ34" s="53" t="s">
        <v>112</v>
      </c>
      <c r="AK34" s="53">
        <v>0</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0</v>
      </c>
      <c r="AZ34" s="53" t="s">
        <v>112</v>
      </c>
      <c r="BA34" s="53" t="s">
        <v>112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v>0</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0</v>
      </c>
      <c r="AJ35" s="53" t="s">
        <v>112</v>
      </c>
      <c r="AK35" s="53">
        <v>0</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0</v>
      </c>
      <c r="AZ35" s="53" t="s">
        <v>112</v>
      </c>
      <c r="BA35" s="53" t="s">
        <v>112</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v>0</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v>0</v>
      </c>
      <c r="AJ36" s="53" t="s">
        <v>112</v>
      </c>
      <c r="AK36" s="53">
        <v>0</v>
      </c>
      <c r="AL36" s="53" t="s">
        <v>112</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v>0</v>
      </c>
      <c r="AZ36" s="53" t="s">
        <v>112</v>
      </c>
      <c r="BA36" s="53" t="s">
        <v>112</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v>0</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v>0</v>
      </c>
      <c r="AJ37" s="53" t="s">
        <v>112</v>
      </c>
      <c r="AK37" s="53">
        <v>0</v>
      </c>
      <c r="AL37" s="53" t="s">
        <v>112</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v>0</v>
      </c>
      <c r="AZ37" s="53" t="s">
        <v>112</v>
      </c>
      <c r="BA37" s="53" t="s">
        <v>112</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D165C-279B-49B8-8BEA-0BAE08BAD9D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v>86</v>
      </c>
      <c r="F15" s="53" t="s">
        <v>112</v>
      </c>
      <c r="G15" s="53">
        <v>122</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0</v>
      </c>
      <c r="AJ15" s="53" t="s">
        <v>112</v>
      </c>
      <c r="AK15" s="53">
        <v>64</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52</v>
      </c>
      <c r="AZ15" s="53" t="s">
        <v>112</v>
      </c>
      <c r="BA15" s="53" t="s">
        <v>112</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v>104</v>
      </c>
      <c r="F16" s="53" t="s">
        <v>112</v>
      </c>
      <c r="G16" s="53">
        <v>159</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0</v>
      </c>
      <c r="AJ16" s="53" t="s">
        <v>112</v>
      </c>
      <c r="AK16" s="53">
        <v>67</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87</v>
      </c>
      <c r="AZ16" s="53" t="s">
        <v>112</v>
      </c>
      <c r="BA16" s="53" t="s">
        <v>112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v>87</v>
      </c>
      <c r="F17" s="53" t="s">
        <v>112</v>
      </c>
      <c r="G17" s="53">
        <v>130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0</v>
      </c>
      <c r="AJ17" s="53" t="s">
        <v>112</v>
      </c>
      <c r="AK17" s="53">
        <v>54</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75</v>
      </c>
      <c r="AZ17" s="53" t="s">
        <v>112</v>
      </c>
      <c r="BA17" s="53" t="s">
        <v>112</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v>84</v>
      </c>
      <c r="F18" s="53" t="s">
        <v>112</v>
      </c>
      <c r="G18" s="53">
        <v>112</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0</v>
      </c>
      <c r="AJ18" s="53" t="s">
        <v>112</v>
      </c>
      <c r="AK18" s="53">
        <v>44</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85</v>
      </c>
      <c r="AZ18" s="53" t="s">
        <v>112</v>
      </c>
      <c r="BA18" s="53" t="s">
        <v>112</v>
      </c>
      <c r="BB18" s="53" t="s">
        <v>112</v>
      </c>
      <c r="BC18" s="53">
        <v>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v>76</v>
      </c>
      <c r="F19" s="53" t="s">
        <v>112</v>
      </c>
      <c r="G19" s="53">
        <v>70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0</v>
      </c>
      <c r="AJ19" s="53" t="s">
        <v>112</v>
      </c>
      <c r="AK19" s="53">
        <v>47</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73</v>
      </c>
      <c r="AZ19" s="53" t="s">
        <v>112</v>
      </c>
      <c r="BA19" s="53" t="s">
        <v>112</v>
      </c>
      <c r="BB19" s="53" t="s">
        <v>112</v>
      </c>
      <c r="BC19" s="53">
        <v>1</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v>67</v>
      </c>
      <c r="F20" s="53" t="s">
        <v>112</v>
      </c>
      <c r="G20" s="53">
        <v>92</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0</v>
      </c>
      <c r="AJ20" s="53" t="s">
        <v>112</v>
      </c>
      <c r="AK20" s="53">
        <v>51</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65</v>
      </c>
      <c r="AZ20" s="53" t="s">
        <v>112</v>
      </c>
      <c r="BA20" s="53" t="s">
        <v>112</v>
      </c>
      <c r="BB20" s="53" t="s">
        <v>112</v>
      </c>
      <c r="BC20" s="53">
        <v>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v>47</v>
      </c>
      <c r="F21" s="53" t="s">
        <v>112</v>
      </c>
      <c r="G21" s="53">
        <v>78</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2</v>
      </c>
      <c r="AJ21" s="53" t="s">
        <v>112</v>
      </c>
      <c r="AK21" s="53">
        <v>53</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71</v>
      </c>
      <c r="AZ21" s="53" t="s">
        <v>112</v>
      </c>
      <c r="BA21" s="53" t="s">
        <v>112</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v>47</v>
      </c>
      <c r="F22" s="53" t="s">
        <v>112</v>
      </c>
      <c r="G22" s="53">
        <v>90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0</v>
      </c>
      <c r="AJ22" s="53" t="s">
        <v>112</v>
      </c>
      <c r="AK22" s="53">
        <v>50</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48</v>
      </c>
      <c r="AZ22" s="53" t="s">
        <v>112</v>
      </c>
      <c r="BA22" s="53" t="s">
        <v>112</v>
      </c>
      <c r="BB22" s="53" t="s">
        <v>112</v>
      </c>
      <c r="BC22" s="53">
        <v>0</v>
      </c>
      <c r="BD22" s="53" t="s">
        <v>112</v>
      </c>
      <c r="BE22" s="53">
        <v>1</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v>0</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0</v>
      </c>
      <c r="AJ23" s="53" t="s">
        <v>112</v>
      </c>
      <c r="AK23" s="53">
        <v>0</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t="s">
        <v>112</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v>60</v>
      </c>
      <c r="F24" s="53" t="s">
        <v>112</v>
      </c>
      <c r="G24" s="53">
        <v>71</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1</v>
      </c>
      <c r="AJ24" s="53" t="s">
        <v>112</v>
      </c>
      <c r="AK24" s="53">
        <v>89</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99</v>
      </c>
      <c r="AZ24" s="53" t="s">
        <v>112</v>
      </c>
      <c r="BA24" s="53" t="s">
        <v>112</v>
      </c>
      <c r="BB24" s="53" t="s">
        <v>112</v>
      </c>
      <c r="BC24" s="53">
        <v>1</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v>59</v>
      </c>
      <c r="F25" s="53" t="s">
        <v>112</v>
      </c>
      <c r="G25" s="53">
        <v>82</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0</v>
      </c>
      <c r="AJ25" s="53" t="s">
        <v>112</v>
      </c>
      <c r="AK25" s="53">
        <v>85</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96</v>
      </c>
      <c r="AZ25" s="53" t="s">
        <v>112</v>
      </c>
      <c r="BA25" s="53" t="s">
        <v>112</v>
      </c>
      <c r="BB25" s="53" t="s">
        <v>112</v>
      </c>
      <c r="BC25" s="53">
        <v>0</v>
      </c>
      <c r="BD25" s="53" t="s">
        <v>112</v>
      </c>
      <c r="BE25" s="53">
        <v>1</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v>87</v>
      </c>
      <c r="F26" s="53" t="s">
        <v>112</v>
      </c>
      <c r="G26" s="53">
        <v>91</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2</v>
      </c>
      <c r="AJ26" s="53" t="s">
        <v>112</v>
      </c>
      <c r="AK26" s="53">
        <v>95</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109</v>
      </c>
      <c r="AZ26" s="53" t="s">
        <v>112</v>
      </c>
      <c r="BA26" s="53" t="s">
        <v>112</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v>69</v>
      </c>
      <c r="F27" s="53" t="s">
        <v>112</v>
      </c>
      <c r="G27" s="53">
        <v>91</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3</v>
      </c>
      <c r="AJ27" s="53" t="s">
        <v>112</v>
      </c>
      <c r="AK27" s="53">
        <v>70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94</v>
      </c>
      <c r="AZ27" s="53" t="s">
        <v>112</v>
      </c>
      <c r="BA27" s="53" t="s">
        <v>112</v>
      </c>
      <c r="BB27" s="53" t="s">
        <v>112</v>
      </c>
      <c r="BC27" s="53">
        <v>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v>0</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0</v>
      </c>
      <c r="AJ28" s="53" t="s">
        <v>112</v>
      </c>
      <c r="AK28" s="53">
        <v>0</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t="s">
        <v>112</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v>74</v>
      </c>
      <c r="F29" s="53" t="s">
        <v>112</v>
      </c>
      <c r="G29" s="53">
        <v>76</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0</v>
      </c>
      <c r="AJ29" s="53" t="s">
        <v>112</v>
      </c>
      <c r="AK29" s="53">
        <v>120</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155</v>
      </c>
      <c r="AZ29" s="53" t="s">
        <v>112</v>
      </c>
      <c r="BA29" s="53" t="s">
        <v>112</v>
      </c>
      <c r="BB29" s="53" t="s">
        <v>112</v>
      </c>
      <c r="BC29" s="53">
        <v>1</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v>92</v>
      </c>
      <c r="F30" s="53" t="s">
        <v>112</v>
      </c>
      <c r="G30" s="53">
        <v>47</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0</v>
      </c>
      <c r="AJ30" s="53" t="s">
        <v>112</v>
      </c>
      <c r="AK30" s="53">
        <v>85</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128</v>
      </c>
      <c r="AZ30" s="53" t="s">
        <v>112</v>
      </c>
      <c r="BA30" s="53" t="s">
        <v>112</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v>60</v>
      </c>
      <c r="F31" s="53" t="s">
        <v>112</v>
      </c>
      <c r="G31" s="53">
        <v>72</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0</v>
      </c>
      <c r="AJ31" s="53" t="s">
        <v>112</v>
      </c>
      <c r="AK31" s="53">
        <v>84</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116</v>
      </c>
      <c r="AZ31" s="53" t="s">
        <v>112</v>
      </c>
      <c r="BA31" s="53" t="s">
        <v>112</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v>56</v>
      </c>
      <c r="F32" s="53" t="s">
        <v>112</v>
      </c>
      <c r="G32" s="53">
        <v>55</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0</v>
      </c>
      <c r="AJ32" s="53" t="s">
        <v>112</v>
      </c>
      <c r="AK32" s="53">
        <v>75</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90</v>
      </c>
      <c r="AZ32" s="53" t="s">
        <v>112</v>
      </c>
      <c r="BA32" s="53" t="s">
        <v>112</v>
      </c>
      <c r="BB32" s="53" t="s">
        <v>112</v>
      </c>
      <c r="BC32" s="53">
        <v>1</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v>48</v>
      </c>
      <c r="F33" s="53" t="s">
        <v>112</v>
      </c>
      <c r="G33" s="53">
        <v>51</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0</v>
      </c>
      <c r="AJ33" s="53" t="s">
        <v>112</v>
      </c>
      <c r="AK33" s="53">
        <v>50</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61</v>
      </c>
      <c r="AZ33" s="53" t="s">
        <v>112</v>
      </c>
      <c r="BA33" s="53" t="s">
        <v>112</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v>44</v>
      </c>
      <c r="F34" s="53" t="s">
        <v>112</v>
      </c>
      <c r="G34" s="53">
        <v>36</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0</v>
      </c>
      <c r="AJ34" s="53" t="s">
        <v>112</v>
      </c>
      <c r="AK34" s="53">
        <v>46</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57</v>
      </c>
      <c r="AZ34" s="53" t="s">
        <v>112</v>
      </c>
      <c r="BA34" s="53" t="s">
        <v>112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v>39</v>
      </c>
      <c r="F35" s="53" t="s">
        <v>112</v>
      </c>
      <c r="G35" s="53">
        <v>42</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0</v>
      </c>
      <c r="AJ35" s="53" t="s">
        <v>112</v>
      </c>
      <c r="AK35" s="53">
        <v>33</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60</v>
      </c>
      <c r="AZ35" s="53" t="s">
        <v>112</v>
      </c>
      <c r="BA35" s="53" t="s">
        <v>112</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v>33</v>
      </c>
      <c r="F36" s="53" t="s">
        <v>112</v>
      </c>
      <c r="G36" s="53">
        <v>37</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v>0</v>
      </c>
      <c r="AJ36" s="53" t="s">
        <v>112</v>
      </c>
      <c r="AK36" s="53">
        <v>31</v>
      </c>
      <c r="AL36" s="53" t="s">
        <v>112</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v>55</v>
      </c>
      <c r="AZ36" s="53" t="s">
        <v>112</v>
      </c>
      <c r="BA36" s="53" t="s">
        <v>112</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v>0</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v>0</v>
      </c>
      <c r="AJ37" s="53" t="s">
        <v>112</v>
      </c>
      <c r="AK37" s="53">
        <v>0</v>
      </c>
      <c r="AL37" s="53" t="s">
        <v>112</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v>0</v>
      </c>
      <c r="AZ37" s="53" t="s">
        <v>112</v>
      </c>
      <c r="BA37" s="53" t="s">
        <v>112</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2023-12-12T01:54:44Z</dcterms:modified>
</cp:coreProperties>
</file>