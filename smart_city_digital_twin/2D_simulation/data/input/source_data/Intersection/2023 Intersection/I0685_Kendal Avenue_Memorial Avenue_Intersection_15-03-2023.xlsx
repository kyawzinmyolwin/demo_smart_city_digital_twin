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49AC316-6DB5-45CE-9779-6911178636A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67" i="6"/>
  <c r="Q282" i="6"/>
  <c r="Q250" i="6"/>
  <c r="Q202" i="6"/>
  <c r="Q162" i="6"/>
  <c r="Q106" i="6"/>
  <c r="Q90" i="6"/>
  <c r="Q50" i="6"/>
  <c r="Q280" i="6"/>
  <c r="Q268" i="6"/>
  <c r="Q216" i="6"/>
  <c r="Q177" i="6"/>
  <c r="Q140" i="6"/>
  <c r="Q88" i="6"/>
  <c r="Q276" i="6"/>
  <c r="Q110" i="6"/>
  <c r="Q71" i="6"/>
  <c r="Q30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246" i="6"/>
  <c r="Q116" i="6"/>
  <c r="Q64"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86" i="4"/>
  <c r="I466" i="4"/>
  <c r="I406" i="4"/>
  <c r="I346" i="4"/>
  <c r="I426" i="4"/>
  <c r="I366" i="4"/>
  <c r="I446" i="4"/>
  <c r="I18" i="4"/>
  <c r="I98" i="4"/>
  <c r="I178" i="4"/>
  <c r="I258" i="4"/>
  <c r="I338" i="4"/>
  <c r="I38" i="4"/>
  <c r="I118" i="4"/>
  <c r="I198" i="4"/>
  <c r="I278" i="4"/>
  <c r="I58" i="4"/>
  <c r="I138" i="4"/>
  <c r="I218" i="4"/>
  <c r="I298" i="4"/>
  <c r="I78" i="4"/>
  <c r="I158" i="4"/>
  <c r="I238" i="4"/>
  <c r="I318" i="4"/>
  <c r="I418" i="4"/>
  <c r="I358" i="4"/>
  <c r="I438" i="4"/>
  <c r="I378" i="4"/>
  <c r="I458" i="4"/>
  <c r="I398" i="4"/>
  <c r="I478" i="4"/>
  <c r="I63" i="4"/>
  <c r="I143" i="4"/>
  <c r="I223" i="4"/>
  <c r="I303" i="4"/>
  <c r="I3" i="4"/>
  <c r="I83" i="4"/>
  <c r="I163" i="4"/>
  <c r="I243" i="4"/>
  <c r="I323" i="4"/>
  <c r="I23" i="4"/>
  <c r="I103" i="4"/>
  <c r="I183" i="4"/>
  <c r="I263" i="4"/>
  <c r="I43" i="4"/>
  <c r="I123" i="4"/>
  <c r="I203" i="4"/>
  <c r="I283" i="4"/>
  <c r="I343" i="4"/>
  <c r="I383" i="4"/>
  <c r="I463" i="4"/>
  <c r="I403" i="4"/>
  <c r="I423" i="4"/>
  <c r="I363" i="4"/>
  <c r="I443" i="4"/>
  <c r="I65" i="4"/>
  <c r="I145" i="4"/>
  <c r="I225" i="4"/>
  <c r="I305" i="4"/>
  <c r="I5" i="4"/>
  <c r="I85" i="4"/>
  <c r="I165" i="4"/>
  <c r="I245" i="4"/>
  <c r="I325" i="4"/>
  <c r="I25" i="4"/>
  <c r="I105" i="4"/>
  <c r="I185" i="4"/>
  <c r="I265" i="4"/>
  <c r="I45" i="4"/>
  <c r="I125" i="4"/>
  <c r="I205" i="4"/>
  <c r="I285" i="4"/>
  <c r="I345" i="4"/>
  <c r="I425" i="4"/>
  <c r="I365" i="4"/>
  <c r="I445" i="4"/>
  <c r="I385" i="4"/>
  <c r="I465" i="4"/>
  <c r="I405" i="4"/>
  <c r="I33" i="4"/>
  <c r="I113" i="4"/>
  <c r="I193" i="4"/>
  <c r="I273" i="4"/>
  <c r="I53" i="4"/>
  <c r="I133" i="4"/>
  <c r="I213" i="4"/>
  <c r="I293" i="4"/>
  <c r="I73" i="4"/>
  <c r="I153" i="4"/>
  <c r="I233" i="4"/>
  <c r="I313" i="4"/>
  <c r="I13" i="4"/>
  <c r="I93" i="4"/>
  <c r="I173" i="4"/>
  <c r="I253" i="4"/>
  <c r="I333" i="4"/>
  <c r="I393" i="4"/>
  <c r="I473" i="4"/>
  <c r="I413" i="4"/>
  <c r="I353" i="4"/>
  <c r="I433" i="4"/>
  <c r="I373" i="4"/>
  <c r="I453" i="4"/>
  <c r="I50" i="4"/>
  <c r="I130" i="4"/>
  <c r="I210" i="4"/>
  <c r="I290" i="4"/>
  <c r="I70" i="4"/>
  <c r="I150" i="4"/>
  <c r="I230" i="4"/>
  <c r="I310" i="4"/>
  <c r="I10" i="4"/>
  <c r="I90" i="4"/>
  <c r="I170" i="4"/>
  <c r="I250" i="4"/>
  <c r="I330" i="4"/>
  <c r="I30" i="4"/>
  <c r="I110" i="4"/>
  <c r="I190" i="4"/>
  <c r="I270" i="4"/>
  <c r="I370" i="4"/>
  <c r="I450" i="4"/>
  <c r="I390" i="4"/>
  <c r="I470" i="4"/>
  <c r="I410" i="4"/>
  <c r="I350" i="4"/>
  <c r="I430" i="4"/>
  <c r="I47" i="4"/>
  <c r="I127" i="4"/>
  <c r="I207" i="4"/>
  <c r="I287" i="4"/>
  <c r="I67" i="4"/>
  <c r="I147" i="4"/>
  <c r="I227" i="4"/>
  <c r="I307" i="4"/>
  <c r="I7" i="4"/>
  <c r="I87" i="4"/>
  <c r="I167" i="4"/>
  <c r="I247" i="4"/>
  <c r="I327" i="4"/>
  <c r="I27" i="4"/>
  <c r="I107" i="4"/>
  <c r="I187" i="4"/>
  <c r="I267" i="4"/>
  <c r="I347" i="4"/>
  <c r="I367" i="4"/>
  <c r="I447" i="4"/>
  <c r="I387" i="4"/>
  <c r="I467" i="4"/>
  <c r="I407" i="4"/>
  <c r="I427" i="4"/>
  <c r="I60" i="4"/>
  <c r="I140" i="4"/>
  <c r="I220" i="4"/>
  <c r="I300" i="4"/>
  <c r="I80" i="4"/>
  <c r="I160" i="4"/>
  <c r="I240" i="4"/>
  <c r="I320" i="4"/>
  <c r="I20" i="4"/>
  <c r="I100" i="4"/>
  <c r="I180" i="4"/>
  <c r="I260" i="4"/>
  <c r="I40" i="4"/>
  <c r="I120" i="4"/>
  <c r="I200" i="4"/>
  <c r="I280" i="4"/>
  <c r="I340" i="4"/>
  <c r="I420" i="4"/>
  <c r="I360" i="4"/>
  <c r="I440" i="4"/>
  <c r="I380" i="4"/>
  <c r="I460" i="4"/>
  <c r="I480" i="4"/>
  <c r="I400" i="4"/>
  <c r="I2" i="4"/>
  <c r="I82" i="4"/>
  <c r="I162" i="4"/>
  <c r="I242" i="4"/>
  <c r="I322" i="4"/>
  <c r="I22" i="4"/>
  <c r="I102" i="4"/>
  <c r="I182" i="4"/>
  <c r="I262" i="4"/>
  <c r="I42" i="4"/>
  <c r="I122" i="4"/>
  <c r="I202" i="4"/>
  <c r="I282" i="4"/>
  <c r="I62" i="4"/>
  <c r="I142" i="4"/>
  <c r="I222" i="4"/>
  <c r="I302" i="4"/>
  <c r="I402" i="4"/>
  <c r="I342" i="4"/>
  <c r="I422" i="4"/>
  <c r="I362" i="4"/>
  <c r="I442" i="4"/>
  <c r="I382" i="4"/>
  <c r="I462" i="4"/>
  <c r="I34" i="4"/>
  <c r="I114" i="4"/>
  <c r="I194" i="4"/>
  <c r="I274" i="4"/>
  <c r="I54" i="4"/>
  <c r="I134" i="4"/>
  <c r="I214" i="4"/>
  <c r="I294" i="4"/>
  <c r="I74" i="4"/>
  <c r="I154" i="4"/>
  <c r="I234" i="4"/>
  <c r="I314" i="4"/>
  <c r="I14" i="4"/>
  <c r="I94" i="4"/>
  <c r="I174" i="4"/>
  <c r="I254" i="4"/>
  <c r="I334" i="4"/>
  <c r="I354" i="4"/>
  <c r="I434" i="4"/>
  <c r="I374" i="4"/>
  <c r="I454" i="4"/>
  <c r="I394" i="4"/>
  <c r="I474" i="4"/>
  <c r="I414" i="4"/>
  <c r="I31" i="4"/>
  <c r="I111" i="4"/>
  <c r="I191" i="4"/>
  <c r="I271" i="4"/>
  <c r="I51" i="4"/>
  <c r="I131" i="4"/>
  <c r="I211" i="4"/>
  <c r="I291" i="4"/>
  <c r="I71" i="4"/>
  <c r="I151" i="4"/>
  <c r="I231" i="4"/>
  <c r="I311" i="4"/>
  <c r="I11" i="4"/>
  <c r="I91" i="4"/>
  <c r="I171" i="4"/>
  <c r="I251" i="4"/>
  <c r="I331" i="4"/>
  <c r="I431" i="4"/>
  <c r="I351" i="4"/>
  <c r="I371" i="4"/>
  <c r="I451" i="4"/>
  <c r="I391" i="4"/>
  <c r="I411" i="4"/>
  <c r="I471" i="4"/>
  <c r="I28" i="4"/>
  <c r="I108" i="4"/>
  <c r="I188" i="4"/>
  <c r="I268" i="4"/>
  <c r="I48" i="4"/>
  <c r="I128" i="4"/>
  <c r="I208" i="4"/>
  <c r="I288" i="4"/>
  <c r="I68" i="4"/>
  <c r="I148" i="4"/>
  <c r="I228" i="4"/>
  <c r="I308" i="4"/>
  <c r="I8" i="4"/>
  <c r="I88" i="4"/>
  <c r="I168" i="4"/>
  <c r="I248" i="4"/>
  <c r="I328" i="4"/>
  <c r="I388" i="4"/>
  <c r="I468" i="4"/>
  <c r="I408" i="4"/>
  <c r="I348" i="4"/>
  <c r="I428" i="4"/>
  <c r="I368" i="4"/>
  <c r="I448" i="4"/>
  <c r="I44" i="4"/>
  <c r="I124" i="4"/>
  <c r="I204" i="4"/>
  <c r="I284" i="4"/>
  <c r="I64" i="4"/>
  <c r="I144" i="4"/>
  <c r="I224" i="4"/>
  <c r="I304" i="4"/>
  <c r="I4" i="4"/>
  <c r="I84" i="4"/>
  <c r="I164" i="4"/>
  <c r="I244" i="4"/>
  <c r="I324" i="4"/>
  <c r="I24" i="4"/>
  <c r="I104" i="4"/>
  <c r="I184" i="4"/>
  <c r="I264" i="4"/>
  <c r="I404" i="4"/>
  <c r="I344" i="4"/>
  <c r="I424" i="4"/>
  <c r="I364" i="4"/>
  <c r="I444" i="4"/>
  <c r="I384" i="4"/>
  <c r="I464" i="4"/>
  <c r="I12" i="4"/>
  <c r="I92" i="4"/>
  <c r="I172" i="4"/>
  <c r="I252" i="4"/>
  <c r="I332" i="4"/>
  <c r="I32" i="4"/>
  <c r="I112" i="4"/>
  <c r="I192" i="4"/>
  <c r="I272" i="4"/>
  <c r="I52" i="4"/>
  <c r="I132" i="4"/>
  <c r="I212" i="4"/>
  <c r="I292" i="4"/>
  <c r="I72" i="4"/>
  <c r="I152" i="4"/>
  <c r="I232" i="4"/>
  <c r="I312" i="4"/>
  <c r="I372" i="4"/>
  <c r="I452" i="4"/>
  <c r="I392" i="4"/>
  <c r="I472" i="4"/>
  <c r="I412" i="4"/>
  <c r="I352" i="4"/>
  <c r="I432" i="4"/>
  <c r="I15" i="4"/>
  <c r="I95" i="4"/>
  <c r="I175" i="4"/>
  <c r="I255" i="4"/>
  <c r="I335" i="4"/>
  <c r="I35" i="4"/>
  <c r="I115" i="4"/>
  <c r="I195" i="4"/>
  <c r="I275" i="4"/>
  <c r="I355" i="4"/>
  <c r="I55" i="4"/>
  <c r="I135" i="4"/>
  <c r="I215" i="4"/>
  <c r="I295" i="4"/>
  <c r="I75" i="4"/>
  <c r="I155" i="4"/>
  <c r="I235" i="4"/>
  <c r="I315" i="4"/>
  <c r="I415" i="4"/>
  <c r="I435" i="4"/>
  <c r="I375" i="4"/>
  <c r="I455" i="4"/>
  <c r="I475" i="4"/>
  <c r="I395" i="4"/>
  <c r="I49" i="4"/>
  <c r="I129" i="4"/>
  <c r="I209" i="4"/>
  <c r="I289" i="4"/>
  <c r="I69" i="4"/>
  <c r="I149" i="4"/>
  <c r="I229" i="4"/>
  <c r="I309" i="4"/>
  <c r="I9" i="4"/>
  <c r="I89" i="4"/>
  <c r="I169" i="4"/>
  <c r="I249" i="4"/>
  <c r="I329" i="4"/>
  <c r="I29" i="4"/>
  <c r="I109" i="4"/>
  <c r="I189" i="4"/>
  <c r="I269" i="4"/>
  <c r="I409" i="4"/>
  <c r="I349" i="4"/>
  <c r="I429" i="4"/>
  <c r="I369" i="4"/>
  <c r="I449" i="4"/>
  <c r="I389" i="4"/>
  <c r="I469" i="4"/>
  <c r="I81" i="4"/>
  <c r="I161" i="4"/>
  <c r="I241" i="4"/>
  <c r="I321" i="4"/>
  <c r="I21" i="4"/>
  <c r="I101" i="4"/>
  <c r="I181" i="4"/>
  <c r="I261" i="4"/>
  <c r="I41" i="4"/>
  <c r="I121" i="4"/>
  <c r="I201" i="4"/>
  <c r="I281" i="4"/>
  <c r="I61" i="4"/>
  <c r="I141" i="4"/>
  <c r="I221" i="4"/>
  <c r="I301" i="4"/>
  <c r="I361" i="4"/>
  <c r="I441" i="4"/>
  <c r="I381" i="4"/>
  <c r="I461" i="4"/>
  <c r="I401" i="4"/>
  <c r="I481" i="4"/>
  <c r="I341" i="4"/>
  <c r="I421" i="4"/>
  <c r="I17" i="4"/>
  <c r="I97" i="4"/>
  <c r="I177" i="4"/>
  <c r="I257" i="4"/>
  <c r="I337" i="4"/>
  <c r="I37" i="4"/>
  <c r="I117" i="4"/>
  <c r="I197" i="4"/>
  <c r="I277" i="4"/>
  <c r="I57" i="4"/>
  <c r="I137" i="4"/>
  <c r="I217" i="4"/>
  <c r="I297" i="4"/>
  <c r="I77" i="4"/>
  <c r="I157" i="4"/>
  <c r="I237" i="4"/>
  <c r="I317" i="4"/>
  <c r="I377" i="4"/>
  <c r="I457" i="4"/>
  <c r="I397" i="4"/>
  <c r="I477" i="4"/>
  <c r="I417" i="4"/>
  <c r="I357" i="4"/>
  <c r="I437" i="4"/>
  <c r="I76" i="4"/>
  <c r="I156" i="4"/>
  <c r="I236" i="4"/>
  <c r="I316" i="4"/>
  <c r="I16" i="4"/>
  <c r="I96" i="4"/>
  <c r="I176" i="4"/>
  <c r="I256" i="4"/>
  <c r="I336" i="4"/>
  <c r="I36" i="4"/>
  <c r="I116" i="4"/>
  <c r="I196" i="4"/>
  <c r="I276" i="4"/>
  <c r="I56" i="4"/>
  <c r="I136" i="4"/>
  <c r="I216" i="4"/>
  <c r="I296" i="4"/>
  <c r="I356" i="4"/>
  <c r="I436" i="4"/>
  <c r="I376" i="4"/>
  <c r="I456" i="4"/>
  <c r="I396" i="4"/>
  <c r="I476" i="4"/>
  <c r="I416" i="4"/>
  <c r="I79" i="4"/>
  <c r="I159" i="4"/>
  <c r="I239" i="4"/>
  <c r="I319" i="4"/>
  <c r="I19" i="4"/>
  <c r="I99" i="4"/>
  <c r="I179" i="4"/>
  <c r="I259" i="4"/>
  <c r="I339" i="4"/>
  <c r="I39" i="4"/>
  <c r="I119" i="4"/>
  <c r="I199" i="4"/>
  <c r="I279" i="4"/>
  <c r="I59" i="4"/>
  <c r="I139" i="4"/>
  <c r="I219" i="4"/>
  <c r="I299" i="4"/>
  <c r="I399" i="4"/>
  <c r="I479" i="4"/>
  <c r="I419" i="4"/>
  <c r="I359" i="4"/>
  <c r="I439" i="4"/>
  <c r="I379" i="4"/>
  <c r="I4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<sst xmlns="http://schemas.openxmlformats.org/spreadsheetml/2006/main" count="8119" uniqueCount="169">
  <si>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</si>
  <si>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</si>
  <si>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</si>
  <si>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</si>
  <si>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</si>
  <si>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</si>
  <si>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</si>
  <si>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</si>
  <si>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</si>
  <si>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</si>
  <si>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</si>
  <si>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</si>
  <si>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</si>
  <si>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</si>
  <si>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</si>
  <si>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</si>
  <si>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</si>
  <si>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</si>
  <si>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</si>
  <si>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</si>
  <si>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</si>
  <si>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</si>
  <si>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</si>
  <si>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</si>
  <si>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</si>
  <si>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</si>
  <si>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</si>
  <si>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</si>
  <si>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</si>
  <si>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</si>
  <si>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</si>
  <si>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</si>
  <si>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</si>
  <si>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</si>
  <si>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</si>
  <si>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</si>
  <si>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</si>
  <si>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</si>
  <si>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</si>
  <si>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</si>
  <si>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</si>
  <si>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</si>
  <si>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</si>
  <si>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</si>
  <si>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</si>
  <si>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</si>
  <si>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</si>
  <si>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</si>
  <si>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</si>
  <si>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</si>
  <si>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</si>
  <si>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</si>
  <si>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</si>
  <si>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</si>
  <si>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</si>
  <si>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</si>
  <si>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</si>
  <si>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</si>
  <si>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</si>
  <si>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</si>
  <si>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</si>
  <si>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</si>
  <si>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</si>
  <si>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</si>
  <si>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</si>
  <si>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</si>
  <si>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</si>
  <si>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</si>
  <si>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</si>
  <si>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</si>
  <si>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</si>
  <si>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</si>
  <si>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</si>
  <si>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</si>
  <si>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</si>
  <si>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</si>
  <si>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</si>
  <si>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</si>
  <si>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</si>
  <si>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</si>
  <si>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</si>
  <si>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</si>
  <si>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</si>
  <si>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</si>
  <si>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</si>
  <si>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</si>
  <si>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</si>
  <si>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</si>
  <si>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</si>
  <si>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</si>
  <si>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</si>
  <si>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</si>
  <si>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</si>
  <si>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Memorial Avenue South-East</t>
  </si>
  <si>
    <t>Memorial Avenue North-West</t>
  </si>
  <si>
    <t>Left into Memorial Avenue South-East</t>
  </si>
  <si>
    <t>Right into Memorial Avenue North-West</t>
  </si>
  <si>
    <t>Thru to Memorial Avenue North-West</t>
  </si>
  <si>
    <t>Thru to Memorial Avenue South-East</t>
  </si>
  <si>
    <t>Kendal Avenue_Memorial Avenue_Intersection</t>
  </si>
  <si>
    <t>Kendal Avenue North-East</t>
  </si>
  <si>
    <t>Right into Kendal Avenue North-East</t>
  </si>
  <si>
    <t>Left into Kendal Avenue North-East</t>
  </si>
  <si>
    <t>Kendal Avenue_Memorial Avenue_Intersection      Fine      15/03/2023</t>
  </si>
  <si>
    <t>Kendal Avenue North-East Total</t>
  </si>
  <si>
    <t>Memorial Avenue South-East Total</t>
  </si>
  <si>
    <t>Memorial Avenue North-West Total</t>
  </si>
  <si>
    <t>Left into Memorial Avenue South-East Total</t>
  </si>
  <si>
    <t>Right into Memorial Avenue North-West Total</t>
  </si>
  <si>
    <t>Thru to Memorial Avenue North-West Total</t>
  </si>
  <si>
    <t>Right into Kendal Avenue North-East Total</t>
  </si>
  <si>
    <t>U-Turn Total</t>
  </si>
  <si>
    <t>Left into Kendal Avenue North-East Total</t>
  </si>
  <si>
    <t>Thru to Memorial Avenue South-East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</si>
  <si>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</si>
  <si>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</si>
  <si>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</si>
  <si>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</si>
  <si>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</si>
  <si>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</si>
  <si>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</si>
  <si>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</si>
  <si>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</si>
  <si>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</si>
  <si>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</si>
  <si>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</si>
  <si>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</si>
  <si>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</si>
  <si>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</si>
  <si>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</si>
  <si>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</si>
  <si>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</si>
  <si>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</si>
  <si>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</si>
  <si>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</si>
  <si>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</si>
  <si>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</si>
  <si>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</si>
  <si>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</si>
  <si>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</si>
  <si>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</si>
  <si>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</si>
  <si>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</si>
  <si>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</si>
  <si>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</si>
  <si>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</si>
  <si>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</si>
  <si>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</si>
  <si>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</si>
  <si>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</si>
  <si>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</si>
  <si>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</si>
  <si>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</si>
  <si>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Memorial Ave Eastbound</t>
  </si>
  <si>
    <t>n/a</t>
  </si>
  <si>
    <t>Memorial Ave Westbound</t>
  </si>
  <si>
    <t>Kendal Ave</t>
  </si>
  <si>
    <t>Lights</t>
  </si>
  <si>
    <t>Classification</t>
  </si>
  <si>
    <t>Road</t>
  </si>
  <si>
    <t>Type</t>
  </si>
  <si>
    <t>Project</t>
  </si>
  <si>
    <t>Site Code</t>
  </si>
  <si>
    <t>03/15/2023</t>
  </si>
  <si>
    <t>Start Date</t>
  </si>
  <si>
    <t>CCC I0685 Kendal Ave - Memorial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</si>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</sst>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305CDE1-3310-4C9E-B5B8-21E71A9AD59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[I0685_Kendal Avenue_Memorial Avenue_Intersection_15-03-2023.xlsx]Graphs!pvtGraphApproach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Kendal Avenue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41</c:v>
                </c:pt>
                <c:pt idx="2">
                  <c:v>67</c:v>
                </c:pt>
                <c:pt idx="3">
                  <c:v>79</c:v>
                </c:pt>
                <c:pt idx="4">
                  <c:v>55</c:v>
                </c:pt>
                <c:pt idx="5">
                  <c:v>56</c:v>
                </c:pt>
                <c:pt idx="6">
                  <c:v>45</c:v>
                </c:pt>
                <c:pt idx="7">
                  <c:v>64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Memorial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110</c:v>
                </c:pt>
                <c:pt idx="1">
                  <c:v>146</c:v>
                </c:pt>
                <c:pt idx="2">
                  <c:v>200</c:v>
                </c:pt>
                <c:pt idx="3">
                  <c:v>277</c:v>
                </c:pt>
                <c:pt idx="4">
                  <c:v>242</c:v>
                </c:pt>
                <c:pt idx="5">
                  <c:v>248</c:v>
                </c:pt>
                <c:pt idx="6">
                  <c:v>174</c:v>
                </c:pt>
                <c:pt idx="7">
                  <c:v>180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Memorial Avenue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177</c:v>
                </c:pt>
                <c:pt idx="1">
                  <c:v>196</c:v>
                </c:pt>
                <c:pt idx="2">
                  <c:v>217</c:v>
                </c:pt>
                <c:pt idx="3">
                  <c:v>270</c:v>
                </c:pt>
                <c:pt idx="4">
                  <c:v>270</c:v>
                </c:pt>
                <c:pt idx="5">
                  <c:v>234</c:v>
                </c:pt>
                <c:pt idx="6">
                  <c:v>243</c:v>
                </c:pt>
                <c:pt idx="7">
                  <c:v>276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[I0685_Kendal Avenue_Memorial Avenue_Intersection_15-03-2023.xlsx]Graphs!pvtGraphExit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Kendal Avenue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c:v>
                </c:pt>
                <c:pt idx="1">
                  <c:v>14</c:v>
                </c:pt>
                <c:pt idx="2">
                  <c:v>16</c:v>
                </c:pt>
                <c:pt idx="3">
                  <c:v>22</c:v>
                </c:pt>
                <c:pt idx="4">
                  <c:v>32</c:v>
                </c:pt>
                <c:pt idx="5">
                  <c:v>43</c:v>
                </c:pt>
                <c:pt idx="6">
                  <c:v>39</c:v>
                </c:pt>
                <c:pt idx="7">
                  <c:v>41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Memorial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185</c:v>
                </c:pt>
                <c:pt idx="1">
                  <c:v>206</c:v>
                </c:pt>
                <c:pt idx="2">
                  <c:v>230</c:v>
                </c:pt>
                <c:pt idx="3">
                  <c:v>275</c:v>
                </c:pt>
                <c:pt idx="4">
                  <c:v>271</c:v>
                </c:pt>
                <c:pt idx="5">
                  <c:v>242</c:v>
                </c:pt>
                <c:pt idx="6">
                  <c:v>244</c:v>
                </c:pt>
                <c:pt idx="7">
                  <c:v>279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Memorial Avenue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132</c:v>
                </c:pt>
                <c:pt idx="1">
                  <c:v>163</c:v>
                </c:pt>
                <c:pt idx="2">
                  <c:v>238</c:v>
                </c:pt>
                <c:pt idx="3">
                  <c:v>329</c:v>
                </c:pt>
                <c:pt idx="4">
                  <c:v>264</c:v>
                </c:pt>
                <c:pt idx="5">
                  <c:v>253</c:v>
                </c:pt>
                <c:pt idx="6">
                  <c:v>179</c:v>
                </c:pt>
                <c:pt idx="7">
                  <c:v>200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[I0685_Kendal Avenue_Memorial Avenue_Intersection_15-03-2023.xlsx]GraphData!PivotTable2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323</c:v>
                </c:pt>
                <c:pt idx="1">
                  <c:v>383</c:v>
                </c:pt>
                <c:pt idx="2">
                  <c:v>484</c:v>
                </c:pt>
                <c:pt idx="3">
                  <c:v>626</c:v>
                </c:pt>
                <c:pt idx="4">
                  <c:v>567</c:v>
                </c:pt>
                <c:pt idx="5">
                  <c:v>538</c:v>
                </c:pt>
                <c:pt idx="6">
                  <c:v>462</c:v>
                </c:pt>
                <c:pt idx="7">
                  <c:v>520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[I0685_Kendal Avenue_Memorial Avenue_Intersection_15-03-2023.xlsx]PeakCalc!pvtPeak2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323</c:v>
                </c:pt>
                <c:pt idx="1">
                  <c:v>383</c:v>
                </c:pt>
                <c:pt idx="2">
                  <c:v>484</c:v>
                </c:pt>
                <c:pt idx="3">
                  <c:v>626</c:v>
                </c:pt>
                <c:pt idx="4">
                  <c:v>567</c:v>
                </c:pt>
                <c:pt idx="5">
                  <c:v>538</c:v>
                </c:pt>
                <c:pt idx="6">
                  <c:v>462</c:v>
                </c:pt>
                <c:pt idx="7">
                  <c:v>520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484</c:v>
                </c:pt>
                <c:pt idx="3">
                  <c:v>626</c:v>
                </c:pt>
                <c:pt idx="4">
                  <c:v>567</c:v>
                </c:pt>
                <c:pt idx="5">
                  <c:v>538</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293209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408517</xdr:colOff>
      <xdr:row>5</xdr:row>
      <xdr:rowOff>3175</xdr:rowOff>
    </xdr:from>
    <xdr:to>
      <xdr:col>19</xdr:col>
      <xdr:colOff>926092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190499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522524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4.55567500000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61"/>
    </cacheField>
    <cacheField name="Peak" numFmtId="0">
      <sharedItems containsSemiMixedTypes="0" containsString="0" containsNumber="1" containsInteger="1" minValue="0" maxValue="66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4.555916319441" createdVersion="5" refreshedVersion="8" minRefreshableVersion="3" recordCount="480" xr:uid="{00000000-000A-0000-FFFF-FFFF01000000}">
  <cacheSource type="worksheet">
    <worksheetSource name="tblPivotData"/>
  </cacheSource>
  <cacheFields count="9">
    <cacheField name="Approach" numFmtId="0">
      <sharedItems count="6">
        <s v="Kendal Avenue North-East"/>
        <s v="Memorial Avenue South-East"/>
        <s v="Memorial Avenue North-West"/>
        <s v="Great south Rd (North)" u="1"/>
        <s v="Great south Rd (South)" u="1"/>
        <s v="Grange Rd" u="1"/>
      </sharedItems>
    </cacheField>
    <cacheField name="Movement" numFmtId="0">
      <sharedItems count="15">
        <s v="Left into Memorial Avenue South-East"/>
        <s v="Right into Memorial Avenue North-West"/>
        <s v="Thru to Memorial Avenue North-West"/>
        <s v="Right into Kendal Avenue North-East"/>
        <s v="U-Turn"/>
        <s v="Left into Kendal Avenue North-East"/>
        <s v="Thru to Memorial Avenue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emorial Avenue South-East"/>
        <s v="Memorial Avenue North-West"/>
        <s v="Kendal Avenue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1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3"/>
    <n v="0"/>
  </r>
  <r>
    <x v="0"/>
    <x v="1"/>
    <n v="383"/>
    <n v="0"/>
  </r>
  <r>
    <x v="0"/>
    <x v="2"/>
    <n v="484"/>
    <n v="484"/>
  </r>
  <r>
    <x v="0"/>
    <x v="3"/>
    <n v="626"/>
    <n v="626"/>
  </r>
  <r>
    <x v="0"/>
    <x v="4"/>
    <n v="567"/>
    <n v="567"/>
  </r>
  <r>
    <x v="0"/>
    <x v="5"/>
    <n v="538"/>
    <n v="538"/>
  </r>
  <r>
    <x v="0"/>
    <x v="6"/>
    <n v="462"/>
    <n v="0"/>
  </r>
  <r>
    <x v="0"/>
    <x v="7"/>
    <n v="520"/>
    <n v="0"/>
  </r>
  <r>
    <x v="1"/>
    <x v="8"/>
    <n v="396"/>
    <n v="396"/>
  </r>
  <r>
    <x v="1"/>
    <x v="9"/>
    <n v="367"/>
    <n v="367"/>
  </r>
  <r>
    <x v="1"/>
    <x v="10"/>
    <n v="382"/>
    <n v="382"/>
  </r>
  <r>
    <x v="1"/>
    <x v="11"/>
    <n v="418"/>
    <n v="418"/>
  </r>
  <r>
    <x v="2"/>
    <x v="12"/>
    <n v="525"/>
    <n v="0"/>
  </r>
  <r>
    <x v="2"/>
    <x v="13"/>
    <n v="526"/>
    <n v="0"/>
  </r>
  <r>
    <x v="2"/>
    <x v="14"/>
    <n v="555"/>
    <n v="0"/>
  </r>
  <r>
    <x v="2"/>
    <x v="15"/>
    <n v="599"/>
    <n v="599"/>
  </r>
  <r>
    <x v="2"/>
    <x v="16"/>
    <n v="661"/>
    <n v="661"/>
  </r>
  <r>
    <x v="2"/>
    <x v="17"/>
    <n v="585"/>
    <n v="585"/>
  </r>
  <r>
    <x v="2"/>
    <x v="18"/>
    <n v="592"/>
    <n v="592"/>
  </r>
  <r>
    <x v="2"/>
    <x v="19"/>
    <n v="47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26"/>
    <x v="0"/>
    <x v="0"/>
  </r>
  <r>
    <x v="0"/>
    <x v="0"/>
    <x v="0"/>
    <x v="0"/>
    <x v="0"/>
    <x v="1"/>
    <n v="23"/>
    <x v="1"/>
    <x v="0"/>
  </r>
  <r>
    <x v="0"/>
    <x v="0"/>
    <x v="0"/>
    <x v="0"/>
    <x v="0"/>
    <x v="2"/>
    <n v="47"/>
    <x v="2"/>
    <x v="1"/>
  </r>
  <r>
    <x v="0"/>
    <x v="0"/>
    <x v="0"/>
    <x v="0"/>
    <x v="0"/>
    <x v="3"/>
    <n v="64"/>
    <x v="3"/>
    <x v="1"/>
  </r>
  <r>
    <x v="0"/>
    <x v="0"/>
    <x v="0"/>
    <x v="0"/>
    <x v="0"/>
    <x v="4"/>
    <n v="36"/>
    <x v="4"/>
    <x v="1"/>
  </r>
  <r>
    <x v="0"/>
    <x v="0"/>
    <x v="0"/>
    <x v="0"/>
    <x v="0"/>
    <x v="5"/>
    <n v="36"/>
    <x v="5"/>
    <x v="1"/>
  </r>
  <r>
    <x v="0"/>
    <x v="0"/>
    <x v="0"/>
    <x v="0"/>
    <x v="0"/>
    <x v="6"/>
    <n v="28"/>
    <x v="6"/>
    <x v="0"/>
  </r>
  <r>
    <x v="0"/>
    <x v="0"/>
    <x v="0"/>
    <x v="0"/>
    <x v="0"/>
    <x v="7"/>
    <n v="44"/>
    <x v="7"/>
    <x v="0"/>
  </r>
  <r>
    <x v="0"/>
    <x v="0"/>
    <x v="0"/>
    <x v="0"/>
    <x v="1"/>
    <x v="8"/>
    <n v="12"/>
    <x v="8"/>
    <x v="1"/>
  </r>
  <r>
    <x v="0"/>
    <x v="0"/>
    <x v="0"/>
    <x v="0"/>
    <x v="1"/>
    <x v="9"/>
    <n v="16"/>
    <x v="9"/>
    <x v="1"/>
  </r>
  <r>
    <x v="0"/>
    <x v="0"/>
    <x v="0"/>
    <x v="0"/>
    <x v="1"/>
    <x v="10"/>
    <n v="13"/>
    <x v="10"/>
    <x v="1"/>
  </r>
  <r>
    <x v="0"/>
    <x v="0"/>
    <x v="0"/>
    <x v="0"/>
    <x v="1"/>
    <x v="11"/>
    <n v="14"/>
    <x v="11"/>
    <x v="1"/>
  </r>
  <r>
    <x v="0"/>
    <x v="0"/>
    <x v="0"/>
    <x v="0"/>
    <x v="2"/>
    <x v="12"/>
    <n v="18"/>
    <x v="12"/>
    <x v="0"/>
  </r>
  <r>
    <x v="0"/>
    <x v="0"/>
    <x v="0"/>
    <x v="0"/>
    <x v="2"/>
    <x v="13"/>
    <n v="17"/>
    <x v="13"/>
    <x v="0"/>
  </r>
  <r>
    <x v="0"/>
    <x v="0"/>
    <x v="0"/>
    <x v="0"/>
    <x v="2"/>
    <x v="14"/>
    <n v="13"/>
    <x v="14"/>
    <x v="0"/>
  </r>
  <r>
    <x v="0"/>
    <x v="0"/>
    <x v="0"/>
    <x v="0"/>
    <x v="2"/>
    <x v="15"/>
    <n v="25"/>
    <x v="15"/>
    <x v="1"/>
  </r>
  <r>
    <x v="0"/>
    <x v="0"/>
    <x v="0"/>
    <x v="0"/>
    <x v="2"/>
    <x v="16"/>
    <n v="18"/>
    <x v="16"/>
    <x v="1"/>
  </r>
  <r>
    <x v="0"/>
    <x v="0"/>
    <x v="0"/>
    <x v="0"/>
    <x v="2"/>
    <x v="17"/>
    <n v="19"/>
    <x v="17"/>
    <x v="1"/>
  </r>
  <r>
    <x v="0"/>
    <x v="0"/>
    <x v="0"/>
    <x v="0"/>
    <x v="2"/>
    <x v="18"/>
    <n v="28"/>
    <x v="18"/>
    <x v="1"/>
  </r>
  <r>
    <x v="0"/>
    <x v="0"/>
    <x v="0"/>
    <x v="0"/>
    <x v="2"/>
    <x v="19"/>
    <n v="21"/>
    <x v="19"/>
    <x v="0"/>
  </r>
  <r>
    <x v="0"/>
    <x v="0"/>
    <x v="0"/>
    <x v="1"/>
    <x v="0"/>
    <x v="0"/>
    <n v="0"/>
    <x v="0"/>
    <x v="0"/>
  </r>
  <r>
    <x v="0"/>
    <x v="0"/>
    <x v="0"/>
    <x v="1"/>
    <x v="0"/>
    <x v="1"/>
    <n v="0"/>
    <x v="1"/>
    <x v="0"/>
  </r>
  <r>
    <x v="0"/>
    <x v="0"/>
    <x v="0"/>
    <x v="1"/>
    <x v="0"/>
    <x v="2"/>
    <n v="0"/>
    <x v="2"/>
    <x v="1"/>
  </r>
  <r>
    <x v="0"/>
    <x v="0"/>
    <x v="0"/>
    <x v="1"/>
    <x v="0"/>
    <x v="3"/>
    <n v="1"/>
    <x v="3"/>
    <x v="1"/>
  </r>
  <r>
    <x v="0"/>
    <x v="0"/>
    <x v="0"/>
    <x v="1"/>
    <x v="0"/>
    <x v="4"/>
    <n v="0"/>
    <x v="4"/>
    <x v="1"/>
  </r>
  <r>
    <x v="0"/>
    <x v="0"/>
    <x v="0"/>
    <x v="1"/>
    <x v="0"/>
    <x v="5"/>
    <n v="1"/>
    <x v="5"/>
    <x v="1"/>
  </r>
  <r>
    <x v="0"/>
    <x v="0"/>
    <x v="0"/>
    <x v="1"/>
    <x v="0"/>
    <x v="6"/>
    <n v="1"/>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1"/>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2"/>
    <x v="2"/>
    <x v="1"/>
  </r>
  <r>
    <x v="0"/>
    <x v="0"/>
    <x v="0"/>
    <x v="2"/>
    <x v="0"/>
    <x v="3"/>
    <n v="2"/>
    <x v="3"/>
    <x v="1"/>
  </r>
  <r>
    <x v="0"/>
    <x v="0"/>
    <x v="0"/>
    <x v="2"/>
    <x v="0"/>
    <x v="4"/>
    <n v="0"/>
    <x v="4"/>
    <x v="1"/>
  </r>
  <r>
    <x v="0"/>
    <x v="0"/>
    <x v="0"/>
    <x v="2"/>
    <x v="0"/>
    <x v="5"/>
    <n v="1"/>
    <x v="5"/>
    <x v="1"/>
  </r>
  <r>
    <x v="0"/>
    <x v="0"/>
    <x v="0"/>
    <x v="2"/>
    <x v="0"/>
    <x v="6"/>
    <n v="0"/>
    <x v="6"/>
    <x v="0"/>
  </r>
  <r>
    <x v="0"/>
    <x v="0"/>
    <x v="0"/>
    <x v="2"/>
    <x v="0"/>
    <x v="7"/>
    <n v="0"/>
    <x v="7"/>
    <x v="0"/>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2"/>
    <x v="17"/>
    <x v="1"/>
  </r>
  <r>
    <x v="0"/>
    <x v="0"/>
    <x v="0"/>
    <x v="2"/>
    <x v="2"/>
    <x v="18"/>
    <n v="1"/>
    <x v="18"/>
    <x v="1"/>
  </r>
  <r>
    <x v="0"/>
    <x v="0"/>
    <x v="0"/>
    <x v="2"/>
    <x v="2"/>
    <x v="19"/>
    <n v="0"/>
    <x v="19"/>
    <x v="0"/>
  </r>
  <r>
    <x v="0"/>
    <x v="1"/>
    <x v="1"/>
    <x v="0"/>
    <x v="0"/>
    <x v="0"/>
    <n v="10"/>
    <x v="0"/>
    <x v="0"/>
  </r>
  <r>
    <x v="0"/>
    <x v="1"/>
    <x v="1"/>
    <x v="0"/>
    <x v="0"/>
    <x v="1"/>
    <n v="18"/>
    <x v="1"/>
    <x v="0"/>
  </r>
  <r>
    <x v="0"/>
    <x v="1"/>
    <x v="1"/>
    <x v="0"/>
    <x v="0"/>
    <x v="2"/>
    <n v="17"/>
    <x v="2"/>
    <x v="1"/>
  </r>
  <r>
    <x v="0"/>
    <x v="1"/>
    <x v="1"/>
    <x v="0"/>
    <x v="0"/>
    <x v="3"/>
    <n v="11"/>
    <x v="3"/>
    <x v="1"/>
  </r>
  <r>
    <x v="0"/>
    <x v="1"/>
    <x v="1"/>
    <x v="0"/>
    <x v="0"/>
    <x v="4"/>
    <n v="18"/>
    <x v="4"/>
    <x v="1"/>
  </r>
  <r>
    <x v="0"/>
    <x v="1"/>
    <x v="1"/>
    <x v="0"/>
    <x v="0"/>
    <x v="5"/>
    <n v="18"/>
    <x v="5"/>
    <x v="1"/>
  </r>
  <r>
    <x v="0"/>
    <x v="1"/>
    <x v="1"/>
    <x v="0"/>
    <x v="0"/>
    <x v="6"/>
    <n v="16"/>
    <x v="6"/>
    <x v="0"/>
  </r>
  <r>
    <x v="0"/>
    <x v="1"/>
    <x v="1"/>
    <x v="0"/>
    <x v="0"/>
    <x v="7"/>
    <n v="20"/>
    <x v="7"/>
    <x v="0"/>
  </r>
  <r>
    <x v="0"/>
    <x v="1"/>
    <x v="1"/>
    <x v="0"/>
    <x v="1"/>
    <x v="8"/>
    <n v="8"/>
    <x v="8"/>
    <x v="1"/>
  </r>
  <r>
    <x v="0"/>
    <x v="1"/>
    <x v="1"/>
    <x v="0"/>
    <x v="1"/>
    <x v="9"/>
    <n v="11"/>
    <x v="9"/>
    <x v="1"/>
  </r>
  <r>
    <x v="0"/>
    <x v="1"/>
    <x v="1"/>
    <x v="0"/>
    <x v="1"/>
    <x v="10"/>
    <n v="12"/>
    <x v="10"/>
    <x v="1"/>
  </r>
  <r>
    <x v="0"/>
    <x v="1"/>
    <x v="1"/>
    <x v="0"/>
    <x v="1"/>
    <x v="11"/>
    <n v="15"/>
    <x v="11"/>
    <x v="1"/>
  </r>
  <r>
    <x v="0"/>
    <x v="1"/>
    <x v="1"/>
    <x v="0"/>
    <x v="2"/>
    <x v="12"/>
    <n v="11"/>
    <x v="12"/>
    <x v="0"/>
  </r>
  <r>
    <x v="0"/>
    <x v="1"/>
    <x v="1"/>
    <x v="0"/>
    <x v="2"/>
    <x v="13"/>
    <n v="17"/>
    <x v="13"/>
    <x v="0"/>
  </r>
  <r>
    <x v="0"/>
    <x v="1"/>
    <x v="1"/>
    <x v="0"/>
    <x v="2"/>
    <x v="14"/>
    <n v="6"/>
    <x v="14"/>
    <x v="0"/>
  </r>
  <r>
    <x v="0"/>
    <x v="1"/>
    <x v="1"/>
    <x v="0"/>
    <x v="2"/>
    <x v="15"/>
    <n v="11"/>
    <x v="15"/>
    <x v="1"/>
  </r>
  <r>
    <x v="0"/>
    <x v="1"/>
    <x v="1"/>
    <x v="0"/>
    <x v="2"/>
    <x v="16"/>
    <n v="4"/>
    <x v="16"/>
    <x v="1"/>
  </r>
  <r>
    <x v="0"/>
    <x v="1"/>
    <x v="1"/>
    <x v="0"/>
    <x v="2"/>
    <x v="17"/>
    <n v="7"/>
    <x v="17"/>
    <x v="1"/>
  </r>
  <r>
    <x v="0"/>
    <x v="1"/>
    <x v="1"/>
    <x v="0"/>
    <x v="2"/>
    <x v="18"/>
    <n v="13"/>
    <x v="18"/>
    <x v="1"/>
  </r>
  <r>
    <x v="0"/>
    <x v="1"/>
    <x v="1"/>
    <x v="0"/>
    <x v="2"/>
    <x v="19"/>
    <n v="14"/>
    <x v="19"/>
    <x v="0"/>
  </r>
  <r>
    <x v="0"/>
    <x v="1"/>
    <x v="1"/>
    <x v="1"/>
    <x v="0"/>
    <x v="0"/>
    <n v="0"/>
    <x v="0"/>
    <x v="0"/>
  </r>
  <r>
    <x v="0"/>
    <x v="1"/>
    <x v="1"/>
    <x v="1"/>
    <x v="0"/>
    <x v="1"/>
    <n v="0"/>
    <x v="1"/>
    <x v="0"/>
  </r>
  <r>
    <x v="0"/>
    <x v="1"/>
    <x v="1"/>
    <x v="1"/>
    <x v="0"/>
    <x v="2"/>
    <n v="0"/>
    <x v="2"/>
    <x v="1"/>
  </r>
  <r>
    <x v="0"/>
    <x v="1"/>
    <x v="1"/>
    <x v="1"/>
    <x v="0"/>
    <x v="3"/>
    <n v="0"/>
    <x v="3"/>
    <x v="1"/>
  </r>
  <r>
    <x v="0"/>
    <x v="1"/>
    <x v="1"/>
    <x v="1"/>
    <x v="0"/>
    <x v="4"/>
    <n v="1"/>
    <x v="4"/>
    <x v="1"/>
  </r>
  <r>
    <x v="0"/>
    <x v="1"/>
    <x v="1"/>
    <x v="1"/>
    <x v="0"/>
    <x v="5"/>
    <n v="0"/>
    <x v="5"/>
    <x v="1"/>
  </r>
  <r>
    <x v="0"/>
    <x v="1"/>
    <x v="1"/>
    <x v="1"/>
    <x v="0"/>
    <x v="6"/>
    <n v="0"/>
    <x v="6"/>
    <x v="0"/>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0"/>
    <x v="1"/>
    <x v="0"/>
  </r>
  <r>
    <x v="0"/>
    <x v="1"/>
    <x v="1"/>
    <x v="2"/>
    <x v="0"/>
    <x v="2"/>
    <n v="1"/>
    <x v="2"/>
    <x v="1"/>
  </r>
  <r>
    <x v="0"/>
    <x v="1"/>
    <x v="1"/>
    <x v="2"/>
    <x v="0"/>
    <x v="3"/>
    <n v="1"/>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0"/>
    <x v="18"/>
    <x v="1"/>
  </r>
  <r>
    <x v="0"/>
    <x v="1"/>
    <x v="1"/>
    <x v="2"/>
    <x v="2"/>
    <x v="19"/>
    <n v="0"/>
    <x v="19"/>
    <x v="0"/>
  </r>
  <r>
    <x v="1"/>
    <x v="2"/>
    <x v="1"/>
    <x v="0"/>
    <x v="0"/>
    <x v="0"/>
    <n v="168"/>
    <x v="0"/>
    <x v="0"/>
  </r>
  <r>
    <x v="1"/>
    <x v="2"/>
    <x v="1"/>
    <x v="0"/>
    <x v="0"/>
    <x v="1"/>
    <n v="182"/>
    <x v="1"/>
    <x v="0"/>
  </r>
  <r>
    <x v="1"/>
    <x v="2"/>
    <x v="1"/>
    <x v="0"/>
    <x v="0"/>
    <x v="2"/>
    <n v="204"/>
    <x v="2"/>
    <x v="1"/>
  </r>
  <r>
    <x v="1"/>
    <x v="2"/>
    <x v="1"/>
    <x v="0"/>
    <x v="0"/>
    <x v="3"/>
    <n v="255"/>
    <x v="3"/>
    <x v="1"/>
  </r>
  <r>
    <x v="1"/>
    <x v="2"/>
    <x v="1"/>
    <x v="0"/>
    <x v="0"/>
    <x v="4"/>
    <n v="237"/>
    <x v="4"/>
    <x v="1"/>
  </r>
  <r>
    <x v="1"/>
    <x v="2"/>
    <x v="1"/>
    <x v="0"/>
    <x v="0"/>
    <x v="5"/>
    <n v="215"/>
    <x v="5"/>
    <x v="1"/>
  </r>
  <r>
    <x v="1"/>
    <x v="2"/>
    <x v="1"/>
    <x v="0"/>
    <x v="0"/>
    <x v="6"/>
    <n v="217"/>
    <x v="6"/>
    <x v="0"/>
  </r>
  <r>
    <x v="1"/>
    <x v="2"/>
    <x v="1"/>
    <x v="0"/>
    <x v="0"/>
    <x v="7"/>
    <n v="241"/>
    <x v="7"/>
    <x v="0"/>
  </r>
  <r>
    <x v="1"/>
    <x v="2"/>
    <x v="1"/>
    <x v="0"/>
    <x v="1"/>
    <x v="8"/>
    <n v="160"/>
    <x v="8"/>
    <x v="1"/>
  </r>
  <r>
    <x v="1"/>
    <x v="2"/>
    <x v="1"/>
    <x v="0"/>
    <x v="1"/>
    <x v="9"/>
    <n v="151"/>
    <x v="9"/>
    <x v="1"/>
  </r>
  <r>
    <x v="1"/>
    <x v="2"/>
    <x v="1"/>
    <x v="0"/>
    <x v="1"/>
    <x v="10"/>
    <n v="145"/>
    <x v="10"/>
    <x v="1"/>
  </r>
  <r>
    <x v="1"/>
    <x v="2"/>
    <x v="1"/>
    <x v="0"/>
    <x v="1"/>
    <x v="11"/>
    <n v="168"/>
    <x v="11"/>
    <x v="1"/>
  </r>
  <r>
    <x v="1"/>
    <x v="2"/>
    <x v="1"/>
    <x v="0"/>
    <x v="2"/>
    <x v="12"/>
    <n v="235"/>
    <x v="12"/>
    <x v="0"/>
  </r>
  <r>
    <x v="1"/>
    <x v="2"/>
    <x v="1"/>
    <x v="0"/>
    <x v="2"/>
    <x v="13"/>
    <n v="207"/>
    <x v="13"/>
    <x v="0"/>
  </r>
  <r>
    <x v="1"/>
    <x v="2"/>
    <x v="1"/>
    <x v="0"/>
    <x v="2"/>
    <x v="14"/>
    <n v="201"/>
    <x v="14"/>
    <x v="0"/>
  </r>
  <r>
    <x v="1"/>
    <x v="2"/>
    <x v="1"/>
    <x v="0"/>
    <x v="2"/>
    <x v="15"/>
    <n v="202"/>
    <x v="15"/>
    <x v="1"/>
  </r>
  <r>
    <x v="1"/>
    <x v="2"/>
    <x v="1"/>
    <x v="0"/>
    <x v="2"/>
    <x v="16"/>
    <n v="237"/>
    <x v="16"/>
    <x v="1"/>
  </r>
  <r>
    <x v="1"/>
    <x v="2"/>
    <x v="1"/>
    <x v="0"/>
    <x v="2"/>
    <x v="17"/>
    <n v="171"/>
    <x v="17"/>
    <x v="1"/>
  </r>
  <r>
    <x v="1"/>
    <x v="2"/>
    <x v="1"/>
    <x v="0"/>
    <x v="2"/>
    <x v="18"/>
    <n v="201"/>
    <x v="18"/>
    <x v="1"/>
  </r>
  <r>
    <x v="1"/>
    <x v="2"/>
    <x v="1"/>
    <x v="0"/>
    <x v="2"/>
    <x v="19"/>
    <n v="165"/>
    <x v="19"/>
    <x v="0"/>
  </r>
  <r>
    <x v="1"/>
    <x v="2"/>
    <x v="1"/>
    <x v="1"/>
    <x v="0"/>
    <x v="0"/>
    <n v="4"/>
    <x v="0"/>
    <x v="0"/>
  </r>
  <r>
    <x v="1"/>
    <x v="2"/>
    <x v="1"/>
    <x v="1"/>
    <x v="0"/>
    <x v="1"/>
    <n v="5"/>
    <x v="1"/>
    <x v="0"/>
  </r>
  <r>
    <x v="1"/>
    <x v="2"/>
    <x v="1"/>
    <x v="1"/>
    <x v="0"/>
    <x v="2"/>
    <n v="4"/>
    <x v="2"/>
    <x v="1"/>
  </r>
  <r>
    <x v="1"/>
    <x v="2"/>
    <x v="1"/>
    <x v="1"/>
    <x v="0"/>
    <x v="3"/>
    <n v="3"/>
    <x v="3"/>
    <x v="1"/>
  </r>
  <r>
    <x v="1"/>
    <x v="2"/>
    <x v="1"/>
    <x v="1"/>
    <x v="0"/>
    <x v="4"/>
    <n v="7"/>
    <x v="4"/>
    <x v="1"/>
  </r>
  <r>
    <x v="1"/>
    <x v="2"/>
    <x v="1"/>
    <x v="1"/>
    <x v="0"/>
    <x v="5"/>
    <n v="4"/>
    <x v="5"/>
    <x v="1"/>
  </r>
  <r>
    <x v="1"/>
    <x v="2"/>
    <x v="1"/>
    <x v="1"/>
    <x v="0"/>
    <x v="6"/>
    <n v="9"/>
    <x v="6"/>
    <x v="0"/>
  </r>
  <r>
    <x v="1"/>
    <x v="2"/>
    <x v="1"/>
    <x v="1"/>
    <x v="0"/>
    <x v="7"/>
    <n v="16"/>
    <x v="7"/>
    <x v="0"/>
  </r>
  <r>
    <x v="1"/>
    <x v="2"/>
    <x v="1"/>
    <x v="1"/>
    <x v="1"/>
    <x v="8"/>
    <n v="7"/>
    <x v="8"/>
    <x v="1"/>
  </r>
  <r>
    <x v="1"/>
    <x v="2"/>
    <x v="1"/>
    <x v="1"/>
    <x v="1"/>
    <x v="9"/>
    <n v="7"/>
    <x v="9"/>
    <x v="1"/>
  </r>
  <r>
    <x v="1"/>
    <x v="2"/>
    <x v="1"/>
    <x v="1"/>
    <x v="1"/>
    <x v="10"/>
    <n v="7"/>
    <x v="10"/>
    <x v="1"/>
  </r>
  <r>
    <x v="1"/>
    <x v="2"/>
    <x v="1"/>
    <x v="1"/>
    <x v="1"/>
    <x v="11"/>
    <n v="8"/>
    <x v="11"/>
    <x v="1"/>
  </r>
  <r>
    <x v="1"/>
    <x v="2"/>
    <x v="1"/>
    <x v="1"/>
    <x v="2"/>
    <x v="12"/>
    <n v="10"/>
    <x v="12"/>
    <x v="0"/>
  </r>
  <r>
    <x v="1"/>
    <x v="2"/>
    <x v="1"/>
    <x v="1"/>
    <x v="2"/>
    <x v="13"/>
    <n v="4"/>
    <x v="13"/>
    <x v="0"/>
  </r>
  <r>
    <x v="1"/>
    <x v="2"/>
    <x v="1"/>
    <x v="1"/>
    <x v="2"/>
    <x v="14"/>
    <n v="4"/>
    <x v="14"/>
    <x v="0"/>
  </r>
  <r>
    <x v="1"/>
    <x v="2"/>
    <x v="1"/>
    <x v="1"/>
    <x v="2"/>
    <x v="15"/>
    <n v="4"/>
    <x v="15"/>
    <x v="1"/>
  </r>
  <r>
    <x v="1"/>
    <x v="2"/>
    <x v="1"/>
    <x v="1"/>
    <x v="2"/>
    <x v="16"/>
    <n v="2"/>
    <x v="16"/>
    <x v="1"/>
  </r>
  <r>
    <x v="1"/>
    <x v="2"/>
    <x v="1"/>
    <x v="1"/>
    <x v="2"/>
    <x v="17"/>
    <n v="6"/>
    <x v="17"/>
    <x v="1"/>
  </r>
  <r>
    <x v="1"/>
    <x v="2"/>
    <x v="1"/>
    <x v="1"/>
    <x v="2"/>
    <x v="18"/>
    <n v="3"/>
    <x v="18"/>
    <x v="1"/>
  </r>
  <r>
    <x v="1"/>
    <x v="2"/>
    <x v="1"/>
    <x v="1"/>
    <x v="2"/>
    <x v="19"/>
    <n v="1"/>
    <x v="19"/>
    <x v="0"/>
  </r>
  <r>
    <x v="1"/>
    <x v="2"/>
    <x v="1"/>
    <x v="2"/>
    <x v="0"/>
    <x v="0"/>
    <n v="3"/>
    <x v="0"/>
    <x v="0"/>
  </r>
  <r>
    <x v="1"/>
    <x v="2"/>
    <x v="1"/>
    <x v="2"/>
    <x v="0"/>
    <x v="1"/>
    <n v="0"/>
    <x v="1"/>
    <x v="0"/>
  </r>
  <r>
    <x v="1"/>
    <x v="2"/>
    <x v="1"/>
    <x v="2"/>
    <x v="0"/>
    <x v="2"/>
    <n v="4"/>
    <x v="2"/>
    <x v="1"/>
  </r>
  <r>
    <x v="1"/>
    <x v="2"/>
    <x v="1"/>
    <x v="2"/>
    <x v="0"/>
    <x v="3"/>
    <n v="4"/>
    <x v="3"/>
    <x v="1"/>
  </r>
  <r>
    <x v="1"/>
    <x v="2"/>
    <x v="1"/>
    <x v="2"/>
    <x v="0"/>
    <x v="4"/>
    <n v="8"/>
    <x v="4"/>
    <x v="1"/>
  </r>
  <r>
    <x v="1"/>
    <x v="2"/>
    <x v="1"/>
    <x v="2"/>
    <x v="0"/>
    <x v="5"/>
    <n v="5"/>
    <x v="5"/>
    <x v="1"/>
  </r>
  <r>
    <x v="1"/>
    <x v="2"/>
    <x v="1"/>
    <x v="2"/>
    <x v="0"/>
    <x v="6"/>
    <n v="2"/>
    <x v="6"/>
    <x v="0"/>
  </r>
  <r>
    <x v="1"/>
    <x v="2"/>
    <x v="1"/>
    <x v="2"/>
    <x v="0"/>
    <x v="7"/>
    <n v="2"/>
    <x v="7"/>
    <x v="0"/>
  </r>
  <r>
    <x v="1"/>
    <x v="2"/>
    <x v="1"/>
    <x v="2"/>
    <x v="1"/>
    <x v="8"/>
    <n v="0"/>
    <x v="8"/>
    <x v="1"/>
  </r>
  <r>
    <x v="1"/>
    <x v="2"/>
    <x v="1"/>
    <x v="2"/>
    <x v="1"/>
    <x v="9"/>
    <n v="1"/>
    <x v="9"/>
    <x v="1"/>
  </r>
  <r>
    <x v="1"/>
    <x v="2"/>
    <x v="1"/>
    <x v="2"/>
    <x v="1"/>
    <x v="10"/>
    <n v="1"/>
    <x v="10"/>
    <x v="1"/>
  </r>
  <r>
    <x v="1"/>
    <x v="2"/>
    <x v="1"/>
    <x v="2"/>
    <x v="1"/>
    <x v="11"/>
    <n v="1"/>
    <x v="11"/>
    <x v="1"/>
  </r>
  <r>
    <x v="1"/>
    <x v="2"/>
    <x v="1"/>
    <x v="2"/>
    <x v="2"/>
    <x v="12"/>
    <n v="0"/>
    <x v="12"/>
    <x v="0"/>
  </r>
  <r>
    <x v="1"/>
    <x v="2"/>
    <x v="1"/>
    <x v="2"/>
    <x v="2"/>
    <x v="13"/>
    <n v="3"/>
    <x v="13"/>
    <x v="0"/>
  </r>
  <r>
    <x v="1"/>
    <x v="2"/>
    <x v="1"/>
    <x v="2"/>
    <x v="2"/>
    <x v="14"/>
    <n v="0"/>
    <x v="14"/>
    <x v="0"/>
  </r>
  <r>
    <x v="1"/>
    <x v="2"/>
    <x v="1"/>
    <x v="2"/>
    <x v="2"/>
    <x v="15"/>
    <n v="1"/>
    <x v="15"/>
    <x v="1"/>
  </r>
  <r>
    <x v="1"/>
    <x v="2"/>
    <x v="1"/>
    <x v="2"/>
    <x v="2"/>
    <x v="16"/>
    <n v="0"/>
    <x v="16"/>
    <x v="1"/>
  </r>
  <r>
    <x v="1"/>
    <x v="2"/>
    <x v="1"/>
    <x v="2"/>
    <x v="2"/>
    <x v="17"/>
    <n v="0"/>
    <x v="17"/>
    <x v="1"/>
  </r>
  <r>
    <x v="1"/>
    <x v="2"/>
    <x v="1"/>
    <x v="2"/>
    <x v="2"/>
    <x v="18"/>
    <n v="0"/>
    <x v="18"/>
    <x v="1"/>
  </r>
  <r>
    <x v="1"/>
    <x v="2"/>
    <x v="1"/>
    <x v="2"/>
    <x v="2"/>
    <x v="19"/>
    <n v="0"/>
    <x v="19"/>
    <x v="0"/>
  </r>
  <r>
    <x v="1"/>
    <x v="3"/>
    <x v="2"/>
    <x v="0"/>
    <x v="0"/>
    <x v="0"/>
    <n v="2"/>
    <x v="0"/>
    <x v="0"/>
  </r>
  <r>
    <x v="1"/>
    <x v="3"/>
    <x v="2"/>
    <x v="0"/>
    <x v="0"/>
    <x v="1"/>
    <n v="9"/>
    <x v="1"/>
    <x v="0"/>
  </r>
  <r>
    <x v="1"/>
    <x v="3"/>
    <x v="2"/>
    <x v="0"/>
    <x v="0"/>
    <x v="2"/>
    <n v="5"/>
    <x v="2"/>
    <x v="1"/>
  </r>
  <r>
    <x v="1"/>
    <x v="3"/>
    <x v="2"/>
    <x v="0"/>
    <x v="0"/>
    <x v="3"/>
    <n v="8"/>
    <x v="3"/>
    <x v="1"/>
  </r>
  <r>
    <x v="1"/>
    <x v="3"/>
    <x v="2"/>
    <x v="0"/>
    <x v="0"/>
    <x v="4"/>
    <n v="15"/>
    <x v="4"/>
    <x v="1"/>
  </r>
  <r>
    <x v="1"/>
    <x v="3"/>
    <x v="2"/>
    <x v="0"/>
    <x v="0"/>
    <x v="5"/>
    <n v="9"/>
    <x v="5"/>
    <x v="1"/>
  </r>
  <r>
    <x v="1"/>
    <x v="3"/>
    <x v="2"/>
    <x v="0"/>
    <x v="0"/>
    <x v="6"/>
    <n v="14"/>
    <x v="6"/>
    <x v="0"/>
  </r>
  <r>
    <x v="1"/>
    <x v="3"/>
    <x v="2"/>
    <x v="0"/>
    <x v="0"/>
    <x v="7"/>
    <n v="16"/>
    <x v="7"/>
    <x v="0"/>
  </r>
  <r>
    <x v="1"/>
    <x v="3"/>
    <x v="2"/>
    <x v="0"/>
    <x v="1"/>
    <x v="8"/>
    <n v="20"/>
    <x v="8"/>
    <x v="1"/>
  </r>
  <r>
    <x v="1"/>
    <x v="3"/>
    <x v="2"/>
    <x v="0"/>
    <x v="1"/>
    <x v="9"/>
    <n v="12"/>
    <x v="9"/>
    <x v="1"/>
  </r>
  <r>
    <x v="1"/>
    <x v="3"/>
    <x v="2"/>
    <x v="0"/>
    <x v="1"/>
    <x v="10"/>
    <n v="15"/>
    <x v="10"/>
    <x v="1"/>
  </r>
  <r>
    <x v="1"/>
    <x v="3"/>
    <x v="2"/>
    <x v="0"/>
    <x v="1"/>
    <x v="11"/>
    <n v="15"/>
    <x v="11"/>
    <x v="1"/>
  </r>
  <r>
    <x v="1"/>
    <x v="3"/>
    <x v="2"/>
    <x v="0"/>
    <x v="2"/>
    <x v="12"/>
    <n v="24"/>
    <x v="12"/>
    <x v="0"/>
  </r>
  <r>
    <x v="1"/>
    <x v="3"/>
    <x v="2"/>
    <x v="0"/>
    <x v="2"/>
    <x v="13"/>
    <n v="25"/>
    <x v="13"/>
    <x v="0"/>
  </r>
  <r>
    <x v="1"/>
    <x v="3"/>
    <x v="2"/>
    <x v="0"/>
    <x v="2"/>
    <x v="14"/>
    <n v="24"/>
    <x v="14"/>
    <x v="0"/>
  </r>
  <r>
    <x v="1"/>
    <x v="3"/>
    <x v="2"/>
    <x v="0"/>
    <x v="2"/>
    <x v="15"/>
    <n v="29"/>
    <x v="15"/>
    <x v="1"/>
  </r>
  <r>
    <x v="1"/>
    <x v="3"/>
    <x v="2"/>
    <x v="0"/>
    <x v="2"/>
    <x v="16"/>
    <n v="25"/>
    <x v="16"/>
    <x v="1"/>
  </r>
  <r>
    <x v="1"/>
    <x v="3"/>
    <x v="2"/>
    <x v="0"/>
    <x v="2"/>
    <x v="17"/>
    <n v="38"/>
    <x v="17"/>
    <x v="1"/>
  </r>
  <r>
    <x v="1"/>
    <x v="3"/>
    <x v="2"/>
    <x v="0"/>
    <x v="2"/>
    <x v="18"/>
    <n v="38"/>
    <x v="18"/>
    <x v="1"/>
  </r>
  <r>
    <x v="1"/>
    <x v="3"/>
    <x v="2"/>
    <x v="0"/>
    <x v="2"/>
    <x v="19"/>
    <n v="28"/>
    <x v="19"/>
    <x v="0"/>
  </r>
  <r>
    <x v="1"/>
    <x v="3"/>
    <x v="2"/>
    <x v="1"/>
    <x v="0"/>
    <x v="0"/>
    <n v="0"/>
    <x v="0"/>
    <x v="0"/>
  </r>
  <r>
    <x v="1"/>
    <x v="3"/>
    <x v="2"/>
    <x v="1"/>
    <x v="0"/>
    <x v="1"/>
    <n v="0"/>
    <x v="1"/>
    <x v="0"/>
  </r>
  <r>
    <x v="1"/>
    <x v="3"/>
    <x v="2"/>
    <x v="1"/>
    <x v="0"/>
    <x v="2"/>
    <n v="0"/>
    <x v="2"/>
    <x v="1"/>
  </r>
  <r>
    <x v="1"/>
    <x v="3"/>
    <x v="2"/>
    <x v="1"/>
    <x v="0"/>
    <x v="3"/>
    <n v="0"/>
    <x v="3"/>
    <x v="1"/>
  </r>
  <r>
    <x v="1"/>
    <x v="3"/>
    <x v="2"/>
    <x v="1"/>
    <x v="0"/>
    <x v="4"/>
    <n v="1"/>
    <x v="4"/>
    <x v="1"/>
  </r>
  <r>
    <x v="1"/>
    <x v="3"/>
    <x v="2"/>
    <x v="1"/>
    <x v="0"/>
    <x v="5"/>
    <n v="0"/>
    <x v="5"/>
    <x v="1"/>
  </r>
  <r>
    <x v="1"/>
    <x v="3"/>
    <x v="2"/>
    <x v="1"/>
    <x v="0"/>
    <x v="6"/>
    <n v="0"/>
    <x v="6"/>
    <x v="0"/>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0"/>
  </r>
  <r>
    <x v="1"/>
    <x v="3"/>
    <x v="2"/>
    <x v="1"/>
    <x v="2"/>
    <x v="15"/>
    <n v="2"/>
    <x v="15"/>
    <x v="1"/>
  </r>
  <r>
    <x v="1"/>
    <x v="3"/>
    <x v="2"/>
    <x v="1"/>
    <x v="2"/>
    <x v="16"/>
    <n v="1"/>
    <x v="16"/>
    <x v="1"/>
  </r>
  <r>
    <x v="1"/>
    <x v="3"/>
    <x v="2"/>
    <x v="1"/>
    <x v="2"/>
    <x v="17"/>
    <n v="0"/>
    <x v="17"/>
    <x v="1"/>
  </r>
  <r>
    <x v="1"/>
    <x v="3"/>
    <x v="2"/>
    <x v="1"/>
    <x v="2"/>
    <x v="18"/>
    <n v="0"/>
    <x v="18"/>
    <x v="1"/>
  </r>
  <r>
    <x v="1"/>
    <x v="3"/>
    <x v="2"/>
    <x v="1"/>
    <x v="2"/>
    <x v="19"/>
    <n v="1"/>
    <x v="19"/>
    <x v="0"/>
  </r>
  <r>
    <x v="1"/>
    <x v="3"/>
    <x v="2"/>
    <x v="2"/>
    <x v="0"/>
    <x v="0"/>
    <n v="0"/>
    <x v="0"/>
    <x v="0"/>
  </r>
  <r>
    <x v="1"/>
    <x v="3"/>
    <x v="2"/>
    <x v="2"/>
    <x v="0"/>
    <x v="1"/>
    <n v="0"/>
    <x v="1"/>
    <x v="0"/>
  </r>
  <r>
    <x v="1"/>
    <x v="3"/>
    <x v="2"/>
    <x v="2"/>
    <x v="0"/>
    <x v="2"/>
    <n v="0"/>
    <x v="2"/>
    <x v="1"/>
  </r>
  <r>
    <x v="1"/>
    <x v="3"/>
    <x v="2"/>
    <x v="2"/>
    <x v="0"/>
    <x v="3"/>
    <n v="0"/>
    <x v="3"/>
    <x v="1"/>
  </r>
  <r>
    <x v="1"/>
    <x v="3"/>
    <x v="2"/>
    <x v="2"/>
    <x v="0"/>
    <x v="4"/>
    <n v="2"/>
    <x v="4"/>
    <x v="1"/>
  </r>
  <r>
    <x v="1"/>
    <x v="3"/>
    <x v="2"/>
    <x v="2"/>
    <x v="0"/>
    <x v="5"/>
    <n v="1"/>
    <x v="5"/>
    <x v="1"/>
  </r>
  <r>
    <x v="1"/>
    <x v="3"/>
    <x v="2"/>
    <x v="2"/>
    <x v="0"/>
    <x v="6"/>
    <n v="0"/>
    <x v="6"/>
    <x v="0"/>
  </r>
  <r>
    <x v="1"/>
    <x v="3"/>
    <x v="2"/>
    <x v="2"/>
    <x v="0"/>
    <x v="7"/>
    <n v="1"/>
    <x v="7"/>
    <x v="0"/>
  </r>
  <r>
    <x v="1"/>
    <x v="3"/>
    <x v="2"/>
    <x v="2"/>
    <x v="1"/>
    <x v="8"/>
    <n v="1"/>
    <x v="8"/>
    <x v="1"/>
  </r>
  <r>
    <x v="1"/>
    <x v="3"/>
    <x v="2"/>
    <x v="2"/>
    <x v="1"/>
    <x v="9"/>
    <n v="0"/>
    <x v="9"/>
    <x v="1"/>
  </r>
  <r>
    <x v="1"/>
    <x v="3"/>
    <x v="2"/>
    <x v="2"/>
    <x v="1"/>
    <x v="10"/>
    <n v="0"/>
    <x v="10"/>
    <x v="1"/>
  </r>
  <r>
    <x v="1"/>
    <x v="3"/>
    <x v="2"/>
    <x v="2"/>
    <x v="1"/>
    <x v="11"/>
    <n v="0"/>
    <x v="11"/>
    <x v="1"/>
  </r>
  <r>
    <x v="1"/>
    <x v="3"/>
    <x v="2"/>
    <x v="2"/>
    <x v="2"/>
    <x v="12"/>
    <n v="0"/>
    <x v="12"/>
    <x v="0"/>
  </r>
  <r>
    <x v="1"/>
    <x v="3"/>
    <x v="2"/>
    <x v="2"/>
    <x v="2"/>
    <x v="13"/>
    <n v="1"/>
    <x v="13"/>
    <x v="0"/>
  </r>
  <r>
    <x v="1"/>
    <x v="3"/>
    <x v="2"/>
    <x v="2"/>
    <x v="2"/>
    <x v="14"/>
    <n v="0"/>
    <x v="14"/>
    <x v="0"/>
  </r>
  <r>
    <x v="1"/>
    <x v="3"/>
    <x v="2"/>
    <x v="2"/>
    <x v="2"/>
    <x v="15"/>
    <n v="0"/>
    <x v="15"/>
    <x v="1"/>
  </r>
  <r>
    <x v="1"/>
    <x v="3"/>
    <x v="2"/>
    <x v="2"/>
    <x v="2"/>
    <x v="16"/>
    <n v="0"/>
    <x v="16"/>
    <x v="1"/>
  </r>
  <r>
    <x v="1"/>
    <x v="3"/>
    <x v="2"/>
    <x v="2"/>
    <x v="2"/>
    <x v="17"/>
    <n v="1"/>
    <x v="17"/>
    <x v="1"/>
  </r>
  <r>
    <x v="1"/>
    <x v="3"/>
    <x v="2"/>
    <x v="2"/>
    <x v="2"/>
    <x v="18"/>
    <n v="0"/>
    <x v="18"/>
    <x v="1"/>
  </r>
  <r>
    <x v="1"/>
    <x v="3"/>
    <x v="2"/>
    <x v="2"/>
    <x v="2"/>
    <x v="19"/>
    <n v="0"/>
    <x v="19"/>
    <x v="0"/>
  </r>
  <r>
    <x v="1"/>
    <x v="4"/>
    <x v="0"/>
    <x v="0"/>
    <x v="0"/>
    <x v="0"/>
    <n v="0"/>
    <x v="0"/>
    <x v="0"/>
  </r>
  <r>
    <x v="1"/>
    <x v="4"/>
    <x v="0"/>
    <x v="0"/>
    <x v="0"/>
    <x v="1"/>
    <n v="0"/>
    <x v="1"/>
    <x v="0"/>
  </r>
  <r>
    <x v="1"/>
    <x v="4"/>
    <x v="0"/>
    <x v="0"/>
    <x v="0"/>
    <x v="2"/>
    <n v="0"/>
    <x v="2"/>
    <x v="1"/>
  </r>
  <r>
    <x v="1"/>
    <x v="4"/>
    <x v="0"/>
    <x v="0"/>
    <x v="0"/>
    <x v="3"/>
    <n v="0"/>
    <x v="3"/>
    <x v="1"/>
  </r>
  <r>
    <x v="1"/>
    <x v="4"/>
    <x v="0"/>
    <x v="0"/>
    <x v="0"/>
    <x v="4"/>
    <n v="0"/>
    <x v="4"/>
    <x v="1"/>
  </r>
  <r>
    <x v="1"/>
    <x v="4"/>
    <x v="0"/>
    <x v="0"/>
    <x v="0"/>
    <x v="5"/>
    <n v="0"/>
    <x v="5"/>
    <x v="1"/>
  </r>
  <r>
    <x v="1"/>
    <x v="4"/>
    <x v="0"/>
    <x v="0"/>
    <x v="0"/>
    <x v="6"/>
    <n v="1"/>
    <x v="6"/>
    <x v="0"/>
  </r>
  <r>
    <x v="1"/>
    <x v="4"/>
    <x v="0"/>
    <x v="0"/>
    <x v="0"/>
    <x v="7"/>
    <n v="0"/>
    <x v="7"/>
    <x v="0"/>
  </r>
  <r>
    <x v="1"/>
    <x v="4"/>
    <x v="0"/>
    <x v="0"/>
    <x v="1"/>
    <x v="8"/>
    <n v="0"/>
    <x v="8"/>
    <x v="1"/>
  </r>
  <r>
    <x v="1"/>
    <x v="4"/>
    <x v="0"/>
    <x v="0"/>
    <x v="1"/>
    <x v="9"/>
    <n v="0"/>
    <x v="9"/>
    <x v="1"/>
  </r>
  <r>
    <x v="1"/>
    <x v="4"/>
    <x v="0"/>
    <x v="0"/>
    <x v="1"/>
    <x v="10"/>
    <n v="0"/>
    <x v="10"/>
    <x v="1"/>
  </r>
  <r>
    <x v="1"/>
    <x v="4"/>
    <x v="0"/>
    <x v="0"/>
    <x v="1"/>
    <x v="11"/>
    <n v="0"/>
    <x v="11"/>
    <x v="1"/>
  </r>
  <r>
    <x v="1"/>
    <x v="4"/>
    <x v="0"/>
    <x v="0"/>
    <x v="2"/>
    <x v="12"/>
    <n v="1"/>
    <x v="12"/>
    <x v="0"/>
  </r>
  <r>
    <x v="1"/>
    <x v="4"/>
    <x v="0"/>
    <x v="0"/>
    <x v="2"/>
    <x v="13"/>
    <n v="1"/>
    <x v="13"/>
    <x v="0"/>
  </r>
  <r>
    <x v="1"/>
    <x v="4"/>
    <x v="0"/>
    <x v="0"/>
    <x v="2"/>
    <x v="14"/>
    <n v="1"/>
    <x v="14"/>
    <x v="0"/>
  </r>
  <r>
    <x v="1"/>
    <x v="4"/>
    <x v="0"/>
    <x v="0"/>
    <x v="2"/>
    <x v="15"/>
    <n v="1"/>
    <x v="15"/>
    <x v="1"/>
  </r>
  <r>
    <x v="1"/>
    <x v="4"/>
    <x v="0"/>
    <x v="0"/>
    <x v="2"/>
    <x v="16"/>
    <n v="0"/>
    <x v="16"/>
    <x v="1"/>
  </r>
  <r>
    <x v="1"/>
    <x v="4"/>
    <x v="0"/>
    <x v="0"/>
    <x v="2"/>
    <x v="17"/>
    <n v="1"/>
    <x v="17"/>
    <x v="1"/>
  </r>
  <r>
    <x v="1"/>
    <x v="4"/>
    <x v="0"/>
    <x v="0"/>
    <x v="2"/>
    <x v="18"/>
    <n v="1"/>
    <x v="18"/>
    <x v="1"/>
  </r>
  <r>
    <x v="1"/>
    <x v="4"/>
    <x v="0"/>
    <x v="0"/>
    <x v="2"/>
    <x v="19"/>
    <n v="0"/>
    <x v="19"/>
    <x v="0"/>
  </r>
  <r>
    <x v="1"/>
    <x v="4"/>
    <x v="0"/>
    <x v="1"/>
    <x v="0"/>
    <x v="0"/>
    <n v="0"/>
    <x v="0"/>
    <x v="0"/>
  </r>
  <r>
    <x v="1"/>
    <x v="4"/>
    <x v="0"/>
    <x v="1"/>
    <x v="0"/>
    <x v="1"/>
    <n v="0"/>
    <x v="1"/>
    <x v="0"/>
  </r>
  <r>
    <x v="1"/>
    <x v="4"/>
    <x v="0"/>
    <x v="1"/>
    <x v="0"/>
    <x v="2"/>
    <n v="0"/>
    <x v="2"/>
    <x v="1"/>
  </r>
  <r>
    <x v="1"/>
    <x v="4"/>
    <x v="0"/>
    <x v="1"/>
    <x v="0"/>
    <x v="3"/>
    <n v="0"/>
    <x v="3"/>
    <x v="1"/>
  </r>
  <r>
    <x v="1"/>
    <x v="4"/>
    <x v="0"/>
    <x v="1"/>
    <x v="0"/>
    <x v="4"/>
    <n v="0"/>
    <x v="4"/>
    <x v="1"/>
  </r>
  <r>
    <x v="1"/>
    <x v="4"/>
    <x v="0"/>
    <x v="1"/>
    <x v="0"/>
    <x v="5"/>
    <n v="0"/>
    <x v="5"/>
    <x v="1"/>
  </r>
  <r>
    <x v="1"/>
    <x v="4"/>
    <x v="0"/>
    <x v="1"/>
    <x v="0"/>
    <x v="6"/>
    <n v="0"/>
    <x v="6"/>
    <x v="0"/>
  </r>
  <r>
    <x v="1"/>
    <x v="4"/>
    <x v="0"/>
    <x v="1"/>
    <x v="0"/>
    <x v="7"/>
    <n v="0"/>
    <x v="7"/>
    <x v="0"/>
  </r>
  <r>
    <x v="1"/>
    <x v="4"/>
    <x v="0"/>
    <x v="1"/>
    <x v="1"/>
    <x v="8"/>
    <n v="0"/>
    <x v="8"/>
    <x v="1"/>
  </r>
  <r>
    <x v="1"/>
    <x v="4"/>
    <x v="0"/>
    <x v="1"/>
    <x v="1"/>
    <x v="9"/>
    <n v="0"/>
    <x v="9"/>
    <x v="1"/>
  </r>
  <r>
    <x v="1"/>
    <x v="4"/>
    <x v="0"/>
    <x v="1"/>
    <x v="1"/>
    <x v="10"/>
    <n v="0"/>
    <x v="10"/>
    <x v="1"/>
  </r>
  <r>
    <x v="1"/>
    <x v="4"/>
    <x v="0"/>
    <x v="1"/>
    <x v="1"/>
    <x v="11"/>
    <n v="0"/>
    <x v="11"/>
    <x v="1"/>
  </r>
  <r>
    <x v="1"/>
    <x v="4"/>
    <x v="0"/>
    <x v="1"/>
    <x v="2"/>
    <x v="12"/>
    <n v="0"/>
    <x v="12"/>
    <x v="0"/>
  </r>
  <r>
    <x v="1"/>
    <x v="4"/>
    <x v="0"/>
    <x v="1"/>
    <x v="2"/>
    <x v="13"/>
    <n v="0"/>
    <x v="13"/>
    <x v="0"/>
  </r>
  <r>
    <x v="1"/>
    <x v="4"/>
    <x v="0"/>
    <x v="1"/>
    <x v="2"/>
    <x v="14"/>
    <n v="0"/>
    <x v="14"/>
    <x v="0"/>
  </r>
  <r>
    <x v="1"/>
    <x v="4"/>
    <x v="0"/>
    <x v="1"/>
    <x v="2"/>
    <x v="15"/>
    <n v="0"/>
    <x v="15"/>
    <x v="1"/>
  </r>
  <r>
    <x v="1"/>
    <x v="4"/>
    <x v="0"/>
    <x v="1"/>
    <x v="2"/>
    <x v="16"/>
    <n v="0"/>
    <x v="16"/>
    <x v="1"/>
  </r>
  <r>
    <x v="1"/>
    <x v="4"/>
    <x v="0"/>
    <x v="1"/>
    <x v="2"/>
    <x v="17"/>
    <n v="0"/>
    <x v="17"/>
    <x v="1"/>
  </r>
  <r>
    <x v="1"/>
    <x v="4"/>
    <x v="0"/>
    <x v="1"/>
    <x v="2"/>
    <x v="18"/>
    <n v="0"/>
    <x v="18"/>
    <x v="1"/>
  </r>
  <r>
    <x v="1"/>
    <x v="4"/>
    <x v="0"/>
    <x v="1"/>
    <x v="2"/>
    <x v="19"/>
    <n v="0"/>
    <x v="19"/>
    <x v="0"/>
  </r>
  <r>
    <x v="1"/>
    <x v="4"/>
    <x v="0"/>
    <x v="2"/>
    <x v="0"/>
    <x v="0"/>
    <n v="0"/>
    <x v="0"/>
    <x v="0"/>
  </r>
  <r>
    <x v="1"/>
    <x v="4"/>
    <x v="0"/>
    <x v="2"/>
    <x v="0"/>
    <x v="1"/>
    <n v="0"/>
    <x v="1"/>
    <x v="0"/>
  </r>
  <r>
    <x v="1"/>
    <x v="4"/>
    <x v="0"/>
    <x v="2"/>
    <x v="0"/>
    <x v="2"/>
    <n v="0"/>
    <x v="2"/>
    <x v="1"/>
  </r>
  <r>
    <x v="1"/>
    <x v="4"/>
    <x v="0"/>
    <x v="2"/>
    <x v="0"/>
    <x v="3"/>
    <n v="0"/>
    <x v="3"/>
    <x v="1"/>
  </r>
  <r>
    <x v="1"/>
    <x v="4"/>
    <x v="0"/>
    <x v="2"/>
    <x v="0"/>
    <x v="4"/>
    <n v="0"/>
    <x v="4"/>
    <x v="1"/>
  </r>
  <r>
    <x v="1"/>
    <x v="4"/>
    <x v="0"/>
    <x v="2"/>
    <x v="0"/>
    <x v="5"/>
    <n v="0"/>
    <x v="5"/>
    <x v="1"/>
  </r>
  <r>
    <x v="1"/>
    <x v="4"/>
    <x v="0"/>
    <x v="2"/>
    <x v="0"/>
    <x v="6"/>
    <n v="0"/>
    <x v="6"/>
    <x v="0"/>
  </r>
  <r>
    <x v="1"/>
    <x v="4"/>
    <x v="0"/>
    <x v="2"/>
    <x v="0"/>
    <x v="7"/>
    <n v="0"/>
    <x v="7"/>
    <x v="0"/>
  </r>
  <r>
    <x v="1"/>
    <x v="4"/>
    <x v="0"/>
    <x v="2"/>
    <x v="1"/>
    <x v="8"/>
    <n v="0"/>
    <x v="8"/>
    <x v="1"/>
  </r>
  <r>
    <x v="1"/>
    <x v="4"/>
    <x v="0"/>
    <x v="2"/>
    <x v="1"/>
    <x v="9"/>
    <n v="0"/>
    <x v="9"/>
    <x v="1"/>
  </r>
  <r>
    <x v="1"/>
    <x v="4"/>
    <x v="0"/>
    <x v="2"/>
    <x v="1"/>
    <x v="10"/>
    <n v="0"/>
    <x v="10"/>
    <x v="1"/>
  </r>
  <r>
    <x v="1"/>
    <x v="4"/>
    <x v="0"/>
    <x v="2"/>
    <x v="1"/>
    <x v="11"/>
    <n v="0"/>
    <x v="11"/>
    <x v="1"/>
  </r>
  <r>
    <x v="1"/>
    <x v="4"/>
    <x v="0"/>
    <x v="2"/>
    <x v="2"/>
    <x v="12"/>
    <n v="0"/>
    <x v="12"/>
    <x v="0"/>
  </r>
  <r>
    <x v="1"/>
    <x v="4"/>
    <x v="0"/>
    <x v="2"/>
    <x v="2"/>
    <x v="13"/>
    <n v="0"/>
    <x v="13"/>
    <x v="0"/>
  </r>
  <r>
    <x v="1"/>
    <x v="4"/>
    <x v="0"/>
    <x v="2"/>
    <x v="2"/>
    <x v="14"/>
    <n v="0"/>
    <x v="14"/>
    <x v="0"/>
  </r>
  <r>
    <x v="1"/>
    <x v="4"/>
    <x v="0"/>
    <x v="2"/>
    <x v="2"/>
    <x v="15"/>
    <n v="0"/>
    <x v="15"/>
    <x v="1"/>
  </r>
  <r>
    <x v="1"/>
    <x v="4"/>
    <x v="0"/>
    <x v="2"/>
    <x v="2"/>
    <x v="16"/>
    <n v="0"/>
    <x v="16"/>
    <x v="1"/>
  </r>
  <r>
    <x v="1"/>
    <x v="4"/>
    <x v="0"/>
    <x v="2"/>
    <x v="2"/>
    <x v="17"/>
    <n v="0"/>
    <x v="17"/>
    <x v="1"/>
  </r>
  <r>
    <x v="1"/>
    <x v="4"/>
    <x v="0"/>
    <x v="2"/>
    <x v="2"/>
    <x v="18"/>
    <n v="0"/>
    <x v="18"/>
    <x v="1"/>
  </r>
  <r>
    <x v="1"/>
    <x v="4"/>
    <x v="0"/>
    <x v="2"/>
    <x v="2"/>
    <x v="19"/>
    <n v="0"/>
    <x v="19"/>
    <x v="0"/>
  </r>
  <r>
    <x v="2"/>
    <x v="5"/>
    <x v="2"/>
    <x v="0"/>
    <x v="0"/>
    <x v="0"/>
    <n v="3"/>
    <x v="0"/>
    <x v="0"/>
  </r>
  <r>
    <x v="2"/>
    <x v="5"/>
    <x v="2"/>
    <x v="0"/>
    <x v="0"/>
    <x v="1"/>
    <n v="5"/>
    <x v="1"/>
    <x v="0"/>
  </r>
  <r>
    <x v="2"/>
    <x v="5"/>
    <x v="2"/>
    <x v="0"/>
    <x v="0"/>
    <x v="2"/>
    <n v="11"/>
    <x v="2"/>
    <x v="1"/>
  </r>
  <r>
    <x v="2"/>
    <x v="5"/>
    <x v="2"/>
    <x v="0"/>
    <x v="0"/>
    <x v="3"/>
    <n v="14"/>
    <x v="3"/>
    <x v="1"/>
  </r>
  <r>
    <x v="2"/>
    <x v="5"/>
    <x v="2"/>
    <x v="0"/>
    <x v="0"/>
    <x v="4"/>
    <n v="14"/>
    <x v="4"/>
    <x v="1"/>
  </r>
  <r>
    <x v="2"/>
    <x v="5"/>
    <x v="2"/>
    <x v="0"/>
    <x v="0"/>
    <x v="5"/>
    <n v="33"/>
    <x v="5"/>
    <x v="1"/>
  </r>
  <r>
    <x v="2"/>
    <x v="5"/>
    <x v="2"/>
    <x v="0"/>
    <x v="0"/>
    <x v="6"/>
    <n v="25"/>
    <x v="6"/>
    <x v="0"/>
  </r>
  <r>
    <x v="2"/>
    <x v="5"/>
    <x v="2"/>
    <x v="0"/>
    <x v="0"/>
    <x v="7"/>
    <n v="22"/>
    <x v="7"/>
    <x v="0"/>
  </r>
  <r>
    <x v="2"/>
    <x v="5"/>
    <x v="2"/>
    <x v="0"/>
    <x v="1"/>
    <x v="8"/>
    <n v="24"/>
    <x v="8"/>
    <x v="1"/>
  </r>
  <r>
    <x v="2"/>
    <x v="5"/>
    <x v="2"/>
    <x v="0"/>
    <x v="1"/>
    <x v="9"/>
    <n v="16"/>
    <x v="9"/>
    <x v="1"/>
  </r>
  <r>
    <x v="2"/>
    <x v="5"/>
    <x v="2"/>
    <x v="0"/>
    <x v="1"/>
    <x v="10"/>
    <n v="14"/>
    <x v="10"/>
    <x v="1"/>
  </r>
  <r>
    <x v="2"/>
    <x v="5"/>
    <x v="2"/>
    <x v="0"/>
    <x v="1"/>
    <x v="11"/>
    <n v="18"/>
    <x v="11"/>
    <x v="1"/>
  </r>
  <r>
    <x v="2"/>
    <x v="5"/>
    <x v="2"/>
    <x v="0"/>
    <x v="2"/>
    <x v="12"/>
    <n v="26"/>
    <x v="12"/>
    <x v="0"/>
  </r>
  <r>
    <x v="2"/>
    <x v="5"/>
    <x v="2"/>
    <x v="0"/>
    <x v="2"/>
    <x v="13"/>
    <n v="41"/>
    <x v="13"/>
    <x v="0"/>
  </r>
  <r>
    <x v="2"/>
    <x v="5"/>
    <x v="2"/>
    <x v="0"/>
    <x v="2"/>
    <x v="14"/>
    <n v="31"/>
    <x v="14"/>
    <x v="0"/>
  </r>
  <r>
    <x v="2"/>
    <x v="5"/>
    <x v="2"/>
    <x v="0"/>
    <x v="2"/>
    <x v="15"/>
    <n v="34"/>
    <x v="15"/>
    <x v="1"/>
  </r>
  <r>
    <x v="2"/>
    <x v="5"/>
    <x v="2"/>
    <x v="0"/>
    <x v="2"/>
    <x v="16"/>
    <n v="49"/>
    <x v="16"/>
    <x v="1"/>
  </r>
  <r>
    <x v="2"/>
    <x v="5"/>
    <x v="2"/>
    <x v="0"/>
    <x v="2"/>
    <x v="17"/>
    <n v="44"/>
    <x v="17"/>
    <x v="1"/>
  </r>
  <r>
    <x v="2"/>
    <x v="5"/>
    <x v="2"/>
    <x v="0"/>
    <x v="2"/>
    <x v="18"/>
    <n v="37"/>
    <x v="18"/>
    <x v="1"/>
  </r>
  <r>
    <x v="2"/>
    <x v="5"/>
    <x v="2"/>
    <x v="0"/>
    <x v="2"/>
    <x v="19"/>
    <n v="25"/>
    <x v="19"/>
    <x v="0"/>
  </r>
  <r>
    <x v="2"/>
    <x v="5"/>
    <x v="2"/>
    <x v="1"/>
    <x v="0"/>
    <x v="0"/>
    <n v="0"/>
    <x v="0"/>
    <x v="0"/>
  </r>
  <r>
    <x v="2"/>
    <x v="5"/>
    <x v="2"/>
    <x v="1"/>
    <x v="0"/>
    <x v="1"/>
    <n v="0"/>
    <x v="1"/>
    <x v="0"/>
  </r>
  <r>
    <x v="2"/>
    <x v="5"/>
    <x v="2"/>
    <x v="1"/>
    <x v="0"/>
    <x v="2"/>
    <n v="0"/>
    <x v="2"/>
    <x v="1"/>
  </r>
  <r>
    <x v="2"/>
    <x v="5"/>
    <x v="2"/>
    <x v="1"/>
    <x v="0"/>
    <x v="3"/>
    <n v="0"/>
    <x v="3"/>
    <x v="1"/>
  </r>
  <r>
    <x v="2"/>
    <x v="5"/>
    <x v="2"/>
    <x v="1"/>
    <x v="0"/>
    <x v="4"/>
    <n v="0"/>
    <x v="4"/>
    <x v="1"/>
  </r>
  <r>
    <x v="2"/>
    <x v="5"/>
    <x v="2"/>
    <x v="1"/>
    <x v="0"/>
    <x v="5"/>
    <n v="0"/>
    <x v="5"/>
    <x v="1"/>
  </r>
  <r>
    <x v="2"/>
    <x v="5"/>
    <x v="2"/>
    <x v="1"/>
    <x v="0"/>
    <x v="6"/>
    <n v="0"/>
    <x v="6"/>
    <x v="0"/>
  </r>
  <r>
    <x v="2"/>
    <x v="5"/>
    <x v="2"/>
    <x v="1"/>
    <x v="0"/>
    <x v="7"/>
    <n v="0"/>
    <x v="7"/>
    <x v="0"/>
  </r>
  <r>
    <x v="2"/>
    <x v="5"/>
    <x v="2"/>
    <x v="1"/>
    <x v="1"/>
    <x v="8"/>
    <n v="0"/>
    <x v="8"/>
    <x v="1"/>
  </r>
  <r>
    <x v="2"/>
    <x v="5"/>
    <x v="2"/>
    <x v="1"/>
    <x v="1"/>
    <x v="9"/>
    <n v="0"/>
    <x v="9"/>
    <x v="1"/>
  </r>
  <r>
    <x v="2"/>
    <x v="5"/>
    <x v="2"/>
    <x v="1"/>
    <x v="1"/>
    <x v="10"/>
    <n v="0"/>
    <x v="10"/>
    <x v="1"/>
  </r>
  <r>
    <x v="2"/>
    <x v="5"/>
    <x v="2"/>
    <x v="1"/>
    <x v="1"/>
    <x v="11"/>
    <n v="0"/>
    <x v="11"/>
    <x v="1"/>
  </r>
  <r>
    <x v="2"/>
    <x v="5"/>
    <x v="2"/>
    <x v="1"/>
    <x v="2"/>
    <x v="12"/>
    <n v="1"/>
    <x v="12"/>
    <x v="0"/>
  </r>
  <r>
    <x v="2"/>
    <x v="5"/>
    <x v="2"/>
    <x v="1"/>
    <x v="2"/>
    <x v="13"/>
    <n v="0"/>
    <x v="13"/>
    <x v="0"/>
  </r>
  <r>
    <x v="2"/>
    <x v="5"/>
    <x v="2"/>
    <x v="1"/>
    <x v="2"/>
    <x v="14"/>
    <n v="1"/>
    <x v="14"/>
    <x v="0"/>
  </r>
  <r>
    <x v="2"/>
    <x v="5"/>
    <x v="2"/>
    <x v="1"/>
    <x v="2"/>
    <x v="15"/>
    <n v="1"/>
    <x v="15"/>
    <x v="1"/>
  </r>
  <r>
    <x v="2"/>
    <x v="5"/>
    <x v="2"/>
    <x v="1"/>
    <x v="2"/>
    <x v="16"/>
    <n v="0"/>
    <x v="16"/>
    <x v="1"/>
  </r>
  <r>
    <x v="2"/>
    <x v="5"/>
    <x v="2"/>
    <x v="1"/>
    <x v="2"/>
    <x v="17"/>
    <n v="2"/>
    <x v="17"/>
    <x v="1"/>
  </r>
  <r>
    <x v="2"/>
    <x v="5"/>
    <x v="2"/>
    <x v="1"/>
    <x v="2"/>
    <x v="18"/>
    <n v="0"/>
    <x v="18"/>
    <x v="1"/>
  </r>
  <r>
    <x v="2"/>
    <x v="5"/>
    <x v="2"/>
    <x v="1"/>
    <x v="2"/>
    <x v="19"/>
    <n v="0"/>
    <x v="19"/>
    <x v="0"/>
  </r>
  <r>
    <x v="2"/>
    <x v="5"/>
    <x v="2"/>
    <x v="2"/>
    <x v="0"/>
    <x v="0"/>
    <n v="1"/>
    <x v="0"/>
    <x v="0"/>
  </r>
  <r>
    <x v="2"/>
    <x v="5"/>
    <x v="2"/>
    <x v="2"/>
    <x v="0"/>
    <x v="1"/>
    <n v="0"/>
    <x v="1"/>
    <x v="0"/>
  </r>
  <r>
    <x v="2"/>
    <x v="5"/>
    <x v="2"/>
    <x v="2"/>
    <x v="0"/>
    <x v="2"/>
    <n v="0"/>
    <x v="2"/>
    <x v="1"/>
  </r>
  <r>
    <x v="2"/>
    <x v="5"/>
    <x v="2"/>
    <x v="2"/>
    <x v="0"/>
    <x v="3"/>
    <n v="0"/>
    <x v="3"/>
    <x v="1"/>
  </r>
  <r>
    <x v="2"/>
    <x v="5"/>
    <x v="2"/>
    <x v="2"/>
    <x v="0"/>
    <x v="4"/>
    <n v="0"/>
    <x v="4"/>
    <x v="1"/>
  </r>
  <r>
    <x v="2"/>
    <x v="5"/>
    <x v="2"/>
    <x v="2"/>
    <x v="0"/>
    <x v="5"/>
    <n v="0"/>
    <x v="5"/>
    <x v="1"/>
  </r>
  <r>
    <x v="2"/>
    <x v="5"/>
    <x v="2"/>
    <x v="2"/>
    <x v="0"/>
    <x v="6"/>
    <n v="0"/>
    <x v="6"/>
    <x v="0"/>
  </r>
  <r>
    <x v="2"/>
    <x v="5"/>
    <x v="2"/>
    <x v="2"/>
    <x v="0"/>
    <x v="7"/>
    <n v="2"/>
    <x v="7"/>
    <x v="0"/>
  </r>
  <r>
    <x v="2"/>
    <x v="5"/>
    <x v="2"/>
    <x v="2"/>
    <x v="1"/>
    <x v="8"/>
    <n v="1"/>
    <x v="8"/>
    <x v="1"/>
  </r>
  <r>
    <x v="2"/>
    <x v="5"/>
    <x v="2"/>
    <x v="2"/>
    <x v="1"/>
    <x v="9"/>
    <n v="0"/>
    <x v="9"/>
    <x v="1"/>
  </r>
  <r>
    <x v="2"/>
    <x v="5"/>
    <x v="2"/>
    <x v="2"/>
    <x v="1"/>
    <x v="10"/>
    <n v="0"/>
    <x v="10"/>
    <x v="1"/>
  </r>
  <r>
    <x v="2"/>
    <x v="5"/>
    <x v="2"/>
    <x v="2"/>
    <x v="1"/>
    <x v="11"/>
    <n v="0"/>
    <x v="11"/>
    <x v="1"/>
  </r>
  <r>
    <x v="2"/>
    <x v="5"/>
    <x v="2"/>
    <x v="2"/>
    <x v="2"/>
    <x v="12"/>
    <n v="0"/>
    <x v="12"/>
    <x v="0"/>
  </r>
  <r>
    <x v="2"/>
    <x v="5"/>
    <x v="2"/>
    <x v="2"/>
    <x v="2"/>
    <x v="13"/>
    <n v="0"/>
    <x v="13"/>
    <x v="0"/>
  </r>
  <r>
    <x v="2"/>
    <x v="5"/>
    <x v="2"/>
    <x v="2"/>
    <x v="2"/>
    <x v="14"/>
    <n v="0"/>
    <x v="14"/>
    <x v="0"/>
  </r>
  <r>
    <x v="2"/>
    <x v="5"/>
    <x v="2"/>
    <x v="2"/>
    <x v="2"/>
    <x v="15"/>
    <n v="0"/>
    <x v="15"/>
    <x v="1"/>
  </r>
  <r>
    <x v="2"/>
    <x v="5"/>
    <x v="2"/>
    <x v="2"/>
    <x v="2"/>
    <x v="16"/>
    <n v="1"/>
    <x v="16"/>
    <x v="1"/>
  </r>
  <r>
    <x v="2"/>
    <x v="5"/>
    <x v="2"/>
    <x v="2"/>
    <x v="2"/>
    <x v="17"/>
    <n v="0"/>
    <x v="17"/>
    <x v="1"/>
  </r>
  <r>
    <x v="2"/>
    <x v="5"/>
    <x v="2"/>
    <x v="2"/>
    <x v="2"/>
    <x v="18"/>
    <n v="0"/>
    <x v="18"/>
    <x v="1"/>
  </r>
  <r>
    <x v="2"/>
    <x v="5"/>
    <x v="2"/>
    <x v="2"/>
    <x v="2"/>
    <x v="19"/>
    <n v="0"/>
    <x v="19"/>
    <x v="0"/>
  </r>
  <r>
    <x v="2"/>
    <x v="6"/>
    <x v="0"/>
    <x v="0"/>
    <x v="0"/>
    <x v="0"/>
    <n v="101"/>
    <x v="0"/>
    <x v="0"/>
  </r>
  <r>
    <x v="2"/>
    <x v="6"/>
    <x v="0"/>
    <x v="0"/>
    <x v="0"/>
    <x v="1"/>
    <n v="129"/>
    <x v="1"/>
    <x v="0"/>
  </r>
  <r>
    <x v="2"/>
    <x v="6"/>
    <x v="0"/>
    <x v="0"/>
    <x v="0"/>
    <x v="2"/>
    <n v="184"/>
    <x v="2"/>
    <x v="1"/>
  </r>
  <r>
    <x v="2"/>
    <x v="6"/>
    <x v="0"/>
    <x v="0"/>
    <x v="0"/>
    <x v="3"/>
    <n v="257"/>
    <x v="3"/>
    <x v="1"/>
  </r>
  <r>
    <x v="2"/>
    <x v="6"/>
    <x v="0"/>
    <x v="0"/>
    <x v="0"/>
    <x v="4"/>
    <n v="223"/>
    <x v="4"/>
    <x v="1"/>
  </r>
  <r>
    <x v="2"/>
    <x v="6"/>
    <x v="0"/>
    <x v="0"/>
    <x v="0"/>
    <x v="5"/>
    <n v="208"/>
    <x v="5"/>
    <x v="1"/>
  </r>
  <r>
    <x v="2"/>
    <x v="6"/>
    <x v="0"/>
    <x v="0"/>
    <x v="0"/>
    <x v="6"/>
    <n v="139"/>
    <x v="6"/>
    <x v="0"/>
  </r>
  <r>
    <x v="2"/>
    <x v="6"/>
    <x v="0"/>
    <x v="0"/>
    <x v="0"/>
    <x v="7"/>
    <n v="149"/>
    <x v="7"/>
    <x v="0"/>
  </r>
  <r>
    <x v="2"/>
    <x v="6"/>
    <x v="0"/>
    <x v="0"/>
    <x v="1"/>
    <x v="8"/>
    <n v="160"/>
    <x v="8"/>
    <x v="1"/>
  </r>
  <r>
    <x v="2"/>
    <x v="6"/>
    <x v="0"/>
    <x v="0"/>
    <x v="1"/>
    <x v="9"/>
    <n v="145"/>
    <x v="9"/>
    <x v="1"/>
  </r>
  <r>
    <x v="2"/>
    <x v="6"/>
    <x v="0"/>
    <x v="0"/>
    <x v="1"/>
    <x v="10"/>
    <n v="166"/>
    <x v="10"/>
    <x v="1"/>
  </r>
  <r>
    <x v="2"/>
    <x v="6"/>
    <x v="0"/>
    <x v="0"/>
    <x v="1"/>
    <x v="11"/>
    <n v="172"/>
    <x v="11"/>
    <x v="1"/>
  </r>
  <r>
    <x v="2"/>
    <x v="6"/>
    <x v="0"/>
    <x v="0"/>
    <x v="2"/>
    <x v="12"/>
    <n v="195"/>
    <x v="12"/>
    <x v="0"/>
  </r>
  <r>
    <x v="2"/>
    <x v="6"/>
    <x v="0"/>
    <x v="0"/>
    <x v="2"/>
    <x v="13"/>
    <n v="201"/>
    <x v="13"/>
    <x v="0"/>
  </r>
  <r>
    <x v="2"/>
    <x v="6"/>
    <x v="0"/>
    <x v="0"/>
    <x v="2"/>
    <x v="14"/>
    <n v="261"/>
    <x v="14"/>
    <x v="0"/>
  </r>
  <r>
    <x v="2"/>
    <x v="6"/>
    <x v="0"/>
    <x v="0"/>
    <x v="2"/>
    <x v="15"/>
    <n v="281"/>
    <x v="15"/>
    <x v="1"/>
  </r>
  <r>
    <x v="2"/>
    <x v="6"/>
    <x v="0"/>
    <x v="0"/>
    <x v="2"/>
    <x v="16"/>
    <n v="317"/>
    <x v="16"/>
    <x v="1"/>
  </r>
  <r>
    <x v="2"/>
    <x v="6"/>
    <x v="0"/>
    <x v="0"/>
    <x v="2"/>
    <x v="17"/>
    <n v="284"/>
    <x v="17"/>
    <x v="1"/>
  </r>
  <r>
    <x v="2"/>
    <x v="6"/>
    <x v="0"/>
    <x v="0"/>
    <x v="2"/>
    <x v="18"/>
    <n v="263"/>
    <x v="18"/>
    <x v="1"/>
  </r>
  <r>
    <x v="2"/>
    <x v="6"/>
    <x v="0"/>
    <x v="0"/>
    <x v="2"/>
    <x v="19"/>
    <n v="217"/>
    <x v="19"/>
    <x v="0"/>
  </r>
  <r>
    <x v="2"/>
    <x v="6"/>
    <x v="0"/>
    <x v="1"/>
    <x v="0"/>
    <x v="0"/>
    <n v="5"/>
    <x v="0"/>
    <x v="0"/>
  </r>
  <r>
    <x v="2"/>
    <x v="6"/>
    <x v="0"/>
    <x v="1"/>
    <x v="0"/>
    <x v="1"/>
    <n v="9"/>
    <x v="1"/>
    <x v="0"/>
  </r>
  <r>
    <x v="2"/>
    <x v="6"/>
    <x v="0"/>
    <x v="1"/>
    <x v="0"/>
    <x v="2"/>
    <n v="4"/>
    <x v="2"/>
    <x v="1"/>
  </r>
  <r>
    <x v="2"/>
    <x v="6"/>
    <x v="0"/>
    <x v="1"/>
    <x v="0"/>
    <x v="3"/>
    <n v="3"/>
    <x v="3"/>
    <x v="1"/>
  </r>
  <r>
    <x v="2"/>
    <x v="6"/>
    <x v="0"/>
    <x v="1"/>
    <x v="0"/>
    <x v="4"/>
    <n v="4"/>
    <x v="4"/>
    <x v="1"/>
  </r>
  <r>
    <x v="2"/>
    <x v="6"/>
    <x v="0"/>
    <x v="1"/>
    <x v="0"/>
    <x v="5"/>
    <n v="5"/>
    <x v="5"/>
    <x v="1"/>
  </r>
  <r>
    <x v="2"/>
    <x v="6"/>
    <x v="0"/>
    <x v="1"/>
    <x v="0"/>
    <x v="6"/>
    <n v="9"/>
    <x v="6"/>
    <x v="0"/>
  </r>
  <r>
    <x v="2"/>
    <x v="6"/>
    <x v="0"/>
    <x v="1"/>
    <x v="0"/>
    <x v="7"/>
    <n v="7"/>
    <x v="7"/>
    <x v="0"/>
  </r>
  <r>
    <x v="2"/>
    <x v="6"/>
    <x v="0"/>
    <x v="1"/>
    <x v="1"/>
    <x v="8"/>
    <n v="2"/>
    <x v="8"/>
    <x v="1"/>
  </r>
  <r>
    <x v="2"/>
    <x v="6"/>
    <x v="0"/>
    <x v="1"/>
    <x v="1"/>
    <x v="9"/>
    <n v="7"/>
    <x v="9"/>
    <x v="1"/>
  </r>
  <r>
    <x v="2"/>
    <x v="6"/>
    <x v="0"/>
    <x v="1"/>
    <x v="1"/>
    <x v="10"/>
    <n v="9"/>
    <x v="10"/>
    <x v="1"/>
  </r>
  <r>
    <x v="2"/>
    <x v="6"/>
    <x v="0"/>
    <x v="1"/>
    <x v="1"/>
    <x v="11"/>
    <n v="5"/>
    <x v="11"/>
    <x v="1"/>
  </r>
  <r>
    <x v="2"/>
    <x v="6"/>
    <x v="0"/>
    <x v="1"/>
    <x v="2"/>
    <x v="12"/>
    <n v="3"/>
    <x v="12"/>
    <x v="0"/>
  </r>
  <r>
    <x v="2"/>
    <x v="6"/>
    <x v="0"/>
    <x v="1"/>
    <x v="2"/>
    <x v="13"/>
    <n v="4"/>
    <x v="13"/>
    <x v="0"/>
  </r>
  <r>
    <x v="2"/>
    <x v="6"/>
    <x v="0"/>
    <x v="1"/>
    <x v="2"/>
    <x v="14"/>
    <n v="2"/>
    <x v="14"/>
    <x v="0"/>
  </r>
  <r>
    <x v="2"/>
    <x v="6"/>
    <x v="0"/>
    <x v="1"/>
    <x v="2"/>
    <x v="15"/>
    <n v="3"/>
    <x v="15"/>
    <x v="1"/>
  </r>
  <r>
    <x v="2"/>
    <x v="6"/>
    <x v="0"/>
    <x v="1"/>
    <x v="2"/>
    <x v="16"/>
    <n v="1"/>
    <x v="16"/>
    <x v="1"/>
  </r>
  <r>
    <x v="2"/>
    <x v="6"/>
    <x v="0"/>
    <x v="1"/>
    <x v="2"/>
    <x v="17"/>
    <n v="0"/>
    <x v="17"/>
    <x v="1"/>
  </r>
  <r>
    <x v="2"/>
    <x v="6"/>
    <x v="0"/>
    <x v="1"/>
    <x v="2"/>
    <x v="18"/>
    <n v="3"/>
    <x v="18"/>
    <x v="1"/>
  </r>
  <r>
    <x v="2"/>
    <x v="6"/>
    <x v="0"/>
    <x v="1"/>
    <x v="2"/>
    <x v="19"/>
    <n v="4"/>
    <x v="19"/>
    <x v="0"/>
  </r>
  <r>
    <x v="2"/>
    <x v="6"/>
    <x v="0"/>
    <x v="2"/>
    <x v="0"/>
    <x v="0"/>
    <n v="0"/>
    <x v="0"/>
    <x v="0"/>
  </r>
  <r>
    <x v="2"/>
    <x v="6"/>
    <x v="0"/>
    <x v="2"/>
    <x v="0"/>
    <x v="1"/>
    <n v="2"/>
    <x v="1"/>
    <x v="0"/>
  </r>
  <r>
    <x v="2"/>
    <x v="6"/>
    <x v="0"/>
    <x v="2"/>
    <x v="0"/>
    <x v="2"/>
    <n v="1"/>
    <x v="2"/>
    <x v="1"/>
  </r>
  <r>
    <x v="2"/>
    <x v="6"/>
    <x v="0"/>
    <x v="2"/>
    <x v="0"/>
    <x v="3"/>
    <n v="2"/>
    <x v="3"/>
    <x v="1"/>
  </r>
  <r>
    <x v="2"/>
    <x v="6"/>
    <x v="0"/>
    <x v="2"/>
    <x v="0"/>
    <x v="4"/>
    <n v="1"/>
    <x v="4"/>
    <x v="1"/>
  </r>
  <r>
    <x v="2"/>
    <x v="6"/>
    <x v="0"/>
    <x v="2"/>
    <x v="0"/>
    <x v="5"/>
    <n v="2"/>
    <x v="5"/>
    <x v="1"/>
  </r>
  <r>
    <x v="2"/>
    <x v="6"/>
    <x v="0"/>
    <x v="2"/>
    <x v="0"/>
    <x v="6"/>
    <n v="1"/>
    <x v="6"/>
    <x v="0"/>
  </r>
  <r>
    <x v="2"/>
    <x v="6"/>
    <x v="0"/>
    <x v="2"/>
    <x v="0"/>
    <x v="7"/>
    <n v="0"/>
    <x v="7"/>
    <x v="0"/>
  </r>
  <r>
    <x v="2"/>
    <x v="6"/>
    <x v="0"/>
    <x v="2"/>
    <x v="1"/>
    <x v="8"/>
    <n v="0"/>
    <x v="8"/>
    <x v="1"/>
  </r>
  <r>
    <x v="2"/>
    <x v="6"/>
    <x v="0"/>
    <x v="2"/>
    <x v="1"/>
    <x v="9"/>
    <n v="1"/>
    <x v="9"/>
    <x v="1"/>
  </r>
  <r>
    <x v="2"/>
    <x v="6"/>
    <x v="0"/>
    <x v="2"/>
    <x v="1"/>
    <x v="10"/>
    <n v="0"/>
    <x v="10"/>
    <x v="1"/>
  </r>
  <r>
    <x v="2"/>
    <x v="6"/>
    <x v="0"/>
    <x v="2"/>
    <x v="1"/>
    <x v="11"/>
    <n v="1"/>
    <x v="11"/>
    <x v="1"/>
  </r>
  <r>
    <x v="2"/>
    <x v="6"/>
    <x v="0"/>
    <x v="2"/>
    <x v="2"/>
    <x v="12"/>
    <n v="1"/>
    <x v="12"/>
    <x v="0"/>
  </r>
  <r>
    <x v="2"/>
    <x v="6"/>
    <x v="0"/>
    <x v="2"/>
    <x v="2"/>
    <x v="13"/>
    <n v="5"/>
    <x v="13"/>
    <x v="0"/>
  </r>
  <r>
    <x v="2"/>
    <x v="6"/>
    <x v="0"/>
    <x v="2"/>
    <x v="2"/>
    <x v="14"/>
    <n v="11"/>
    <x v="14"/>
    <x v="0"/>
  </r>
  <r>
    <x v="2"/>
    <x v="6"/>
    <x v="0"/>
    <x v="2"/>
    <x v="2"/>
    <x v="15"/>
    <n v="5"/>
    <x v="15"/>
    <x v="1"/>
  </r>
  <r>
    <x v="2"/>
    <x v="6"/>
    <x v="0"/>
    <x v="2"/>
    <x v="2"/>
    <x v="16"/>
    <n v="5"/>
    <x v="16"/>
    <x v="1"/>
  </r>
  <r>
    <x v="2"/>
    <x v="6"/>
    <x v="0"/>
    <x v="2"/>
    <x v="2"/>
    <x v="17"/>
    <n v="10"/>
    <x v="17"/>
    <x v="1"/>
  </r>
  <r>
    <x v="2"/>
    <x v="6"/>
    <x v="0"/>
    <x v="2"/>
    <x v="2"/>
    <x v="18"/>
    <n v="4"/>
    <x v="18"/>
    <x v="1"/>
  </r>
  <r>
    <x v="2"/>
    <x v="6"/>
    <x v="0"/>
    <x v="2"/>
    <x v="2"/>
    <x v="19"/>
    <n v="2"/>
    <x v="19"/>
    <x v="0"/>
  </r>
  <r>
    <x v="2"/>
    <x v="4"/>
    <x v="1"/>
    <x v="0"/>
    <x v="0"/>
    <x v="0"/>
    <n v="0"/>
    <x v="0"/>
    <x v="0"/>
  </r>
  <r>
    <x v="2"/>
    <x v="4"/>
    <x v="1"/>
    <x v="0"/>
    <x v="0"/>
    <x v="1"/>
    <n v="1"/>
    <x v="1"/>
    <x v="0"/>
  </r>
  <r>
    <x v="2"/>
    <x v="4"/>
    <x v="1"/>
    <x v="0"/>
    <x v="0"/>
    <x v="2"/>
    <n v="0"/>
    <x v="2"/>
    <x v="1"/>
  </r>
  <r>
    <x v="2"/>
    <x v="4"/>
    <x v="1"/>
    <x v="0"/>
    <x v="0"/>
    <x v="3"/>
    <n v="1"/>
    <x v="3"/>
    <x v="1"/>
  </r>
  <r>
    <x v="2"/>
    <x v="4"/>
    <x v="1"/>
    <x v="0"/>
    <x v="0"/>
    <x v="4"/>
    <n v="0"/>
    <x v="4"/>
    <x v="1"/>
  </r>
  <r>
    <x v="2"/>
    <x v="4"/>
    <x v="1"/>
    <x v="0"/>
    <x v="0"/>
    <x v="5"/>
    <n v="0"/>
    <x v="5"/>
    <x v="1"/>
  </r>
  <r>
    <x v="2"/>
    <x v="4"/>
    <x v="1"/>
    <x v="0"/>
    <x v="0"/>
    <x v="6"/>
    <n v="0"/>
    <x v="6"/>
    <x v="0"/>
  </r>
  <r>
    <x v="2"/>
    <x v="4"/>
    <x v="1"/>
    <x v="0"/>
    <x v="0"/>
    <x v="7"/>
    <n v="0"/>
    <x v="7"/>
    <x v="0"/>
  </r>
  <r>
    <x v="2"/>
    <x v="4"/>
    <x v="1"/>
    <x v="0"/>
    <x v="1"/>
    <x v="8"/>
    <n v="0"/>
    <x v="8"/>
    <x v="1"/>
  </r>
  <r>
    <x v="2"/>
    <x v="4"/>
    <x v="1"/>
    <x v="0"/>
    <x v="1"/>
    <x v="9"/>
    <n v="0"/>
    <x v="9"/>
    <x v="1"/>
  </r>
  <r>
    <x v="2"/>
    <x v="4"/>
    <x v="1"/>
    <x v="0"/>
    <x v="1"/>
    <x v="10"/>
    <n v="0"/>
    <x v="10"/>
    <x v="1"/>
  </r>
  <r>
    <x v="2"/>
    <x v="4"/>
    <x v="1"/>
    <x v="0"/>
    <x v="1"/>
    <x v="11"/>
    <n v="1"/>
    <x v="11"/>
    <x v="1"/>
  </r>
  <r>
    <x v="2"/>
    <x v="4"/>
    <x v="1"/>
    <x v="0"/>
    <x v="2"/>
    <x v="12"/>
    <n v="0"/>
    <x v="12"/>
    <x v="0"/>
  </r>
  <r>
    <x v="2"/>
    <x v="4"/>
    <x v="1"/>
    <x v="0"/>
    <x v="2"/>
    <x v="13"/>
    <n v="0"/>
    <x v="13"/>
    <x v="0"/>
  </r>
  <r>
    <x v="2"/>
    <x v="4"/>
    <x v="1"/>
    <x v="0"/>
    <x v="2"/>
    <x v="14"/>
    <n v="0"/>
    <x v="14"/>
    <x v="0"/>
  </r>
  <r>
    <x v="2"/>
    <x v="4"/>
    <x v="1"/>
    <x v="0"/>
    <x v="2"/>
    <x v="15"/>
    <n v="0"/>
    <x v="15"/>
    <x v="1"/>
  </r>
  <r>
    <x v="2"/>
    <x v="4"/>
    <x v="1"/>
    <x v="0"/>
    <x v="2"/>
    <x v="16"/>
    <n v="0"/>
    <x v="16"/>
    <x v="1"/>
  </r>
  <r>
    <x v="2"/>
    <x v="4"/>
    <x v="1"/>
    <x v="0"/>
    <x v="2"/>
    <x v="17"/>
    <n v="0"/>
    <x v="17"/>
    <x v="1"/>
  </r>
  <r>
    <x v="2"/>
    <x v="4"/>
    <x v="1"/>
    <x v="0"/>
    <x v="2"/>
    <x v="18"/>
    <n v="0"/>
    <x v="18"/>
    <x v="1"/>
  </r>
  <r>
    <x v="2"/>
    <x v="4"/>
    <x v="1"/>
    <x v="0"/>
    <x v="2"/>
    <x v="19"/>
    <n v="0"/>
    <x v="19"/>
    <x v="0"/>
  </r>
  <r>
    <x v="2"/>
    <x v="4"/>
    <x v="1"/>
    <x v="1"/>
    <x v="0"/>
    <x v="0"/>
    <n v="0"/>
    <x v="0"/>
    <x v="0"/>
  </r>
  <r>
    <x v="2"/>
    <x v="4"/>
    <x v="1"/>
    <x v="1"/>
    <x v="0"/>
    <x v="1"/>
    <n v="0"/>
    <x v="1"/>
    <x v="0"/>
  </r>
  <r>
    <x v="2"/>
    <x v="4"/>
    <x v="1"/>
    <x v="1"/>
    <x v="0"/>
    <x v="2"/>
    <n v="0"/>
    <x v="2"/>
    <x v="1"/>
  </r>
  <r>
    <x v="2"/>
    <x v="4"/>
    <x v="1"/>
    <x v="1"/>
    <x v="0"/>
    <x v="3"/>
    <n v="0"/>
    <x v="3"/>
    <x v="1"/>
  </r>
  <r>
    <x v="2"/>
    <x v="4"/>
    <x v="1"/>
    <x v="1"/>
    <x v="0"/>
    <x v="4"/>
    <n v="0"/>
    <x v="4"/>
    <x v="1"/>
  </r>
  <r>
    <x v="2"/>
    <x v="4"/>
    <x v="1"/>
    <x v="1"/>
    <x v="0"/>
    <x v="5"/>
    <n v="0"/>
    <x v="5"/>
    <x v="1"/>
  </r>
  <r>
    <x v="2"/>
    <x v="4"/>
    <x v="1"/>
    <x v="1"/>
    <x v="0"/>
    <x v="6"/>
    <n v="0"/>
    <x v="6"/>
    <x v="0"/>
  </r>
  <r>
    <x v="2"/>
    <x v="4"/>
    <x v="1"/>
    <x v="1"/>
    <x v="0"/>
    <x v="7"/>
    <n v="0"/>
    <x v="7"/>
    <x v="0"/>
  </r>
  <r>
    <x v="2"/>
    <x v="4"/>
    <x v="1"/>
    <x v="1"/>
    <x v="1"/>
    <x v="8"/>
    <n v="0"/>
    <x v="8"/>
    <x v="1"/>
  </r>
  <r>
    <x v="2"/>
    <x v="4"/>
    <x v="1"/>
    <x v="1"/>
    <x v="1"/>
    <x v="9"/>
    <n v="0"/>
    <x v="9"/>
    <x v="1"/>
  </r>
  <r>
    <x v="2"/>
    <x v="4"/>
    <x v="1"/>
    <x v="1"/>
    <x v="1"/>
    <x v="10"/>
    <n v="0"/>
    <x v="10"/>
    <x v="1"/>
  </r>
  <r>
    <x v="2"/>
    <x v="4"/>
    <x v="1"/>
    <x v="1"/>
    <x v="1"/>
    <x v="11"/>
    <n v="0"/>
    <x v="11"/>
    <x v="1"/>
  </r>
  <r>
    <x v="2"/>
    <x v="4"/>
    <x v="1"/>
    <x v="1"/>
    <x v="2"/>
    <x v="12"/>
    <n v="0"/>
    <x v="12"/>
    <x v="0"/>
  </r>
  <r>
    <x v="2"/>
    <x v="4"/>
    <x v="1"/>
    <x v="1"/>
    <x v="2"/>
    <x v="13"/>
    <n v="0"/>
    <x v="13"/>
    <x v="0"/>
  </r>
  <r>
    <x v="2"/>
    <x v="4"/>
    <x v="1"/>
    <x v="1"/>
    <x v="2"/>
    <x v="14"/>
    <n v="0"/>
    <x v="14"/>
    <x v="0"/>
  </r>
  <r>
    <x v="2"/>
    <x v="4"/>
    <x v="1"/>
    <x v="1"/>
    <x v="2"/>
    <x v="15"/>
    <n v="0"/>
    <x v="15"/>
    <x v="1"/>
  </r>
  <r>
    <x v="2"/>
    <x v="4"/>
    <x v="1"/>
    <x v="1"/>
    <x v="2"/>
    <x v="16"/>
    <n v="0"/>
    <x v="16"/>
    <x v="1"/>
  </r>
  <r>
    <x v="2"/>
    <x v="4"/>
    <x v="1"/>
    <x v="1"/>
    <x v="2"/>
    <x v="17"/>
    <n v="0"/>
    <x v="17"/>
    <x v="1"/>
  </r>
  <r>
    <x v="2"/>
    <x v="4"/>
    <x v="1"/>
    <x v="1"/>
    <x v="2"/>
    <x v="18"/>
    <n v="0"/>
    <x v="18"/>
    <x v="1"/>
  </r>
  <r>
    <x v="2"/>
    <x v="4"/>
    <x v="1"/>
    <x v="1"/>
    <x v="2"/>
    <x v="19"/>
    <n v="0"/>
    <x v="19"/>
    <x v="0"/>
  </r>
  <r>
    <x v="2"/>
    <x v="4"/>
    <x v="1"/>
    <x v="2"/>
    <x v="0"/>
    <x v="0"/>
    <n v="0"/>
    <x v="0"/>
    <x v="0"/>
  </r>
  <r>
    <x v="2"/>
    <x v="4"/>
    <x v="1"/>
    <x v="2"/>
    <x v="0"/>
    <x v="1"/>
    <n v="0"/>
    <x v="1"/>
    <x v="0"/>
  </r>
  <r>
    <x v="2"/>
    <x v="4"/>
    <x v="1"/>
    <x v="2"/>
    <x v="0"/>
    <x v="2"/>
    <n v="0"/>
    <x v="2"/>
    <x v="1"/>
  </r>
  <r>
    <x v="2"/>
    <x v="4"/>
    <x v="1"/>
    <x v="2"/>
    <x v="0"/>
    <x v="3"/>
    <n v="0"/>
    <x v="3"/>
    <x v="1"/>
  </r>
  <r>
    <x v="2"/>
    <x v="4"/>
    <x v="1"/>
    <x v="2"/>
    <x v="0"/>
    <x v="4"/>
    <n v="0"/>
    <x v="4"/>
    <x v="1"/>
  </r>
  <r>
    <x v="2"/>
    <x v="4"/>
    <x v="1"/>
    <x v="2"/>
    <x v="0"/>
    <x v="5"/>
    <n v="0"/>
    <x v="5"/>
    <x v="1"/>
  </r>
  <r>
    <x v="2"/>
    <x v="4"/>
    <x v="1"/>
    <x v="2"/>
    <x v="0"/>
    <x v="6"/>
    <n v="0"/>
    <x v="6"/>
    <x v="0"/>
  </r>
  <r>
    <x v="2"/>
    <x v="4"/>
    <x v="1"/>
    <x v="2"/>
    <x v="0"/>
    <x v="7"/>
    <n v="0"/>
    <x v="7"/>
    <x v="0"/>
  </r>
  <r>
    <x v="2"/>
    <x v="4"/>
    <x v="1"/>
    <x v="2"/>
    <x v="1"/>
    <x v="8"/>
    <n v="0"/>
    <x v="8"/>
    <x v="1"/>
  </r>
  <r>
    <x v="2"/>
    <x v="4"/>
    <x v="1"/>
    <x v="2"/>
    <x v="1"/>
    <x v="9"/>
    <n v="0"/>
    <x v="9"/>
    <x v="1"/>
  </r>
  <r>
    <x v="2"/>
    <x v="4"/>
    <x v="1"/>
    <x v="2"/>
    <x v="1"/>
    <x v="10"/>
    <n v="0"/>
    <x v="10"/>
    <x v="1"/>
  </r>
  <r>
    <x v="2"/>
    <x v="4"/>
    <x v="1"/>
    <x v="2"/>
    <x v="1"/>
    <x v="11"/>
    <n v="0"/>
    <x v="11"/>
    <x v="1"/>
  </r>
  <r>
    <x v="2"/>
    <x v="4"/>
    <x v="1"/>
    <x v="2"/>
    <x v="2"/>
    <x v="12"/>
    <n v="0"/>
    <x v="12"/>
    <x v="0"/>
  </r>
  <r>
    <x v="2"/>
    <x v="4"/>
    <x v="1"/>
    <x v="2"/>
    <x v="2"/>
    <x v="13"/>
    <n v="0"/>
    <x v="13"/>
    <x v="0"/>
  </r>
  <r>
    <x v="2"/>
    <x v="4"/>
    <x v="1"/>
    <x v="2"/>
    <x v="2"/>
    <x v="14"/>
    <n v="0"/>
    <x v="14"/>
    <x v="0"/>
  </r>
  <r>
    <x v="2"/>
    <x v="4"/>
    <x v="1"/>
    <x v="2"/>
    <x v="2"/>
    <x v="15"/>
    <n v="0"/>
    <x v="15"/>
    <x v="1"/>
  </r>
  <r>
    <x v="2"/>
    <x v="4"/>
    <x v="1"/>
    <x v="2"/>
    <x v="2"/>
    <x v="16"/>
    <n v="0"/>
    <x v="16"/>
    <x v="1"/>
  </r>
  <r>
    <x v="2"/>
    <x v="4"/>
    <x v="1"/>
    <x v="2"/>
    <x v="2"/>
    <x v="17"/>
    <n v="0"/>
    <x v="17"/>
    <x v="1"/>
  </r>
  <r>
    <x v="2"/>
    <x v="4"/>
    <x v="1"/>
    <x v="2"/>
    <x v="2"/>
    <x v="18"/>
    <n v="0"/>
    <x v="18"/>
    <x v="1"/>
  </r>
  <r>
    <x v="2"/>
    <x v="4"/>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1"/>
        <item x="0"/>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x v="4"/>
    </i>
    <i r="1">
      <x v="10"/>
    </i>
    <i r="1">
      <x v="11"/>
    </i>
    <i r="1">
      <x v="12"/>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1" sqref="C1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99</v>
      </c>
      <c r="E9" t="s">
        <v>17</v>
      </c>
      <c r="F9" t="s">
        <v>6</v>
      </c>
      <c r="H9" t="s">
        <v>35</v>
      </c>
      <c r="I9" s="1">
        <v>15</v>
      </c>
      <c r="J9" t="s">
        <v>34</v>
      </c>
    </row>
    <row r="10" spans="2:12" x14ac:dyDescent="0.25">
      <c r="B10" t="s">
        <v>1</v>
      </c>
      <c r="C10" s="1" t="s">
        <v>88</v>
      </c>
      <c r="D10">
        <v>1</v>
      </c>
      <c r="E10" s="1" t="s">
        <v>79</v>
      </c>
      <c r="F10" s="1"/>
    </row>
    <row r="11" spans="2:12" x14ac:dyDescent="0.25">
      <c r="B11" t="s">
        <v>2</v>
      </c>
      <c r="C11" s="25">
        <v>45000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100</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101</v>
      </c>
      <c r="D34" t="s">
        <v>27</v>
      </c>
      <c r="E34" s="1" t="s">
        <v>100</v>
      </c>
    </row>
    <row r="35" spans="2:5" x14ac:dyDescent="0.25">
      <c r="B35" t="s">
        <v>22</v>
      </c>
      <c r="C35" s="1" t="s">
        <v>92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100</v>
      </c>
    </row>
    <row r="45" spans="2:5" x14ac:dyDescent="0.25">
      <c r="B45" t="s">
        <v>21</v>
      </c>
      <c r="C45" s="1" t="s">
        <v>98</v>
      </c>
      <c r="D45" t="s">
        <v>27</v>
      </c>
      <c r="E45" s="1" t="s">
        <v>93</v>
      </c>
    </row>
    <row r="46" spans="2:5" x14ac:dyDescent="0.25">
      <c r="B46" t="s">
        <v>22</v>
      </c>
      <c r="C46" s="1" t="s">
        <v>92</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Kendal Avenue North-East</v>
      </c>
      <c r="C4" s="1" t="str">
        <f>Input!C31</f>
        <v>Memorial Avenue South-East</v>
      </c>
      <c r="D4" s="1" t="str">
        <f>Input!C42</f>
        <v>Memorial Avenue North-West</v>
      </c>
      <c r="E4" s="1">
        <f>Input!C53</f>
        <v>0</v>
      </c>
      <c r="F4" s="1">
        <f>Input!C64</f>
        <v>0</v>
      </c>
      <c r="G4" s="1">
        <f>Input!C75</f>
        <v>0</v>
      </c>
      <c r="H4" s="1">
        <f>Input!C86</f>
        <v>0</v>
      </c>
    </row>
    <row r="6" spans="2:8" x14ac:dyDescent="0.25">
      <c r="B6" t="s">
        <v>18</v>
      </c>
    </row>
    <row r="8" spans="2:8" x14ac:dyDescent="0.25">
      <c r="B8" s="1" t="str">
        <f>Input!C22</f>
        <v>Left into Memorial Avenue South-East</v>
      </c>
      <c r="C8" s="1" t="str">
        <f>Input!C33</f>
        <v>Thru to Memorial Avenue North-West</v>
      </c>
      <c r="D8" s="1" t="str">
        <f>Input!C44</f>
        <v>Left into Kendal Avenue North-East</v>
      </c>
      <c r="E8" s="1">
        <f>Input!C55</f>
        <v>0</v>
      </c>
      <c r="F8" s="1">
        <f>Input!C66</f>
        <v>0</v>
      </c>
      <c r="G8" s="1">
        <f>Input!C77</f>
        <v>0</v>
      </c>
      <c r="H8" s="1">
        <f>Input!C88</f>
        <v>0</v>
      </c>
    </row>
    <row r="9" spans="2:8" x14ac:dyDescent="0.25">
      <c r="B9" s="1" t="str">
        <f>Input!C23</f>
        <v>Right into Memorial Avenue North-West</v>
      </c>
      <c r="C9" s="1" t="str">
        <f>Input!C34</f>
        <v>Right into Kendal Avenue North-East</v>
      </c>
      <c r="D9" s="1" t="str">
        <f>Input!C45</f>
        <v>Thru to Memorial Avenue South-East</v>
      </c>
      <c r="E9" s="1">
        <f>Input!C56</f>
        <v>0</v>
      </c>
      <c r="F9" s="1">
        <f>Input!C67</f>
        <v>0</v>
      </c>
      <c r="G9" s="1">
        <f>Input!C78</f>
        <v>0</v>
      </c>
      <c r="H9" s="1">
        <f>Input!C89</f>
        <v>0</v>
      </c>
    </row>
    <row r="10" spans="2:8" x14ac:dyDescent="0.25">
      <c r="B10" s="1">
        <f>Input!C24</f>
        <v>0</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Memorial Avenue South-East</v>
      </c>
      <c r="C18" s="1" t="str">
        <f>Input!E33</f>
        <v>Memorial Avenue North-West</v>
      </c>
      <c r="D18" s="1" t="str">
        <f>Input!E44</f>
        <v>Kendal Avenue North-East</v>
      </c>
      <c r="E18" s="1">
        <f>Input!E55</f>
        <v>0</v>
      </c>
      <c r="F18" s="1">
        <f>Input!E66</f>
        <v>0</v>
      </c>
      <c r="G18" s="1">
        <f>Input!E77</f>
        <v>0</v>
      </c>
      <c r="H18" s="1">
        <f>Input!E88</f>
        <v>0</v>
      </c>
    </row>
    <row r="19" spans="2:8" x14ac:dyDescent="0.25">
      <c r="B19" s="1" t="str">
        <f>Input!E23</f>
        <v>Memorial Avenue North-West</v>
      </c>
      <c r="C19" s="1" t="str">
        <f>Input!E34</f>
        <v>Kendal Avenue North-East</v>
      </c>
      <c r="D19" s="1" t="str">
        <f>Input!E45</f>
        <v>Memorial Avenue South-East</v>
      </c>
      <c r="E19" s="1">
        <f>Input!E56</f>
        <v>0</v>
      </c>
      <c r="F19" s="1">
        <f>Input!E67</f>
        <v>0</v>
      </c>
      <c r="G19" s="1">
        <f>Input!E78</f>
        <v>0</v>
      </c>
      <c r="H19" s="1">
        <f>Input!E89</f>
        <v>0</v>
      </c>
    </row>
    <row r="20" spans="2:8" x14ac:dyDescent="0.25">
      <c r="B20" s="1">
        <f>Input!E24</f>
        <v>0</v>
      </c>
      <c r="C20" s="1" t="str">
        <f>Input!E35</f>
        <v>Memorial Avenue South-East</v>
      </c>
      <c r="D20" s="1" t="str">
        <f>Input!E46</f>
        <v>Memorial Avenue North-West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election activeCell="P16" sqref="P16"/>
    </sheetView>
  </sheetViews>
  <sheetFormatPr defaultRowHeight="15" x14ac:dyDescent="0.25"/>
  <cols>
    <col min="1" max="1" width="13.7109375" customWidth="1"/>
    <col min="2" max="2" width="7.5703125" customWidth="1"/>
  </cols>
  <sheetData>
    <row r="1" spans="1:26" x14ac:dyDescent="0.25">
      <c r="A1" s="2" t="s">
        <v>103</v>
      </c>
    </row>
    <row r="4" spans="1:26" ht="15.75" thickBot="1" x14ac:dyDescent="0.3"/>
    <row r="5" spans="1:26" x14ac:dyDescent="0.25">
      <c r="C5" s="29" t="s">
        <v>100</v>
      </c>
      <c r="D5" s="18"/>
      <c r="E5" s="20"/>
      <c r="F5" s="26"/>
      <c r="G5" s="18"/>
      <c r="H5" s="20"/>
      <c r="I5" s="29" t="s">
        <v>93</v>
      </c>
      <c r="J5" s="18"/>
      <c r="K5" s="20"/>
      <c r="L5" s="26"/>
      <c r="M5" s="18"/>
      <c r="N5" s="20"/>
      <c r="O5" s="26"/>
      <c r="P5" s="18"/>
      <c r="Q5" s="20"/>
      <c r="R5" s="29" t="s">
        <v>94</v>
      </c>
      <c r="S5" s="18"/>
      <c r="T5" s="20"/>
      <c r="U5" s="26"/>
      <c r="V5" s="18"/>
      <c r="W5" s="20"/>
      <c r="X5" s="26"/>
      <c r="Y5" s="18"/>
      <c r="Z5" s="32"/>
    </row>
    <row r="6" spans="1:26" x14ac:dyDescent="0.25">
      <c r="C6" s="30" t="s">
        <v>95</v>
      </c>
      <c r="D6" s="19"/>
      <c r="E6" s="21"/>
      <c r="F6" s="27" t="s">
        <v>96</v>
      </c>
      <c r="G6" s="19"/>
      <c r="H6" s="21"/>
      <c r="I6" s="30" t="s">
        <v>97</v>
      </c>
      <c r="J6" s="19"/>
      <c r="K6" s="21"/>
      <c r="L6" s="27" t="s">
        <v>101</v>
      </c>
      <c r="M6" s="19"/>
      <c r="N6" s="21"/>
      <c r="O6" s="27" t="s">
        <v>92</v>
      </c>
      <c r="P6" s="19"/>
      <c r="Q6" s="21"/>
      <c r="R6" s="30" t="s">
        <v>102</v>
      </c>
      <c r="S6" s="19"/>
      <c r="T6" s="21"/>
      <c r="U6" s="27" t="s">
        <v>98</v>
      </c>
      <c r="V6" s="19"/>
      <c r="W6" s="21"/>
      <c r="X6" s="27" t="s">
        <v>92</v>
      </c>
      <c r="Y6" s="19"/>
      <c r="Z6" s="33"/>
    </row>
    <row r="7" spans="1:26"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5" t="s">
        <v>79</v>
      </c>
      <c r="P7" s="43" t="s">
        <v>89</v>
      </c>
      <c r="Q7" s="44" t="s">
        <v>90</v>
      </c>
      <c r="R7" s="42" t="s">
        <v>79</v>
      </c>
      <c r="S7" s="43" t="s">
        <v>89</v>
      </c>
      <c r="T7" s="44" t="s">
        <v>90</v>
      </c>
      <c r="U7" s="45" t="s">
        <v>79</v>
      </c>
      <c r="V7" s="43" t="s">
        <v>89</v>
      </c>
      <c r="W7" s="44" t="s">
        <v>90</v>
      </c>
      <c r="X7" s="45" t="s">
        <v>79</v>
      </c>
      <c r="Y7" s="43" t="s">
        <v>89</v>
      </c>
      <c r="Z7" s="46" t="s">
        <v>90</v>
      </c>
    </row>
    <row r="8" spans="1:26" x14ac:dyDescent="0.25">
      <c r="A8" s="2" t="s">
        <v>43</v>
      </c>
      <c r="B8" s="7">
        <v>0.29166666666666669</v>
      </c>
      <c r="C8" s="31">
        <v>26</v>
      </c>
      <c r="D8">
        <v>0</v>
      </c>
      <c r="E8">
        <v>0</v>
      </c>
      <c r="F8" s="28">
        <v>10</v>
      </c>
      <c r="G8">
        <v>0</v>
      </c>
      <c r="H8">
        <v>0</v>
      </c>
      <c r="I8" s="31">
        <v>168</v>
      </c>
      <c r="J8">
        <v>4</v>
      </c>
      <c r="K8">
        <v>3</v>
      </c>
      <c r="L8" s="28">
        <v>2</v>
      </c>
      <c r="M8">
        <v>0</v>
      </c>
      <c r="N8">
        <v>0</v>
      </c>
      <c r="O8" s="28">
        <v>0</v>
      </c>
      <c r="P8">
        <v>0</v>
      </c>
      <c r="Q8">
        <v>0</v>
      </c>
      <c r="R8" s="31">
        <v>3</v>
      </c>
      <c r="S8">
        <v>0</v>
      </c>
      <c r="T8">
        <v>1</v>
      </c>
      <c r="U8" s="28">
        <v>101</v>
      </c>
      <c r="V8">
        <v>5</v>
      </c>
      <c r="W8">
        <v>0</v>
      </c>
      <c r="X8" s="28">
        <v>0</v>
      </c>
      <c r="Y8">
        <v>0</v>
      </c>
      <c r="Z8" s="34">
        <v>0</v>
      </c>
    </row>
    <row r="9" spans="1:26" x14ac:dyDescent="0.25">
      <c r="A9" s="2" t="s">
        <v>43</v>
      </c>
      <c r="B9" s="7">
        <v>0.30208333333333331</v>
      </c>
      <c r="C9" s="31">
        <v>23</v>
      </c>
      <c r="D9">
        <v>0</v>
      </c>
      <c r="E9">
        <v>0</v>
      </c>
      <c r="F9" s="28">
        <v>18</v>
      </c>
      <c r="G9">
        <v>0</v>
      </c>
      <c r="H9">
        <v>0</v>
      </c>
      <c r="I9" s="31">
        <v>182</v>
      </c>
      <c r="J9">
        <v>5</v>
      </c>
      <c r="K9">
        <v>0</v>
      </c>
      <c r="L9" s="28">
        <v>9</v>
      </c>
      <c r="M9">
        <v>0</v>
      </c>
      <c r="N9">
        <v>0</v>
      </c>
      <c r="O9" s="28">
        <v>0</v>
      </c>
      <c r="P9">
        <v>0</v>
      </c>
      <c r="Q9">
        <v>0</v>
      </c>
      <c r="R9" s="31">
        <v>5</v>
      </c>
      <c r="S9">
        <v>0</v>
      </c>
      <c r="T9">
        <v>0</v>
      </c>
      <c r="U9" s="28">
        <v>129</v>
      </c>
      <c r="V9">
        <v>9</v>
      </c>
      <c r="W9">
        <v>2</v>
      </c>
      <c r="X9" s="28">
        <v>1</v>
      </c>
      <c r="Y9">
        <v>0</v>
      </c>
      <c r="Z9" s="34">
        <v>0</v>
      </c>
    </row>
    <row r="10" spans="1:26" x14ac:dyDescent="0.25">
      <c r="A10" s="2" t="s">
        <v>43</v>
      </c>
      <c r="B10" s="7">
        <v>0.3125</v>
      </c>
      <c r="C10" s="31">
        <v>47</v>
      </c>
      <c r="D10">
        <v>0</v>
      </c>
      <c r="E10">
        <v>2</v>
      </c>
      <c r="F10" s="28">
        <v>17</v>
      </c>
      <c r="G10">
        <v>0</v>
      </c>
      <c r="H10">
        <v>1</v>
      </c>
      <c r="I10" s="31">
        <v>204</v>
      </c>
      <c r="J10">
        <v>4</v>
      </c>
      <c r="K10">
        <v>4</v>
      </c>
      <c r="L10" s="28">
        <v>5</v>
      </c>
      <c r="M10">
        <v>0</v>
      </c>
      <c r="N10">
        <v>0</v>
      </c>
      <c r="O10" s="28">
        <v>0</v>
      </c>
      <c r="P10">
        <v>0</v>
      </c>
      <c r="Q10">
        <v>0</v>
      </c>
      <c r="R10" s="31">
        <v>11</v>
      </c>
      <c r="S10">
        <v>0</v>
      </c>
      <c r="T10">
        <v>0</v>
      </c>
      <c r="U10" s="28">
        <v>184</v>
      </c>
      <c r="V10">
        <v>4</v>
      </c>
      <c r="W10">
        <v>1</v>
      </c>
      <c r="X10" s="28">
        <v>0</v>
      </c>
      <c r="Y10">
        <v>0</v>
      </c>
      <c r="Z10" s="34">
        <v>0</v>
      </c>
    </row>
    <row r="11" spans="1:26" x14ac:dyDescent="0.25">
      <c r="A11" s="2" t="s">
        <v>43</v>
      </c>
      <c r="B11" s="7">
        <v>0.32291666666666669</v>
      </c>
      <c r="C11" s="31">
        <v>64</v>
      </c>
      <c r="D11">
        <v>1</v>
      </c>
      <c r="E11">
        <v>2</v>
      </c>
      <c r="F11" s="28">
        <v>11</v>
      </c>
      <c r="G11">
        <v>0</v>
      </c>
      <c r="H11">
        <v>1</v>
      </c>
      <c r="I11" s="31">
        <v>255</v>
      </c>
      <c r="J11">
        <v>3</v>
      </c>
      <c r="K11">
        <v>4</v>
      </c>
      <c r="L11" s="28">
        <v>8</v>
      </c>
      <c r="M11">
        <v>0</v>
      </c>
      <c r="N11">
        <v>0</v>
      </c>
      <c r="O11" s="28">
        <v>0</v>
      </c>
      <c r="P11">
        <v>0</v>
      </c>
      <c r="Q11">
        <v>0</v>
      </c>
      <c r="R11" s="31">
        <v>14</v>
      </c>
      <c r="S11">
        <v>0</v>
      </c>
      <c r="T11">
        <v>0</v>
      </c>
      <c r="U11" s="28">
        <v>257</v>
      </c>
      <c r="V11">
        <v>3</v>
      </c>
      <c r="W11">
        <v>2</v>
      </c>
      <c r="X11" s="28">
        <v>1</v>
      </c>
      <c r="Y11">
        <v>0</v>
      </c>
      <c r="Z11" s="34">
        <v>0</v>
      </c>
    </row>
    <row r="12" spans="1:26" x14ac:dyDescent="0.25">
      <c r="A12" s="2" t="s">
        <v>43</v>
      </c>
      <c r="B12" s="7">
        <v>0.33333333333333331</v>
      </c>
      <c r="C12" s="31">
        <v>36</v>
      </c>
      <c r="D12">
        <v>0</v>
      </c>
      <c r="E12">
        <v>0</v>
      </c>
      <c r="F12" s="28">
        <v>18</v>
      </c>
      <c r="G12">
        <v>1</v>
      </c>
      <c r="H12">
        <v>0</v>
      </c>
      <c r="I12" s="31">
        <v>237</v>
      </c>
      <c r="J12">
        <v>7</v>
      </c>
      <c r="K12">
        <v>8</v>
      </c>
      <c r="L12" s="28">
        <v>15</v>
      </c>
      <c r="M12">
        <v>1</v>
      </c>
      <c r="N12">
        <v>2</v>
      </c>
      <c r="O12" s="28">
        <v>0</v>
      </c>
      <c r="P12">
        <v>0</v>
      </c>
      <c r="Q12">
        <v>0</v>
      </c>
      <c r="R12" s="31">
        <v>14</v>
      </c>
      <c r="S12">
        <v>0</v>
      </c>
      <c r="T12">
        <v>0</v>
      </c>
      <c r="U12" s="28">
        <v>223</v>
      </c>
      <c r="V12">
        <v>4</v>
      </c>
      <c r="W12">
        <v>1</v>
      </c>
      <c r="X12" s="28">
        <v>0</v>
      </c>
      <c r="Y12">
        <v>0</v>
      </c>
      <c r="Z12" s="34">
        <v>0</v>
      </c>
    </row>
    <row r="13" spans="1:26" x14ac:dyDescent="0.25">
      <c r="A13" s="2" t="s">
        <v>43</v>
      </c>
      <c r="B13" s="7">
        <v>0.34375</v>
      </c>
      <c r="C13" s="31">
        <v>36</v>
      </c>
      <c r="D13">
        <v>1</v>
      </c>
      <c r="E13">
        <v>1</v>
      </c>
      <c r="F13" s="28">
        <v>18</v>
      </c>
      <c r="G13">
        <v>0</v>
      </c>
      <c r="H13">
        <v>0</v>
      </c>
      <c r="I13" s="31">
        <v>215</v>
      </c>
      <c r="J13">
        <v>4</v>
      </c>
      <c r="K13">
        <v>5</v>
      </c>
      <c r="L13" s="28">
        <v>9</v>
      </c>
      <c r="M13">
        <v>0</v>
      </c>
      <c r="N13">
        <v>1</v>
      </c>
      <c r="O13" s="28">
        <v>0</v>
      </c>
      <c r="P13">
        <v>0</v>
      </c>
      <c r="Q13">
        <v>0</v>
      </c>
      <c r="R13" s="31">
        <v>33</v>
      </c>
      <c r="S13">
        <v>0</v>
      </c>
      <c r="T13">
        <v>0</v>
      </c>
      <c r="U13" s="28">
        <v>208</v>
      </c>
      <c r="V13">
        <v>5</v>
      </c>
      <c r="W13">
        <v>2</v>
      </c>
      <c r="X13" s="28">
        <v>0</v>
      </c>
      <c r="Y13">
        <v>0</v>
      </c>
      <c r="Z13" s="34">
        <v>0</v>
      </c>
    </row>
    <row r="14" spans="1:26" x14ac:dyDescent="0.25">
      <c r="A14" s="2" t="s">
        <v>43</v>
      </c>
      <c r="B14" s="7">
        <v>0.35416666666666669</v>
      </c>
      <c r="C14" s="31">
        <v>28</v>
      </c>
      <c r="D14">
        <v>1</v>
      </c>
      <c r="E14">
        <v>0</v>
      </c>
      <c r="F14" s="28">
        <v>16</v>
      </c>
      <c r="G14">
        <v>0</v>
      </c>
      <c r="H14">
        <v>0</v>
      </c>
      <c r="I14" s="31">
        <v>217</v>
      </c>
      <c r="J14">
        <v>9</v>
      </c>
      <c r="K14">
        <v>2</v>
      </c>
      <c r="L14" s="28">
        <v>14</v>
      </c>
      <c r="M14">
        <v>0</v>
      </c>
      <c r="N14">
        <v>0</v>
      </c>
      <c r="O14" s="28">
        <v>1</v>
      </c>
      <c r="P14">
        <v>0</v>
      </c>
      <c r="Q14">
        <v>0</v>
      </c>
      <c r="R14" s="31">
        <v>25</v>
      </c>
      <c r="S14">
        <v>0</v>
      </c>
      <c r="T14">
        <v>0</v>
      </c>
      <c r="U14" s="28">
        <v>139</v>
      </c>
      <c r="V14">
        <v>9</v>
      </c>
      <c r="W14">
        <v>1</v>
      </c>
      <c r="X14" s="28">
        <v>0</v>
      </c>
      <c r="Y14">
        <v>0</v>
      </c>
      <c r="Z14" s="34">
        <v>0</v>
      </c>
    </row>
    <row r="15" spans="1:26" ht="15.75" thickBot="1" x14ac:dyDescent="0.3">
      <c r="A15" s="2" t="s">
        <v>43</v>
      </c>
      <c r="B15" s="7">
        <v>0.36458333333333331</v>
      </c>
      <c r="C15" s="31">
        <v>44</v>
      </c>
      <c r="D15">
        <v>0</v>
      </c>
      <c r="E15">
        <v>0</v>
      </c>
      <c r="F15" s="28">
        <v>20</v>
      </c>
      <c r="G15">
        <v>0</v>
      </c>
      <c r="H15">
        <v>0</v>
      </c>
      <c r="I15" s="31">
        <v>241</v>
      </c>
      <c r="J15">
        <v>16</v>
      </c>
      <c r="K15">
        <v>2</v>
      </c>
      <c r="L15" s="28">
        <v>16</v>
      </c>
      <c r="M15">
        <v>0</v>
      </c>
      <c r="N15">
        <v>1</v>
      </c>
      <c r="O15" s="28">
        <v>0</v>
      </c>
      <c r="P15">
        <v>0</v>
      </c>
      <c r="Q15">
        <v>0</v>
      </c>
      <c r="R15" s="31">
        <v>22</v>
      </c>
      <c r="S15">
        <v>0</v>
      </c>
      <c r="T15">
        <v>2</v>
      </c>
      <c r="U15" s="28">
        <v>149</v>
      </c>
      <c r="V15">
        <v>7</v>
      </c>
      <c r="W15">
        <v>0</v>
      </c>
      <c r="X15" s="28">
        <v>0</v>
      </c>
      <c r="Y15">
        <v>0</v>
      </c>
      <c r="Z15" s="34">
        <v>0</v>
      </c>
    </row>
    <row r="16" spans="1:26" ht="15.75" thickBot="1" x14ac:dyDescent="0.3">
      <c r="A16" s="24"/>
      <c r="B16" s="24"/>
      <c r="C16" s="35"/>
      <c r="D16" s="22"/>
      <c r="E16" s="22"/>
      <c r="F16" s="36"/>
      <c r="G16" s="22"/>
      <c r="H16" s="22"/>
      <c r="I16" s="35"/>
      <c r="J16" s="22"/>
      <c r="K16" s="22"/>
      <c r="L16" s="36"/>
      <c r="M16" s="22"/>
      <c r="N16" s="22"/>
      <c r="O16" s="36"/>
      <c r="P16" s="22"/>
      <c r="Q16" s="22"/>
      <c r="R16" s="35"/>
      <c r="S16" s="22"/>
      <c r="T16" s="22"/>
      <c r="U16" s="36"/>
      <c r="V16" s="22"/>
      <c r="W16" s="22"/>
      <c r="X16" s="36"/>
      <c r="Y16" s="22"/>
      <c r="Z16" s="37"/>
    </row>
    <row r="17" spans="1:26" x14ac:dyDescent="0.25">
      <c r="A17" s="2" t="s">
        <v>91</v>
      </c>
      <c r="B17" s="7">
        <v>0.54166666666666663</v>
      </c>
      <c r="C17" s="31">
        <v>12</v>
      </c>
      <c r="D17">
        <v>0</v>
      </c>
      <c r="E17">
        <v>1</v>
      </c>
      <c r="F17" s="28">
        <v>8</v>
      </c>
      <c r="G17">
        <v>0</v>
      </c>
      <c r="H17">
        <v>0</v>
      </c>
      <c r="I17" s="31">
        <v>160</v>
      </c>
      <c r="J17">
        <v>7</v>
      </c>
      <c r="K17">
        <v>0</v>
      </c>
      <c r="L17" s="28">
        <v>20</v>
      </c>
      <c r="M17">
        <v>0</v>
      </c>
      <c r="N17">
        <v>1</v>
      </c>
      <c r="O17" s="28">
        <v>0</v>
      </c>
      <c r="P17">
        <v>0</v>
      </c>
      <c r="Q17">
        <v>0</v>
      </c>
      <c r="R17" s="31">
        <v>24</v>
      </c>
      <c r="S17">
        <v>0</v>
      </c>
      <c r="T17">
        <v>1</v>
      </c>
      <c r="U17" s="28">
        <v>160</v>
      </c>
      <c r="V17">
        <v>2</v>
      </c>
      <c r="W17">
        <v>0</v>
      </c>
      <c r="X17" s="28">
        <v>0</v>
      </c>
      <c r="Y17">
        <v>0</v>
      </c>
      <c r="Z17" s="34">
        <v>0</v>
      </c>
    </row>
    <row r="18" spans="1:26" x14ac:dyDescent="0.25">
      <c r="A18" s="2" t="s">
        <v>91</v>
      </c>
      <c r="B18" s="7">
        <v>0.55208333333333337</v>
      </c>
      <c r="C18" s="31">
        <v>16</v>
      </c>
      <c r="D18">
        <v>0</v>
      </c>
      <c r="E18">
        <v>0</v>
      </c>
      <c r="F18" s="28">
        <v>11</v>
      </c>
      <c r="G18">
        <v>0</v>
      </c>
      <c r="H18">
        <v>0</v>
      </c>
      <c r="I18" s="31">
        <v>151</v>
      </c>
      <c r="J18">
        <v>7</v>
      </c>
      <c r="K18">
        <v>1</v>
      </c>
      <c r="L18" s="28">
        <v>12</v>
      </c>
      <c r="M18">
        <v>0</v>
      </c>
      <c r="N18">
        <v>0</v>
      </c>
      <c r="O18" s="28">
        <v>0</v>
      </c>
      <c r="P18">
        <v>0</v>
      </c>
      <c r="Q18">
        <v>0</v>
      </c>
      <c r="R18" s="31">
        <v>16</v>
      </c>
      <c r="S18">
        <v>0</v>
      </c>
      <c r="T18">
        <v>0</v>
      </c>
      <c r="U18" s="28">
        <v>145</v>
      </c>
      <c r="V18">
        <v>7</v>
      </c>
      <c r="W18">
        <v>1</v>
      </c>
      <c r="X18" s="28">
        <v>0</v>
      </c>
      <c r="Y18">
        <v>0</v>
      </c>
      <c r="Z18" s="34">
        <v>0</v>
      </c>
    </row>
    <row r="19" spans="1:26" x14ac:dyDescent="0.25">
      <c r="A19" s="2" t="s">
        <v>91</v>
      </c>
      <c r="B19" s="7">
        <v>0.5625</v>
      </c>
      <c r="C19" s="31">
        <v>13</v>
      </c>
      <c r="D19">
        <v>0</v>
      </c>
      <c r="E19">
        <v>0</v>
      </c>
      <c r="F19" s="28">
        <v>12</v>
      </c>
      <c r="G19">
        <v>0</v>
      </c>
      <c r="H19">
        <v>0</v>
      </c>
      <c r="I19" s="31">
        <v>145</v>
      </c>
      <c r="J19">
        <v>7</v>
      </c>
      <c r="K19">
        <v>1</v>
      </c>
      <c r="L19" s="28">
        <v>15</v>
      </c>
      <c r="M19">
        <v>0</v>
      </c>
      <c r="N19">
        <v>0</v>
      </c>
      <c r="O19" s="28">
        <v>0</v>
      </c>
      <c r="P19">
        <v>0</v>
      </c>
      <c r="Q19">
        <v>0</v>
      </c>
      <c r="R19" s="31">
        <v>14</v>
      </c>
      <c r="S19">
        <v>0</v>
      </c>
      <c r="T19">
        <v>0</v>
      </c>
      <c r="U19" s="28">
        <v>166</v>
      </c>
      <c r="V19">
        <v>9</v>
      </c>
      <c r="W19">
        <v>0</v>
      </c>
      <c r="X19" s="28">
        <v>0</v>
      </c>
      <c r="Y19">
        <v>0</v>
      </c>
      <c r="Z19" s="34">
        <v>0</v>
      </c>
    </row>
    <row r="20" spans="1:26" ht="15.75" thickBot="1" x14ac:dyDescent="0.3">
      <c r="A20" s="2" t="s">
        <v>91</v>
      </c>
      <c r="B20" s="7">
        <v>0.57291666666666663</v>
      </c>
      <c r="C20" s="31">
        <v>14</v>
      </c>
      <c r="D20">
        <v>0</v>
      </c>
      <c r="E20">
        <v>0</v>
      </c>
      <c r="F20" s="28">
        <v>15</v>
      </c>
      <c r="G20">
        <v>0</v>
      </c>
      <c r="H20">
        <v>0</v>
      </c>
      <c r="I20" s="31">
        <v>168</v>
      </c>
      <c r="J20">
        <v>8</v>
      </c>
      <c r="K20">
        <v>1</v>
      </c>
      <c r="L20" s="28">
        <v>15</v>
      </c>
      <c r="M20">
        <v>0</v>
      </c>
      <c r="N20">
        <v>0</v>
      </c>
      <c r="O20" s="28">
        <v>0</v>
      </c>
      <c r="P20">
        <v>0</v>
      </c>
      <c r="Q20">
        <v>0</v>
      </c>
      <c r="R20" s="31">
        <v>18</v>
      </c>
      <c r="S20">
        <v>0</v>
      </c>
      <c r="T20">
        <v>0</v>
      </c>
      <c r="U20" s="28">
        <v>172</v>
      </c>
      <c r="V20">
        <v>5</v>
      </c>
      <c r="W20">
        <v>1</v>
      </c>
      <c r="X20" s="28">
        <v>1</v>
      </c>
      <c r="Y20">
        <v>0</v>
      </c>
      <c r="Z20" s="34">
        <v>0</v>
      </c>
    </row>
    <row r="21" spans="1:26" ht="15.75" thickBot="1" x14ac:dyDescent="0.3">
      <c r="A21" s="24"/>
      <c r="B21" s="24"/>
      <c r="C21" s="35"/>
      <c r="D21" s="22"/>
      <c r="E21" s="22"/>
      <c r="F21" s="36"/>
      <c r="G21" s="22"/>
      <c r="H21" s="22"/>
      <c r="I21" s="35"/>
      <c r="J21" s="22"/>
      <c r="K21" s="22"/>
      <c r="L21" s="36"/>
      <c r="M21" s="22"/>
      <c r="N21" s="22"/>
      <c r="O21" s="36"/>
      <c r="P21" s="22"/>
      <c r="Q21" s="22"/>
      <c r="R21" s="35"/>
      <c r="S21" s="22"/>
      <c r="T21" s="22"/>
      <c r="U21" s="36"/>
      <c r="V21" s="22"/>
      <c r="W21" s="22"/>
      <c r="X21" s="36"/>
      <c r="Y21" s="22"/>
      <c r="Z21" s="37"/>
    </row>
    <row r="22" spans="1:26" x14ac:dyDescent="0.25">
      <c r="A22" s="2" t="s">
        <v>44</v>
      </c>
      <c r="B22" s="7">
        <v>0.66666666666666663</v>
      </c>
      <c r="C22" s="31">
        <v>18</v>
      </c>
      <c r="D22">
        <v>0</v>
      </c>
      <c r="E22">
        <v>0</v>
      </c>
      <c r="F22" s="28">
        <v>11</v>
      </c>
      <c r="G22">
        <v>0</v>
      </c>
      <c r="H22">
        <v>0</v>
      </c>
      <c r="I22" s="31">
        <v>235</v>
      </c>
      <c r="J22">
        <v>10</v>
      </c>
      <c r="K22">
        <v>0</v>
      </c>
      <c r="L22" s="28">
        <v>24</v>
      </c>
      <c r="M22">
        <v>0</v>
      </c>
      <c r="N22">
        <v>0</v>
      </c>
      <c r="O22" s="28">
        <v>1</v>
      </c>
      <c r="P22">
        <v>0</v>
      </c>
      <c r="Q22">
        <v>0</v>
      </c>
      <c r="R22" s="31">
        <v>26</v>
      </c>
      <c r="S22">
        <v>1</v>
      </c>
      <c r="T22">
        <v>0</v>
      </c>
      <c r="U22" s="28">
        <v>195</v>
      </c>
      <c r="V22">
        <v>3</v>
      </c>
      <c r="W22">
        <v>1</v>
      </c>
      <c r="X22" s="28">
        <v>0</v>
      </c>
      <c r="Y22">
        <v>0</v>
      </c>
      <c r="Z22" s="34">
        <v>0</v>
      </c>
    </row>
    <row r="23" spans="1:26" x14ac:dyDescent="0.25">
      <c r="A23" s="2" t="s">
        <v>44</v>
      </c>
      <c r="B23" s="7">
        <v>0.67708333333333337</v>
      </c>
      <c r="C23" s="31">
        <v>17</v>
      </c>
      <c r="D23">
        <v>0</v>
      </c>
      <c r="E23">
        <v>0</v>
      </c>
      <c r="F23" s="28">
        <v>17</v>
      </c>
      <c r="G23">
        <v>0</v>
      </c>
      <c r="H23">
        <v>0</v>
      </c>
      <c r="I23" s="31">
        <v>207</v>
      </c>
      <c r="J23">
        <v>4</v>
      </c>
      <c r="K23">
        <v>3</v>
      </c>
      <c r="L23" s="28">
        <v>25</v>
      </c>
      <c r="M23">
        <v>0</v>
      </c>
      <c r="N23">
        <v>1</v>
      </c>
      <c r="O23" s="28">
        <v>1</v>
      </c>
      <c r="P23">
        <v>0</v>
      </c>
      <c r="Q23">
        <v>0</v>
      </c>
      <c r="R23" s="31">
        <v>41</v>
      </c>
      <c r="S23">
        <v>0</v>
      </c>
      <c r="T23">
        <v>0</v>
      </c>
      <c r="U23" s="28">
        <v>201</v>
      </c>
      <c r="V23">
        <v>4</v>
      </c>
      <c r="W23">
        <v>5</v>
      </c>
      <c r="X23" s="28">
        <v>0</v>
      </c>
      <c r="Y23">
        <v>0</v>
      </c>
      <c r="Z23" s="34">
        <v>0</v>
      </c>
    </row>
    <row r="24" spans="1:26" x14ac:dyDescent="0.25">
      <c r="A24" s="2" t="s">
        <v>44</v>
      </c>
      <c r="B24" s="7">
        <v>0.6875</v>
      </c>
      <c r="C24" s="31">
        <v>13</v>
      </c>
      <c r="D24">
        <v>0</v>
      </c>
      <c r="E24">
        <v>0</v>
      </c>
      <c r="F24" s="28">
        <v>6</v>
      </c>
      <c r="G24">
        <v>0</v>
      </c>
      <c r="H24">
        <v>0</v>
      </c>
      <c r="I24" s="31">
        <v>201</v>
      </c>
      <c r="J24">
        <v>4</v>
      </c>
      <c r="K24">
        <v>0</v>
      </c>
      <c r="L24" s="28">
        <v>24</v>
      </c>
      <c r="M24">
        <v>0</v>
      </c>
      <c r="N24">
        <v>0</v>
      </c>
      <c r="O24" s="28">
        <v>1</v>
      </c>
      <c r="P24">
        <v>0</v>
      </c>
      <c r="Q24">
        <v>0</v>
      </c>
      <c r="R24" s="31">
        <v>31</v>
      </c>
      <c r="S24">
        <v>1</v>
      </c>
      <c r="T24">
        <v>0</v>
      </c>
      <c r="U24" s="28">
        <v>261</v>
      </c>
      <c r="V24">
        <v>2</v>
      </c>
      <c r="W24">
        <v>11</v>
      </c>
      <c r="X24" s="28">
        <v>0</v>
      </c>
      <c r="Y24">
        <v>0</v>
      </c>
      <c r="Z24" s="34">
        <v>0</v>
      </c>
    </row>
    <row r="25" spans="1:26" x14ac:dyDescent="0.25">
      <c r="A25" s="2" t="s">
        <v>44</v>
      </c>
      <c r="B25" s="7">
        <v>0.69791666666666663</v>
      </c>
      <c r="C25" s="31">
        <v>25</v>
      </c>
      <c r="D25">
        <v>0</v>
      </c>
      <c r="E25">
        <v>0</v>
      </c>
      <c r="F25" s="28">
        <v>11</v>
      </c>
      <c r="G25">
        <v>0</v>
      </c>
      <c r="H25">
        <v>0</v>
      </c>
      <c r="I25" s="31">
        <v>202</v>
      </c>
      <c r="J25">
        <v>4</v>
      </c>
      <c r="K25">
        <v>1</v>
      </c>
      <c r="L25" s="28">
        <v>29</v>
      </c>
      <c r="M25">
        <v>2</v>
      </c>
      <c r="N25">
        <v>0</v>
      </c>
      <c r="O25" s="28">
        <v>1</v>
      </c>
      <c r="P25">
        <v>0</v>
      </c>
      <c r="Q25">
        <v>0</v>
      </c>
      <c r="R25" s="31">
        <v>34</v>
      </c>
      <c r="S25">
        <v>1</v>
      </c>
      <c r="T25">
        <v>0</v>
      </c>
      <c r="U25" s="28">
        <v>281</v>
      </c>
      <c r="V25">
        <v>3</v>
      </c>
      <c r="W25">
        <v>5</v>
      </c>
      <c r="X25" s="28">
        <v>0</v>
      </c>
      <c r="Y25">
        <v>0</v>
      </c>
      <c r="Z25" s="34">
        <v>0</v>
      </c>
    </row>
    <row r="26" spans="1:26" x14ac:dyDescent="0.25">
      <c r="A26" s="2" t="s">
        <v>44</v>
      </c>
      <c r="B26" s="7">
        <v>0.70833333333333337</v>
      </c>
      <c r="C26" s="31">
        <v>18</v>
      </c>
      <c r="D26">
        <v>1</v>
      </c>
      <c r="E26">
        <v>0</v>
      </c>
      <c r="F26" s="28">
        <v>4</v>
      </c>
      <c r="G26">
        <v>0</v>
      </c>
      <c r="H26">
        <v>0</v>
      </c>
      <c r="I26" s="31">
        <v>237</v>
      </c>
      <c r="J26">
        <v>2</v>
      </c>
      <c r="K26">
        <v>0</v>
      </c>
      <c r="L26" s="28">
        <v>25</v>
      </c>
      <c r="M26">
        <v>1</v>
      </c>
      <c r="N26">
        <v>0</v>
      </c>
      <c r="O26" s="28">
        <v>0</v>
      </c>
      <c r="P26">
        <v>0</v>
      </c>
      <c r="Q26">
        <v>0</v>
      </c>
      <c r="R26" s="31">
        <v>49</v>
      </c>
      <c r="S26">
        <v>0</v>
      </c>
      <c r="T26">
        <v>1</v>
      </c>
      <c r="U26" s="28">
        <v>317</v>
      </c>
      <c r="V26">
        <v>1</v>
      </c>
      <c r="W26">
        <v>5</v>
      </c>
      <c r="X26" s="28">
        <v>0</v>
      </c>
      <c r="Y26">
        <v>0</v>
      </c>
      <c r="Z26" s="34">
        <v>0</v>
      </c>
    </row>
    <row r="27" spans="1:26" x14ac:dyDescent="0.25">
      <c r="A27" s="2" t="s">
        <v>44</v>
      </c>
      <c r="B27" s="7">
        <v>0.71875</v>
      </c>
      <c r="C27" s="31">
        <v>19</v>
      </c>
      <c r="D27">
        <v>0</v>
      </c>
      <c r="E27">
        <v>2</v>
      </c>
      <c r="F27" s="28">
        <v>7</v>
      </c>
      <c r="G27">
        <v>0</v>
      </c>
      <c r="H27">
        <v>0</v>
      </c>
      <c r="I27" s="31">
        <v>171</v>
      </c>
      <c r="J27">
        <v>6</v>
      </c>
      <c r="K27">
        <v>0</v>
      </c>
      <c r="L27" s="28">
        <v>38</v>
      </c>
      <c r="M27">
        <v>0</v>
      </c>
      <c r="N27">
        <v>1</v>
      </c>
      <c r="O27" s="28">
        <v>1</v>
      </c>
      <c r="P27">
        <v>0</v>
      </c>
      <c r="Q27">
        <v>0</v>
      </c>
      <c r="R27" s="31">
        <v>44</v>
      </c>
      <c r="S27">
        <v>2</v>
      </c>
      <c r="T27">
        <v>0</v>
      </c>
      <c r="U27" s="28">
        <v>284</v>
      </c>
      <c r="V27">
        <v>0</v>
      </c>
      <c r="W27">
        <v>10</v>
      </c>
      <c r="X27" s="28">
        <v>0</v>
      </c>
      <c r="Y27">
        <v>0</v>
      </c>
      <c r="Z27" s="34">
        <v>0</v>
      </c>
    </row>
    <row r="28" spans="1:26" x14ac:dyDescent="0.25">
      <c r="A28" s="2" t="s">
        <v>44</v>
      </c>
      <c r="B28" s="7">
        <v>0.72916666666666663</v>
      </c>
      <c r="C28" s="31">
        <v>28</v>
      </c>
      <c r="D28">
        <v>0</v>
      </c>
      <c r="E28">
        <v>1</v>
      </c>
      <c r="F28" s="28">
        <v>13</v>
      </c>
      <c r="G28">
        <v>0</v>
      </c>
      <c r="H28">
        <v>0</v>
      </c>
      <c r="I28" s="31">
        <v>201</v>
      </c>
      <c r="J28">
        <v>3</v>
      </c>
      <c r="K28">
        <v>0</v>
      </c>
      <c r="L28" s="28">
        <v>38</v>
      </c>
      <c r="M28">
        <v>0</v>
      </c>
      <c r="N28">
        <v>0</v>
      </c>
      <c r="O28" s="28">
        <v>1</v>
      </c>
      <c r="P28">
        <v>0</v>
      </c>
      <c r="Q28">
        <v>0</v>
      </c>
      <c r="R28" s="31">
        <v>37</v>
      </c>
      <c r="S28">
        <v>0</v>
      </c>
      <c r="T28">
        <v>0</v>
      </c>
      <c r="U28" s="28">
        <v>263</v>
      </c>
      <c r="V28">
        <v>3</v>
      </c>
      <c r="W28">
        <v>4</v>
      </c>
      <c r="X28" s="28">
        <v>0</v>
      </c>
      <c r="Y28">
        <v>0</v>
      </c>
      <c r="Z28" s="34">
        <v>0</v>
      </c>
    </row>
    <row r="29" spans="1:26" ht="15.75" thickBot="1" x14ac:dyDescent="0.3">
      <c r="A29" s="23" t="s">
        <v>44</v>
      </c>
      <c r="B29" s="48">
        <v>0.73958333333333337</v>
      </c>
      <c r="C29" s="39">
        <v>21</v>
      </c>
      <c r="D29" s="38">
        <v>0</v>
      </c>
      <c r="E29" s="38">
        <v>0</v>
      </c>
      <c r="F29" s="40">
        <v>14</v>
      </c>
      <c r="G29" s="38">
        <v>0</v>
      </c>
      <c r="H29" s="38">
        <v>0</v>
      </c>
      <c r="I29" s="39">
        <v>165</v>
      </c>
      <c r="J29" s="38">
        <v>1</v>
      </c>
      <c r="K29" s="38">
        <v>0</v>
      </c>
      <c r="L29" s="40">
        <v>28</v>
      </c>
      <c r="M29" s="38">
        <v>1</v>
      </c>
      <c r="N29" s="38">
        <v>0</v>
      </c>
      <c r="O29" s="40">
        <v>0</v>
      </c>
      <c r="P29" s="38">
        <v>0</v>
      </c>
      <c r="Q29" s="38">
        <v>0</v>
      </c>
      <c r="R29" s="39">
        <v>25</v>
      </c>
      <c r="S29" s="38">
        <v>0</v>
      </c>
      <c r="T29" s="38">
        <v>0</v>
      </c>
      <c r="U29" s="40">
        <v>217</v>
      </c>
      <c r="V29" s="38">
        <v>4</v>
      </c>
      <c r="W29" s="38">
        <v>2</v>
      </c>
      <c r="X29" s="40">
        <v>0</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100</v>
      </c>
      <c r="B2" t="s">
        <v>95</v>
      </c>
      <c r="C2" t="s">
        <v>93</v>
      </c>
      <c r="D2" t="s">
        <v>79</v>
      </c>
      <c r="E2" t="s">
        <v>43</v>
      </c>
      <c r="F2" s="6">
        <v>0.29166666666666669</v>
      </c>
      <c r="G2">
        <v>26</v>
      </c>
      <c r="H2" s="6">
        <f>FLOOR(tblPivotData[[#This Row],[Time]],Summary!$B$6/1440)</f>
        <v>0.29166666666666663</v>
      </c>
      <c r="I2">
        <f>INDEX(PeakCalc!$L$10:$L$303,MATCH(tblPivotData[[#This Row],[Time]],PeakCalc!$G$10:$G$303,0))</f>
        <v>0</v>
      </c>
    </row>
    <row r="3" spans="1:9" x14ac:dyDescent="0.25">
      <c r="A3" t="s">
        <v>100</v>
      </c>
      <c r="B3" t="s">
        <v>95</v>
      </c>
      <c r="C3" t="s">
        <v>93</v>
      </c>
      <c r="D3" t="s">
        <v>79</v>
      </c>
      <c r="E3" t="s">
        <v>43</v>
      </c>
      <c r="F3" s="6">
        <v>0.30208333333333331</v>
      </c>
      <c r="G3">
        <v>23</v>
      </c>
      <c r="H3" s="6">
        <f>FLOOR(tblPivotData[[#This Row],[Time]],Summary!$B$6/1440)</f>
        <v>0.30208333333333331</v>
      </c>
      <c r="I3">
        <f>INDEX(PeakCalc!$L$10:$L$303,MATCH(tblPivotData[[#This Row],[Time]],PeakCalc!$G$10:$G$303,0))</f>
        <v>0</v>
      </c>
    </row>
    <row r="4" spans="1:9" x14ac:dyDescent="0.25">
      <c r="A4" t="s">
        <v>100</v>
      </c>
      <c r="B4" t="s">
        <v>95</v>
      </c>
      <c r="C4" t="s">
        <v>93</v>
      </c>
      <c r="D4" t="s">
        <v>79</v>
      </c>
      <c r="E4" t="s">
        <v>43</v>
      </c>
      <c r="F4" s="6">
        <v>0.3125</v>
      </c>
      <c r="G4">
        <v>47</v>
      </c>
      <c r="H4" s="6">
        <f>FLOOR(tblPivotData[[#This Row],[Time]],Summary!$B$6/1440)</f>
        <v>0.3125</v>
      </c>
      <c r="I4">
        <f>INDEX(PeakCalc!$L$10:$L$303,MATCH(tblPivotData[[#This Row],[Time]],PeakCalc!$G$10:$G$303,0))</f>
        <v>1</v>
      </c>
    </row>
    <row r="5" spans="1:9" x14ac:dyDescent="0.25">
      <c r="A5" t="s">
        <v>100</v>
      </c>
      <c r="B5" t="s">
        <v>95</v>
      </c>
      <c r="C5" t="s">
        <v>93</v>
      </c>
      <c r="D5" t="s">
        <v>79</v>
      </c>
      <c r="E5" t="s">
        <v>43</v>
      </c>
      <c r="F5" s="6">
        <v>0.32291666666666669</v>
      </c>
      <c r="G5">
        <v>64</v>
      </c>
      <c r="H5" s="6">
        <f>FLOOR(tblPivotData[[#This Row],[Time]],Summary!$B$6/1440)</f>
        <v>0.32291666666666663</v>
      </c>
      <c r="I5">
        <f>INDEX(PeakCalc!$L$10:$L$303,MATCH(tblPivotData[[#This Row],[Time]],PeakCalc!$G$10:$G$303,0))</f>
        <v>1</v>
      </c>
    </row>
    <row r="6" spans="1:9" x14ac:dyDescent="0.25">
      <c r="A6" t="s">
        <v>100</v>
      </c>
      <c r="B6" t="s">
        <v>95</v>
      </c>
      <c r="C6" t="s">
        <v>93</v>
      </c>
      <c r="D6" t="s">
        <v>79</v>
      </c>
      <c r="E6" t="s">
        <v>43</v>
      </c>
      <c r="F6" s="6">
        <v>0.33333333333333331</v>
      </c>
      <c r="G6">
        <v>36</v>
      </c>
      <c r="H6" s="6">
        <f>FLOOR(tblPivotData[[#This Row],[Time]],Summary!$B$6/1440)</f>
        <v>0.33333333333333331</v>
      </c>
      <c r="I6">
        <f>INDEX(PeakCalc!$L$10:$L$303,MATCH(tblPivotData[[#This Row],[Time]],PeakCalc!$G$10:$G$303,0))</f>
        <v>1</v>
      </c>
    </row>
    <row r="7" spans="1:9" x14ac:dyDescent="0.25">
      <c r="A7" t="s">
        <v>100</v>
      </c>
      <c r="B7" t="s">
        <v>95</v>
      </c>
      <c r="C7" t="s">
        <v>93</v>
      </c>
      <c r="D7" t="s">
        <v>79</v>
      </c>
      <c r="E7" t="s">
        <v>43</v>
      </c>
      <c r="F7" s="6">
        <v>0.34375</v>
      </c>
      <c r="G7">
        <v>36</v>
      </c>
      <c r="H7" s="6">
        <f>FLOOR(tblPivotData[[#This Row],[Time]],Summary!$B$6/1440)</f>
        <v>0.34375</v>
      </c>
      <c r="I7">
        <f>INDEX(PeakCalc!$L$10:$L$303,MATCH(tblPivotData[[#This Row],[Time]],PeakCalc!$G$10:$G$303,0))</f>
        <v>1</v>
      </c>
    </row>
    <row r="8" spans="1:9" x14ac:dyDescent="0.25">
      <c r="A8" t="s">
        <v>100</v>
      </c>
      <c r="B8" t="s">
        <v>95</v>
      </c>
      <c r="C8" t="s">
        <v>93</v>
      </c>
      <c r="D8" t="s">
        <v>79</v>
      </c>
      <c r="E8" t="s">
        <v>43</v>
      </c>
      <c r="F8" s="6">
        <v>0.35416666666666669</v>
      </c>
      <c r="G8">
        <v>28</v>
      </c>
      <c r="H8" s="6">
        <f>FLOOR(tblPivotData[[#This Row],[Time]],Summary!$B$6/1440)</f>
        <v>0.35416666666666663</v>
      </c>
      <c r="I8">
        <f>INDEX(PeakCalc!$L$10:$L$303,MATCH(tblPivotData[[#This Row],[Time]],PeakCalc!$G$10:$G$303,0))</f>
        <v>0</v>
      </c>
    </row>
    <row r="9" spans="1:9" x14ac:dyDescent="0.25">
      <c r="A9" t="s">
        <v>100</v>
      </c>
      <c r="B9" t="s">
        <v>95</v>
      </c>
      <c r="C9" t="s">
        <v>93</v>
      </c>
      <c r="D9" t="s">
        <v>79</v>
      </c>
      <c r="E9" t="s">
        <v>43</v>
      </c>
      <c r="F9" s="6">
        <v>0.36458333333333331</v>
      </c>
      <c r="G9">
        <v>44</v>
      </c>
      <c r="H9" s="6">
        <f>FLOOR(tblPivotData[[#This Row],[Time]],Summary!$B$6/1440)</f>
        <v>0.36458333333333331</v>
      </c>
      <c r="I9">
        <f>INDEX(PeakCalc!$L$10:$L$303,MATCH(tblPivotData[[#This Row],[Time]],PeakCalc!$G$10:$G$303,0))</f>
        <v>0</v>
      </c>
    </row>
    <row r="10" spans="1:9" x14ac:dyDescent="0.25">
      <c r="A10" t="s">
        <v>100</v>
      </c>
      <c r="B10" t="s">
        <v>95</v>
      </c>
      <c r="C10" t="s">
        <v>93</v>
      </c>
      <c r="D10" t="s">
        <v>79</v>
      </c>
      <c r="E10" t="s">
        <v>91</v>
      </c>
      <c r="F10" s="6">
        <v>0.54166666666666663</v>
      </c>
      <c r="G10">
        <v>12</v>
      </c>
      <c r="H10" s="6">
        <f>FLOOR(tblPivotData[[#This Row],[Time]],Summary!$B$6/1440)</f>
        <v>0.54166666666666663</v>
      </c>
      <c r="I10">
        <f>INDEX(PeakCalc!$L$10:$L$303,MATCH(tblPivotData[[#This Row],[Time]],PeakCalc!$G$10:$G$303,0))</f>
        <v>1</v>
      </c>
    </row>
    <row r="11" spans="1:9" x14ac:dyDescent="0.25">
      <c r="A11" t="s">
        <v>100</v>
      </c>
      <c r="B11" t="s">
        <v>95</v>
      </c>
      <c r="C11" t="s">
        <v>93</v>
      </c>
      <c r="D11" t="s">
        <v>79</v>
      </c>
      <c r="E11" t="s">
        <v>91</v>
      </c>
      <c r="F11" s="6">
        <v>0.55208333333333337</v>
      </c>
      <c r="G11">
        <v>16</v>
      </c>
      <c r="H11" s="6">
        <f>FLOOR(tblPivotData[[#This Row],[Time]],Summary!$B$6/1440)</f>
        <v>0.55208333333333326</v>
      </c>
      <c r="I11">
        <f>INDEX(PeakCalc!$L$10:$L$303,MATCH(tblPivotData[[#This Row],[Time]],PeakCalc!$G$10:$G$303,0))</f>
        <v>1</v>
      </c>
    </row>
    <row r="12" spans="1:9" x14ac:dyDescent="0.25">
      <c r="A12" t="s">
        <v>100</v>
      </c>
      <c r="B12" t="s">
        <v>95</v>
      </c>
      <c r="C12" t="s">
        <v>93</v>
      </c>
      <c r="D12" t="s">
        <v>79</v>
      </c>
      <c r="E12" t="s">
        <v>91</v>
      </c>
      <c r="F12" s="6">
        <v>0.5625</v>
      </c>
      <c r="G12">
        <v>13</v>
      </c>
      <c r="H12" s="6">
        <f>FLOOR(tblPivotData[[#This Row],[Time]],Summary!$B$6/1440)</f>
        <v>0.5625</v>
      </c>
      <c r="I12">
        <f>INDEX(PeakCalc!$L$10:$L$303,MATCH(tblPivotData[[#This Row],[Time]],PeakCalc!$G$10:$G$303,0))</f>
        <v>1</v>
      </c>
    </row>
    <row r="13" spans="1:9" x14ac:dyDescent="0.25">
      <c r="A13" t="s">
        <v>100</v>
      </c>
      <c r="B13" t="s">
        <v>95</v>
      </c>
      <c r="C13" t="s">
        <v>93</v>
      </c>
      <c r="D13" t="s">
        <v>79</v>
      </c>
      <c r="E13" t="s">
        <v>91</v>
      </c>
      <c r="F13" s="6">
        <v>0.57291666666666663</v>
      </c>
      <c r="G13">
        <v>14</v>
      </c>
      <c r="H13" s="6">
        <f>FLOOR(tblPivotData[[#This Row],[Time]],Summary!$B$6/1440)</f>
        <v>0.57291666666666663</v>
      </c>
      <c r="I13">
        <f>INDEX(PeakCalc!$L$10:$L$303,MATCH(tblPivotData[[#This Row],[Time]],PeakCalc!$G$10:$G$303,0))</f>
        <v>1</v>
      </c>
    </row>
    <row r="14" spans="1:9" x14ac:dyDescent="0.25">
      <c r="A14" t="s">
        <v>100</v>
      </c>
      <c r="B14" t="s">
        <v>95</v>
      </c>
      <c r="C14" t="s">
        <v>93</v>
      </c>
      <c r="D14" t="s">
        <v>79</v>
      </c>
      <c r="E14" t="s">
        <v>44</v>
      </c>
      <c r="F14" s="6">
        <v>0.66666666666666663</v>
      </c>
      <c r="G14">
        <v>18</v>
      </c>
      <c r="H14" s="6">
        <f>FLOOR(tblPivotData[[#This Row],[Time]],Summary!$B$6/1440)</f>
        <v>0.66666666666666663</v>
      </c>
      <c r="I14">
        <f>INDEX(PeakCalc!$L$10:$L$303,MATCH(tblPivotData[[#This Row],[Time]],PeakCalc!$G$10:$G$303,0))</f>
        <v>0</v>
      </c>
    </row>
    <row r="15" spans="1:9" x14ac:dyDescent="0.25">
      <c r="A15" t="s">
        <v>100</v>
      </c>
      <c r="B15" t="s">
        <v>95</v>
      </c>
      <c r="C15" t="s">
        <v>93</v>
      </c>
      <c r="D15" t="s">
        <v>79</v>
      </c>
      <c r="E15" t="s">
        <v>44</v>
      </c>
      <c r="F15" s="6">
        <v>0.67708333333333337</v>
      </c>
      <c r="G15">
        <v>17</v>
      </c>
      <c r="H15" s="6">
        <f>FLOOR(tblPivotData[[#This Row],[Time]],Summary!$B$6/1440)</f>
        <v>0.67708333333333326</v>
      </c>
      <c r="I15">
        <f>INDEX(PeakCalc!$L$10:$L$303,MATCH(tblPivotData[[#This Row],[Time]],PeakCalc!$G$10:$G$303,0))</f>
        <v>0</v>
      </c>
    </row>
    <row r="16" spans="1:9" x14ac:dyDescent="0.25">
      <c r="A16" t="s">
        <v>100</v>
      </c>
      <c r="B16" t="s">
        <v>95</v>
      </c>
      <c r="C16" t="s">
        <v>93</v>
      </c>
      <c r="D16" t="s">
        <v>79</v>
      </c>
      <c r="E16" t="s">
        <v>44</v>
      </c>
      <c r="F16" s="6">
        <v>0.6875</v>
      </c>
      <c r="G16">
        <v>13</v>
      </c>
      <c r="H16" s="6">
        <f>FLOOR(tblPivotData[[#This Row],[Time]],Summary!$B$6/1440)</f>
        <v>0.6875</v>
      </c>
      <c r="I16">
        <f>INDEX(PeakCalc!$L$10:$L$303,MATCH(tblPivotData[[#This Row],[Time]],PeakCalc!$G$10:$G$303,0))</f>
        <v>0</v>
      </c>
    </row>
    <row r="17" spans="1:9" x14ac:dyDescent="0.25">
      <c r="A17" t="s">
        <v>100</v>
      </c>
      <c r="B17" t="s">
        <v>95</v>
      </c>
      <c r="C17" t="s">
        <v>93</v>
      </c>
      <c r="D17" t="s">
        <v>79</v>
      </c>
      <c r="E17" t="s">
        <v>44</v>
      </c>
      <c r="F17" s="6">
        <v>0.69791666666666663</v>
      </c>
      <c r="G17">
        <v>25</v>
      </c>
      <c r="H17" s="6">
        <f>FLOOR(tblPivotData[[#This Row],[Time]],Summary!$B$6/1440)</f>
        <v>0.69791666666666663</v>
      </c>
      <c r="I17">
        <f>INDEX(PeakCalc!$L$10:$L$303,MATCH(tblPivotData[[#This Row],[Time]],PeakCalc!$G$10:$G$303,0))</f>
        <v>1</v>
      </c>
    </row>
    <row r="18" spans="1:9" x14ac:dyDescent="0.25">
      <c r="A18" t="s">
        <v>100</v>
      </c>
      <c r="B18" t="s">
        <v>95</v>
      </c>
      <c r="C18" t="s">
        <v>93</v>
      </c>
      <c r="D18" t="s">
        <v>79</v>
      </c>
      <c r="E18" t="s">
        <v>44</v>
      </c>
      <c r="F18" s="6">
        <v>0.70833333333333337</v>
      </c>
      <c r="G18">
        <v>18</v>
      </c>
      <c r="H18" s="6">
        <f>FLOOR(tblPivotData[[#This Row],[Time]],Summary!$B$6/1440)</f>
        <v>0.70833333333333326</v>
      </c>
      <c r="I18">
        <f>INDEX(PeakCalc!$L$10:$L$303,MATCH(tblPivotData[[#This Row],[Time]],PeakCalc!$G$10:$G$303,0))</f>
        <v>1</v>
      </c>
    </row>
    <row r="19" spans="1:9" x14ac:dyDescent="0.25">
      <c r="A19" t="s">
        <v>100</v>
      </c>
      <c r="B19" t="s">
        <v>95</v>
      </c>
      <c r="C19" t="s">
        <v>93</v>
      </c>
      <c r="D19" t="s">
        <v>79</v>
      </c>
      <c r="E19" t="s">
        <v>44</v>
      </c>
      <c r="F19" s="6">
        <v>0.71875</v>
      </c>
      <c r="G19">
        <v>19</v>
      </c>
      <c r="H19" s="6">
        <f>FLOOR(tblPivotData[[#This Row],[Time]],Summary!$B$6/1440)</f>
        <v>0.71875</v>
      </c>
      <c r="I19">
        <f>INDEX(PeakCalc!$L$10:$L$303,MATCH(tblPivotData[[#This Row],[Time]],PeakCalc!$G$10:$G$303,0))</f>
        <v>1</v>
      </c>
    </row>
    <row r="20" spans="1:9" x14ac:dyDescent="0.25">
      <c r="A20" t="s">
        <v>100</v>
      </c>
      <c r="B20" t="s">
        <v>95</v>
      </c>
      <c r="C20" t="s">
        <v>93</v>
      </c>
      <c r="D20" t="s">
        <v>79</v>
      </c>
      <c r="E20" t="s">
        <v>44</v>
      </c>
      <c r="F20" s="6">
        <v>0.72916666666666663</v>
      </c>
      <c r="G20">
        <v>28</v>
      </c>
      <c r="H20" s="6">
        <f>FLOOR(tblPivotData[[#This Row],[Time]],Summary!$B$6/1440)</f>
        <v>0.72916666666666663</v>
      </c>
      <c r="I20">
        <f>INDEX(PeakCalc!$L$10:$L$303,MATCH(tblPivotData[[#This Row],[Time]],PeakCalc!$G$10:$G$303,0))</f>
        <v>1</v>
      </c>
    </row>
    <row r="21" spans="1:9" x14ac:dyDescent="0.25">
      <c r="A21" t="s">
        <v>100</v>
      </c>
      <c r="B21" t="s">
        <v>95</v>
      </c>
      <c r="C21" t="s">
        <v>93</v>
      </c>
      <c r="D21" t="s">
        <v>79</v>
      </c>
      <c r="E21" t="s">
        <v>44</v>
      </c>
      <c r="F21" s="6">
        <v>0.73958333333333337</v>
      </c>
      <c r="G21">
        <v>21</v>
      </c>
      <c r="H21" s="6">
        <f>FLOOR(tblPivotData[[#This Row],[Time]],Summary!$B$6/1440)</f>
        <v>0.73958333333333326</v>
      </c>
      <c r="I21">
        <f>INDEX(PeakCalc!$L$10:$L$303,MATCH(tblPivotData[[#This Row],[Time]],PeakCalc!$G$10:$G$303,0))</f>
        <v>0</v>
      </c>
    </row>
    <row r="22" spans="1:9" x14ac:dyDescent="0.25">
      <c r="A22" t="s">
        <v>100</v>
      </c>
      <c r="B22" t="s">
        <v>95</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100</v>
      </c>
      <c r="B23" t="s">
        <v>95</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100</v>
      </c>
      <c r="B24" t="s">
        <v>95</v>
      </c>
      <c r="C24" t="s">
        <v>93</v>
      </c>
      <c r="D24" t="s">
        <v>89</v>
      </c>
      <c r="E24" t="s">
        <v>43</v>
      </c>
      <c r="F24" s="6">
        <v>0.3125</v>
      </c>
      <c r="G24">
        <v>0</v>
      </c>
      <c r="H24" s="6">
        <f>FLOOR(tblPivotData[[#This Row],[Time]],Summary!$B$6/1440)</f>
        <v>0.3125</v>
      </c>
      <c r="I24">
        <f>INDEX(PeakCalc!$L$10:$L$303,MATCH(tblPivotData[[#This Row],[Time]],PeakCalc!$G$10:$G$303,0))</f>
        <v>1</v>
      </c>
    </row>
    <row r="25" spans="1:9" x14ac:dyDescent="0.25">
      <c r="A25" t="s">
        <v>100</v>
      </c>
      <c r="B25" t="s">
        <v>95</v>
      </c>
      <c r="C25" t="s">
        <v>93</v>
      </c>
      <c r="D25" t="s">
        <v>89</v>
      </c>
      <c r="E25" t="s">
        <v>43</v>
      </c>
      <c r="F25" s="6">
        <v>0.32291666666666669</v>
      </c>
      <c r="G25">
        <v>1</v>
      </c>
      <c r="H25" s="6">
        <f>FLOOR(tblPivotData[[#This Row],[Time]],Summary!$B$6/1440)</f>
        <v>0.32291666666666663</v>
      </c>
      <c r="I25">
        <f>INDEX(PeakCalc!$L$10:$L$303,MATCH(tblPivotData[[#This Row],[Time]],PeakCalc!$G$10:$G$303,0))</f>
        <v>1</v>
      </c>
    </row>
    <row r="26" spans="1:9" x14ac:dyDescent="0.25">
      <c r="A26" t="s">
        <v>100</v>
      </c>
      <c r="B26" t="s">
        <v>95</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100</v>
      </c>
      <c r="B27" t="s">
        <v>95</v>
      </c>
      <c r="C27" t="s">
        <v>93</v>
      </c>
      <c r="D27" t="s">
        <v>89</v>
      </c>
      <c r="E27" t="s">
        <v>43</v>
      </c>
      <c r="F27" s="6">
        <v>0.34375</v>
      </c>
      <c r="G27">
        <v>1</v>
      </c>
      <c r="H27" s="6">
        <f>FLOOR(tblPivotData[[#This Row],[Time]],Summary!$B$6/1440)</f>
        <v>0.34375</v>
      </c>
      <c r="I27">
        <f>INDEX(PeakCalc!$L$10:$L$303,MATCH(tblPivotData[[#This Row],[Time]],PeakCalc!$G$10:$G$303,0))</f>
        <v>1</v>
      </c>
    </row>
    <row r="28" spans="1:9" x14ac:dyDescent="0.25">
      <c r="A28" t="s">
        <v>100</v>
      </c>
      <c r="B28" t="s">
        <v>95</v>
      </c>
      <c r="C28" t="s">
        <v>93</v>
      </c>
      <c r="D28" t="s">
        <v>89</v>
      </c>
      <c r="E28" t="s">
        <v>43</v>
      </c>
      <c r="F28" s="6">
        <v>0.35416666666666669</v>
      </c>
      <c r="G28">
        <v>1</v>
      </c>
      <c r="H28" s="6">
        <f>FLOOR(tblPivotData[[#This Row],[Time]],Summary!$B$6/1440)</f>
        <v>0.35416666666666663</v>
      </c>
      <c r="I28">
        <f>INDEX(PeakCalc!$L$10:$L$303,MATCH(tblPivotData[[#This Row],[Time]],PeakCalc!$G$10:$G$303,0))</f>
        <v>0</v>
      </c>
    </row>
    <row r="29" spans="1:9" x14ac:dyDescent="0.25">
      <c r="A29" t="s">
        <v>100</v>
      </c>
      <c r="B29" t="s">
        <v>95</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100</v>
      </c>
      <c r="B30" t="s">
        <v>95</v>
      </c>
      <c r="C30" t="s">
        <v>93</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100</v>
      </c>
      <c r="B31" t="s">
        <v>95</v>
      </c>
      <c r="C31" t="s">
        <v>93</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100</v>
      </c>
      <c r="B32" t="s">
        <v>95</v>
      </c>
      <c r="C32" t="s">
        <v>93</v>
      </c>
      <c r="D32" t="s">
        <v>89</v>
      </c>
      <c r="E32" t="s">
        <v>91</v>
      </c>
      <c r="F32" s="6">
        <v>0.5625</v>
      </c>
      <c r="G32">
        <v>0</v>
      </c>
      <c r="H32" s="6">
        <f>FLOOR(tblPivotData[[#This Row],[Time]],Summary!$B$6/1440)</f>
        <v>0.5625</v>
      </c>
      <c r="I32">
        <f>INDEX(PeakCalc!$L$10:$L$303,MATCH(tblPivotData[[#This Row],[Time]],PeakCalc!$G$10:$G$303,0))</f>
        <v>1</v>
      </c>
    </row>
    <row r="33" spans="1:9" x14ac:dyDescent="0.25">
      <c r="A33" t="s">
        <v>100</v>
      </c>
      <c r="B33" t="s">
        <v>95</v>
      </c>
      <c r="C33" t="s">
        <v>93</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100</v>
      </c>
      <c r="B34" t="s">
        <v>95</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100</v>
      </c>
      <c r="B35" t="s">
        <v>95</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100</v>
      </c>
      <c r="B36" t="s">
        <v>95</v>
      </c>
      <c r="C36" t="s">
        <v>93</v>
      </c>
      <c r="D36" t="s">
        <v>89</v>
      </c>
      <c r="E36" t="s">
        <v>44</v>
      </c>
      <c r="F36" s="6">
        <v>0.6875</v>
      </c>
      <c r="G36">
        <v>0</v>
      </c>
      <c r="H36" s="6">
        <f>FLOOR(tblPivotData[[#This Row],[Time]],Summary!$B$6/1440)</f>
        <v>0.6875</v>
      </c>
      <c r="I36">
        <f>INDEX(PeakCalc!$L$10:$L$303,MATCH(tblPivotData[[#This Row],[Time]],PeakCalc!$G$10:$G$303,0))</f>
        <v>0</v>
      </c>
    </row>
    <row r="37" spans="1:9" x14ac:dyDescent="0.25">
      <c r="A37" t="s">
        <v>100</v>
      </c>
      <c r="B37" t="s">
        <v>95</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100</v>
      </c>
      <c r="B38" t="s">
        <v>95</v>
      </c>
      <c r="C38" t="s">
        <v>93</v>
      </c>
      <c r="D38" t="s">
        <v>89</v>
      </c>
      <c r="E38" t="s">
        <v>44</v>
      </c>
      <c r="F38" s="6">
        <v>0.70833333333333337</v>
      </c>
      <c r="G38">
        <v>1</v>
      </c>
      <c r="H38" s="6">
        <f>FLOOR(tblPivotData[[#This Row],[Time]],Summary!$B$6/1440)</f>
        <v>0.70833333333333326</v>
      </c>
      <c r="I38">
        <f>INDEX(PeakCalc!$L$10:$L$303,MATCH(tblPivotData[[#This Row],[Time]],PeakCalc!$G$10:$G$303,0))</f>
        <v>1</v>
      </c>
    </row>
    <row r="39" spans="1:9" x14ac:dyDescent="0.25">
      <c r="A39" t="s">
        <v>100</v>
      </c>
      <c r="B39" t="s">
        <v>95</v>
      </c>
      <c r="C39" t="s">
        <v>93</v>
      </c>
      <c r="D39" t="s">
        <v>89</v>
      </c>
      <c r="E39" t="s">
        <v>44</v>
      </c>
      <c r="F39" s="6">
        <v>0.71875</v>
      </c>
      <c r="G39">
        <v>0</v>
      </c>
      <c r="H39" s="6">
        <f>FLOOR(tblPivotData[[#This Row],[Time]],Summary!$B$6/1440)</f>
        <v>0.71875</v>
      </c>
      <c r="I39">
        <f>INDEX(PeakCalc!$L$10:$L$303,MATCH(tblPivotData[[#This Row],[Time]],PeakCalc!$G$10:$G$303,0))</f>
        <v>1</v>
      </c>
    </row>
    <row r="40" spans="1:9" x14ac:dyDescent="0.25">
      <c r="A40" t="s">
        <v>100</v>
      </c>
      <c r="B40" t="s">
        <v>95</v>
      </c>
      <c r="C40" t="s">
        <v>93</v>
      </c>
      <c r="D40" t="s">
        <v>89</v>
      </c>
      <c r="E40" t="s">
        <v>44</v>
      </c>
      <c r="F40" s="6">
        <v>0.72916666666666663</v>
      </c>
      <c r="G40">
        <v>0</v>
      </c>
      <c r="H40" s="6">
        <f>FLOOR(tblPivotData[[#This Row],[Time]],Summary!$B$6/1440)</f>
        <v>0.72916666666666663</v>
      </c>
      <c r="I40">
        <f>INDEX(PeakCalc!$L$10:$L$303,MATCH(tblPivotData[[#This Row],[Time]],PeakCalc!$G$10:$G$303,0))</f>
        <v>1</v>
      </c>
    </row>
    <row r="41" spans="1:9" x14ac:dyDescent="0.25">
      <c r="A41" t="s">
        <v>100</v>
      </c>
      <c r="B41" t="s">
        <v>95</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100</v>
      </c>
      <c r="B42" t="s">
        <v>95</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100</v>
      </c>
      <c r="B43" t="s">
        <v>95</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100</v>
      </c>
      <c r="B44" t="s">
        <v>95</v>
      </c>
      <c r="C44" t="s">
        <v>93</v>
      </c>
      <c r="D44" t="s">
        <v>90</v>
      </c>
      <c r="E44" t="s">
        <v>43</v>
      </c>
      <c r="F44" s="6">
        <v>0.3125</v>
      </c>
      <c r="G44">
        <v>2</v>
      </c>
      <c r="H44" s="6">
        <f>FLOOR(tblPivotData[[#This Row],[Time]],Summary!$B$6/1440)</f>
        <v>0.3125</v>
      </c>
      <c r="I44">
        <f>INDEX(PeakCalc!$L$10:$L$303,MATCH(tblPivotData[[#This Row],[Time]],PeakCalc!$G$10:$G$303,0))</f>
        <v>1</v>
      </c>
    </row>
    <row r="45" spans="1:9" x14ac:dyDescent="0.25">
      <c r="A45" t="s">
        <v>100</v>
      </c>
      <c r="B45" t="s">
        <v>95</v>
      </c>
      <c r="C45" t="s">
        <v>93</v>
      </c>
      <c r="D45" t="s">
        <v>90</v>
      </c>
      <c r="E45" t="s">
        <v>43</v>
      </c>
      <c r="F45" s="6">
        <v>0.32291666666666669</v>
      </c>
      <c r="G45">
        <v>2</v>
      </c>
      <c r="H45" s="6">
        <f>FLOOR(tblPivotData[[#This Row],[Time]],Summary!$B$6/1440)</f>
        <v>0.32291666666666663</v>
      </c>
      <c r="I45">
        <f>INDEX(PeakCalc!$L$10:$L$303,MATCH(tblPivotData[[#This Row],[Time]],PeakCalc!$G$10:$G$303,0))</f>
        <v>1</v>
      </c>
    </row>
    <row r="46" spans="1:9" x14ac:dyDescent="0.25">
      <c r="A46" t="s">
        <v>100</v>
      </c>
      <c r="B46" t="s">
        <v>95</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100</v>
      </c>
      <c r="B47" t="s">
        <v>95</v>
      </c>
      <c r="C47" t="s">
        <v>93</v>
      </c>
      <c r="D47" t="s">
        <v>90</v>
      </c>
      <c r="E47" t="s">
        <v>43</v>
      </c>
      <c r="F47" s="6">
        <v>0.34375</v>
      </c>
      <c r="G47">
        <v>1</v>
      </c>
      <c r="H47" s="6">
        <f>FLOOR(tblPivotData[[#This Row],[Time]],Summary!$B$6/1440)</f>
        <v>0.34375</v>
      </c>
      <c r="I47">
        <f>INDEX(PeakCalc!$L$10:$L$303,MATCH(tblPivotData[[#This Row],[Time]],PeakCalc!$G$10:$G$303,0))</f>
        <v>1</v>
      </c>
    </row>
    <row r="48" spans="1:9" x14ac:dyDescent="0.25">
      <c r="A48" t="s">
        <v>100</v>
      </c>
      <c r="B48" t="s">
        <v>95</v>
      </c>
      <c r="C48" t="s">
        <v>93</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100</v>
      </c>
      <c r="B49" t="s">
        <v>95</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100</v>
      </c>
      <c r="B50" t="s">
        <v>95</v>
      </c>
      <c r="C50" t="s">
        <v>93</v>
      </c>
      <c r="D50" t="s">
        <v>90</v>
      </c>
      <c r="E50" t="s">
        <v>91</v>
      </c>
      <c r="F50" s="6">
        <v>0.54166666666666663</v>
      </c>
      <c r="G50">
        <v>1</v>
      </c>
      <c r="H50" s="6">
        <f>FLOOR(tblPivotData[[#This Row],[Time]],Summary!$B$6/1440)</f>
        <v>0.54166666666666663</v>
      </c>
      <c r="I50">
        <f>INDEX(PeakCalc!$L$10:$L$303,MATCH(tblPivotData[[#This Row],[Time]],PeakCalc!$G$10:$G$303,0))</f>
        <v>1</v>
      </c>
    </row>
    <row r="51" spans="1:9" x14ac:dyDescent="0.25">
      <c r="A51" t="s">
        <v>100</v>
      </c>
      <c r="B51" t="s">
        <v>95</v>
      </c>
      <c r="C51" t="s">
        <v>93</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100</v>
      </c>
      <c r="B52" t="s">
        <v>95</v>
      </c>
      <c r="C52" t="s">
        <v>93</v>
      </c>
      <c r="D52" t="s">
        <v>90</v>
      </c>
      <c r="E52" t="s">
        <v>91</v>
      </c>
      <c r="F52" s="6">
        <v>0.5625</v>
      </c>
      <c r="G52">
        <v>0</v>
      </c>
      <c r="H52" s="6">
        <f>FLOOR(tblPivotData[[#This Row],[Time]],Summary!$B$6/1440)</f>
        <v>0.5625</v>
      </c>
      <c r="I52">
        <f>INDEX(PeakCalc!$L$10:$L$303,MATCH(tblPivotData[[#This Row],[Time]],PeakCalc!$G$10:$G$303,0))</f>
        <v>1</v>
      </c>
    </row>
    <row r="53" spans="1:9" x14ac:dyDescent="0.25">
      <c r="A53" t="s">
        <v>100</v>
      </c>
      <c r="B53" t="s">
        <v>95</v>
      </c>
      <c r="C53" t="s">
        <v>93</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100</v>
      </c>
      <c r="B54" t="s">
        <v>95</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100</v>
      </c>
      <c r="B55" t="s">
        <v>95</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100</v>
      </c>
      <c r="B56" t="s">
        <v>95</v>
      </c>
      <c r="C56" t="s">
        <v>93</v>
      </c>
      <c r="D56" t="s">
        <v>90</v>
      </c>
      <c r="E56" t="s">
        <v>44</v>
      </c>
      <c r="F56" s="6">
        <v>0.6875</v>
      </c>
      <c r="G56">
        <v>0</v>
      </c>
      <c r="H56" s="6">
        <f>FLOOR(tblPivotData[[#This Row],[Time]],Summary!$B$6/1440)</f>
        <v>0.6875</v>
      </c>
      <c r="I56">
        <f>INDEX(PeakCalc!$L$10:$L$303,MATCH(tblPivotData[[#This Row],[Time]],PeakCalc!$G$10:$G$303,0))</f>
        <v>0</v>
      </c>
    </row>
    <row r="57" spans="1:9" x14ac:dyDescent="0.25">
      <c r="A57" t="s">
        <v>100</v>
      </c>
      <c r="B57" t="s">
        <v>95</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100</v>
      </c>
      <c r="B58" t="s">
        <v>95</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100</v>
      </c>
      <c r="B59" t="s">
        <v>95</v>
      </c>
      <c r="C59" t="s">
        <v>93</v>
      </c>
      <c r="D59" t="s">
        <v>90</v>
      </c>
      <c r="E59" t="s">
        <v>44</v>
      </c>
      <c r="F59" s="6">
        <v>0.71875</v>
      </c>
      <c r="G59">
        <v>2</v>
      </c>
      <c r="H59" s="6">
        <f>FLOOR(tblPivotData[[#This Row],[Time]],Summary!$B$6/1440)</f>
        <v>0.71875</v>
      </c>
      <c r="I59">
        <f>INDEX(PeakCalc!$L$10:$L$303,MATCH(tblPivotData[[#This Row],[Time]],PeakCalc!$G$10:$G$303,0))</f>
        <v>1</v>
      </c>
    </row>
    <row r="60" spans="1:9" x14ac:dyDescent="0.25">
      <c r="A60" t="s">
        <v>100</v>
      </c>
      <c r="B60" t="s">
        <v>95</v>
      </c>
      <c r="C60" t="s">
        <v>93</v>
      </c>
      <c r="D60" t="s">
        <v>90</v>
      </c>
      <c r="E60" t="s">
        <v>44</v>
      </c>
      <c r="F60" s="6">
        <v>0.72916666666666663</v>
      </c>
      <c r="G60">
        <v>1</v>
      </c>
      <c r="H60" s="6">
        <f>FLOOR(tblPivotData[[#This Row],[Time]],Summary!$B$6/1440)</f>
        <v>0.72916666666666663</v>
      </c>
      <c r="I60">
        <f>INDEX(PeakCalc!$L$10:$L$303,MATCH(tblPivotData[[#This Row],[Time]],PeakCalc!$G$10:$G$303,0))</f>
        <v>1</v>
      </c>
    </row>
    <row r="61" spans="1:9" x14ac:dyDescent="0.25">
      <c r="A61" t="s">
        <v>100</v>
      </c>
      <c r="B61" t="s">
        <v>95</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100</v>
      </c>
      <c r="B62" t="s">
        <v>96</v>
      </c>
      <c r="C62" t="s">
        <v>94</v>
      </c>
      <c r="D62" t="s">
        <v>79</v>
      </c>
      <c r="E62" t="s">
        <v>43</v>
      </c>
      <c r="F62" s="6">
        <v>0.29166666666666669</v>
      </c>
      <c r="G62">
        <v>10</v>
      </c>
      <c r="H62" s="6">
        <f>FLOOR(tblPivotData[[#This Row],[Time]],Summary!$B$6/1440)</f>
        <v>0.29166666666666663</v>
      </c>
      <c r="I62">
        <f>INDEX(PeakCalc!$L$10:$L$303,MATCH(tblPivotData[[#This Row],[Time]],PeakCalc!$G$10:$G$303,0))</f>
        <v>0</v>
      </c>
    </row>
    <row r="63" spans="1:9" x14ac:dyDescent="0.25">
      <c r="A63" t="s">
        <v>100</v>
      </c>
      <c r="B63" t="s">
        <v>96</v>
      </c>
      <c r="C63" t="s">
        <v>94</v>
      </c>
      <c r="D63" t="s">
        <v>79</v>
      </c>
      <c r="E63" t="s">
        <v>43</v>
      </c>
      <c r="F63" s="6">
        <v>0.30208333333333331</v>
      </c>
      <c r="G63">
        <v>18</v>
      </c>
      <c r="H63" s="6">
        <f>FLOOR(tblPivotData[[#This Row],[Time]],Summary!$B$6/1440)</f>
        <v>0.30208333333333331</v>
      </c>
      <c r="I63">
        <f>INDEX(PeakCalc!$L$10:$L$303,MATCH(tblPivotData[[#This Row],[Time]],PeakCalc!$G$10:$G$303,0))</f>
        <v>0</v>
      </c>
    </row>
    <row r="64" spans="1:9" x14ac:dyDescent="0.25">
      <c r="A64" t="s">
        <v>100</v>
      </c>
      <c r="B64" t="s">
        <v>96</v>
      </c>
      <c r="C64" t="s">
        <v>94</v>
      </c>
      <c r="D64" t="s">
        <v>79</v>
      </c>
      <c r="E64" t="s">
        <v>43</v>
      </c>
      <c r="F64" s="6">
        <v>0.3125</v>
      </c>
      <c r="G64">
        <v>17</v>
      </c>
      <c r="H64" s="6">
        <f>FLOOR(tblPivotData[[#This Row],[Time]],Summary!$B$6/1440)</f>
        <v>0.3125</v>
      </c>
      <c r="I64">
        <f>INDEX(PeakCalc!$L$10:$L$303,MATCH(tblPivotData[[#This Row],[Time]],PeakCalc!$G$10:$G$303,0))</f>
        <v>1</v>
      </c>
    </row>
    <row r="65" spans="1:9" x14ac:dyDescent="0.25">
      <c r="A65" t="s">
        <v>100</v>
      </c>
      <c r="B65" t="s">
        <v>96</v>
      </c>
      <c r="C65" t="s">
        <v>94</v>
      </c>
      <c r="D65" t="s">
        <v>79</v>
      </c>
      <c r="E65" t="s">
        <v>43</v>
      </c>
      <c r="F65" s="6">
        <v>0.32291666666666669</v>
      </c>
      <c r="G65">
        <v>11</v>
      </c>
      <c r="H65" s="6">
        <f>FLOOR(tblPivotData[[#This Row],[Time]],Summary!$B$6/1440)</f>
        <v>0.32291666666666663</v>
      </c>
      <c r="I65">
        <f>INDEX(PeakCalc!$L$10:$L$303,MATCH(tblPivotData[[#This Row],[Time]],PeakCalc!$G$10:$G$303,0))</f>
        <v>1</v>
      </c>
    </row>
    <row r="66" spans="1:9" x14ac:dyDescent="0.25">
      <c r="A66" t="s">
        <v>100</v>
      </c>
      <c r="B66" t="s">
        <v>96</v>
      </c>
      <c r="C66" t="s">
        <v>94</v>
      </c>
      <c r="D66" t="s">
        <v>79</v>
      </c>
      <c r="E66" t="s">
        <v>43</v>
      </c>
      <c r="F66" s="6">
        <v>0.33333333333333331</v>
      </c>
      <c r="G66">
        <v>18</v>
      </c>
      <c r="H66" s="6">
        <f>FLOOR(tblPivotData[[#This Row],[Time]],Summary!$B$6/1440)</f>
        <v>0.33333333333333331</v>
      </c>
      <c r="I66">
        <f>INDEX(PeakCalc!$L$10:$L$303,MATCH(tblPivotData[[#This Row],[Time]],PeakCalc!$G$10:$G$303,0))</f>
        <v>1</v>
      </c>
    </row>
    <row r="67" spans="1:9" x14ac:dyDescent="0.25">
      <c r="A67" t="s">
        <v>100</v>
      </c>
      <c r="B67" t="s">
        <v>96</v>
      </c>
      <c r="C67" t="s">
        <v>94</v>
      </c>
      <c r="D67" t="s">
        <v>79</v>
      </c>
      <c r="E67" t="s">
        <v>43</v>
      </c>
      <c r="F67" s="6">
        <v>0.34375</v>
      </c>
      <c r="G67">
        <v>18</v>
      </c>
      <c r="H67" s="6">
        <f>FLOOR(tblPivotData[[#This Row],[Time]],Summary!$B$6/1440)</f>
        <v>0.34375</v>
      </c>
      <c r="I67">
        <f>INDEX(PeakCalc!$L$10:$L$303,MATCH(tblPivotData[[#This Row],[Time]],PeakCalc!$G$10:$G$303,0))</f>
        <v>1</v>
      </c>
    </row>
    <row r="68" spans="1:9" x14ac:dyDescent="0.25">
      <c r="A68" t="s">
        <v>100</v>
      </c>
      <c r="B68" t="s">
        <v>96</v>
      </c>
      <c r="C68" t="s">
        <v>94</v>
      </c>
      <c r="D68" t="s">
        <v>79</v>
      </c>
      <c r="E68" t="s">
        <v>43</v>
      </c>
      <c r="F68" s="6">
        <v>0.35416666666666669</v>
      </c>
      <c r="G68">
        <v>16</v>
      </c>
      <c r="H68" s="6">
        <f>FLOOR(tblPivotData[[#This Row],[Time]],Summary!$B$6/1440)</f>
        <v>0.35416666666666663</v>
      </c>
      <c r="I68">
        <f>INDEX(PeakCalc!$L$10:$L$303,MATCH(tblPivotData[[#This Row],[Time]],PeakCalc!$G$10:$G$303,0))</f>
        <v>0</v>
      </c>
    </row>
    <row r="69" spans="1:9" x14ac:dyDescent="0.25">
      <c r="A69" t="s">
        <v>100</v>
      </c>
      <c r="B69" t="s">
        <v>96</v>
      </c>
      <c r="C69" t="s">
        <v>94</v>
      </c>
      <c r="D69" t="s">
        <v>79</v>
      </c>
      <c r="E69" t="s">
        <v>43</v>
      </c>
      <c r="F69" s="6">
        <v>0.36458333333333331</v>
      </c>
      <c r="G69">
        <v>20</v>
      </c>
      <c r="H69" s="6">
        <f>FLOOR(tblPivotData[[#This Row],[Time]],Summary!$B$6/1440)</f>
        <v>0.36458333333333331</v>
      </c>
      <c r="I69">
        <f>INDEX(PeakCalc!$L$10:$L$303,MATCH(tblPivotData[[#This Row],[Time]],PeakCalc!$G$10:$G$303,0))</f>
        <v>0</v>
      </c>
    </row>
    <row r="70" spans="1:9" x14ac:dyDescent="0.25">
      <c r="A70" t="s">
        <v>100</v>
      </c>
      <c r="B70" t="s">
        <v>96</v>
      </c>
      <c r="C70" t="s">
        <v>94</v>
      </c>
      <c r="D70" t="s">
        <v>79</v>
      </c>
      <c r="E70" t="s">
        <v>91</v>
      </c>
      <c r="F70" s="6">
        <v>0.54166666666666663</v>
      </c>
      <c r="G70">
        <v>8</v>
      </c>
      <c r="H70" s="6">
        <f>FLOOR(tblPivotData[[#This Row],[Time]],Summary!$B$6/1440)</f>
        <v>0.54166666666666663</v>
      </c>
      <c r="I70">
        <f>INDEX(PeakCalc!$L$10:$L$303,MATCH(tblPivotData[[#This Row],[Time]],PeakCalc!$G$10:$G$303,0))</f>
        <v>1</v>
      </c>
    </row>
    <row r="71" spans="1:9" x14ac:dyDescent="0.25">
      <c r="A71" t="s">
        <v>100</v>
      </c>
      <c r="B71" t="s">
        <v>96</v>
      </c>
      <c r="C71" t="s">
        <v>94</v>
      </c>
      <c r="D71" t="s">
        <v>79</v>
      </c>
      <c r="E71" t="s">
        <v>91</v>
      </c>
      <c r="F71" s="6">
        <v>0.55208333333333337</v>
      </c>
      <c r="G71">
        <v>11</v>
      </c>
      <c r="H71" s="6">
        <f>FLOOR(tblPivotData[[#This Row],[Time]],Summary!$B$6/1440)</f>
        <v>0.55208333333333326</v>
      </c>
      <c r="I71">
        <f>INDEX(PeakCalc!$L$10:$L$303,MATCH(tblPivotData[[#This Row],[Time]],PeakCalc!$G$10:$G$303,0))</f>
        <v>1</v>
      </c>
    </row>
    <row r="72" spans="1:9" x14ac:dyDescent="0.25">
      <c r="A72" t="s">
        <v>100</v>
      </c>
      <c r="B72" t="s">
        <v>96</v>
      </c>
      <c r="C72" t="s">
        <v>94</v>
      </c>
      <c r="D72" t="s">
        <v>79</v>
      </c>
      <c r="E72" t="s">
        <v>91</v>
      </c>
      <c r="F72" s="6">
        <v>0.5625</v>
      </c>
      <c r="G72">
        <v>12</v>
      </c>
      <c r="H72" s="6">
        <f>FLOOR(tblPivotData[[#This Row],[Time]],Summary!$B$6/1440)</f>
        <v>0.5625</v>
      </c>
      <c r="I72">
        <f>INDEX(PeakCalc!$L$10:$L$303,MATCH(tblPivotData[[#This Row],[Time]],PeakCalc!$G$10:$G$303,0))</f>
        <v>1</v>
      </c>
    </row>
    <row r="73" spans="1:9" x14ac:dyDescent="0.25">
      <c r="A73" t="s">
        <v>100</v>
      </c>
      <c r="B73" t="s">
        <v>96</v>
      </c>
      <c r="C73" t="s">
        <v>94</v>
      </c>
      <c r="D73" t="s">
        <v>79</v>
      </c>
      <c r="E73" t="s">
        <v>91</v>
      </c>
      <c r="F73" s="6">
        <v>0.57291666666666663</v>
      </c>
      <c r="G73">
        <v>15</v>
      </c>
      <c r="H73" s="6">
        <f>FLOOR(tblPivotData[[#This Row],[Time]],Summary!$B$6/1440)</f>
        <v>0.57291666666666663</v>
      </c>
      <c r="I73">
        <f>INDEX(PeakCalc!$L$10:$L$303,MATCH(tblPivotData[[#This Row],[Time]],PeakCalc!$G$10:$G$303,0))</f>
        <v>1</v>
      </c>
    </row>
    <row r="74" spans="1:9" x14ac:dyDescent="0.25">
      <c r="A74" t="s">
        <v>100</v>
      </c>
      <c r="B74" t="s">
        <v>96</v>
      </c>
      <c r="C74" t="s">
        <v>94</v>
      </c>
      <c r="D74" t="s">
        <v>79</v>
      </c>
      <c r="E74" t="s">
        <v>44</v>
      </c>
      <c r="F74" s="6">
        <v>0.66666666666666663</v>
      </c>
      <c r="G74">
        <v>11</v>
      </c>
      <c r="H74" s="6">
        <f>FLOOR(tblPivotData[[#This Row],[Time]],Summary!$B$6/1440)</f>
        <v>0.66666666666666663</v>
      </c>
      <c r="I74">
        <f>INDEX(PeakCalc!$L$10:$L$303,MATCH(tblPivotData[[#This Row],[Time]],PeakCalc!$G$10:$G$303,0))</f>
        <v>0</v>
      </c>
    </row>
    <row r="75" spans="1:9" x14ac:dyDescent="0.25">
      <c r="A75" t="s">
        <v>100</v>
      </c>
      <c r="B75" t="s">
        <v>96</v>
      </c>
      <c r="C75" t="s">
        <v>94</v>
      </c>
      <c r="D75" t="s">
        <v>79</v>
      </c>
      <c r="E75" t="s">
        <v>44</v>
      </c>
      <c r="F75" s="6">
        <v>0.67708333333333337</v>
      </c>
      <c r="G75">
        <v>17</v>
      </c>
      <c r="H75" s="6">
        <f>FLOOR(tblPivotData[[#This Row],[Time]],Summary!$B$6/1440)</f>
        <v>0.67708333333333326</v>
      </c>
      <c r="I75">
        <f>INDEX(PeakCalc!$L$10:$L$303,MATCH(tblPivotData[[#This Row],[Time]],PeakCalc!$G$10:$G$303,0))</f>
        <v>0</v>
      </c>
    </row>
    <row r="76" spans="1:9" x14ac:dyDescent="0.25">
      <c r="A76" t="s">
        <v>100</v>
      </c>
      <c r="B76" t="s">
        <v>96</v>
      </c>
      <c r="C76" t="s">
        <v>94</v>
      </c>
      <c r="D76" t="s">
        <v>79</v>
      </c>
      <c r="E76" t="s">
        <v>44</v>
      </c>
      <c r="F76" s="6">
        <v>0.6875</v>
      </c>
      <c r="G76">
        <v>6</v>
      </c>
      <c r="H76" s="6">
        <f>FLOOR(tblPivotData[[#This Row],[Time]],Summary!$B$6/1440)</f>
        <v>0.6875</v>
      </c>
      <c r="I76">
        <f>INDEX(PeakCalc!$L$10:$L$303,MATCH(tblPivotData[[#This Row],[Time]],PeakCalc!$G$10:$G$303,0))</f>
        <v>0</v>
      </c>
    </row>
    <row r="77" spans="1:9" x14ac:dyDescent="0.25">
      <c r="A77" t="s">
        <v>100</v>
      </c>
      <c r="B77" t="s">
        <v>96</v>
      </c>
      <c r="C77" t="s">
        <v>94</v>
      </c>
      <c r="D77" t="s">
        <v>79</v>
      </c>
      <c r="E77" t="s">
        <v>44</v>
      </c>
      <c r="F77" s="6">
        <v>0.69791666666666663</v>
      </c>
      <c r="G77">
        <v>11</v>
      </c>
      <c r="H77" s="6">
        <f>FLOOR(tblPivotData[[#This Row],[Time]],Summary!$B$6/1440)</f>
        <v>0.69791666666666663</v>
      </c>
      <c r="I77">
        <f>INDEX(PeakCalc!$L$10:$L$303,MATCH(tblPivotData[[#This Row],[Time]],PeakCalc!$G$10:$G$303,0))</f>
        <v>1</v>
      </c>
    </row>
    <row r="78" spans="1:9" x14ac:dyDescent="0.25">
      <c r="A78" t="s">
        <v>100</v>
      </c>
      <c r="B78" t="s">
        <v>96</v>
      </c>
      <c r="C78" t="s">
        <v>94</v>
      </c>
      <c r="D78" t="s">
        <v>79</v>
      </c>
      <c r="E78" t="s">
        <v>44</v>
      </c>
      <c r="F78" s="6">
        <v>0.70833333333333337</v>
      </c>
      <c r="G78">
        <v>4</v>
      </c>
      <c r="H78" s="6">
        <f>FLOOR(tblPivotData[[#This Row],[Time]],Summary!$B$6/1440)</f>
        <v>0.70833333333333326</v>
      </c>
      <c r="I78">
        <f>INDEX(PeakCalc!$L$10:$L$303,MATCH(tblPivotData[[#This Row],[Time]],PeakCalc!$G$10:$G$303,0))</f>
        <v>1</v>
      </c>
    </row>
    <row r="79" spans="1:9" x14ac:dyDescent="0.25">
      <c r="A79" t="s">
        <v>100</v>
      </c>
      <c r="B79" t="s">
        <v>96</v>
      </c>
      <c r="C79" t="s">
        <v>94</v>
      </c>
      <c r="D79" t="s">
        <v>79</v>
      </c>
      <c r="E79" t="s">
        <v>44</v>
      </c>
      <c r="F79" s="6">
        <v>0.71875</v>
      </c>
      <c r="G79">
        <v>7</v>
      </c>
      <c r="H79" s="6">
        <f>FLOOR(tblPivotData[[#This Row],[Time]],Summary!$B$6/1440)</f>
        <v>0.71875</v>
      </c>
      <c r="I79">
        <f>INDEX(PeakCalc!$L$10:$L$303,MATCH(tblPivotData[[#This Row],[Time]],PeakCalc!$G$10:$G$303,0))</f>
        <v>1</v>
      </c>
    </row>
    <row r="80" spans="1:9" x14ac:dyDescent="0.25">
      <c r="A80" t="s">
        <v>100</v>
      </c>
      <c r="B80" t="s">
        <v>96</v>
      </c>
      <c r="C80" t="s">
        <v>94</v>
      </c>
      <c r="D80" t="s">
        <v>79</v>
      </c>
      <c r="E80" t="s">
        <v>44</v>
      </c>
      <c r="F80" s="6">
        <v>0.72916666666666663</v>
      </c>
      <c r="G80">
        <v>13</v>
      </c>
      <c r="H80" s="6">
        <f>FLOOR(tblPivotData[[#This Row],[Time]],Summary!$B$6/1440)</f>
        <v>0.72916666666666663</v>
      </c>
      <c r="I80">
        <f>INDEX(PeakCalc!$L$10:$L$303,MATCH(tblPivotData[[#This Row],[Time]],PeakCalc!$G$10:$G$303,0))</f>
        <v>1</v>
      </c>
    </row>
    <row r="81" spans="1:9" x14ac:dyDescent="0.25">
      <c r="A81" t="s">
        <v>100</v>
      </c>
      <c r="B81" t="s">
        <v>96</v>
      </c>
      <c r="C81" t="s">
        <v>94</v>
      </c>
      <c r="D81" t="s">
        <v>79</v>
      </c>
      <c r="E81" t="s">
        <v>44</v>
      </c>
      <c r="F81" s="6">
        <v>0.73958333333333337</v>
      </c>
      <c r="G81">
        <v>14</v>
      </c>
      <c r="H81" s="6">
        <f>FLOOR(tblPivotData[[#This Row],[Time]],Summary!$B$6/1440)</f>
        <v>0.73958333333333326</v>
      </c>
      <c r="I81">
        <f>INDEX(PeakCalc!$L$10:$L$303,MATCH(tblPivotData[[#This Row],[Time]],PeakCalc!$G$10:$G$303,0))</f>
        <v>0</v>
      </c>
    </row>
    <row r="82" spans="1:9" x14ac:dyDescent="0.25">
      <c r="A82" t="s">
        <v>100</v>
      </c>
      <c r="B82" t="s">
        <v>96</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100</v>
      </c>
      <c r="B83" t="s">
        <v>96</v>
      </c>
      <c r="C83" t="s">
        <v>94</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100</v>
      </c>
      <c r="B84" t="s">
        <v>96</v>
      </c>
      <c r="C84" t="s">
        <v>94</v>
      </c>
      <c r="D84" t="s">
        <v>89</v>
      </c>
      <c r="E84" t="s">
        <v>43</v>
      </c>
      <c r="F84" s="6">
        <v>0.3125</v>
      </c>
      <c r="G84">
        <v>0</v>
      </c>
      <c r="H84" s="6">
        <f>FLOOR(tblPivotData[[#This Row],[Time]],Summary!$B$6/1440)</f>
        <v>0.3125</v>
      </c>
      <c r="I84">
        <f>INDEX(PeakCalc!$L$10:$L$303,MATCH(tblPivotData[[#This Row],[Time]],PeakCalc!$G$10:$G$303,0))</f>
        <v>1</v>
      </c>
    </row>
    <row r="85" spans="1:9" x14ac:dyDescent="0.25">
      <c r="A85" t="s">
        <v>100</v>
      </c>
      <c r="B85" t="s">
        <v>96</v>
      </c>
      <c r="C85" t="s">
        <v>94</v>
      </c>
      <c r="D85" t="s">
        <v>89</v>
      </c>
      <c r="E85" t="s">
        <v>43</v>
      </c>
      <c r="F85" s="6">
        <v>0.32291666666666669</v>
      </c>
      <c r="G85">
        <v>0</v>
      </c>
      <c r="H85" s="6">
        <f>FLOOR(tblPivotData[[#This Row],[Time]],Summary!$B$6/1440)</f>
        <v>0.32291666666666663</v>
      </c>
      <c r="I85">
        <f>INDEX(PeakCalc!$L$10:$L$303,MATCH(tblPivotData[[#This Row],[Time]],PeakCalc!$G$10:$G$303,0))</f>
        <v>1</v>
      </c>
    </row>
    <row r="86" spans="1:9" x14ac:dyDescent="0.25">
      <c r="A86" t="s">
        <v>100</v>
      </c>
      <c r="B86" t="s">
        <v>96</v>
      </c>
      <c r="C86" t="s">
        <v>94</v>
      </c>
      <c r="D86" t="s">
        <v>89</v>
      </c>
      <c r="E86" t="s">
        <v>43</v>
      </c>
      <c r="F86" s="6">
        <v>0.33333333333333331</v>
      </c>
      <c r="G86">
        <v>1</v>
      </c>
      <c r="H86" s="6">
        <f>FLOOR(tblPivotData[[#This Row],[Time]],Summary!$B$6/1440)</f>
        <v>0.33333333333333331</v>
      </c>
      <c r="I86">
        <f>INDEX(PeakCalc!$L$10:$L$303,MATCH(tblPivotData[[#This Row],[Time]],PeakCalc!$G$10:$G$303,0))</f>
        <v>1</v>
      </c>
    </row>
    <row r="87" spans="1:9" x14ac:dyDescent="0.25">
      <c r="A87" t="s">
        <v>100</v>
      </c>
      <c r="B87" t="s">
        <v>96</v>
      </c>
      <c r="C87" t="s">
        <v>94</v>
      </c>
      <c r="D87" t="s">
        <v>89</v>
      </c>
      <c r="E87" t="s">
        <v>43</v>
      </c>
      <c r="F87" s="6">
        <v>0.34375</v>
      </c>
      <c r="G87">
        <v>0</v>
      </c>
      <c r="H87" s="6">
        <f>FLOOR(tblPivotData[[#This Row],[Time]],Summary!$B$6/1440)</f>
        <v>0.34375</v>
      </c>
      <c r="I87">
        <f>INDEX(PeakCalc!$L$10:$L$303,MATCH(tblPivotData[[#This Row],[Time]],PeakCalc!$G$10:$G$303,0))</f>
        <v>1</v>
      </c>
    </row>
    <row r="88" spans="1:9" x14ac:dyDescent="0.25">
      <c r="A88" t="s">
        <v>100</v>
      </c>
      <c r="B88" t="s">
        <v>96</v>
      </c>
      <c r="C88" t="s">
        <v>94</v>
      </c>
      <c r="D88" t="s">
        <v>89</v>
      </c>
      <c r="E88" t="s">
        <v>43</v>
      </c>
      <c r="F88" s="6">
        <v>0.35416666666666669</v>
      </c>
      <c r="G88">
        <v>0</v>
      </c>
      <c r="H88" s="6">
        <f>FLOOR(tblPivotData[[#This Row],[Time]],Summary!$B$6/1440)</f>
        <v>0.35416666666666663</v>
      </c>
      <c r="I88">
        <f>INDEX(PeakCalc!$L$10:$L$303,MATCH(tblPivotData[[#This Row],[Time]],PeakCalc!$G$10:$G$303,0))</f>
        <v>0</v>
      </c>
    </row>
    <row r="89" spans="1:9" x14ac:dyDescent="0.25">
      <c r="A89" t="s">
        <v>100</v>
      </c>
      <c r="B89" t="s">
        <v>96</v>
      </c>
      <c r="C89" t="s">
        <v>94</v>
      </c>
      <c r="D89" t="s">
        <v>89</v>
      </c>
      <c r="E89" t="s">
        <v>43</v>
      </c>
      <c r="F89" s="6">
        <v>0.36458333333333331</v>
      </c>
      <c r="G89">
        <v>0</v>
      </c>
      <c r="H89" s="6">
        <f>FLOOR(tblPivotData[[#This Row],[Time]],Summary!$B$6/1440)</f>
        <v>0.36458333333333331</v>
      </c>
      <c r="I89">
        <f>INDEX(PeakCalc!$L$10:$L$303,MATCH(tblPivotData[[#This Row],[Time]],PeakCalc!$G$10:$G$303,0))</f>
        <v>0</v>
      </c>
    </row>
    <row r="90" spans="1:9" x14ac:dyDescent="0.25">
      <c r="A90" t="s">
        <v>100</v>
      </c>
      <c r="B90" t="s">
        <v>96</v>
      </c>
      <c r="C90" t="s">
        <v>94</v>
      </c>
      <c r="D90" t="s">
        <v>89</v>
      </c>
      <c r="E90" t="s">
        <v>91</v>
      </c>
      <c r="F90" s="6">
        <v>0.54166666666666663</v>
      </c>
      <c r="G90">
        <v>0</v>
      </c>
      <c r="H90" s="6">
        <f>FLOOR(tblPivotData[[#This Row],[Time]],Summary!$B$6/1440)</f>
        <v>0.54166666666666663</v>
      </c>
      <c r="I90">
        <f>INDEX(PeakCalc!$L$10:$L$303,MATCH(tblPivotData[[#This Row],[Time]],PeakCalc!$G$10:$G$303,0))</f>
        <v>1</v>
      </c>
    </row>
    <row r="91" spans="1:9" x14ac:dyDescent="0.25">
      <c r="A91" t="s">
        <v>100</v>
      </c>
      <c r="B91" t="s">
        <v>96</v>
      </c>
      <c r="C91" t="s">
        <v>94</v>
      </c>
      <c r="D91" t="s">
        <v>89</v>
      </c>
      <c r="E91" t="s">
        <v>91</v>
      </c>
      <c r="F91" s="6">
        <v>0.55208333333333337</v>
      </c>
      <c r="G91">
        <v>0</v>
      </c>
      <c r="H91" s="6">
        <f>FLOOR(tblPivotData[[#This Row],[Time]],Summary!$B$6/1440)</f>
        <v>0.55208333333333326</v>
      </c>
      <c r="I91">
        <f>INDEX(PeakCalc!$L$10:$L$303,MATCH(tblPivotData[[#This Row],[Time]],PeakCalc!$G$10:$G$303,0))</f>
        <v>1</v>
      </c>
    </row>
    <row r="92" spans="1:9" x14ac:dyDescent="0.25">
      <c r="A92" t="s">
        <v>100</v>
      </c>
      <c r="B92" t="s">
        <v>96</v>
      </c>
      <c r="C92" t="s">
        <v>94</v>
      </c>
      <c r="D92" t="s">
        <v>89</v>
      </c>
      <c r="E92" t="s">
        <v>91</v>
      </c>
      <c r="F92" s="6">
        <v>0.5625</v>
      </c>
      <c r="G92">
        <v>0</v>
      </c>
      <c r="H92" s="6">
        <f>FLOOR(tblPivotData[[#This Row],[Time]],Summary!$B$6/1440)</f>
        <v>0.5625</v>
      </c>
      <c r="I92">
        <f>INDEX(PeakCalc!$L$10:$L$303,MATCH(tblPivotData[[#This Row],[Time]],PeakCalc!$G$10:$G$303,0))</f>
        <v>1</v>
      </c>
    </row>
    <row r="93" spans="1:9" x14ac:dyDescent="0.25">
      <c r="A93" t="s">
        <v>100</v>
      </c>
      <c r="B93" t="s">
        <v>96</v>
      </c>
      <c r="C93" t="s">
        <v>94</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100</v>
      </c>
      <c r="B94" t="s">
        <v>96</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100</v>
      </c>
      <c r="B95" t="s">
        <v>96</v>
      </c>
      <c r="C95" t="s">
        <v>94</v>
      </c>
      <c r="D95" t="s">
        <v>89</v>
      </c>
      <c r="E95" t="s">
        <v>44</v>
      </c>
      <c r="F95" s="6">
        <v>0.67708333333333337</v>
      </c>
      <c r="G95">
        <v>0</v>
      </c>
      <c r="H95" s="6">
        <f>FLOOR(tblPivotData[[#This Row],[Time]],Summary!$B$6/1440)</f>
        <v>0.67708333333333326</v>
      </c>
      <c r="I95">
        <f>INDEX(PeakCalc!$L$10:$L$303,MATCH(tblPivotData[[#This Row],[Time]],PeakCalc!$G$10:$G$303,0))</f>
        <v>0</v>
      </c>
    </row>
    <row r="96" spans="1:9" x14ac:dyDescent="0.25">
      <c r="A96" t="s">
        <v>100</v>
      </c>
      <c r="B96" t="s">
        <v>96</v>
      </c>
      <c r="C96" t="s">
        <v>94</v>
      </c>
      <c r="D96" t="s">
        <v>89</v>
      </c>
      <c r="E96" t="s">
        <v>44</v>
      </c>
      <c r="F96" s="6">
        <v>0.6875</v>
      </c>
      <c r="G96">
        <v>0</v>
      </c>
      <c r="H96" s="6">
        <f>FLOOR(tblPivotData[[#This Row],[Time]],Summary!$B$6/1440)</f>
        <v>0.6875</v>
      </c>
      <c r="I96">
        <f>INDEX(PeakCalc!$L$10:$L$303,MATCH(tblPivotData[[#This Row],[Time]],PeakCalc!$G$10:$G$303,0))</f>
        <v>0</v>
      </c>
    </row>
    <row r="97" spans="1:9" x14ac:dyDescent="0.25">
      <c r="A97" t="s">
        <v>100</v>
      </c>
      <c r="B97" t="s">
        <v>96</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100</v>
      </c>
      <c r="B98" t="s">
        <v>96</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100</v>
      </c>
      <c r="B99" t="s">
        <v>96</v>
      </c>
      <c r="C99" t="s">
        <v>94</v>
      </c>
      <c r="D99" t="s">
        <v>89</v>
      </c>
      <c r="E99" t="s">
        <v>44</v>
      </c>
      <c r="F99" s="6">
        <v>0.71875</v>
      </c>
      <c r="G99">
        <v>0</v>
      </c>
      <c r="H99" s="6">
        <f>FLOOR(tblPivotData[[#This Row],[Time]],Summary!$B$6/1440)</f>
        <v>0.71875</v>
      </c>
      <c r="I99">
        <f>INDEX(PeakCalc!$L$10:$L$303,MATCH(tblPivotData[[#This Row],[Time]],PeakCalc!$G$10:$G$303,0))</f>
        <v>1</v>
      </c>
    </row>
    <row r="100" spans="1:9" x14ac:dyDescent="0.25">
      <c r="A100" t="s">
        <v>100</v>
      </c>
      <c r="B100" t="s">
        <v>96</v>
      </c>
      <c r="C100" t="s">
        <v>94</v>
      </c>
      <c r="D100" t="s">
        <v>89</v>
      </c>
      <c r="E100" t="s">
        <v>44</v>
      </c>
      <c r="F100" s="6">
        <v>0.72916666666666663</v>
      </c>
      <c r="G100">
        <v>0</v>
      </c>
      <c r="H100" s="6">
        <f>FLOOR(tblPivotData[[#This Row],[Time]],Summary!$B$6/1440)</f>
        <v>0.72916666666666663</v>
      </c>
      <c r="I100">
        <f>INDEX(PeakCalc!$L$10:$L$303,MATCH(tblPivotData[[#This Row],[Time]],PeakCalc!$G$10:$G$303,0))</f>
        <v>1</v>
      </c>
    </row>
    <row r="101" spans="1:9" x14ac:dyDescent="0.25">
      <c r="A101" t="s">
        <v>100</v>
      </c>
      <c r="B101" t="s">
        <v>96</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100</v>
      </c>
      <c r="B102" t="s">
        <v>96</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100</v>
      </c>
      <c r="B103" t="s">
        <v>96</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100</v>
      </c>
      <c r="B104" t="s">
        <v>96</v>
      </c>
      <c r="C104" t="s">
        <v>94</v>
      </c>
      <c r="D104" t="s">
        <v>90</v>
      </c>
      <c r="E104" t="s">
        <v>43</v>
      </c>
      <c r="F104" s="6">
        <v>0.3125</v>
      </c>
      <c r="G104">
        <v>1</v>
      </c>
      <c r="H104" s="6">
        <f>FLOOR(tblPivotData[[#This Row],[Time]],Summary!$B$6/1440)</f>
        <v>0.3125</v>
      </c>
      <c r="I104">
        <f>INDEX(PeakCalc!$L$10:$L$303,MATCH(tblPivotData[[#This Row],[Time]],PeakCalc!$G$10:$G$303,0))</f>
        <v>1</v>
      </c>
    </row>
    <row r="105" spans="1:9" x14ac:dyDescent="0.25">
      <c r="A105" t="s">
        <v>100</v>
      </c>
      <c r="B105" t="s">
        <v>96</v>
      </c>
      <c r="C105" t="s">
        <v>94</v>
      </c>
      <c r="D105" t="s">
        <v>90</v>
      </c>
      <c r="E105" t="s">
        <v>43</v>
      </c>
      <c r="F105" s="6">
        <v>0.32291666666666669</v>
      </c>
      <c r="G105">
        <v>1</v>
      </c>
      <c r="H105" s="6">
        <f>FLOOR(tblPivotData[[#This Row],[Time]],Summary!$B$6/1440)</f>
        <v>0.32291666666666663</v>
      </c>
      <c r="I105">
        <f>INDEX(PeakCalc!$L$10:$L$303,MATCH(tblPivotData[[#This Row],[Time]],PeakCalc!$G$10:$G$303,0))</f>
        <v>1</v>
      </c>
    </row>
    <row r="106" spans="1:9" x14ac:dyDescent="0.25">
      <c r="A106" t="s">
        <v>100</v>
      </c>
      <c r="B106" t="s">
        <v>96</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100</v>
      </c>
      <c r="B107" t="s">
        <v>96</v>
      </c>
      <c r="C107" t="s">
        <v>94</v>
      </c>
      <c r="D107" t="s">
        <v>90</v>
      </c>
      <c r="E107" t="s">
        <v>43</v>
      </c>
      <c r="F107" s="6">
        <v>0.34375</v>
      </c>
      <c r="G107">
        <v>0</v>
      </c>
      <c r="H107" s="6">
        <f>FLOOR(tblPivotData[[#This Row],[Time]],Summary!$B$6/1440)</f>
        <v>0.34375</v>
      </c>
      <c r="I107">
        <f>INDEX(PeakCalc!$L$10:$L$303,MATCH(tblPivotData[[#This Row],[Time]],PeakCalc!$G$10:$G$303,0))</f>
        <v>1</v>
      </c>
    </row>
    <row r="108" spans="1:9" x14ac:dyDescent="0.25">
      <c r="A108" t="s">
        <v>100</v>
      </c>
      <c r="B108" t="s">
        <v>96</v>
      </c>
      <c r="C108" t="s">
        <v>94</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100</v>
      </c>
      <c r="B109" t="s">
        <v>96</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100</v>
      </c>
      <c r="B110" t="s">
        <v>96</v>
      </c>
      <c r="C110" t="s">
        <v>94</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100</v>
      </c>
      <c r="B111" t="s">
        <v>96</v>
      </c>
      <c r="C111" t="s">
        <v>94</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100</v>
      </c>
      <c r="B112" t="s">
        <v>96</v>
      </c>
      <c r="C112" t="s">
        <v>94</v>
      </c>
      <c r="D112" t="s">
        <v>90</v>
      </c>
      <c r="E112" t="s">
        <v>91</v>
      </c>
      <c r="F112" s="6">
        <v>0.5625</v>
      </c>
      <c r="G112">
        <v>0</v>
      </c>
      <c r="H112" s="6">
        <f>FLOOR(tblPivotData[[#This Row],[Time]],Summary!$B$6/1440)</f>
        <v>0.5625</v>
      </c>
      <c r="I112">
        <f>INDEX(PeakCalc!$L$10:$L$303,MATCH(tblPivotData[[#This Row],[Time]],PeakCalc!$G$10:$G$303,0))</f>
        <v>1</v>
      </c>
    </row>
    <row r="113" spans="1:9" x14ac:dyDescent="0.25">
      <c r="A113" t="s">
        <v>100</v>
      </c>
      <c r="B113" t="s">
        <v>96</v>
      </c>
      <c r="C113" t="s">
        <v>94</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100</v>
      </c>
      <c r="B114" t="s">
        <v>96</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100</v>
      </c>
      <c r="B115" t="s">
        <v>96</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100</v>
      </c>
      <c r="B116" t="s">
        <v>96</v>
      </c>
      <c r="C116" t="s">
        <v>94</v>
      </c>
      <c r="D116" t="s">
        <v>90</v>
      </c>
      <c r="E116" t="s">
        <v>44</v>
      </c>
      <c r="F116" s="6">
        <v>0.6875</v>
      </c>
      <c r="G116">
        <v>0</v>
      </c>
      <c r="H116" s="6">
        <f>FLOOR(tblPivotData[[#This Row],[Time]],Summary!$B$6/1440)</f>
        <v>0.6875</v>
      </c>
      <c r="I116">
        <f>INDEX(PeakCalc!$L$10:$L$303,MATCH(tblPivotData[[#This Row],[Time]],PeakCalc!$G$10:$G$303,0))</f>
        <v>0</v>
      </c>
    </row>
    <row r="117" spans="1:9" x14ac:dyDescent="0.25">
      <c r="A117" t="s">
        <v>100</v>
      </c>
      <c r="B117" t="s">
        <v>96</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100</v>
      </c>
      <c r="B118" t="s">
        <v>96</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100</v>
      </c>
      <c r="B119" t="s">
        <v>96</v>
      </c>
      <c r="C119" t="s">
        <v>94</v>
      </c>
      <c r="D119" t="s">
        <v>90</v>
      </c>
      <c r="E119" t="s">
        <v>44</v>
      </c>
      <c r="F119" s="6">
        <v>0.71875</v>
      </c>
      <c r="G119">
        <v>0</v>
      </c>
      <c r="H119" s="6">
        <f>FLOOR(tblPivotData[[#This Row],[Time]],Summary!$B$6/1440)</f>
        <v>0.71875</v>
      </c>
      <c r="I119">
        <f>INDEX(PeakCalc!$L$10:$L$303,MATCH(tblPivotData[[#This Row],[Time]],PeakCalc!$G$10:$G$303,0))</f>
        <v>1</v>
      </c>
    </row>
    <row r="120" spans="1:9" x14ac:dyDescent="0.25">
      <c r="A120" t="s">
        <v>100</v>
      </c>
      <c r="B120" t="s">
        <v>96</v>
      </c>
      <c r="C120" t="s">
        <v>94</v>
      </c>
      <c r="D120" t="s">
        <v>90</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100</v>
      </c>
      <c r="B121" t="s">
        <v>96</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97</v>
      </c>
      <c r="C122" t="s">
        <v>94</v>
      </c>
      <c r="D122" t="s">
        <v>79</v>
      </c>
      <c r="E122" t="s">
        <v>43</v>
      </c>
      <c r="F122" s="6">
        <v>0.29166666666666669</v>
      </c>
      <c r="G122">
        <v>168</v>
      </c>
      <c r="H122" s="6">
        <f>FLOOR(tblPivotData[[#This Row],[Time]],Summary!$B$6/1440)</f>
        <v>0.29166666666666663</v>
      </c>
      <c r="I122">
        <f>INDEX(PeakCalc!$L$10:$L$303,MATCH(tblPivotData[[#This Row],[Time]],PeakCalc!$G$10:$G$303,0))</f>
        <v>0</v>
      </c>
    </row>
    <row r="123" spans="1:9" x14ac:dyDescent="0.25">
      <c r="A123" t="s">
        <v>93</v>
      </c>
      <c r="B123" t="s">
        <v>97</v>
      </c>
      <c r="C123" t="s">
        <v>94</v>
      </c>
      <c r="D123" t="s">
        <v>79</v>
      </c>
      <c r="E123" t="s">
        <v>43</v>
      </c>
      <c r="F123" s="6">
        <v>0.30208333333333331</v>
      </c>
      <c r="G123">
        <v>182</v>
      </c>
      <c r="H123" s="6">
        <f>FLOOR(tblPivotData[[#This Row],[Time]],Summary!$B$6/1440)</f>
        <v>0.30208333333333331</v>
      </c>
      <c r="I123">
        <f>INDEX(PeakCalc!$L$10:$L$303,MATCH(tblPivotData[[#This Row],[Time]],PeakCalc!$G$10:$G$303,0))</f>
        <v>0</v>
      </c>
    </row>
    <row r="124" spans="1:9" x14ac:dyDescent="0.25">
      <c r="A124" t="s">
        <v>93</v>
      </c>
      <c r="B124" t="s">
        <v>97</v>
      </c>
      <c r="C124" t="s">
        <v>94</v>
      </c>
      <c r="D124" t="s">
        <v>79</v>
      </c>
      <c r="E124" t="s">
        <v>43</v>
      </c>
      <c r="F124" s="6">
        <v>0.3125</v>
      </c>
      <c r="G124">
        <v>204</v>
      </c>
      <c r="H124" s="6">
        <f>FLOOR(tblPivotData[[#This Row],[Time]],Summary!$B$6/1440)</f>
        <v>0.3125</v>
      </c>
      <c r="I124">
        <f>INDEX(PeakCalc!$L$10:$L$303,MATCH(tblPivotData[[#This Row],[Time]],PeakCalc!$G$10:$G$303,0))</f>
        <v>1</v>
      </c>
    </row>
    <row r="125" spans="1:9" x14ac:dyDescent="0.25">
      <c r="A125" t="s">
        <v>93</v>
      </c>
      <c r="B125" t="s">
        <v>97</v>
      </c>
      <c r="C125" t="s">
        <v>94</v>
      </c>
      <c r="D125" t="s">
        <v>79</v>
      </c>
      <c r="E125" t="s">
        <v>43</v>
      </c>
      <c r="F125" s="6">
        <v>0.32291666666666669</v>
      </c>
      <c r="G125">
        <v>255</v>
      </c>
      <c r="H125" s="6">
        <f>FLOOR(tblPivotData[[#This Row],[Time]],Summary!$B$6/1440)</f>
        <v>0.32291666666666663</v>
      </c>
      <c r="I125">
        <f>INDEX(PeakCalc!$L$10:$L$303,MATCH(tblPivotData[[#This Row],[Time]],PeakCalc!$G$10:$G$303,0))</f>
        <v>1</v>
      </c>
    </row>
    <row r="126" spans="1:9" x14ac:dyDescent="0.25">
      <c r="A126" t="s">
        <v>93</v>
      </c>
      <c r="B126" t="s">
        <v>97</v>
      </c>
      <c r="C126" t="s">
        <v>94</v>
      </c>
      <c r="D126" t="s">
        <v>79</v>
      </c>
      <c r="E126" t="s">
        <v>43</v>
      </c>
      <c r="F126" s="6">
        <v>0.33333333333333331</v>
      </c>
      <c r="G126">
        <v>237</v>
      </c>
      <c r="H126" s="6">
        <f>FLOOR(tblPivotData[[#This Row],[Time]],Summary!$B$6/1440)</f>
        <v>0.33333333333333331</v>
      </c>
      <c r="I126">
        <f>INDEX(PeakCalc!$L$10:$L$303,MATCH(tblPivotData[[#This Row],[Time]],PeakCalc!$G$10:$G$303,0))</f>
        <v>1</v>
      </c>
    </row>
    <row r="127" spans="1:9" x14ac:dyDescent="0.25">
      <c r="A127" t="s">
        <v>93</v>
      </c>
      <c r="B127" t="s">
        <v>97</v>
      </c>
      <c r="C127" t="s">
        <v>94</v>
      </c>
      <c r="D127" t="s">
        <v>79</v>
      </c>
      <c r="E127" t="s">
        <v>43</v>
      </c>
      <c r="F127" s="6">
        <v>0.34375</v>
      </c>
      <c r="G127">
        <v>215</v>
      </c>
      <c r="H127" s="6">
        <f>FLOOR(tblPivotData[[#This Row],[Time]],Summary!$B$6/1440)</f>
        <v>0.34375</v>
      </c>
      <c r="I127">
        <f>INDEX(PeakCalc!$L$10:$L$303,MATCH(tblPivotData[[#This Row],[Time]],PeakCalc!$G$10:$G$303,0))</f>
        <v>1</v>
      </c>
    </row>
    <row r="128" spans="1:9" x14ac:dyDescent="0.25">
      <c r="A128" t="s">
        <v>93</v>
      </c>
      <c r="B128" t="s">
        <v>97</v>
      </c>
      <c r="C128" t="s">
        <v>94</v>
      </c>
      <c r="D128" t="s">
        <v>79</v>
      </c>
      <c r="E128" t="s">
        <v>43</v>
      </c>
      <c r="F128" s="6">
        <v>0.35416666666666669</v>
      </c>
      <c r="G128">
        <v>217</v>
      </c>
      <c r="H128" s="6">
        <f>FLOOR(tblPivotData[[#This Row],[Time]],Summary!$B$6/1440)</f>
        <v>0.35416666666666663</v>
      </c>
      <c r="I128">
        <f>INDEX(PeakCalc!$L$10:$L$303,MATCH(tblPivotData[[#This Row],[Time]],PeakCalc!$G$10:$G$303,0))</f>
        <v>0</v>
      </c>
    </row>
    <row r="129" spans="1:9" x14ac:dyDescent="0.25">
      <c r="A129" t="s">
        <v>93</v>
      </c>
      <c r="B129" t="s">
        <v>97</v>
      </c>
      <c r="C129" t="s">
        <v>94</v>
      </c>
      <c r="D129" t="s">
        <v>79</v>
      </c>
      <c r="E129" t="s">
        <v>43</v>
      </c>
      <c r="F129" s="6">
        <v>0.36458333333333331</v>
      </c>
      <c r="G129">
        <v>241</v>
      </c>
      <c r="H129" s="6">
        <f>FLOOR(tblPivotData[[#This Row],[Time]],Summary!$B$6/1440)</f>
        <v>0.36458333333333331</v>
      </c>
      <c r="I129">
        <f>INDEX(PeakCalc!$L$10:$L$303,MATCH(tblPivotData[[#This Row],[Time]],PeakCalc!$G$10:$G$303,0))</f>
        <v>0</v>
      </c>
    </row>
    <row r="130" spans="1:9" x14ac:dyDescent="0.25">
      <c r="A130" t="s">
        <v>93</v>
      </c>
      <c r="B130" t="s">
        <v>97</v>
      </c>
      <c r="C130" t="s">
        <v>94</v>
      </c>
      <c r="D130" t="s">
        <v>79</v>
      </c>
      <c r="E130" t="s">
        <v>91</v>
      </c>
      <c r="F130" s="6">
        <v>0.54166666666666663</v>
      </c>
      <c r="G130">
        <v>160</v>
      </c>
      <c r="H130" s="6">
        <f>FLOOR(tblPivotData[[#This Row],[Time]],Summary!$B$6/1440)</f>
        <v>0.54166666666666663</v>
      </c>
      <c r="I130">
        <f>INDEX(PeakCalc!$L$10:$L$303,MATCH(tblPivotData[[#This Row],[Time]],PeakCalc!$G$10:$G$303,0))</f>
        <v>1</v>
      </c>
    </row>
    <row r="131" spans="1:9" x14ac:dyDescent="0.25">
      <c r="A131" t="s">
        <v>93</v>
      </c>
      <c r="B131" t="s">
        <v>97</v>
      </c>
      <c r="C131" t="s">
        <v>94</v>
      </c>
      <c r="D131" t="s">
        <v>79</v>
      </c>
      <c r="E131" t="s">
        <v>91</v>
      </c>
      <c r="F131" s="6">
        <v>0.55208333333333337</v>
      </c>
      <c r="G131">
        <v>151</v>
      </c>
      <c r="H131" s="6">
        <f>FLOOR(tblPivotData[[#This Row],[Time]],Summary!$B$6/1440)</f>
        <v>0.55208333333333326</v>
      </c>
      <c r="I131">
        <f>INDEX(PeakCalc!$L$10:$L$303,MATCH(tblPivotData[[#This Row],[Time]],PeakCalc!$G$10:$G$303,0))</f>
        <v>1</v>
      </c>
    </row>
    <row r="132" spans="1:9" x14ac:dyDescent="0.25">
      <c r="A132" t="s">
        <v>93</v>
      </c>
      <c r="B132" t="s">
        <v>97</v>
      </c>
      <c r="C132" t="s">
        <v>94</v>
      </c>
      <c r="D132" t="s">
        <v>79</v>
      </c>
      <c r="E132" t="s">
        <v>91</v>
      </c>
      <c r="F132" s="6">
        <v>0.5625</v>
      </c>
      <c r="G132">
        <v>145</v>
      </c>
      <c r="H132" s="6">
        <f>FLOOR(tblPivotData[[#This Row],[Time]],Summary!$B$6/1440)</f>
        <v>0.5625</v>
      </c>
      <c r="I132">
        <f>INDEX(PeakCalc!$L$10:$L$303,MATCH(tblPivotData[[#This Row],[Time]],PeakCalc!$G$10:$G$303,0))</f>
        <v>1</v>
      </c>
    </row>
    <row r="133" spans="1:9" x14ac:dyDescent="0.25">
      <c r="A133" t="s">
        <v>93</v>
      </c>
      <c r="B133" t="s">
        <v>97</v>
      </c>
      <c r="C133" t="s">
        <v>94</v>
      </c>
      <c r="D133" t="s">
        <v>79</v>
      </c>
      <c r="E133" t="s">
        <v>91</v>
      </c>
      <c r="F133" s="6">
        <v>0.57291666666666663</v>
      </c>
      <c r="G133">
        <v>168</v>
      </c>
      <c r="H133" s="6">
        <f>FLOOR(tblPivotData[[#This Row],[Time]],Summary!$B$6/1440)</f>
        <v>0.57291666666666663</v>
      </c>
      <c r="I133">
        <f>INDEX(PeakCalc!$L$10:$L$303,MATCH(tblPivotData[[#This Row],[Time]],PeakCalc!$G$10:$G$303,0))</f>
        <v>1</v>
      </c>
    </row>
    <row r="134" spans="1:9" x14ac:dyDescent="0.25">
      <c r="A134" t="s">
        <v>93</v>
      </c>
      <c r="B134" t="s">
        <v>97</v>
      </c>
      <c r="C134" t="s">
        <v>94</v>
      </c>
      <c r="D134" t="s">
        <v>79</v>
      </c>
      <c r="E134" t="s">
        <v>44</v>
      </c>
      <c r="F134" s="6">
        <v>0.66666666666666663</v>
      </c>
      <c r="G134">
        <v>235</v>
      </c>
      <c r="H134" s="6">
        <f>FLOOR(tblPivotData[[#This Row],[Time]],Summary!$B$6/1440)</f>
        <v>0.66666666666666663</v>
      </c>
      <c r="I134">
        <f>INDEX(PeakCalc!$L$10:$L$303,MATCH(tblPivotData[[#This Row],[Time]],PeakCalc!$G$10:$G$303,0))</f>
        <v>0</v>
      </c>
    </row>
    <row r="135" spans="1:9" x14ac:dyDescent="0.25">
      <c r="A135" t="s">
        <v>93</v>
      </c>
      <c r="B135" t="s">
        <v>97</v>
      </c>
      <c r="C135" t="s">
        <v>94</v>
      </c>
      <c r="D135" t="s">
        <v>79</v>
      </c>
      <c r="E135" t="s">
        <v>44</v>
      </c>
      <c r="F135" s="6">
        <v>0.67708333333333337</v>
      </c>
      <c r="G135">
        <v>207</v>
      </c>
      <c r="H135" s="6">
        <f>FLOOR(tblPivotData[[#This Row],[Time]],Summary!$B$6/1440)</f>
        <v>0.67708333333333326</v>
      </c>
      <c r="I135">
        <f>INDEX(PeakCalc!$L$10:$L$303,MATCH(tblPivotData[[#This Row],[Time]],PeakCalc!$G$10:$G$303,0))</f>
        <v>0</v>
      </c>
    </row>
    <row r="136" spans="1:9" x14ac:dyDescent="0.25">
      <c r="A136" t="s">
        <v>93</v>
      </c>
      <c r="B136" t="s">
        <v>97</v>
      </c>
      <c r="C136" t="s">
        <v>94</v>
      </c>
      <c r="D136" t="s">
        <v>79</v>
      </c>
      <c r="E136" t="s">
        <v>44</v>
      </c>
      <c r="F136" s="6">
        <v>0.6875</v>
      </c>
      <c r="G136">
        <v>201</v>
      </c>
      <c r="H136" s="6">
        <f>FLOOR(tblPivotData[[#This Row],[Time]],Summary!$B$6/1440)</f>
        <v>0.6875</v>
      </c>
      <c r="I136">
        <f>INDEX(PeakCalc!$L$10:$L$303,MATCH(tblPivotData[[#This Row],[Time]],PeakCalc!$G$10:$G$303,0))</f>
        <v>0</v>
      </c>
    </row>
    <row r="137" spans="1:9" x14ac:dyDescent="0.25">
      <c r="A137" t="s">
        <v>93</v>
      </c>
      <c r="B137" t="s">
        <v>97</v>
      </c>
      <c r="C137" t="s">
        <v>94</v>
      </c>
      <c r="D137" t="s">
        <v>79</v>
      </c>
      <c r="E137" t="s">
        <v>44</v>
      </c>
      <c r="F137" s="6">
        <v>0.69791666666666663</v>
      </c>
      <c r="G137">
        <v>202</v>
      </c>
      <c r="H137" s="6">
        <f>FLOOR(tblPivotData[[#This Row],[Time]],Summary!$B$6/1440)</f>
        <v>0.69791666666666663</v>
      </c>
      <c r="I137">
        <f>INDEX(PeakCalc!$L$10:$L$303,MATCH(tblPivotData[[#This Row],[Time]],PeakCalc!$G$10:$G$303,0))</f>
        <v>1</v>
      </c>
    </row>
    <row r="138" spans="1:9" x14ac:dyDescent="0.25">
      <c r="A138" t="s">
        <v>93</v>
      </c>
      <c r="B138" t="s">
        <v>97</v>
      </c>
      <c r="C138" t="s">
        <v>94</v>
      </c>
      <c r="D138" t="s">
        <v>79</v>
      </c>
      <c r="E138" t="s">
        <v>44</v>
      </c>
      <c r="F138" s="6">
        <v>0.70833333333333337</v>
      </c>
      <c r="G138">
        <v>237</v>
      </c>
      <c r="H138" s="6">
        <f>FLOOR(tblPivotData[[#This Row],[Time]],Summary!$B$6/1440)</f>
        <v>0.70833333333333326</v>
      </c>
      <c r="I138">
        <f>INDEX(PeakCalc!$L$10:$L$303,MATCH(tblPivotData[[#This Row],[Time]],PeakCalc!$G$10:$G$303,0))</f>
        <v>1</v>
      </c>
    </row>
    <row r="139" spans="1:9" x14ac:dyDescent="0.25">
      <c r="A139" t="s">
        <v>93</v>
      </c>
      <c r="B139" t="s">
        <v>97</v>
      </c>
      <c r="C139" t="s">
        <v>94</v>
      </c>
      <c r="D139" t="s">
        <v>79</v>
      </c>
      <c r="E139" t="s">
        <v>44</v>
      </c>
      <c r="F139" s="6">
        <v>0.71875</v>
      </c>
      <c r="G139">
        <v>171</v>
      </c>
      <c r="H139" s="6">
        <f>FLOOR(tblPivotData[[#This Row],[Time]],Summary!$B$6/1440)</f>
        <v>0.71875</v>
      </c>
      <c r="I139">
        <f>INDEX(PeakCalc!$L$10:$L$303,MATCH(tblPivotData[[#This Row],[Time]],PeakCalc!$G$10:$G$303,0))</f>
        <v>1</v>
      </c>
    </row>
    <row r="140" spans="1:9" x14ac:dyDescent="0.25">
      <c r="A140" t="s">
        <v>93</v>
      </c>
      <c r="B140" t="s">
        <v>97</v>
      </c>
      <c r="C140" t="s">
        <v>94</v>
      </c>
      <c r="D140" t="s">
        <v>79</v>
      </c>
      <c r="E140" t="s">
        <v>44</v>
      </c>
      <c r="F140" s="6">
        <v>0.72916666666666663</v>
      </c>
      <c r="G140">
        <v>201</v>
      </c>
      <c r="H140" s="6">
        <f>FLOOR(tblPivotData[[#This Row],[Time]],Summary!$B$6/1440)</f>
        <v>0.72916666666666663</v>
      </c>
      <c r="I140">
        <f>INDEX(PeakCalc!$L$10:$L$303,MATCH(tblPivotData[[#This Row],[Time]],PeakCalc!$G$10:$G$303,0))</f>
        <v>1</v>
      </c>
    </row>
    <row r="141" spans="1:9" x14ac:dyDescent="0.25">
      <c r="A141" t="s">
        <v>93</v>
      </c>
      <c r="B141" t="s">
        <v>97</v>
      </c>
      <c r="C141" t="s">
        <v>94</v>
      </c>
      <c r="D141" t="s">
        <v>79</v>
      </c>
      <c r="E141" t="s">
        <v>44</v>
      </c>
      <c r="F141" s="6">
        <v>0.73958333333333337</v>
      </c>
      <c r="G141">
        <v>165</v>
      </c>
      <c r="H141" s="6">
        <f>FLOOR(tblPivotData[[#This Row],[Time]],Summary!$B$6/1440)</f>
        <v>0.73958333333333326</v>
      </c>
      <c r="I141">
        <f>INDEX(PeakCalc!$L$10:$L$303,MATCH(tblPivotData[[#This Row],[Time]],PeakCalc!$G$10:$G$303,0))</f>
        <v>0</v>
      </c>
    </row>
    <row r="142" spans="1:9" x14ac:dyDescent="0.25">
      <c r="A142" t="s">
        <v>93</v>
      </c>
      <c r="B142" t="s">
        <v>97</v>
      </c>
      <c r="C142" t="s">
        <v>94</v>
      </c>
      <c r="D142" t="s">
        <v>89</v>
      </c>
      <c r="E142" t="s">
        <v>43</v>
      </c>
      <c r="F142" s="6">
        <v>0.29166666666666669</v>
      </c>
      <c r="G142">
        <v>4</v>
      </c>
      <c r="H142" s="6">
        <f>FLOOR(tblPivotData[[#This Row],[Time]],Summary!$B$6/1440)</f>
        <v>0.29166666666666663</v>
      </c>
      <c r="I142">
        <f>INDEX(PeakCalc!$L$10:$L$303,MATCH(tblPivotData[[#This Row],[Time]],PeakCalc!$G$10:$G$303,0))</f>
        <v>0</v>
      </c>
    </row>
    <row r="143" spans="1:9" x14ac:dyDescent="0.25">
      <c r="A143" t="s">
        <v>93</v>
      </c>
      <c r="B143" t="s">
        <v>97</v>
      </c>
      <c r="C143" t="s">
        <v>94</v>
      </c>
      <c r="D143" t="s">
        <v>89</v>
      </c>
      <c r="E143" t="s">
        <v>43</v>
      </c>
      <c r="F143" s="6">
        <v>0.30208333333333331</v>
      </c>
      <c r="G143">
        <v>5</v>
      </c>
      <c r="H143" s="6">
        <f>FLOOR(tblPivotData[[#This Row],[Time]],Summary!$B$6/1440)</f>
        <v>0.30208333333333331</v>
      </c>
      <c r="I143">
        <f>INDEX(PeakCalc!$L$10:$L$303,MATCH(tblPivotData[[#This Row],[Time]],PeakCalc!$G$10:$G$303,0))</f>
        <v>0</v>
      </c>
    </row>
    <row r="144" spans="1:9" x14ac:dyDescent="0.25">
      <c r="A144" t="s">
        <v>93</v>
      </c>
      <c r="B144" t="s">
        <v>97</v>
      </c>
      <c r="C144" t="s">
        <v>94</v>
      </c>
      <c r="D144" t="s">
        <v>89</v>
      </c>
      <c r="E144" t="s">
        <v>43</v>
      </c>
      <c r="F144" s="6">
        <v>0.3125</v>
      </c>
      <c r="G144">
        <v>4</v>
      </c>
      <c r="H144" s="6">
        <f>FLOOR(tblPivotData[[#This Row],[Time]],Summary!$B$6/1440)</f>
        <v>0.3125</v>
      </c>
      <c r="I144">
        <f>INDEX(PeakCalc!$L$10:$L$303,MATCH(tblPivotData[[#This Row],[Time]],PeakCalc!$G$10:$G$303,0))</f>
        <v>1</v>
      </c>
    </row>
    <row r="145" spans="1:9" x14ac:dyDescent="0.25">
      <c r="A145" t="s">
        <v>93</v>
      </c>
      <c r="B145" t="s">
        <v>97</v>
      </c>
      <c r="C145" t="s">
        <v>94</v>
      </c>
      <c r="D145" t="s">
        <v>89</v>
      </c>
      <c r="E145" t="s">
        <v>43</v>
      </c>
      <c r="F145" s="6">
        <v>0.32291666666666669</v>
      </c>
      <c r="G145">
        <v>3</v>
      </c>
      <c r="H145" s="6">
        <f>FLOOR(tblPivotData[[#This Row],[Time]],Summary!$B$6/1440)</f>
        <v>0.32291666666666663</v>
      </c>
      <c r="I145">
        <f>INDEX(PeakCalc!$L$10:$L$303,MATCH(tblPivotData[[#This Row],[Time]],PeakCalc!$G$10:$G$303,0))</f>
        <v>1</v>
      </c>
    </row>
    <row r="146" spans="1:9" x14ac:dyDescent="0.25">
      <c r="A146" t="s">
        <v>93</v>
      </c>
      <c r="B146" t="s">
        <v>97</v>
      </c>
      <c r="C146" t="s">
        <v>94</v>
      </c>
      <c r="D146" t="s">
        <v>89</v>
      </c>
      <c r="E146" t="s">
        <v>43</v>
      </c>
      <c r="F146" s="6">
        <v>0.33333333333333331</v>
      </c>
      <c r="G146">
        <v>7</v>
      </c>
      <c r="H146" s="6">
        <f>FLOOR(tblPivotData[[#This Row],[Time]],Summary!$B$6/1440)</f>
        <v>0.33333333333333331</v>
      </c>
      <c r="I146">
        <f>INDEX(PeakCalc!$L$10:$L$303,MATCH(tblPivotData[[#This Row],[Time]],PeakCalc!$G$10:$G$303,0))</f>
        <v>1</v>
      </c>
    </row>
    <row r="147" spans="1:9" x14ac:dyDescent="0.25">
      <c r="A147" t="s">
        <v>93</v>
      </c>
      <c r="B147" t="s">
        <v>97</v>
      </c>
      <c r="C147" t="s">
        <v>94</v>
      </c>
      <c r="D147" t="s">
        <v>89</v>
      </c>
      <c r="E147" t="s">
        <v>43</v>
      </c>
      <c r="F147" s="6">
        <v>0.34375</v>
      </c>
      <c r="G147">
        <v>4</v>
      </c>
      <c r="H147" s="6">
        <f>FLOOR(tblPivotData[[#This Row],[Time]],Summary!$B$6/1440)</f>
        <v>0.34375</v>
      </c>
      <c r="I147">
        <f>INDEX(PeakCalc!$L$10:$L$303,MATCH(tblPivotData[[#This Row],[Time]],PeakCalc!$G$10:$G$303,0))</f>
        <v>1</v>
      </c>
    </row>
    <row r="148" spans="1:9" x14ac:dyDescent="0.25">
      <c r="A148" t="s">
        <v>93</v>
      </c>
      <c r="B148" t="s">
        <v>97</v>
      </c>
      <c r="C148" t="s">
        <v>94</v>
      </c>
      <c r="D148" t="s">
        <v>89</v>
      </c>
      <c r="E148" t="s">
        <v>43</v>
      </c>
      <c r="F148" s="6">
        <v>0.35416666666666669</v>
      </c>
      <c r="G148">
        <v>9</v>
      </c>
      <c r="H148" s="6">
        <f>FLOOR(tblPivotData[[#This Row],[Time]],Summary!$B$6/1440)</f>
        <v>0.35416666666666663</v>
      </c>
      <c r="I148">
        <f>INDEX(PeakCalc!$L$10:$L$303,MATCH(tblPivotData[[#This Row],[Time]],PeakCalc!$G$10:$G$303,0))</f>
        <v>0</v>
      </c>
    </row>
    <row r="149" spans="1:9" x14ac:dyDescent="0.25">
      <c r="A149" t="s">
        <v>93</v>
      </c>
      <c r="B149" t="s">
        <v>97</v>
      </c>
      <c r="C149" t="s">
        <v>94</v>
      </c>
      <c r="D149" t="s">
        <v>89</v>
      </c>
      <c r="E149" t="s">
        <v>43</v>
      </c>
      <c r="F149" s="6">
        <v>0.36458333333333331</v>
      </c>
      <c r="G149">
        <v>16</v>
      </c>
      <c r="H149" s="6">
        <f>FLOOR(tblPivotData[[#This Row],[Time]],Summary!$B$6/1440)</f>
        <v>0.36458333333333331</v>
      </c>
      <c r="I149">
        <f>INDEX(PeakCalc!$L$10:$L$303,MATCH(tblPivotData[[#This Row],[Time]],PeakCalc!$G$10:$G$303,0))</f>
        <v>0</v>
      </c>
    </row>
    <row r="150" spans="1:9" x14ac:dyDescent="0.25">
      <c r="A150" t="s">
        <v>93</v>
      </c>
      <c r="B150" t="s">
        <v>97</v>
      </c>
      <c r="C150" t="s">
        <v>94</v>
      </c>
      <c r="D150" t="s">
        <v>89</v>
      </c>
      <c r="E150" t="s">
        <v>91</v>
      </c>
      <c r="F150" s="6">
        <v>0.54166666666666663</v>
      </c>
      <c r="G150">
        <v>7</v>
      </c>
      <c r="H150" s="6">
        <f>FLOOR(tblPivotData[[#This Row],[Time]],Summary!$B$6/1440)</f>
        <v>0.54166666666666663</v>
      </c>
      <c r="I150">
        <f>INDEX(PeakCalc!$L$10:$L$303,MATCH(tblPivotData[[#This Row],[Time]],PeakCalc!$G$10:$G$303,0))</f>
        <v>1</v>
      </c>
    </row>
    <row r="151" spans="1:9" x14ac:dyDescent="0.25">
      <c r="A151" t="s">
        <v>93</v>
      </c>
      <c r="B151" t="s">
        <v>97</v>
      </c>
      <c r="C151" t="s">
        <v>94</v>
      </c>
      <c r="D151" t="s">
        <v>89</v>
      </c>
      <c r="E151" t="s">
        <v>91</v>
      </c>
      <c r="F151" s="6">
        <v>0.55208333333333337</v>
      </c>
      <c r="G151">
        <v>7</v>
      </c>
      <c r="H151" s="6">
        <f>FLOOR(tblPivotData[[#This Row],[Time]],Summary!$B$6/1440)</f>
        <v>0.55208333333333326</v>
      </c>
      <c r="I151">
        <f>INDEX(PeakCalc!$L$10:$L$303,MATCH(tblPivotData[[#This Row],[Time]],PeakCalc!$G$10:$G$303,0))</f>
        <v>1</v>
      </c>
    </row>
    <row r="152" spans="1:9" x14ac:dyDescent="0.25">
      <c r="A152" t="s">
        <v>93</v>
      </c>
      <c r="B152" t="s">
        <v>97</v>
      </c>
      <c r="C152" t="s">
        <v>94</v>
      </c>
      <c r="D152" t="s">
        <v>89</v>
      </c>
      <c r="E152" t="s">
        <v>91</v>
      </c>
      <c r="F152" s="6">
        <v>0.5625</v>
      </c>
      <c r="G152">
        <v>7</v>
      </c>
      <c r="H152" s="6">
        <f>FLOOR(tblPivotData[[#This Row],[Time]],Summary!$B$6/1440)</f>
        <v>0.5625</v>
      </c>
      <c r="I152">
        <f>INDEX(PeakCalc!$L$10:$L$303,MATCH(tblPivotData[[#This Row],[Time]],PeakCalc!$G$10:$G$303,0))</f>
        <v>1</v>
      </c>
    </row>
    <row r="153" spans="1:9" x14ac:dyDescent="0.25">
      <c r="A153" t="s">
        <v>93</v>
      </c>
      <c r="B153" t="s">
        <v>97</v>
      </c>
      <c r="C153" t="s">
        <v>94</v>
      </c>
      <c r="D153" t="s">
        <v>89</v>
      </c>
      <c r="E153" t="s">
        <v>91</v>
      </c>
      <c r="F153" s="6">
        <v>0.57291666666666663</v>
      </c>
      <c r="G153">
        <v>8</v>
      </c>
      <c r="H153" s="6">
        <f>FLOOR(tblPivotData[[#This Row],[Time]],Summary!$B$6/1440)</f>
        <v>0.57291666666666663</v>
      </c>
      <c r="I153">
        <f>INDEX(PeakCalc!$L$10:$L$303,MATCH(tblPivotData[[#This Row],[Time]],PeakCalc!$G$10:$G$303,0))</f>
        <v>1</v>
      </c>
    </row>
    <row r="154" spans="1:9" x14ac:dyDescent="0.25">
      <c r="A154" t="s">
        <v>93</v>
      </c>
      <c r="B154" t="s">
        <v>97</v>
      </c>
      <c r="C154" t="s">
        <v>94</v>
      </c>
      <c r="D154" t="s">
        <v>89</v>
      </c>
      <c r="E154" t="s">
        <v>44</v>
      </c>
      <c r="F154" s="6">
        <v>0.66666666666666663</v>
      </c>
      <c r="G154">
        <v>10</v>
      </c>
      <c r="H154" s="6">
        <f>FLOOR(tblPivotData[[#This Row],[Time]],Summary!$B$6/1440)</f>
        <v>0.66666666666666663</v>
      </c>
      <c r="I154">
        <f>INDEX(PeakCalc!$L$10:$L$303,MATCH(tblPivotData[[#This Row],[Time]],PeakCalc!$G$10:$G$303,0))</f>
        <v>0</v>
      </c>
    </row>
    <row r="155" spans="1:9" x14ac:dyDescent="0.25">
      <c r="A155" t="s">
        <v>93</v>
      </c>
      <c r="B155" t="s">
        <v>97</v>
      </c>
      <c r="C155" t="s">
        <v>94</v>
      </c>
      <c r="D155" t="s">
        <v>89</v>
      </c>
      <c r="E155" t="s">
        <v>44</v>
      </c>
      <c r="F155" s="6">
        <v>0.67708333333333337</v>
      </c>
      <c r="G155">
        <v>4</v>
      </c>
      <c r="H155" s="6">
        <f>FLOOR(tblPivotData[[#This Row],[Time]],Summary!$B$6/1440)</f>
        <v>0.67708333333333326</v>
      </c>
      <c r="I155">
        <f>INDEX(PeakCalc!$L$10:$L$303,MATCH(tblPivotData[[#This Row],[Time]],PeakCalc!$G$10:$G$303,0))</f>
        <v>0</v>
      </c>
    </row>
    <row r="156" spans="1:9" x14ac:dyDescent="0.25">
      <c r="A156" t="s">
        <v>93</v>
      </c>
      <c r="B156" t="s">
        <v>97</v>
      </c>
      <c r="C156" t="s">
        <v>94</v>
      </c>
      <c r="D156" t="s">
        <v>89</v>
      </c>
      <c r="E156" t="s">
        <v>44</v>
      </c>
      <c r="F156" s="6">
        <v>0.6875</v>
      </c>
      <c r="G156">
        <v>4</v>
      </c>
      <c r="H156" s="6">
        <f>FLOOR(tblPivotData[[#This Row],[Time]],Summary!$B$6/1440)</f>
        <v>0.6875</v>
      </c>
      <c r="I156">
        <f>INDEX(PeakCalc!$L$10:$L$303,MATCH(tblPivotData[[#This Row],[Time]],PeakCalc!$G$10:$G$303,0))</f>
        <v>0</v>
      </c>
    </row>
    <row r="157" spans="1:9" x14ac:dyDescent="0.25">
      <c r="A157" t="s">
        <v>93</v>
      </c>
      <c r="B157" t="s">
        <v>97</v>
      </c>
      <c r="C157" t="s">
        <v>94</v>
      </c>
      <c r="D157" t="s">
        <v>89</v>
      </c>
      <c r="E157" t="s">
        <v>44</v>
      </c>
      <c r="F157" s="6">
        <v>0.69791666666666663</v>
      </c>
      <c r="G157">
        <v>4</v>
      </c>
      <c r="H157" s="6">
        <f>FLOOR(tblPivotData[[#This Row],[Time]],Summary!$B$6/1440)</f>
        <v>0.69791666666666663</v>
      </c>
      <c r="I157">
        <f>INDEX(PeakCalc!$L$10:$L$303,MATCH(tblPivotData[[#This Row],[Time]],PeakCalc!$G$10:$G$303,0))</f>
        <v>1</v>
      </c>
    </row>
    <row r="158" spans="1:9" x14ac:dyDescent="0.25">
      <c r="A158" t="s">
        <v>93</v>
      </c>
      <c r="B158" t="s">
        <v>97</v>
      </c>
      <c r="C158" t="s">
        <v>94</v>
      </c>
      <c r="D158" t="s">
        <v>89</v>
      </c>
      <c r="E158" t="s">
        <v>44</v>
      </c>
      <c r="F158" s="6">
        <v>0.70833333333333337</v>
      </c>
      <c r="G158">
        <v>2</v>
      </c>
      <c r="H158" s="6">
        <f>FLOOR(tblPivotData[[#This Row],[Time]],Summary!$B$6/1440)</f>
        <v>0.70833333333333326</v>
      </c>
      <c r="I158">
        <f>INDEX(PeakCalc!$L$10:$L$303,MATCH(tblPivotData[[#This Row],[Time]],PeakCalc!$G$10:$G$303,0))</f>
        <v>1</v>
      </c>
    </row>
    <row r="159" spans="1:9" x14ac:dyDescent="0.25">
      <c r="A159" t="s">
        <v>93</v>
      </c>
      <c r="B159" t="s">
        <v>97</v>
      </c>
      <c r="C159" t="s">
        <v>94</v>
      </c>
      <c r="D159" t="s">
        <v>89</v>
      </c>
      <c r="E159" t="s">
        <v>44</v>
      </c>
      <c r="F159" s="6">
        <v>0.71875</v>
      </c>
      <c r="G159">
        <v>6</v>
      </c>
      <c r="H159" s="6">
        <f>FLOOR(tblPivotData[[#This Row],[Time]],Summary!$B$6/1440)</f>
        <v>0.71875</v>
      </c>
      <c r="I159">
        <f>INDEX(PeakCalc!$L$10:$L$303,MATCH(tblPivotData[[#This Row],[Time]],PeakCalc!$G$10:$G$303,0))</f>
        <v>1</v>
      </c>
    </row>
    <row r="160" spans="1:9" x14ac:dyDescent="0.25">
      <c r="A160" t="s">
        <v>93</v>
      </c>
      <c r="B160" t="s">
        <v>97</v>
      </c>
      <c r="C160" t="s">
        <v>94</v>
      </c>
      <c r="D160" t="s">
        <v>89</v>
      </c>
      <c r="E160" t="s">
        <v>44</v>
      </c>
      <c r="F160" s="6">
        <v>0.72916666666666663</v>
      </c>
      <c r="G160">
        <v>3</v>
      </c>
      <c r="H160" s="6">
        <f>FLOOR(tblPivotData[[#This Row],[Time]],Summary!$B$6/1440)</f>
        <v>0.72916666666666663</v>
      </c>
      <c r="I160">
        <f>INDEX(PeakCalc!$L$10:$L$303,MATCH(tblPivotData[[#This Row],[Time]],PeakCalc!$G$10:$G$303,0))</f>
        <v>1</v>
      </c>
    </row>
    <row r="161" spans="1:9" x14ac:dyDescent="0.25">
      <c r="A161" t="s">
        <v>93</v>
      </c>
      <c r="B161" t="s">
        <v>97</v>
      </c>
      <c r="C161" t="s">
        <v>94</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93</v>
      </c>
      <c r="B162" t="s">
        <v>97</v>
      </c>
      <c r="C162" t="s">
        <v>94</v>
      </c>
      <c r="D162" t="s">
        <v>90</v>
      </c>
      <c r="E162" t="s">
        <v>43</v>
      </c>
      <c r="F162" s="6">
        <v>0.29166666666666669</v>
      </c>
      <c r="G162">
        <v>3</v>
      </c>
      <c r="H162" s="6">
        <f>FLOOR(tblPivotData[[#This Row],[Time]],Summary!$B$6/1440)</f>
        <v>0.29166666666666663</v>
      </c>
      <c r="I162">
        <f>INDEX(PeakCalc!$L$10:$L$303,MATCH(tblPivotData[[#This Row],[Time]],PeakCalc!$G$10:$G$303,0))</f>
        <v>0</v>
      </c>
    </row>
    <row r="163" spans="1:9" x14ac:dyDescent="0.25">
      <c r="A163" t="s">
        <v>93</v>
      </c>
      <c r="B163" t="s">
        <v>97</v>
      </c>
      <c r="C163" t="s">
        <v>94</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97</v>
      </c>
      <c r="C164" t="s">
        <v>94</v>
      </c>
      <c r="D164" t="s">
        <v>90</v>
      </c>
      <c r="E164" t="s">
        <v>43</v>
      </c>
      <c r="F164" s="6">
        <v>0.3125</v>
      </c>
      <c r="G164">
        <v>4</v>
      </c>
      <c r="H164" s="6">
        <f>FLOOR(tblPivotData[[#This Row],[Time]],Summary!$B$6/1440)</f>
        <v>0.3125</v>
      </c>
      <c r="I164">
        <f>INDEX(PeakCalc!$L$10:$L$303,MATCH(tblPivotData[[#This Row],[Time]],PeakCalc!$G$10:$G$303,0))</f>
        <v>1</v>
      </c>
    </row>
    <row r="165" spans="1:9" x14ac:dyDescent="0.25">
      <c r="A165" t="s">
        <v>93</v>
      </c>
      <c r="B165" t="s">
        <v>97</v>
      </c>
      <c r="C165" t="s">
        <v>94</v>
      </c>
      <c r="D165" t="s">
        <v>90</v>
      </c>
      <c r="E165" t="s">
        <v>43</v>
      </c>
      <c r="F165" s="6">
        <v>0.32291666666666669</v>
      </c>
      <c r="G165">
        <v>4</v>
      </c>
      <c r="H165" s="6">
        <f>FLOOR(tblPivotData[[#This Row],[Time]],Summary!$B$6/1440)</f>
        <v>0.32291666666666663</v>
      </c>
      <c r="I165">
        <f>INDEX(PeakCalc!$L$10:$L$303,MATCH(tblPivotData[[#This Row],[Time]],PeakCalc!$G$10:$G$303,0))</f>
        <v>1</v>
      </c>
    </row>
    <row r="166" spans="1:9" x14ac:dyDescent="0.25">
      <c r="A166" t="s">
        <v>93</v>
      </c>
      <c r="B166" t="s">
        <v>97</v>
      </c>
      <c r="C166" t="s">
        <v>94</v>
      </c>
      <c r="D166" t="s">
        <v>90</v>
      </c>
      <c r="E166" t="s">
        <v>43</v>
      </c>
      <c r="F166" s="6">
        <v>0.33333333333333331</v>
      </c>
      <c r="G166">
        <v>8</v>
      </c>
      <c r="H166" s="6">
        <f>FLOOR(tblPivotData[[#This Row],[Time]],Summary!$B$6/1440)</f>
        <v>0.33333333333333331</v>
      </c>
      <c r="I166">
        <f>INDEX(PeakCalc!$L$10:$L$303,MATCH(tblPivotData[[#This Row],[Time]],PeakCalc!$G$10:$G$303,0))</f>
        <v>1</v>
      </c>
    </row>
    <row r="167" spans="1:9" x14ac:dyDescent="0.25">
      <c r="A167" t="s">
        <v>93</v>
      </c>
      <c r="B167" t="s">
        <v>97</v>
      </c>
      <c r="C167" t="s">
        <v>94</v>
      </c>
      <c r="D167" t="s">
        <v>90</v>
      </c>
      <c r="E167" t="s">
        <v>43</v>
      </c>
      <c r="F167" s="6">
        <v>0.34375</v>
      </c>
      <c r="G167">
        <v>5</v>
      </c>
      <c r="H167" s="6">
        <f>FLOOR(tblPivotData[[#This Row],[Time]],Summary!$B$6/1440)</f>
        <v>0.34375</v>
      </c>
      <c r="I167">
        <f>INDEX(PeakCalc!$L$10:$L$303,MATCH(tblPivotData[[#This Row],[Time]],PeakCalc!$G$10:$G$303,0))</f>
        <v>1</v>
      </c>
    </row>
    <row r="168" spans="1:9" x14ac:dyDescent="0.25">
      <c r="A168" t="s">
        <v>93</v>
      </c>
      <c r="B168" t="s">
        <v>97</v>
      </c>
      <c r="C168" t="s">
        <v>94</v>
      </c>
      <c r="D168" t="s">
        <v>90</v>
      </c>
      <c r="E168" t="s">
        <v>43</v>
      </c>
      <c r="F168" s="6">
        <v>0.35416666666666669</v>
      </c>
      <c r="G168">
        <v>2</v>
      </c>
      <c r="H168" s="6">
        <f>FLOOR(tblPivotData[[#This Row],[Time]],Summary!$B$6/1440)</f>
        <v>0.35416666666666663</v>
      </c>
      <c r="I168">
        <f>INDEX(PeakCalc!$L$10:$L$303,MATCH(tblPivotData[[#This Row],[Time]],PeakCalc!$G$10:$G$303,0))</f>
        <v>0</v>
      </c>
    </row>
    <row r="169" spans="1:9" x14ac:dyDescent="0.25">
      <c r="A169" t="s">
        <v>93</v>
      </c>
      <c r="B169" t="s">
        <v>97</v>
      </c>
      <c r="C169" t="s">
        <v>94</v>
      </c>
      <c r="D169" t="s">
        <v>90</v>
      </c>
      <c r="E169" t="s">
        <v>43</v>
      </c>
      <c r="F169" s="6">
        <v>0.36458333333333331</v>
      </c>
      <c r="G169">
        <v>2</v>
      </c>
      <c r="H169" s="6">
        <f>FLOOR(tblPivotData[[#This Row],[Time]],Summary!$B$6/1440)</f>
        <v>0.36458333333333331</v>
      </c>
      <c r="I169">
        <f>INDEX(PeakCalc!$L$10:$L$303,MATCH(tblPivotData[[#This Row],[Time]],PeakCalc!$G$10:$G$303,0))</f>
        <v>0</v>
      </c>
    </row>
    <row r="170" spans="1:9" x14ac:dyDescent="0.25">
      <c r="A170" t="s">
        <v>93</v>
      </c>
      <c r="B170" t="s">
        <v>97</v>
      </c>
      <c r="C170" t="s">
        <v>94</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94</v>
      </c>
      <c r="D171" t="s">
        <v>90</v>
      </c>
      <c r="E171" t="s">
        <v>91</v>
      </c>
      <c r="F171" s="6">
        <v>0.55208333333333337</v>
      </c>
      <c r="G171">
        <v>1</v>
      </c>
      <c r="H171" s="6">
        <f>FLOOR(tblPivotData[[#This Row],[Time]],Summary!$B$6/1440)</f>
        <v>0.55208333333333326</v>
      </c>
      <c r="I171">
        <f>INDEX(PeakCalc!$L$10:$L$303,MATCH(tblPivotData[[#This Row],[Time]],PeakCalc!$G$10:$G$303,0))</f>
        <v>1</v>
      </c>
    </row>
    <row r="172" spans="1:9" x14ac:dyDescent="0.25">
      <c r="A172" t="s">
        <v>93</v>
      </c>
      <c r="B172" t="s">
        <v>97</v>
      </c>
      <c r="C172" t="s">
        <v>94</v>
      </c>
      <c r="D172" t="s">
        <v>90</v>
      </c>
      <c r="E172" t="s">
        <v>91</v>
      </c>
      <c r="F172" s="6">
        <v>0.5625</v>
      </c>
      <c r="G172">
        <v>1</v>
      </c>
      <c r="H172" s="6">
        <f>FLOOR(tblPivotData[[#This Row],[Time]],Summary!$B$6/1440)</f>
        <v>0.5625</v>
      </c>
      <c r="I172">
        <f>INDEX(PeakCalc!$L$10:$L$303,MATCH(tblPivotData[[#This Row],[Time]],PeakCalc!$G$10:$G$303,0))</f>
        <v>1</v>
      </c>
    </row>
    <row r="173" spans="1:9" x14ac:dyDescent="0.25">
      <c r="A173" t="s">
        <v>93</v>
      </c>
      <c r="B173" t="s">
        <v>97</v>
      </c>
      <c r="C173" t="s">
        <v>94</v>
      </c>
      <c r="D173" t="s">
        <v>90</v>
      </c>
      <c r="E173" t="s">
        <v>91</v>
      </c>
      <c r="F173" s="6">
        <v>0.57291666666666663</v>
      </c>
      <c r="G173">
        <v>1</v>
      </c>
      <c r="H173" s="6">
        <f>FLOOR(tblPivotData[[#This Row],[Time]],Summary!$B$6/1440)</f>
        <v>0.57291666666666663</v>
      </c>
      <c r="I173">
        <f>INDEX(PeakCalc!$L$10:$L$303,MATCH(tblPivotData[[#This Row],[Time]],PeakCalc!$G$10:$G$303,0))</f>
        <v>1</v>
      </c>
    </row>
    <row r="174" spans="1:9" x14ac:dyDescent="0.25">
      <c r="A174" t="s">
        <v>93</v>
      </c>
      <c r="B174" t="s">
        <v>97</v>
      </c>
      <c r="C174" t="s">
        <v>94</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97</v>
      </c>
      <c r="C175" t="s">
        <v>94</v>
      </c>
      <c r="D175" t="s">
        <v>90</v>
      </c>
      <c r="E175" t="s">
        <v>44</v>
      </c>
      <c r="F175" s="6">
        <v>0.67708333333333337</v>
      </c>
      <c r="G175">
        <v>3</v>
      </c>
      <c r="H175" s="6">
        <f>FLOOR(tblPivotData[[#This Row],[Time]],Summary!$B$6/1440)</f>
        <v>0.67708333333333326</v>
      </c>
      <c r="I175">
        <f>INDEX(PeakCalc!$L$10:$L$303,MATCH(tblPivotData[[#This Row],[Time]],PeakCalc!$G$10:$G$303,0))</f>
        <v>0</v>
      </c>
    </row>
    <row r="176" spans="1:9" x14ac:dyDescent="0.25">
      <c r="A176" t="s">
        <v>93</v>
      </c>
      <c r="B176" t="s">
        <v>97</v>
      </c>
      <c r="C176" t="s">
        <v>94</v>
      </c>
      <c r="D176" t="s">
        <v>90</v>
      </c>
      <c r="E176" t="s">
        <v>44</v>
      </c>
      <c r="F176" s="6">
        <v>0.6875</v>
      </c>
      <c r="G176">
        <v>0</v>
      </c>
      <c r="H176" s="6">
        <f>FLOOR(tblPivotData[[#This Row],[Time]],Summary!$B$6/1440)</f>
        <v>0.6875</v>
      </c>
      <c r="I176">
        <f>INDEX(PeakCalc!$L$10:$L$303,MATCH(tblPivotData[[#This Row],[Time]],PeakCalc!$G$10:$G$303,0))</f>
        <v>0</v>
      </c>
    </row>
    <row r="177" spans="1:9" x14ac:dyDescent="0.25">
      <c r="A177" t="s">
        <v>93</v>
      </c>
      <c r="B177" t="s">
        <v>97</v>
      </c>
      <c r="C177" t="s">
        <v>94</v>
      </c>
      <c r="D177" t="s">
        <v>90</v>
      </c>
      <c r="E177" t="s">
        <v>44</v>
      </c>
      <c r="F177" s="6">
        <v>0.69791666666666663</v>
      </c>
      <c r="G177">
        <v>1</v>
      </c>
      <c r="H177" s="6">
        <f>FLOOR(tblPivotData[[#This Row],[Time]],Summary!$B$6/1440)</f>
        <v>0.69791666666666663</v>
      </c>
      <c r="I177">
        <f>INDEX(PeakCalc!$L$10:$L$303,MATCH(tblPivotData[[#This Row],[Time]],PeakCalc!$G$10:$G$303,0))</f>
        <v>1</v>
      </c>
    </row>
    <row r="178" spans="1:9" x14ac:dyDescent="0.25">
      <c r="A178" t="s">
        <v>93</v>
      </c>
      <c r="B178" t="s">
        <v>97</v>
      </c>
      <c r="C178" t="s">
        <v>94</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97</v>
      </c>
      <c r="C179" t="s">
        <v>94</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97</v>
      </c>
      <c r="C180" t="s">
        <v>94</v>
      </c>
      <c r="D180" t="s">
        <v>90</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93</v>
      </c>
      <c r="B181" t="s">
        <v>97</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101</v>
      </c>
      <c r="C182" t="s">
        <v>100</v>
      </c>
      <c r="D182" t="s">
        <v>79</v>
      </c>
      <c r="E182" t="s">
        <v>43</v>
      </c>
      <c r="F182" s="6">
        <v>0.29166666666666669</v>
      </c>
      <c r="G182">
        <v>2</v>
      </c>
      <c r="H182" s="6">
        <f>FLOOR(tblPivotData[[#This Row],[Time]],Summary!$B$6/1440)</f>
        <v>0.29166666666666663</v>
      </c>
      <c r="I182">
        <f>INDEX(PeakCalc!$L$10:$L$303,MATCH(tblPivotData[[#This Row],[Time]],PeakCalc!$G$10:$G$303,0))</f>
        <v>0</v>
      </c>
    </row>
    <row r="183" spans="1:9" x14ac:dyDescent="0.25">
      <c r="A183" t="s">
        <v>93</v>
      </c>
      <c r="B183" t="s">
        <v>101</v>
      </c>
      <c r="C183" t="s">
        <v>100</v>
      </c>
      <c r="D183" t="s">
        <v>79</v>
      </c>
      <c r="E183" t="s">
        <v>43</v>
      </c>
      <c r="F183" s="6">
        <v>0.30208333333333331</v>
      </c>
      <c r="G183">
        <v>9</v>
      </c>
      <c r="H183" s="6">
        <f>FLOOR(tblPivotData[[#This Row],[Time]],Summary!$B$6/1440)</f>
        <v>0.30208333333333331</v>
      </c>
      <c r="I183">
        <f>INDEX(PeakCalc!$L$10:$L$303,MATCH(tblPivotData[[#This Row],[Time]],PeakCalc!$G$10:$G$303,0))</f>
        <v>0</v>
      </c>
    </row>
    <row r="184" spans="1:9" x14ac:dyDescent="0.25">
      <c r="A184" t="s">
        <v>93</v>
      </c>
      <c r="B184" t="s">
        <v>101</v>
      </c>
      <c r="C184" t="s">
        <v>100</v>
      </c>
      <c r="D184" t="s">
        <v>79</v>
      </c>
      <c r="E184" t="s">
        <v>43</v>
      </c>
      <c r="F184" s="6">
        <v>0.3125</v>
      </c>
      <c r="G184">
        <v>5</v>
      </c>
      <c r="H184" s="6">
        <f>FLOOR(tblPivotData[[#This Row],[Time]],Summary!$B$6/1440)</f>
        <v>0.3125</v>
      </c>
      <c r="I184">
        <f>INDEX(PeakCalc!$L$10:$L$303,MATCH(tblPivotData[[#This Row],[Time]],PeakCalc!$G$10:$G$303,0))</f>
        <v>1</v>
      </c>
    </row>
    <row r="185" spans="1:9" x14ac:dyDescent="0.25">
      <c r="A185" t="s">
        <v>93</v>
      </c>
      <c r="B185" t="s">
        <v>101</v>
      </c>
      <c r="C185" t="s">
        <v>100</v>
      </c>
      <c r="D185" t="s">
        <v>79</v>
      </c>
      <c r="E185" t="s">
        <v>43</v>
      </c>
      <c r="F185" s="6">
        <v>0.32291666666666669</v>
      </c>
      <c r="G185">
        <v>8</v>
      </c>
      <c r="H185" s="6">
        <f>FLOOR(tblPivotData[[#This Row],[Time]],Summary!$B$6/1440)</f>
        <v>0.32291666666666663</v>
      </c>
      <c r="I185">
        <f>INDEX(PeakCalc!$L$10:$L$303,MATCH(tblPivotData[[#This Row],[Time]],PeakCalc!$G$10:$G$303,0))</f>
        <v>1</v>
      </c>
    </row>
    <row r="186" spans="1:9" x14ac:dyDescent="0.25">
      <c r="A186" t="s">
        <v>93</v>
      </c>
      <c r="B186" t="s">
        <v>101</v>
      </c>
      <c r="C186" t="s">
        <v>100</v>
      </c>
      <c r="D186" t="s">
        <v>79</v>
      </c>
      <c r="E186" t="s">
        <v>43</v>
      </c>
      <c r="F186" s="6">
        <v>0.33333333333333331</v>
      </c>
      <c r="G186">
        <v>15</v>
      </c>
      <c r="H186" s="6">
        <f>FLOOR(tblPivotData[[#This Row],[Time]],Summary!$B$6/1440)</f>
        <v>0.33333333333333331</v>
      </c>
      <c r="I186">
        <f>INDEX(PeakCalc!$L$10:$L$303,MATCH(tblPivotData[[#This Row],[Time]],PeakCalc!$G$10:$G$303,0))</f>
        <v>1</v>
      </c>
    </row>
    <row r="187" spans="1:9" x14ac:dyDescent="0.25">
      <c r="A187" t="s">
        <v>93</v>
      </c>
      <c r="B187" t="s">
        <v>101</v>
      </c>
      <c r="C187" t="s">
        <v>100</v>
      </c>
      <c r="D187" t="s">
        <v>79</v>
      </c>
      <c r="E187" t="s">
        <v>43</v>
      </c>
      <c r="F187" s="6">
        <v>0.34375</v>
      </c>
      <c r="G187">
        <v>9</v>
      </c>
      <c r="H187" s="6">
        <f>FLOOR(tblPivotData[[#This Row],[Time]],Summary!$B$6/1440)</f>
        <v>0.34375</v>
      </c>
      <c r="I187">
        <f>INDEX(PeakCalc!$L$10:$L$303,MATCH(tblPivotData[[#This Row],[Time]],PeakCalc!$G$10:$G$303,0))</f>
        <v>1</v>
      </c>
    </row>
    <row r="188" spans="1:9" x14ac:dyDescent="0.25">
      <c r="A188" t="s">
        <v>93</v>
      </c>
      <c r="B188" t="s">
        <v>101</v>
      </c>
      <c r="C188" t="s">
        <v>100</v>
      </c>
      <c r="D188" t="s">
        <v>79</v>
      </c>
      <c r="E188" t="s">
        <v>43</v>
      </c>
      <c r="F188" s="6">
        <v>0.35416666666666669</v>
      </c>
      <c r="G188">
        <v>14</v>
      </c>
      <c r="H188" s="6">
        <f>FLOOR(tblPivotData[[#This Row],[Time]],Summary!$B$6/1440)</f>
        <v>0.35416666666666663</v>
      </c>
      <c r="I188">
        <f>INDEX(PeakCalc!$L$10:$L$303,MATCH(tblPivotData[[#This Row],[Time]],PeakCalc!$G$10:$G$303,0))</f>
        <v>0</v>
      </c>
    </row>
    <row r="189" spans="1:9" x14ac:dyDescent="0.25">
      <c r="A189" t="s">
        <v>93</v>
      </c>
      <c r="B189" t="s">
        <v>101</v>
      </c>
      <c r="C189" t="s">
        <v>100</v>
      </c>
      <c r="D189" t="s">
        <v>79</v>
      </c>
      <c r="E189" t="s">
        <v>43</v>
      </c>
      <c r="F189" s="6">
        <v>0.36458333333333331</v>
      </c>
      <c r="G189">
        <v>16</v>
      </c>
      <c r="H189" s="6">
        <f>FLOOR(tblPivotData[[#This Row],[Time]],Summary!$B$6/1440)</f>
        <v>0.36458333333333331</v>
      </c>
      <c r="I189">
        <f>INDEX(PeakCalc!$L$10:$L$303,MATCH(tblPivotData[[#This Row],[Time]],PeakCalc!$G$10:$G$303,0))</f>
        <v>0</v>
      </c>
    </row>
    <row r="190" spans="1:9" x14ac:dyDescent="0.25">
      <c r="A190" t="s">
        <v>93</v>
      </c>
      <c r="B190" t="s">
        <v>101</v>
      </c>
      <c r="C190" t="s">
        <v>100</v>
      </c>
      <c r="D190" t="s">
        <v>79</v>
      </c>
      <c r="E190" t="s">
        <v>91</v>
      </c>
      <c r="F190" s="6">
        <v>0.54166666666666663</v>
      </c>
      <c r="G190">
        <v>20</v>
      </c>
      <c r="H190" s="6">
        <f>FLOOR(tblPivotData[[#This Row],[Time]],Summary!$B$6/1440)</f>
        <v>0.54166666666666663</v>
      </c>
      <c r="I190">
        <f>INDEX(PeakCalc!$L$10:$L$303,MATCH(tblPivotData[[#This Row],[Time]],PeakCalc!$G$10:$G$303,0))</f>
        <v>1</v>
      </c>
    </row>
    <row r="191" spans="1:9" x14ac:dyDescent="0.25">
      <c r="A191" t="s">
        <v>93</v>
      </c>
      <c r="B191" t="s">
        <v>101</v>
      </c>
      <c r="C191" t="s">
        <v>100</v>
      </c>
      <c r="D191" t="s">
        <v>79</v>
      </c>
      <c r="E191" t="s">
        <v>91</v>
      </c>
      <c r="F191" s="6">
        <v>0.55208333333333337</v>
      </c>
      <c r="G191">
        <v>12</v>
      </c>
      <c r="H191" s="6">
        <f>FLOOR(tblPivotData[[#This Row],[Time]],Summary!$B$6/1440)</f>
        <v>0.55208333333333326</v>
      </c>
      <c r="I191">
        <f>INDEX(PeakCalc!$L$10:$L$303,MATCH(tblPivotData[[#This Row],[Time]],PeakCalc!$G$10:$G$303,0))</f>
        <v>1</v>
      </c>
    </row>
    <row r="192" spans="1:9" x14ac:dyDescent="0.25">
      <c r="A192" t="s">
        <v>93</v>
      </c>
      <c r="B192" t="s">
        <v>101</v>
      </c>
      <c r="C192" t="s">
        <v>100</v>
      </c>
      <c r="D192" t="s">
        <v>79</v>
      </c>
      <c r="E192" t="s">
        <v>91</v>
      </c>
      <c r="F192" s="6">
        <v>0.5625</v>
      </c>
      <c r="G192">
        <v>15</v>
      </c>
      <c r="H192" s="6">
        <f>FLOOR(tblPivotData[[#This Row],[Time]],Summary!$B$6/1440)</f>
        <v>0.5625</v>
      </c>
      <c r="I192">
        <f>INDEX(PeakCalc!$L$10:$L$303,MATCH(tblPivotData[[#This Row],[Time]],PeakCalc!$G$10:$G$303,0))</f>
        <v>1</v>
      </c>
    </row>
    <row r="193" spans="1:9" x14ac:dyDescent="0.25">
      <c r="A193" t="s">
        <v>93</v>
      </c>
      <c r="B193" t="s">
        <v>101</v>
      </c>
      <c r="C193" t="s">
        <v>100</v>
      </c>
      <c r="D193" t="s">
        <v>79</v>
      </c>
      <c r="E193" t="s">
        <v>91</v>
      </c>
      <c r="F193" s="6">
        <v>0.57291666666666663</v>
      </c>
      <c r="G193">
        <v>15</v>
      </c>
      <c r="H193" s="6">
        <f>FLOOR(tblPivotData[[#This Row],[Time]],Summary!$B$6/1440)</f>
        <v>0.57291666666666663</v>
      </c>
      <c r="I193">
        <f>INDEX(PeakCalc!$L$10:$L$303,MATCH(tblPivotData[[#This Row],[Time]],PeakCalc!$G$10:$G$303,0))</f>
        <v>1</v>
      </c>
    </row>
    <row r="194" spans="1:9" x14ac:dyDescent="0.25">
      <c r="A194" t="s">
        <v>93</v>
      </c>
      <c r="B194" t="s">
        <v>101</v>
      </c>
      <c r="C194" t="s">
        <v>100</v>
      </c>
      <c r="D194" t="s">
        <v>79</v>
      </c>
      <c r="E194" t="s">
        <v>44</v>
      </c>
      <c r="F194" s="6">
        <v>0.66666666666666663</v>
      </c>
      <c r="G194">
        <v>24</v>
      </c>
      <c r="H194" s="6">
        <f>FLOOR(tblPivotData[[#This Row],[Time]],Summary!$B$6/1440)</f>
        <v>0.66666666666666663</v>
      </c>
      <c r="I194">
        <f>INDEX(PeakCalc!$L$10:$L$303,MATCH(tblPivotData[[#This Row],[Time]],PeakCalc!$G$10:$G$303,0))</f>
        <v>0</v>
      </c>
    </row>
    <row r="195" spans="1:9" x14ac:dyDescent="0.25">
      <c r="A195" t="s">
        <v>93</v>
      </c>
      <c r="B195" t="s">
        <v>101</v>
      </c>
      <c r="C195" t="s">
        <v>100</v>
      </c>
      <c r="D195" t="s">
        <v>79</v>
      </c>
      <c r="E195" t="s">
        <v>44</v>
      </c>
      <c r="F195" s="6">
        <v>0.67708333333333337</v>
      </c>
      <c r="G195">
        <v>25</v>
      </c>
      <c r="H195" s="6">
        <f>FLOOR(tblPivotData[[#This Row],[Time]],Summary!$B$6/1440)</f>
        <v>0.67708333333333326</v>
      </c>
      <c r="I195">
        <f>INDEX(PeakCalc!$L$10:$L$303,MATCH(tblPivotData[[#This Row],[Time]],PeakCalc!$G$10:$G$303,0))</f>
        <v>0</v>
      </c>
    </row>
    <row r="196" spans="1:9" x14ac:dyDescent="0.25">
      <c r="A196" t="s">
        <v>93</v>
      </c>
      <c r="B196" t="s">
        <v>101</v>
      </c>
      <c r="C196" t="s">
        <v>100</v>
      </c>
      <c r="D196" t="s">
        <v>79</v>
      </c>
      <c r="E196" t="s">
        <v>44</v>
      </c>
      <c r="F196" s="6">
        <v>0.6875</v>
      </c>
      <c r="G196">
        <v>24</v>
      </c>
      <c r="H196" s="6">
        <f>FLOOR(tblPivotData[[#This Row],[Time]],Summary!$B$6/1440)</f>
        <v>0.6875</v>
      </c>
      <c r="I196">
        <f>INDEX(PeakCalc!$L$10:$L$303,MATCH(tblPivotData[[#This Row],[Time]],PeakCalc!$G$10:$G$303,0))</f>
        <v>0</v>
      </c>
    </row>
    <row r="197" spans="1:9" x14ac:dyDescent="0.25">
      <c r="A197" t="s">
        <v>93</v>
      </c>
      <c r="B197" t="s">
        <v>101</v>
      </c>
      <c r="C197" t="s">
        <v>100</v>
      </c>
      <c r="D197" t="s">
        <v>79</v>
      </c>
      <c r="E197" t="s">
        <v>44</v>
      </c>
      <c r="F197" s="6">
        <v>0.69791666666666663</v>
      </c>
      <c r="G197">
        <v>29</v>
      </c>
      <c r="H197" s="6">
        <f>FLOOR(tblPivotData[[#This Row],[Time]],Summary!$B$6/1440)</f>
        <v>0.69791666666666663</v>
      </c>
      <c r="I197">
        <f>INDEX(PeakCalc!$L$10:$L$303,MATCH(tblPivotData[[#This Row],[Time]],PeakCalc!$G$10:$G$303,0))</f>
        <v>1</v>
      </c>
    </row>
    <row r="198" spans="1:9" x14ac:dyDescent="0.25">
      <c r="A198" t="s">
        <v>93</v>
      </c>
      <c r="B198" t="s">
        <v>101</v>
      </c>
      <c r="C198" t="s">
        <v>100</v>
      </c>
      <c r="D198" t="s">
        <v>79</v>
      </c>
      <c r="E198" t="s">
        <v>44</v>
      </c>
      <c r="F198" s="6">
        <v>0.70833333333333337</v>
      </c>
      <c r="G198">
        <v>25</v>
      </c>
      <c r="H198" s="6">
        <f>FLOOR(tblPivotData[[#This Row],[Time]],Summary!$B$6/1440)</f>
        <v>0.70833333333333326</v>
      </c>
      <c r="I198">
        <f>INDEX(PeakCalc!$L$10:$L$303,MATCH(tblPivotData[[#This Row],[Time]],PeakCalc!$G$10:$G$303,0))</f>
        <v>1</v>
      </c>
    </row>
    <row r="199" spans="1:9" x14ac:dyDescent="0.25">
      <c r="A199" t="s">
        <v>93</v>
      </c>
      <c r="B199" t="s">
        <v>101</v>
      </c>
      <c r="C199" t="s">
        <v>100</v>
      </c>
      <c r="D199" t="s">
        <v>79</v>
      </c>
      <c r="E199" t="s">
        <v>44</v>
      </c>
      <c r="F199" s="6">
        <v>0.71875</v>
      </c>
      <c r="G199">
        <v>38</v>
      </c>
      <c r="H199" s="6">
        <f>FLOOR(tblPivotData[[#This Row],[Time]],Summary!$B$6/1440)</f>
        <v>0.71875</v>
      </c>
      <c r="I199">
        <f>INDEX(PeakCalc!$L$10:$L$303,MATCH(tblPivotData[[#This Row],[Time]],PeakCalc!$G$10:$G$303,0))</f>
        <v>1</v>
      </c>
    </row>
    <row r="200" spans="1:9" x14ac:dyDescent="0.25">
      <c r="A200" t="s">
        <v>93</v>
      </c>
      <c r="B200" t="s">
        <v>101</v>
      </c>
      <c r="C200" t="s">
        <v>100</v>
      </c>
      <c r="D200" t="s">
        <v>79</v>
      </c>
      <c r="E200" t="s">
        <v>44</v>
      </c>
      <c r="F200" s="6">
        <v>0.72916666666666663</v>
      </c>
      <c r="G200">
        <v>38</v>
      </c>
      <c r="H200" s="6">
        <f>FLOOR(tblPivotData[[#This Row],[Time]],Summary!$B$6/1440)</f>
        <v>0.72916666666666663</v>
      </c>
      <c r="I200">
        <f>INDEX(PeakCalc!$L$10:$L$303,MATCH(tblPivotData[[#This Row],[Time]],PeakCalc!$G$10:$G$303,0))</f>
        <v>1</v>
      </c>
    </row>
    <row r="201" spans="1:9" x14ac:dyDescent="0.25">
      <c r="A201" t="s">
        <v>93</v>
      </c>
      <c r="B201" t="s">
        <v>101</v>
      </c>
      <c r="C201" t="s">
        <v>100</v>
      </c>
      <c r="D201" t="s">
        <v>79</v>
      </c>
      <c r="E201" t="s">
        <v>44</v>
      </c>
      <c r="F201" s="6">
        <v>0.73958333333333337</v>
      </c>
      <c r="G201">
        <v>28</v>
      </c>
      <c r="H201" s="6">
        <f>FLOOR(tblPivotData[[#This Row],[Time]],Summary!$B$6/1440)</f>
        <v>0.73958333333333326</v>
      </c>
      <c r="I201">
        <f>INDEX(PeakCalc!$L$10:$L$303,MATCH(tblPivotData[[#This Row],[Time]],PeakCalc!$G$10:$G$303,0))</f>
        <v>0</v>
      </c>
    </row>
    <row r="202" spans="1:9" x14ac:dyDescent="0.25">
      <c r="A202" t="s">
        <v>93</v>
      </c>
      <c r="B202" t="s">
        <v>101</v>
      </c>
      <c r="C202" t="s">
        <v>100</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101</v>
      </c>
      <c r="C203" t="s">
        <v>100</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101</v>
      </c>
      <c r="C204" t="s">
        <v>100</v>
      </c>
      <c r="D204" t="s">
        <v>89</v>
      </c>
      <c r="E204" t="s">
        <v>43</v>
      </c>
      <c r="F204" s="6">
        <v>0.3125</v>
      </c>
      <c r="G204">
        <v>0</v>
      </c>
      <c r="H204" s="6">
        <f>FLOOR(tblPivotData[[#This Row],[Time]],Summary!$B$6/1440)</f>
        <v>0.3125</v>
      </c>
      <c r="I204">
        <f>INDEX(PeakCalc!$L$10:$L$303,MATCH(tblPivotData[[#This Row],[Time]],PeakCalc!$G$10:$G$303,0))</f>
        <v>1</v>
      </c>
    </row>
    <row r="205" spans="1:9" x14ac:dyDescent="0.25">
      <c r="A205" t="s">
        <v>93</v>
      </c>
      <c r="B205" t="s">
        <v>101</v>
      </c>
      <c r="C205" t="s">
        <v>100</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101</v>
      </c>
      <c r="C206" t="s">
        <v>100</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93</v>
      </c>
      <c r="B207" t="s">
        <v>101</v>
      </c>
      <c r="C207" t="s">
        <v>100</v>
      </c>
      <c r="D207" t="s">
        <v>89</v>
      </c>
      <c r="E207" t="s">
        <v>43</v>
      </c>
      <c r="F207" s="6">
        <v>0.34375</v>
      </c>
      <c r="G207">
        <v>0</v>
      </c>
      <c r="H207" s="6">
        <f>FLOOR(tblPivotData[[#This Row],[Time]],Summary!$B$6/1440)</f>
        <v>0.34375</v>
      </c>
      <c r="I207">
        <f>INDEX(PeakCalc!$L$10:$L$303,MATCH(tblPivotData[[#This Row],[Time]],PeakCalc!$G$10:$G$303,0))</f>
        <v>1</v>
      </c>
    </row>
    <row r="208" spans="1:9" x14ac:dyDescent="0.25">
      <c r="A208" t="s">
        <v>93</v>
      </c>
      <c r="B208" t="s">
        <v>101</v>
      </c>
      <c r="C208" t="s">
        <v>100</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93</v>
      </c>
      <c r="B209" t="s">
        <v>101</v>
      </c>
      <c r="C209" t="s">
        <v>100</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101</v>
      </c>
      <c r="C210" t="s">
        <v>100</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101</v>
      </c>
      <c r="C211" t="s">
        <v>100</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101</v>
      </c>
      <c r="C212" t="s">
        <v>100</v>
      </c>
      <c r="D212" t="s">
        <v>89</v>
      </c>
      <c r="E212" t="s">
        <v>91</v>
      </c>
      <c r="F212" s="6">
        <v>0.5625</v>
      </c>
      <c r="G212">
        <v>0</v>
      </c>
      <c r="H212" s="6">
        <f>FLOOR(tblPivotData[[#This Row],[Time]],Summary!$B$6/1440)</f>
        <v>0.5625</v>
      </c>
      <c r="I212">
        <f>INDEX(PeakCalc!$L$10:$L$303,MATCH(tblPivotData[[#This Row],[Time]],PeakCalc!$G$10:$G$303,0))</f>
        <v>1</v>
      </c>
    </row>
    <row r="213" spans="1:9" x14ac:dyDescent="0.25">
      <c r="A213" t="s">
        <v>93</v>
      </c>
      <c r="B213" t="s">
        <v>101</v>
      </c>
      <c r="C213" t="s">
        <v>100</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101</v>
      </c>
      <c r="C214" t="s">
        <v>100</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101</v>
      </c>
      <c r="C215" t="s">
        <v>100</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101</v>
      </c>
      <c r="C216" t="s">
        <v>100</v>
      </c>
      <c r="D216" t="s">
        <v>89</v>
      </c>
      <c r="E216" t="s">
        <v>44</v>
      </c>
      <c r="F216" s="6">
        <v>0.6875</v>
      </c>
      <c r="G216">
        <v>0</v>
      </c>
      <c r="H216" s="6">
        <f>FLOOR(tblPivotData[[#This Row],[Time]],Summary!$B$6/1440)</f>
        <v>0.6875</v>
      </c>
      <c r="I216">
        <f>INDEX(PeakCalc!$L$10:$L$303,MATCH(tblPivotData[[#This Row],[Time]],PeakCalc!$G$10:$G$303,0))</f>
        <v>0</v>
      </c>
    </row>
    <row r="217" spans="1:9" x14ac:dyDescent="0.25">
      <c r="A217" t="s">
        <v>93</v>
      </c>
      <c r="B217" t="s">
        <v>101</v>
      </c>
      <c r="C217" t="s">
        <v>100</v>
      </c>
      <c r="D217" t="s">
        <v>89</v>
      </c>
      <c r="E217" t="s">
        <v>44</v>
      </c>
      <c r="F217" s="6">
        <v>0.69791666666666663</v>
      </c>
      <c r="G217">
        <v>2</v>
      </c>
      <c r="H217" s="6">
        <f>FLOOR(tblPivotData[[#This Row],[Time]],Summary!$B$6/1440)</f>
        <v>0.69791666666666663</v>
      </c>
      <c r="I217">
        <f>INDEX(PeakCalc!$L$10:$L$303,MATCH(tblPivotData[[#This Row],[Time]],PeakCalc!$G$10:$G$303,0))</f>
        <v>1</v>
      </c>
    </row>
    <row r="218" spans="1:9" x14ac:dyDescent="0.25">
      <c r="A218" t="s">
        <v>93</v>
      </c>
      <c r="B218" t="s">
        <v>101</v>
      </c>
      <c r="C218" t="s">
        <v>100</v>
      </c>
      <c r="D218" t="s">
        <v>89</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93</v>
      </c>
      <c r="B219" t="s">
        <v>101</v>
      </c>
      <c r="C219" t="s">
        <v>100</v>
      </c>
      <c r="D219" t="s">
        <v>89</v>
      </c>
      <c r="E219" t="s">
        <v>44</v>
      </c>
      <c r="F219" s="6">
        <v>0.71875</v>
      </c>
      <c r="G219">
        <v>0</v>
      </c>
      <c r="H219" s="6">
        <f>FLOOR(tblPivotData[[#This Row],[Time]],Summary!$B$6/1440)</f>
        <v>0.71875</v>
      </c>
      <c r="I219">
        <f>INDEX(PeakCalc!$L$10:$L$303,MATCH(tblPivotData[[#This Row],[Time]],PeakCalc!$G$10:$G$303,0))</f>
        <v>1</v>
      </c>
    </row>
    <row r="220" spans="1:9" x14ac:dyDescent="0.25">
      <c r="A220" t="s">
        <v>93</v>
      </c>
      <c r="B220" t="s">
        <v>101</v>
      </c>
      <c r="C220" t="s">
        <v>100</v>
      </c>
      <c r="D220" t="s">
        <v>89</v>
      </c>
      <c r="E220" t="s">
        <v>44</v>
      </c>
      <c r="F220" s="6">
        <v>0.72916666666666663</v>
      </c>
      <c r="G220">
        <v>0</v>
      </c>
      <c r="H220" s="6">
        <f>FLOOR(tblPivotData[[#This Row],[Time]],Summary!$B$6/1440)</f>
        <v>0.72916666666666663</v>
      </c>
      <c r="I220">
        <f>INDEX(PeakCalc!$L$10:$L$303,MATCH(tblPivotData[[#This Row],[Time]],PeakCalc!$G$10:$G$303,0))</f>
        <v>1</v>
      </c>
    </row>
    <row r="221" spans="1:9" x14ac:dyDescent="0.25">
      <c r="A221" t="s">
        <v>93</v>
      </c>
      <c r="B221" t="s">
        <v>101</v>
      </c>
      <c r="C221" t="s">
        <v>100</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93</v>
      </c>
      <c r="B222" t="s">
        <v>101</v>
      </c>
      <c r="C222" t="s">
        <v>100</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101</v>
      </c>
      <c r="C223" t="s">
        <v>100</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101</v>
      </c>
      <c r="C224" t="s">
        <v>100</v>
      </c>
      <c r="D224" t="s">
        <v>90</v>
      </c>
      <c r="E224" t="s">
        <v>43</v>
      </c>
      <c r="F224" s="6">
        <v>0.3125</v>
      </c>
      <c r="G224">
        <v>0</v>
      </c>
      <c r="H224" s="6">
        <f>FLOOR(tblPivotData[[#This Row],[Time]],Summary!$B$6/1440)</f>
        <v>0.3125</v>
      </c>
      <c r="I224">
        <f>INDEX(PeakCalc!$L$10:$L$303,MATCH(tblPivotData[[#This Row],[Time]],PeakCalc!$G$10:$G$303,0))</f>
        <v>1</v>
      </c>
    </row>
    <row r="225" spans="1:9" x14ac:dyDescent="0.25">
      <c r="A225" t="s">
        <v>93</v>
      </c>
      <c r="B225" t="s">
        <v>101</v>
      </c>
      <c r="C225" t="s">
        <v>100</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101</v>
      </c>
      <c r="C226" t="s">
        <v>100</v>
      </c>
      <c r="D226" t="s">
        <v>90</v>
      </c>
      <c r="E226" t="s">
        <v>43</v>
      </c>
      <c r="F226" s="6">
        <v>0.33333333333333331</v>
      </c>
      <c r="G226">
        <v>2</v>
      </c>
      <c r="H226" s="6">
        <f>FLOOR(tblPivotData[[#This Row],[Time]],Summary!$B$6/1440)</f>
        <v>0.33333333333333331</v>
      </c>
      <c r="I226">
        <f>INDEX(PeakCalc!$L$10:$L$303,MATCH(tblPivotData[[#This Row],[Time]],PeakCalc!$G$10:$G$303,0))</f>
        <v>1</v>
      </c>
    </row>
    <row r="227" spans="1:9" x14ac:dyDescent="0.25">
      <c r="A227" t="s">
        <v>93</v>
      </c>
      <c r="B227" t="s">
        <v>101</v>
      </c>
      <c r="C227" t="s">
        <v>100</v>
      </c>
      <c r="D227" t="s">
        <v>90</v>
      </c>
      <c r="E227" t="s">
        <v>43</v>
      </c>
      <c r="F227" s="6">
        <v>0.34375</v>
      </c>
      <c r="G227">
        <v>1</v>
      </c>
      <c r="H227" s="6">
        <f>FLOOR(tblPivotData[[#This Row],[Time]],Summary!$B$6/1440)</f>
        <v>0.34375</v>
      </c>
      <c r="I227">
        <f>INDEX(PeakCalc!$L$10:$L$303,MATCH(tblPivotData[[#This Row],[Time]],PeakCalc!$G$10:$G$303,0))</f>
        <v>1</v>
      </c>
    </row>
    <row r="228" spans="1:9" x14ac:dyDescent="0.25">
      <c r="A228" t="s">
        <v>93</v>
      </c>
      <c r="B228" t="s">
        <v>101</v>
      </c>
      <c r="C228" t="s">
        <v>100</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101</v>
      </c>
      <c r="C229" t="s">
        <v>100</v>
      </c>
      <c r="D229" t="s">
        <v>90</v>
      </c>
      <c r="E229" t="s">
        <v>43</v>
      </c>
      <c r="F229" s="6">
        <v>0.36458333333333331</v>
      </c>
      <c r="G229">
        <v>1</v>
      </c>
      <c r="H229" s="6">
        <f>FLOOR(tblPivotData[[#This Row],[Time]],Summary!$B$6/1440)</f>
        <v>0.36458333333333331</v>
      </c>
      <c r="I229">
        <f>INDEX(PeakCalc!$L$10:$L$303,MATCH(tblPivotData[[#This Row],[Time]],PeakCalc!$G$10:$G$303,0))</f>
        <v>0</v>
      </c>
    </row>
    <row r="230" spans="1:9" x14ac:dyDescent="0.25">
      <c r="A230" t="s">
        <v>93</v>
      </c>
      <c r="B230" t="s">
        <v>101</v>
      </c>
      <c r="C230" t="s">
        <v>100</v>
      </c>
      <c r="D230" t="s">
        <v>90</v>
      </c>
      <c r="E230" t="s">
        <v>91</v>
      </c>
      <c r="F230" s="6">
        <v>0.54166666666666663</v>
      </c>
      <c r="G230">
        <v>1</v>
      </c>
      <c r="H230" s="6">
        <f>FLOOR(tblPivotData[[#This Row],[Time]],Summary!$B$6/1440)</f>
        <v>0.54166666666666663</v>
      </c>
      <c r="I230">
        <f>INDEX(PeakCalc!$L$10:$L$303,MATCH(tblPivotData[[#This Row],[Time]],PeakCalc!$G$10:$G$303,0))</f>
        <v>1</v>
      </c>
    </row>
    <row r="231" spans="1:9" x14ac:dyDescent="0.25">
      <c r="A231" t="s">
        <v>93</v>
      </c>
      <c r="B231" t="s">
        <v>101</v>
      </c>
      <c r="C231" t="s">
        <v>100</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101</v>
      </c>
      <c r="C232" t="s">
        <v>100</v>
      </c>
      <c r="D232" t="s">
        <v>90</v>
      </c>
      <c r="E232" t="s">
        <v>91</v>
      </c>
      <c r="F232" s="6">
        <v>0.5625</v>
      </c>
      <c r="G232">
        <v>0</v>
      </c>
      <c r="H232" s="6">
        <f>FLOOR(tblPivotData[[#This Row],[Time]],Summary!$B$6/1440)</f>
        <v>0.5625</v>
      </c>
      <c r="I232">
        <f>INDEX(PeakCalc!$L$10:$L$303,MATCH(tblPivotData[[#This Row],[Time]],PeakCalc!$G$10:$G$303,0))</f>
        <v>1</v>
      </c>
    </row>
    <row r="233" spans="1:9" x14ac:dyDescent="0.25">
      <c r="A233" t="s">
        <v>93</v>
      </c>
      <c r="B233" t="s">
        <v>101</v>
      </c>
      <c r="C233" t="s">
        <v>100</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101</v>
      </c>
      <c r="C234" t="s">
        <v>100</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101</v>
      </c>
      <c r="C235" t="s">
        <v>100</v>
      </c>
      <c r="D235" t="s">
        <v>90</v>
      </c>
      <c r="E235" t="s">
        <v>44</v>
      </c>
      <c r="F235" s="6">
        <v>0.67708333333333337</v>
      </c>
      <c r="G235">
        <v>1</v>
      </c>
      <c r="H235" s="6">
        <f>FLOOR(tblPivotData[[#This Row],[Time]],Summary!$B$6/1440)</f>
        <v>0.67708333333333326</v>
      </c>
      <c r="I235">
        <f>INDEX(PeakCalc!$L$10:$L$303,MATCH(tblPivotData[[#This Row],[Time]],PeakCalc!$G$10:$G$303,0))</f>
        <v>0</v>
      </c>
    </row>
    <row r="236" spans="1:9" x14ac:dyDescent="0.25">
      <c r="A236" t="s">
        <v>93</v>
      </c>
      <c r="B236" t="s">
        <v>101</v>
      </c>
      <c r="C236" t="s">
        <v>100</v>
      </c>
      <c r="D236" t="s">
        <v>90</v>
      </c>
      <c r="E236" t="s">
        <v>44</v>
      </c>
      <c r="F236" s="6">
        <v>0.6875</v>
      </c>
      <c r="G236">
        <v>0</v>
      </c>
      <c r="H236" s="6">
        <f>FLOOR(tblPivotData[[#This Row],[Time]],Summary!$B$6/1440)</f>
        <v>0.6875</v>
      </c>
      <c r="I236">
        <f>INDEX(PeakCalc!$L$10:$L$303,MATCH(tblPivotData[[#This Row],[Time]],PeakCalc!$G$10:$G$303,0))</f>
        <v>0</v>
      </c>
    </row>
    <row r="237" spans="1:9" x14ac:dyDescent="0.25">
      <c r="A237" t="s">
        <v>93</v>
      </c>
      <c r="B237" t="s">
        <v>101</v>
      </c>
      <c r="C237" t="s">
        <v>100</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101</v>
      </c>
      <c r="C238" t="s">
        <v>100</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101</v>
      </c>
      <c r="C239" t="s">
        <v>100</v>
      </c>
      <c r="D239" t="s">
        <v>90</v>
      </c>
      <c r="E239" t="s">
        <v>44</v>
      </c>
      <c r="F239" s="6">
        <v>0.71875</v>
      </c>
      <c r="G239">
        <v>1</v>
      </c>
      <c r="H239" s="6">
        <f>FLOOR(tblPivotData[[#This Row],[Time]],Summary!$B$6/1440)</f>
        <v>0.71875</v>
      </c>
      <c r="I239">
        <f>INDEX(PeakCalc!$L$10:$L$303,MATCH(tblPivotData[[#This Row],[Time]],PeakCalc!$G$10:$G$303,0))</f>
        <v>1</v>
      </c>
    </row>
    <row r="240" spans="1:9" x14ac:dyDescent="0.25">
      <c r="A240" t="s">
        <v>93</v>
      </c>
      <c r="B240" t="s">
        <v>101</v>
      </c>
      <c r="C240" t="s">
        <v>100</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93</v>
      </c>
      <c r="B241" t="s">
        <v>101</v>
      </c>
      <c r="C241" t="s">
        <v>100</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92</v>
      </c>
      <c r="C242" t="s">
        <v>93</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93</v>
      </c>
      <c r="B243" t="s">
        <v>92</v>
      </c>
      <c r="C243" t="s">
        <v>93</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25">
      <c r="A244" t="s">
        <v>93</v>
      </c>
      <c r="B244" t="s">
        <v>92</v>
      </c>
      <c r="C244" t="s">
        <v>93</v>
      </c>
      <c r="D244" t="s">
        <v>79</v>
      </c>
      <c r="E244" t="s">
        <v>43</v>
      </c>
      <c r="F244" s="6">
        <v>0.3125</v>
      </c>
      <c r="G244">
        <v>0</v>
      </c>
      <c r="H244" s="6">
        <f>FLOOR(tblPivotData[[#This Row],[Time]],Summary!$B$6/1440)</f>
        <v>0.3125</v>
      </c>
      <c r="I244">
        <f>INDEX(PeakCalc!$L$10:$L$303,MATCH(tblPivotData[[#This Row],[Time]],PeakCalc!$G$10:$G$303,0))</f>
        <v>1</v>
      </c>
    </row>
    <row r="245" spans="1:9" x14ac:dyDescent="0.25">
      <c r="A245" t="s">
        <v>93</v>
      </c>
      <c r="B245" t="s">
        <v>92</v>
      </c>
      <c r="C245" t="s">
        <v>93</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25">
      <c r="A246" t="s">
        <v>93</v>
      </c>
      <c r="B246" t="s">
        <v>92</v>
      </c>
      <c r="C246" t="s">
        <v>93</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25">
      <c r="A247" t="s">
        <v>93</v>
      </c>
      <c r="B247" t="s">
        <v>92</v>
      </c>
      <c r="C247" t="s">
        <v>93</v>
      </c>
      <c r="D247" t="s">
        <v>79</v>
      </c>
      <c r="E247" t="s">
        <v>43</v>
      </c>
      <c r="F247" s="6">
        <v>0.34375</v>
      </c>
      <c r="G247">
        <v>0</v>
      </c>
      <c r="H247" s="6">
        <f>FLOOR(tblPivotData[[#This Row],[Time]],Summary!$B$6/1440)</f>
        <v>0.34375</v>
      </c>
      <c r="I247">
        <f>INDEX(PeakCalc!$L$10:$L$303,MATCH(tblPivotData[[#This Row],[Time]],PeakCalc!$G$10:$G$303,0))</f>
        <v>1</v>
      </c>
    </row>
    <row r="248" spans="1:9" x14ac:dyDescent="0.25">
      <c r="A248" t="s">
        <v>93</v>
      </c>
      <c r="B248" t="s">
        <v>92</v>
      </c>
      <c r="C248" t="s">
        <v>93</v>
      </c>
      <c r="D248" t="s">
        <v>79</v>
      </c>
      <c r="E248" t="s">
        <v>43</v>
      </c>
      <c r="F248" s="6">
        <v>0.35416666666666669</v>
      </c>
      <c r="G248">
        <v>1</v>
      </c>
      <c r="H248" s="6">
        <f>FLOOR(tblPivotData[[#This Row],[Time]],Summary!$B$6/1440)</f>
        <v>0.35416666666666663</v>
      </c>
      <c r="I248">
        <f>INDEX(PeakCalc!$L$10:$L$303,MATCH(tblPivotData[[#This Row],[Time]],PeakCalc!$G$10:$G$303,0))</f>
        <v>0</v>
      </c>
    </row>
    <row r="249" spans="1:9" x14ac:dyDescent="0.25">
      <c r="A249" t="s">
        <v>93</v>
      </c>
      <c r="B249" t="s">
        <v>92</v>
      </c>
      <c r="C249" t="s">
        <v>93</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25">
      <c r="A250" t="s">
        <v>93</v>
      </c>
      <c r="B250" t="s">
        <v>92</v>
      </c>
      <c r="C250" t="s">
        <v>93</v>
      </c>
      <c r="D250" t="s">
        <v>79</v>
      </c>
      <c r="E250" t="s">
        <v>91</v>
      </c>
      <c r="F250" s="6">
        <v>0.54166666666666663</v>
      </c>
      <c r="G250">
        <v>0</v>
      </c>
      <c r="H250" s="6">
        <f>FLOOR(tblPivotData[[#This Row],[Time]],Summary!$B$6/1440)</f>
        <v>0.54166666666666663</v>
      </c>
      <c r="I250">
        <f>INDEX(PeakCalc!$L$10:$L$303,MATCH(tblPivotData[[#This Row],[Time]],PeakCalc!$G$10:$G$303,0))</f>
        <v>1</v>
      </c>
    </row>
    <row r="251" spans="1:9" x14ac:dyDescent="0.25">
      <c r="A251" t="s">
        <v>93</v>
      </c>
      <c r="B251" t="s">
        <v>92</v>
      </c>
      <c r="C251" t="s">
        <v>93</v>
      </c>
      <c r="D251" t="s">
        <v>79</v>
      </c>
      <c r="E251" t="s">
        <v>91</v>
      </c>
      <c r="F251" s="6">
        <v>0.55208333333333337</v>
      </c>
      <c r="G251">
        <v>0</v>
      </c>
      <c r="H251" s="6">
        <f>FLOOR(tblPivotData[[#This Row],[Time]],Summary!$B$6/1440)</f>
        <v>0.55208333333333326</v>
      </c>
      <c r="I251">
        <f>INDEX(PeakCalc!$L$10:$L$303,MATCH(tblPivotData[[#This Row],[Time]],PeakCalc!$G$10:$G$303,0))</f>
        <v>1</v>
      </c>
    </row>
    <row r="252" spans="1:9" x14ac:dyDescent="0.25">
      <c r="A252" t="s">
        <v>93</v>
      </c>
      <c r="B252" t="s">
        <v>92</v>
      </c>
      <c r="C252" t="s">
        <v>93</v>
      </c>
      <c r="D252" t="s">
        <v>79</v>
      </c>
      <c r="E252" t="s">
        <v>91</v>
      </c>
      <c r="F252" s="6">
        <v>0.5625</v>
      </c>
      <c r="G252">
        <v>0</v>
      </c>
      <c r="H252" s="6">
        <f>FLOOR(tblPivotData[[#This Row],[Time]],Summary!$B$6/1440)</f>
        <v>0.5625</v>
      </c>
      <c r="I252">
        <f>INDEX(PeakCalc!$L$10:$L$303,MATCH(tblPivotData[[#This Row],[Time]],PeakCalc!$G$10:$G$303,0))</f>
        <v>1</v>
      </c>
    </row>
    <row r="253" spans="1:9" x14ac:dyDescent="0.25">
      <c r="A253" t="s">
        <v>93</v>
      </c>
      <c r="B253" t="s">
        <v>92</v>
      </c>
      <c r="C253" t="s">
        <v>93</v>
      </c>
      <c r="D253" t="s">
        <v>79</v>
      </c>
      <c r="E253" t="s">
        <v>91</v>
      </c>
      <c r="F253" s="6">
        <v>0.57291666666666663</v>
      </c>
      <c r="G253">
        <v>0</v>
      </c>
      <c r="H253" s="6">
        <f>FLOOR(tblPivotData[[#This Row],[Time]],Summary!$B$6/1440)</f>
        <v>0.57291666666666663</v>
      </c>
      <c r="I253">
        <f>INDEX(PeakCalc!$L$10:$L$303,MATCH(tblPivotData[[#This Row],[Time]],PeakCalc!$G$10:$G$303,0))</f>
        <v>1</v>
      </c>
    </row>
    <row r="254" spans="1:9" x14ac:dyDescent="0.25">
      <c r="A254" t="s">
        <v>93</v>
      </c>
      <c r="B254" t="s">
        <v>92</v>
      </c>
      <c r="C254" t="s">
        <v>93</v>
      </c>
      <c r="D254" t="s">
        <v>79</v>
      </c>
      <c r="E254" t="s">
        <v>44</v>
      </c>
      <c r="F254" s="6">
        <v>0.66666666666666663</v>
      </c>
      <c r="G254">
        <v>1</v>
      </c>
      <c r="H254" s="6">
        <f>FLOOR(tblPivotData[[#This Row],[Time]],Summary!$B$6/1440)</f>
        <v>0.66666666666666663</v>
      </c>
      <c r="I254">
        <f>INDEX(PeakCalc!$L$10:$L$303,MATCH(tblPivotData[[#This Row],[Time]],PeakCalc!$G$10:$G$303,0))</f>
        <v>0</v>
      </c>
    </row>
    <row r="255" spans="1:9" x14ac:dyDescent="0.25">
      <c r="A255" t="s">
        <v>93</v>
      </c>
      <c r="B255" t="s">
        <v>92</v>
      </c>
      <c r="C255" t="s">
        <v>93</v>
      </c>
      <c r="D255" t="s">
        <v>79</v>
      </c>
      <c r="E255" t="s">
        <v>44</v>
      </c>
      <c r="F255" s="6">
        <v>0.67708333333333337</v>
      </c>
      <c r="G255">
        <v>1</v>
      </c>
      <c r="H255" s="6">
        <f>FLOOR(tblPivotData[[#This Row],[Time]],Summary!$B$6/1440)</f>
        <v>0.67708333333333326</v>
      </c>
      <c r="I255">
        <f>INDEX(PeakCalc!$L$10:$L$303,MATCH(tblPivotData[[#This Row],[Time]],PeakCalc!$G$10:$G$303,0))</f>
        <v>0</v>
      </c>
    </row>
    <row r="256" spans="1:9" x14ac:dyDescent="0.25">
      <c r="A256" t="s">
        <v>93</v>
      </c>
      <c r="B256" t="s">
        <v>92</v>
      </c>
      <c r="C256" t="s">
        <v>93</v>
      </c>
      <c r="D256" t="s">
        <v>79</v>
      </c>
      <c r="E256" t="s">
        <v>44</v>
      </c>
      <c r="F256" s="6">
        <v>0.6875</v>
      </c>
      <c r="G256">
        <v>1</v>
      </c>
      <c r="H256" s="6">
        <f>FLOOR(tblPivotData[[#This Row],[Time]],Summary!$B$6/1440)</f>
        <v>0.6875</v>
      </c>
      <c r="I256">
        <f>INDEX(PeakCalc!$L$10:$L$303,MATCH(tblPivotData[[#This Row],[Time]],PeakCalc!$G$10:$G$303,0))</f>
        <v>0</v>
      </c>
    </row>
    <row r="257" spans="1:9" x14ac:dyDescent="0.25">
      <c r="A257" t="s">
        <v>93</v>
      </c>
      <c r="B257" t="s">
        <v>92</v>
      </c>
      <c r="C257" t="s">
        <v>93</v>
      </c>
      <c r="D257" t="s">
        <v>79</v>
      </c>
      <c r="E257" t="s">
        <v>44</v>
      </c>
      <c r="F257" s="6">
        <v>0.69791666666666663</v>
      </c>
      <c r="G257">
        <v>1</v>
      </c>
      <c r="H257" s="6">
        <f>FLOOR(tblPivotData[[#This Row],[Time]],Summary!$B$6/1440)</f>
        <v>0.69791666666666663</v>
      </c>
      <c r="I257">
        <f>INDEX(PeakCalc!$L$10:$L$303,MATCH(tblPivotData[[#This Row],[Time]],PeakCalc!$G$10:$G$303,0))</f>
        <v>1</v>
      </c>
    </row>
    <row r="258" spans="1:9" x14ac:dyDescent="0.25">
      <c r="A258" t="s">
        <v>93</v>
      </c>
      <c r="B258" t="s">
        <v>92</v>
      </c>
      <c r="C258" t="s">
        <v>93</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25">
      <c r="A259" t="s">
        <v>93</v>
      </c>
      <c r="B259" t="s">
        <v>92</v>
      </c>
      <c r="C259" t="s">
        <v>93</v>
      </c>
      <c r="D259" t="s">
        <v>79</v>
      </c>
      <c r="E259" t="s">
        <v>44</v>
      </c>
      <c r="F259" s="6">
        <v>0.71875</v>
      </c>
      <c r="G259">
        <v>1</v>
      </c>
      <c r="H259" s="6">
        <f>FLOOR(tblPivotData[[#This Row],[Time]],Summary!$B$6/1440)</f>
        <v>0.71875</v>
      </c>
      <c r="I259">
        <f>INDEX(PeakCalc!$L$10:$L$303,MATCH(tblPivotData[[#This Row],[Time]],PeakCalc!$G$10:$G$303,0))</f>
        <v>1</v>
      </c>
    </row>
    <row r="260" spans="1:9" x14ac:dyDescent="0.25">
      <c r="A260" t="s">
        <v>93</v>
      </c>
      <c r="B260" t="s">
        <v>92</v>
      </c>
      <c r="C260" t="s">
        <v>93</v>
      </c>
      <c r="D260" t="s">
        <v>79</v>
      </c>
      <c r="E260" t="s">
        <v>44</v>
      </c>
      <c r="F260" s="6">
        <v>0.72916666666666663</v>
      </c>
      <c r="G260">
        <v>1</v>
      </c>
      <c r="H260" s="6">
        <f>FLOOR(tblPivotData[[#This Row],[Time]],Summary!$B$6/1440)</f>
        <v>0.72916666666666663</v>
      </c>
      <c r="I260">
        <f>INDEX(PeakCalc!$L$10:$L$303,MATCH(tblPivotData[[#This Row],[Time]],PeakCalc!$G$10:$G$303,0))</f>
        <v>1</v>
      </c>
    </row>
    <row r="261" spans="1:9" x14ac:dyDescent="0.25">
      <c r="A261" t="s">
        <v>93</v>
      </c>
      <c r="B261" t="s">
        <v>92</v>
      </c>
      <c r="C261" t="s">
        <v>93</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25">
      <c r="A262" t="s">
        <v>93</v>
      </c>
      <c r="B262" t="s">
        <v>92</v>
      </c>
      <c r="C262" t="s">
        <v>93</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93</v>
      </c>
      <c r="B263" t="s">
        <v>92</v>
      </c>
      <c r="C263" t="s">
        <v>93</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93</v>
      </c>
      <c r="B264" t="s">
        <v>92</v>
      </c>
      <c r="C264" t="s">
        <v>93</v>
      </c>
      <c r="D264" t="s">
        <v>89</v>
      </c>
      <c r="E264" t="s">
        <v>43</v>
      </c>
      <c r="F264" s="6">
        <v>0.3125</v>
      </c>
      <c r="G264">
        <v>0</v>
      </c>
      <c r="H264" s="6">
        <f>FLOOR(tblPivotData[[#This Row],[Time]],Summary!$B$6/1440)</f>
        <v>0.3125</v>
      </c>
      <c r="I264">
        <f>INDEX(PeakCalc!$L$10:$L$303,MATCH(tblPivotData[[#This Row],[Time]],PeakCalc!$G$10:$G$303,0))</f>
        <v>1</v>
      </c>
    </row>
    <row r="265" spans="1:9" x14ac:dyDescent="0.25">
      <c r="A265" t="s">
        <v>93</v>
      </c>
      <c r="B265" t="s">
        <v>92</v>
      </c>
      <c r="C265" t="s">
        <v>93</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93</v>
      </c>
      <c r="B266" t="s">
        <v>92</v>
      </c>
      <c r="C266" t="s">
        <v>93</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93</v>
      </c>
      <c r="B267" t="s">
        <v>92</v>
      </c>
      <c r="C267" t="s">
        <v>93</v>
      </c>
      <c r="D267" t="s">
        <v>89</v>
      </c>
      <c r="E267" t="s">
        <v>43</v>
      </c>
      <c r="F267" s="6">
        <v>0.34375</v>
      </c>
      <c r="G267">
        <v>0</v>
      </c>
      <c r="H267" s="6">
        <f>FLOOR(tblPivotData[[#This Row],[Time]],Summary!$B$6/1440)</f>
        <v>0.34375</v>
      </c>
      <c r="I267">
        <f>INDEX(PeakCalc!$L$10:$L$303,MATCH(tblPivotData[[#This Row],[Time]],PeakCalc!$G$10:$G$303,0))</f>
        <v>1</v>
      </c>
    </row>
    <row r="268" spans="1:9" x14ac:dyDescent="0.25">
      <c r="A268" t="s">
        <v>93</v>
      </c>
      <c r="B268" t="s">
        <v>92</v>
      </c>
      <c r="C268" t="s">
        <v>93</v>
      </c>
      <c r="D268" t="s">
        <v>89</v>
      </c>
      <c r="E268" t="s">
        <v>43</v>
      </c>
      <c r="F268" s="6">
        <v>0.35416666666666669</v>
      </c>
      <c r="G268">
        <v>0</v>
      </c>
      <c r="H268" s="6">
        <f>FLOOR(tblPivotData[[#This Row],[Time]],Summary!$B$6/1440)</f>
        <v>0.35416666666666663</v>
      </c>
      <c r="I268">
        <f>INDEX(PeakCalc!$L$10:$L$303,MATCH(tblPivotData[[#This Row],[Time]],PeakCalc!$G$10:$G$303,0))</f>
        <v>0</v>
      </c>
    </row>
    <row r="269" spans="1:9" x14ac:dyDescent="0.25">
      <c r="A269" t="s">
        <v>93</v>
      </c>
      <c r="B269" t="s">
        <v>92</v>
      </c>
      <c r="C269" t="s">
        <v>93</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93</v>
      </c>
      <c r="B270" t="s">
        <v>92</v>
      </c>
      <c r="C270" t="s">
        <v>93</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93</v>
      </c>
      <c r="B271" t="s">
        <v>92</v>
      </c>
      <c r="C271" t="s">
        <v>93</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93</v>
      </c>
      <c r="B272" t="s">
        <v>92</v>
      </c>
      <c r="C272" t="s">
        <v>93</v>
      </c>
      <c r="D272" t="s">
        <v>89</v>
      </c>
      <c r="E272" t="s">
        <v>91</v>
      </c>
      <c r="F272" s="6">
        <v>0.5625</v>
      </c>
      <c r="G272">
        <v>0</v>
      </c>
      <c r="H272" s="6">
        <f>FLOOR(tblPivotData[[#This Row],[Time]],Summary!$B$6/1440)</f>
        <v>0.5625</v>
      </c>
      <c r="I272">
        <f>INDEX(PeakCalc!$L$10:$L$303,MATCH(tblPivotData[[#This Row],[Time]],PeakCalc!$G$10:$G$303,0))</f>
        <v>1</v>
      </c>
    </row>
    <row r="273" spans="1:9" x14ac:dyDescent="0.25">
      <c r="A273" t="s">
        <v>93</v>
      </c>
      <c r="B273" t="s">
        <v>92</v>
      </c>
      <c r="C273" t="s">
        <v>93</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93</v>
      </c>
      <c r="B274" t="s">
        <v>92</v>
      </c>
      <c r="C274" t="s">
        <v>93</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93</v>
      </c>
      <c r="B275" t="s">
        <v>92</v>
      </c>
      <c r="C275" t="s">
        <v>93</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93</v>
      </c>
      <c r="B276" t="s">
        <v>92</v>
      </c>
      <c r="C276" t="s">
        <v>93</v>
      </c>
      <c r="D276" t="s">
        <v>89</v>
      </c>
      <c r="E276" t="s">
        <v>44</v>
      </c>
      <c r="F276" s="6">
        <v>0.6875</v>
      </c>
      <c r="G276">
        <v>0</v>
      </c>
      <c r="H276" s="6">
        <f>FLOOR(tblPivotData[[#This Row],[Time]],Summary!$B$6/1440)</f>
        <v>0.6875</v>
      </c>
      <c r="I276">
        <f>INDEX(PeakCalc!$L$10:$L$303,MATCH(tblPivotData[[#This Row],[Time]],PeakCalc!$G$10:$G$303,0))</f>
        <v>0</v>
      </c>
    </row>
    <row r="277" spans="1:9" x14ac:dyDescent="0.25">
      <c r="A277" t="s">
        <v>93</v>
      </c>
      <c r="B277" t="s">
        <v>92</v>
      </c>
      <c r="C277" t="s">
        <v>93</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92</v>
      </c>
      <c r="C278" t="s">
        <v>93</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92</v>
      </c>
      <c r="C279" t="s">
        <v>93</v>
      </c>
      <c r="D279" t="s">
        <v>89</v>
      </c>
      <c r="E279" t="s">
        <v>44</v>
      </c>
      <c r="F279" s="6">
        <v>0.71875</v>
      </c>
      <c r="G279">
        <v>0</v>
      </c>
      <c r="H279" s="6">
        <f>FLOOR(tblPivotData[[#This Row],[Time]],Summary!$B$6/1440)</f>
        <v>0.71875</v>
      </c>
      <c r="I279">
        <f>INDEX(PeakCalc!$L$10:$L$303,MATCH(tblPivotData[[#This Row],[Time]],PeakCalc!$G$10:$G$303,0))</f>
        <v>1</v>
      </c>
    </row>
    <row r="280" spans="1:9" x14ac:dyDescent="0.25">
      <c r="A280" t="s">
        <v>93</v>
      </c>
      <c r="B280" t="s">
        <v>92</v>
      </c>
      <c r="C280" t="s">
        <v>93</v>
      </c>
      <c r="D280" t="s">
        <v>89</v>
      </c>
      <c r="E280" t="s">
        <v>44</v>
      </c>
      <c r="F280" s="6">
        <v>0.72916666666666663</v>
      </c>
      <c r="G280">
        <v>0</v>
      </c>
      <c r="H280" s="6">
        <f>FLOOR(tblPivotData[[#This Row],[Time]],Summary!$B$6/1440)</f>
        <v>0.72916666666666663</v>
      </c>
      <c r="I280">
        <f>INDEX(PeakCalc!$L$10:$L$303,MATCH(tblPivotData[[#This Row],[Time]],PeakCalc!$G$10:$G$303,0))</f>
        <v>1</v>
      </c>
    </row>
    <row r="281" spans="1:9" x14ac:dyDescent="0.25">
      <c r="A281" t="s">
        <v>93</v>
      </c>
      <c r="B281" t="s">
        <v>92</v>
      </c>
      <c r="C281" t="s">
        <v>93</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92</v>
      </c>
      <c r="C282" t="s">
        <v>93</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92</v>
      </c>
      <c r="C283" t="s">
        <v>93</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93</v>
      </c>
      <c r="B284" t="s">
        <v>92</v>
      </c>
      <c r="C284" t="s">
        <v>93</v>
      </c>
      <c r="D284" t="s">
        <v>90</v>
      </c>
      <c r="E284" t="s">
        <v>43</v>
      </c>
      <c r="F284" s="6">
        <v>0.3125</v>
      </c>
      <c r="G284">
        <v>0</v>
      </c>
      <c r="H284" s="6">
        <f>FLOOR(tblPivotData[[#This Row],[Time]],Summary!$B$6/1440)</f>
        <v>0.3125</v>
      </c>
      <c r="I284">
        <f>INDEX(PeakCalc!$L$10:$L$303,MATCH(tblPivotData[[#This Row],[Time]],PeakCalc!$G$10:$G$303,0))</f>
        <v>1</v>
      </c>
    </row>
    <row r="285" spans="1:9" x14ac:dyDescent="0.25">
      <c r="A285" t="s">
        <v>93</v>
      </c>
      <c r="B285" t="s">
        <v>92</v>
      </c>
      <c r="C285" t="s">
        <v>93</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93</v>
      </c>
      <c r="B286" t="s">
        <v>92</v>
      </c>
      <c r="C286" t="s">
        <v>93</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92</v>
      </c>
      <c r="C287" t="s">
        <v>93</v>
      </c>
      <c r="D287" t="s">
        <v>90</v>
      </c>
      <c r="E287" t="s">
        <v>43</v>
      </c>
      <c r="F287" s="6">
        <v>0.34375</v>
      </c>
      <c r="G287">
        <v>0</v>
      </c>
      <c r="H287" s="6">
        <f>FLOOR(tblPivotData[[#This Row],[Time]],Summary!$B$6/1440)</f>
        <v>0.34375</v>
      </c>
      <c r="I287">
        <f>INDEX(PeakCalc!$L$10:$L$303,MATCH(tblPivotData[[#This Row],[Time]],PeakCalc!$G$10:$G$303,0))</f>
        <v>1</v>
      </c>
    </row>
    <row r="288" spans="1:9" x14ac:dyDescent="0.25">
      <c r="A288" t="s">
        <v>93</v>
      </c>
      <c r="B288" t="s">
        <v>92</v>
      </c>
      <c r="C288" t="s">
        <v>93</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93</v>
      </c>
      <c r="B289" t="s">
        <v>92</v>
      </c>
      <c r="C289" t="s">
        <v>93</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92</v>
      </c>
      <c r="C290" t="s">
        <v>93</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92</v>
      </c>
      <c r="C291" t="s">
        <v>93</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92</v>
      </c>
      <c r="C292" t="s">
        <v>93</v>
      </c>
      <c r="D292" t="s">
        <v>90</v>
      </c>
      <c r="E292" t="s">
        <v>91</v>
      </c>
      <c r="F292" s="6">
        <v>0.5625</v>
      </c>
      <c r="G292">
        <v>0</v>
      </c>
      <c r="H292" s="6">
        <f>FLOOR(tblPivotData[[#This Row],[Time]],Summary!$B$6/1440)</f>
        <v>0.5625</v>
      </c>
      <c r="I292">
        <f>INDEX(PeakCalc!$L$10:$L$303,MATCH(tblPivotData[[#This Row],[Time]],PeakCalc!$G$10:$G$303,0))</f>
        <v>1</v>
      </c>
    </row>
    <row r="293" spans="1:9" x14ac:dyDescent="0.25">
      <c r="A293" t="s">
        <v>93</v>
      </c>
      <c r="B293" t="s">
        <v>92</v>
      </c>
      <c r="C293" t="s">
        <v>93</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92</v>
      </c>
      <c r="C294" t="s">
        <v>93</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92</v>
      </c>
      <c r="C295" t="s">
        <v>93</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92</v>
      </c>
      <c r="C296" t="s">
        <v>93</v>
      </c>
      <c r="D296" t="s">
        <v>90</v>
      </c>
      <c r="E296" t="s">
        <v>44</v>
      </c>
      <c r="F296" s="6">
        <v>0.6875</v>
      </c>
      <c r="G296">
        <v>0</v>
      </c>
      <c r="H296" s="6">
        <f>FLOOR(tblPivotData[[#This Row],[Time]],Summary!$B$6/1440)</f>
        <v>0.6875</v>
      </c>
      <c r="I296">
        <f>INDEX(PeakCalc!$L$10:$L$303,MATCH(tblPivotData[[#This Row],[Time]],PeakCalc!$G$10:$G$303,0))</f>
        <v>0</v>
      </c>
    </row>
    <row r="297" spans="1:9" x14ac:dyDescent="0.25">
      <c r="A297" t="s">
        <v>93</v>
      </c>
      <c r="B297" t="s">
        <v>92</v>
      </c>
      <c r="C297" t="s">
        <v>93</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92</v>
      </c>
      <c r="C298" t="s">
        <v>93</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92</v>
      </c>
      <c r="C299" t="s">
        <v>93</v>
      </c>
      <c r="D299" t="s">
        <v>90</v>
      </c>
      <c r="E299" t="s">
        <v>44</v>
      </c>
      <c r="F299" s="6">
        <v>0.71875</v>
      </c>
      <c r="G299">
        <v>0</v>
      </c>
      <c r="H299" s="6">
        <f>FLOOR(tblPivotData[[#This Row],[Time]],Summary!$B$6/1440)</f>
        <v>0.71875</v>
      </c>
      <c r="I299">
        <f>INDEX(PeakCalc!$L$10:$L$303,MATCH(tblPivotData[[#This Row],[Time]],PeakCalc!$G$10:$G$303,0))</f>
        <v>1</v>
      </c>
    </row>
    <row r="300" spans="1:9" x14ac:dyDescent="0.25">
      <c r="A300" t="s">
        <v>93</v>
      </c>
      <c r="B300" t="s">
        <v>92</v>
      </c>
      <c r="C300" t="s">
        <v>93</v>
      </c>
      <c r="D300" t="s">
        <v>90</v>
      </c>
      <c r="E300" t="s">
        <v>44</v>
      </c>
      <c r="F300" s="6">
        <v>0.72916666666666663</v>
      </c>
      <c r="G300">
        <v>0</v>
      </c>
      <c r="H300" s="6">
        <f>FLOOR(tblPivotData[[#This Row],[Time]],Summary!$B$6/1440)</f>
        <v>0.72916666666666663</v>
      </c>
      <c r="I300">
        <f>INDEX(PeakCalc!$L$10:$L$303,MATCH(tblPivotData[[#This Row],[Time]],PeakCalc!$G$10:$G$303,0))</f>
        <v>1</v>
      </c>
    </row>
    <row r="301" spans="1:9" x14ac:dyDescent="0.25">
      <c r="A301" t="s">
        <v>93</v>
      </c>
      <c r="B301" t="s">
        <v>92</v>
      </c>
      <c r="C301" t="s">
        <v>93</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102</v>
      </c>
      <c r="C302" t="s">
        <v>100</v>
      </c>
      <c r="D302" t="s">
        <v>79</v>
      </c>
      <c r="E302" t="s">
        <v>43</v>
      </c>
      <c r="F302" s="6">
        <v>0.29166666666666669</v>
      </c>
      <c r="G302">
        <v>3</v>
      </c>
      <c r="H302" s="6">
        <f>FLOOR(tblPivotData[[#This Row],[Time]],Summary!$B$6/1440)</f>
        <v>0.29166666666666663</v>
      </c>
      <c r="I302">
        <f>INDEX(PeakCalc!$L$10:$L$303,MATCH(tblPivotData[[#This Row],[Time]],PeakCalc!$G$10:$G$303,0))</f>
        <v>0</v>
      </c>
    </row>
    <row r="303" spans="1:9" x14ac:dyDescent="0.25">
      <c r="A303" t="s">
        <v>94</v>
      </c>
      <c r="B303" t="s">
        <v>102</v>
      </c>
      <c r="C303" t="s">
        <v>100</v>
      </c>
      <c r="D303" t="s">
        <v>79</v>
      </c>
      <c r="E303" t="s">
        <v>43</v>
      </c>
      <c r="F303" s="6">
        <v>0.30208333333333331</v>
      </c>
      <c r="G303">
        <v>5</v>
      </c>
      <c r="H303" s="6">
        <f>FLOOR(tblPivotData[[#This Row],[Time]],Summary!$B$6/1440)</f>
        <v>0.30208333333333331</v>
      </c>
      <c r="I303">
        <f>INDEX(PeakCalc!$L$10:$L$303,MATCH(tblPivotData[[#This Row],[Time]],PeakCalc!$G$10:$G$303,0))</f>
        <v>0</v>
      </c>
    </row>
    <row r="304" spans="1:9" x14ac:dyDescent="0.25">
      <c r="A304" t="s">
        <v>94</v>
      </c>
      <c r="B304" t="s">
        <v>102</v>
      </c>
      <c r="C304" t="s">
        <v>100</v>
      </c>
      <c r="D304" t="s">
        <v>79</v>
      </c>
      <c r="E304" t="s">
        <v>43</v>
      </c>
      <c r="F304" s="6">
        <v>0.3125</v>
      </c>
      <c r="G304">
        <v>11</v>
      </c>
      <c r="H304" s="6">
        <f>FLOOR(tblPivotData[[#This Row],[Time]],Summary!$B$6/1440)</f>
        <v>0.3125</v>
      </c>
      <c r="I304">
        <f>INDEX(PeakCalc!$L$10:$L$303,MATCH(tblPivotData[[#This Row],[Time]],PeakCalc!$G$10:$G$303,0))</f>
        <v>1</v>
      </c>
    </row>
    <row r="305" spans="1:9" x14ac:dyDescent="0.25">
      <c r="A305" t="s">
        <v>94</v>
      </c>
      <c r="B305" t="s">
        <v>102</v>
      </c>
      <c r="C305" t="s">
        <v>100</v>
      </c>
      <c r="D305" t="s">
        <v>79</v>
      </c>
      <c r="E305" t="s">
        <v>43</v>
      </c>
      <c r="F305" s="6">
        <v>0.32291666666666669</v>
      </c>
      <c r="G305">
        <v>14</v>
      </c>
      <c r="H305" s="6">
        <f>FLOOR(tblPivotData[[#This Row],[Time]],Summary!$B$6/1440)</f>
        <v>0.32291666666666663</v>
      </c>
      <c r="I305">
        <f>INDEX(PeakCalc!$L$10:$L$303,MATCH(tblPivotData[[#This Row],[Time]],PeakCalc!$G$10:$G$303,0))</f>
        <v>1</v>
      </c>
    </row>
    <row r="306" spans="1:9" x14ac:dyDescent="0.25">
      <c r="A306" t="s">
        <v>94</v>
      </c>
      <c r="B306" t="s">
        <v>102</v>
      </c>
      <c r="C306" t="s">
        <v>100</v>
      </c>
      <c r="D306" t="s">
        <v>79</v>
      </c>
      <c r="E306" t="s">
        <v>43</v>
      </c>
      <c r="F306" s="6">
        <v>0.33333333333333331</v>
      </c>
      <c r="G306">
        <v>14</v>
      </c>
      <c r="H306" s="6">
        <f>FLOOR(tblPivotData[[#This Row],[Time]],Summary!$B$6/1440)</f>
        <v>0.33333333333333331</v>
      </c>
      <c r="I306">
        <f>INDEX(PeakCalc!$L$10:$L$303,MATCH(tblPivotData[[#This Row],[Time]],PeakCalc!$G$10:$G$303,0))</f>
        <v>1</v>
      </c>
    </row>
    <row r="307" spans="1:9" x14ac:dyDescent="0.25">
      <c r="A307" t="s">
        <v>94</v>
      </c>
      <c r="B307" t="s">
        <v>102</v>
      </c>
      <c r="C307" t="s">
        <v>100</v>
      </c>
      <c r="D307" t="s">
        <v>79</v>
      </c>
      <c r="E307" t="s">
        <v>43</v>
      </c>
      <c r="F307" s="6">
        <v>0.34375</v>
      </c>
      <c r="G307">
        <v>33</v>
      </c>
      <c r="H307" s="6">
        <f>FLOOR(tblPivotData[[#This Row],[Time]],Summary!$B$6/1440)</f>
        <v>0.34375</v>
      </c>
      <c r="I307">
        <f>INDEX(PeakCalc!$L$10:$L$303,MATCH(tblPivotData[[#This Row],[Time]],PeakCalc!$G$10:$G$303,0))</f>
        <v>1</v>
      </c>
    </row>
    <row r="308" spans="1:9" x14ac:dyDescent="0.25">
      <c r="A308" t="s">
        <v>94</v>
      </c>
      <c r="B308" t="s">
        <v>102</v>
      </c>
      <c r="C308" t="s">
        <v>100</v>
      </c>
      <c r="D308" t="s">
        <v>79</v>
      </c>
      <c r="E308" t="s">
        <v>43</v>
      </c>
      <c r="F308" s="6">
        <v>0.35416666666666669</v>
      </c>
      <c r="G308">
        <v>25</v>
      </c>
      <c r="H308" s="6">
        <f>FLOOR(tblPivotData[[#This Row],[Time]],Summary!$B$6/1440)</f>
        <v>0.35416666666666663</v>
      </c>
      <c r="I308">
        <f>INDEX(PeakCalc!$L$10:$L$303,MATCH(tblPivotData[[#This Row],[Time]],PeakCalc!$G$10:$G$303,0))</f>
        <v>0</v>
      </c>
    </row>
    <row r="309" spans="1:9" x14ac:dyDescent="0.25">
      <c r="A309" t="s">
        <v>94</v>
      </c>
      <c r="B309" t="s">
        <v>102</v>
      </c>
      <c r="C309" t="s">
        <v>100</v>
      </c>
      <c r="D309" t="s">
        <v>79</v>
      </c>
      <c r="E309" t="s">
        <v>43</v>
      </c>
      <c r="F309" s="6">
        <v>0.36458333333333331</v>
      </c>
      <c r="G309">
        <v>22</v>
      </c>
      <c r="H309" s="6">
        <f>FLOOR(tblPivotData[[#This Row],[Time]],Summary!$B$6/1440)</f>
        <v>0.36458333333333331</v>
      </c>
      <c r="I309">
        <f>INDEX(PeakCalc!$L$10:$L$303,MATCH(tblPivotData[[#This Row],[Time]],PeakCalc!$G$10:$G$303,0))</f>
        <v>0</v>
      </c>
    </row>
    <row r="310" spans="1:9" x14ac:dyDescent="0.25">
      <c r="A310" t="s">
        <v>94</v>
      </c>
      <c r="B310" t="s">
        <v>102</v>
      </c>
      <c r="C310" t="s">
        <v>100</v>
      </c>
      <c r="D310" t="s">
        <v>79</v>
      </c>
      <c r="E310" t="s">
        <v>91</v>
      </c>
      <c r="F310" s="6">
        <v>0.54166666666666663</v>
      </c>
      <c r="G310">
        <v>24</v>
      </c>
      <c r="H310" s="6">
        <f>FLOOR(tblPivotData[[#This Row],[Time]],Summary!$B$6/1440)</f>
        <v>0.54166666666666663</v>
      </c>
      <c r="I310">
        <f>INDEX(PeakCalc!$L$10:$L$303,MATCH(tblPivotData[[#This Row],[Time]],PeakCalc!$G$10:$G$303,0))</f>
        <v>1</v>
      </c>
    </row>
    <row r="311" spans="1:9" x14ac:dyDescent="0.25">
      <c r="A311" t="s">
        <v>94</v>
      </c>
      <c r="B311" t="s">
        <v>102</v>
      </c>
      <c r="C311" t="s">
        <v>100</v>
      </c>
      <c r="D311" t="s">
        <v>79</v>
      </c>
      <c r="E311" t="s">
        <v>91</v>
      </c>
      <c r="F311" s="6">
        <v>0.55208333333333337</v>
      </c>
      <c r="G311">
        <v>16</v>
      </c>
      <c r="H311" s="6">
        <f>FLOOR(tblPivotData[[#This Row],[Time]],Summary!$B$6/1440)</f>
        <v>0.55208333333333326</v>
      </c>
      <c r="I311">
        <f>INDEX(PeakCalc!$L$10:$L$303,MATCH(tblPivotData[[#This Row],[Time]],PeakCalc!$G$10:$G$303,0))</f>
        <v>1</v>
      </c>
    </row>
    <row r="312" spans="1:9" x14ac:dyDescent="0.25">
      <c r="A312" t="s">
        <v>94</v>
      </c>
      <c r="B312" t="s">
        <v>102</v>
      </c>
      <c r="C312" t="s">
        <v>100</v>
      </c>
      <c r="D312" t="s">
        <v>79</v>
      </c>
      <c r="E312" t="s">
        <v>91</v>
      </c>
      <c r="F312" s="6">
        <v>0.5625</v>
      </c>
      <c r="G312">
        <v>14</v>
      </c>
      <c r="H312" s="6">
        <f>FLOOR(tblPivotData[[#This Row],[Time]],Summary!$B$6/1440)</f>
        <v>0.5625</v>
      </c>
      <c r="I312">
        <f>INDEX(PeakCalc!$L$10:$L$303,MATCH(tblPivotData[[#This Row],[Time]],PeakCalc!$G$10:$G$303,0))</f>
        <v>1</v>
      </c>
    </row>
    <row r="313" spans="1:9" x14ac:dyDescent="0.25">
      <c r="A313" t="s">
        <v>94</v>
      </c>
      <c r="B313" t="s">
        <v>102</v>
      </c>
      <c r="C313" t="s">
        <v>100</v>
      </c>
      <c r="D313" t="s">
        <v>79</v>
      </c>
      <c r="E313" t="s">
        <v>91</v>
      </c>
      <c r="F313" s="6">
        <v>0.57291666666666663</v>
      </c>
      <c r="G313">
        <v>18</v>
      </c>
      <c r="H313" s="6">
        <f>FLOOR(tblPivotData[[#This Row],[Time]],Summary!$B$6/1440)</f>
        <v>0.57291666666666663</v>
      </c>
      <c r="I313">
        <f>INDEX(PeakCalc!$L$10:$L$303,MATCH(tblPivotData[[#This Row],[Time]],PeakCalc!$G$10:$G$303,0))</f>
        <v>1</v>
      </c>
    </row>
    <row r="314" spans="1:9" x14ac:dyDescent="0.25">
      <c r="A314" t="s">
        <v>94</v>
      </c>
      <c r="B314" t="s">
        <v>102</v>
      </c>
      <c r="C314" t="s">
        <v>100</v>
      </c>
      <c r="D314" t="s">
        <v>79</v>
      </c>
      <c r="E314" t="s">
        <v>44</v>
      </c>
      <c r="F314" s="6">
        <v>0.66666666666666663</v>
      </c>
      <c r="G314">
        <v>26</v>
      </c>
      <c r="H314" s="6">
        <f>FLOOR(tblPivotData[[#This Row],[Time]],Summary!$B$6/1440)</f>
        <v>0.66666666666666663</v>
      </c>
      <c r="I314">
        <f>INDEX(PeakCalc!$L$10:$L$303,MATCH(tblPivotData[[#This Row],[Time]],PeakCalc!$G$10:$G$303,0))</f>
        <v>0</v>
      </c>
    </row>
    <row r="315" spans="1:9" x14ac:dyDescent="0.25">
      <c r="A315" t="s">
        <v>94</v>
      </c>
      <c r="B315" t="s">
        <v>102</v>
      </c>
      <c r="C315" t="s">
        <v>100</v>
      </c>
      <c r="D315" t="s">
        <v>79</v>
      </c>
      <c r="E315" t="s">
        <v>44</v>
      </c>
      <c r="F315" s="6">
        <v>0.67708333333333337</v>
      </c>
      <c r="G315">
        <v>41</v>
      </c>
      <c r="H315" s="6">
        <f>FLOOR(tblPivotData[[#This Row],[Time]],Summary!$B$6/1440)</f>
        <v>0.67708333333333326</v>
      </c>
      <c r="I315">
        <f>INDEX(PeakCalc!$L$10:$L$303,MATCH(tblPivotData[[#This Row],[Time]],PeakCalc!$G$10:$G$303,0))</f>
        <v>0</v>
      </c>
    </row>
    <row r="316" spans="1:9" x14ac:dyDescent="0.25">
      <c r="A316" t="s">
        <v>94</v>
      </c>
      <c r="B316" t="s">
        <v>102</v>
      </c>
      <c r="C316" t="s">
        <v>100</v>
      </c>
      <c r="D316" t="s">
        <v>79</v>
      </c>
      <c r="E316" t="s">
        <v>44</v>
      </c>
      <c r="F316" s="6">
        <v>0.6875</v>
      </c>
      <c r="G316">
        <v>31</v>
      </c>
      <c r="H316" s="6">
        <f>FLOOR(tblPivotData[[#This Row],[Time]],Summary!$B$6/1440)</f>
        <v>0.6875</v>
      </c>
      <c r="I316">
        <f>INDEX(PeakCalc!$L$10:$L$303,MATCH(tblPivotData[[#This Row],[Time]],PeakCalc!$G$10:$G$303,0))</f>
        <v>0</v>
      </c>
    </row>
    <row r="317" spans="1:9" x14ac:dyDescent="0.25">
      <c r="A317" t="s">
        <v>94</v>
      </c>
      <c r="B317" t="s">
        <v>102</v>
      </c>
      <c r="C317" t="s">
        <v>100</v>
      </c>
      <c r="D317" t="s">
        <v>79</v>
      </c>
      <c r="E317" t="s">
        <v>44</v>
      </c>
      <c r="F317" s="6">
        <v>0.69791666666666663</v>
      </c>
      <c r="G317">
        <v>34</v>
      </c>
      <c r="H317" s="6">
        <f>FLOOR(tblPivotData[[#This Row],[Time]],Summary!$B$6/1440)</f>
        <v>0.69791666666666663</v>
      </c>
      <c r="I317">
        <f>INDEX(PeakCalc!$L$10:$L$303,MATCH(tblPivotData[[#This Row],[Time]],PeakCalc!$G$10:$G$303,0))</f>
        <v>1</v>
      </c>
    </row>
    <row r="318" spans="1:9" x14ac:dyDescent="0.25">
      <c r="A318" t="s">
        <v>94</v>
      </c>
      <c r="B318" t="s">
        <v>102</v>
      </c>
      <c r="C318" t="s">
        <v>100</v>
      </c>
      <c r="D318" t="s">
        <v>79</v>
      </c>
      <c r="E318" t="s">
        <v>44</v>
      </c>
      <c r="F318" s="6">
        <v>0.70833333333333337</v>
      </c>
      <c r="G318">
        <v>49</v>
      </c>
      <c r="H318" s="6">
        <f>FLOOR(tblPivotData[[#This Row],[Time]],Summary!$B$6/1440)</f>
        <v>0.70833333333333326</v>
      </c>
      <c r="I318">
        <f>INDEX(PeakCalc!$L$10:$L$303,MATCH(tblPivotData[[#This Row],[Time]],PeakCalc!$G$10:$G$303,0))</f>
        <v>1</v>
      </c>
    </row>
    <row r="319" spans="1:9" x14ac:dyDescent="0.25">
      <c r="A319" t="s">
        <v>94</v>
      </c>
      <c r="B319" t="s">
        <v>102</v>
      </c>
      <c r="C319" t="s">
        <v>100</v>
      </c>
      <c r="D319" t="s">
        <v>79</v>
      </c>
      <c r="E319" t="s">
        <v>44</v>
      </c>
      <c r="F319" s="6">
        <v>0.71875</v>
      </c>
      <c r="G319">
        <v>44</v>
      </c>
      <c r="H319" s="6">
        <f>FLOOR(tblPivotData[[#This Row],[Time]],Summary!$B$6/1440)</f>
        <v>0.71875</v>
      </c>
      <c r="I319">
        <f>INDEX(PeakCalc!$L$10:$L$303,MATCH(tblPivotData[[#This Row],[Time]],PeakCalc!$G$10:$G$303,0))</f>
        <v>1</v>
      </c>
    </row>
    <row r="320" spans="1:9" x14ac:dyDescent="0.25">
      <c r="A320" t="s">
        <v>94</v>
      </c>
      <c r="B320" t="s">
        <v>102</v>
      </c>
      <c r="C320" t="s">
        <v>100</v>
      </c>
      <c r="D320" t="s">
        <v>79</v>
      </c>
      <c r="E320" t="s">
        <v>44</v>
      </c>
      <c r="F320" s="6">
        <v>0.72916666666666663</v>
      </c>
      <c r="G320">
        <v>37</v>
      </c>
      <c r="H320" s="6">
        <f>FLOOR(tblPivotData[[#This Row],[Time]],Summary!$B$6/1440)</f>
        <v>0.72916666666666663</v>
      </c>
      <c r="I320">
        <f>INDEX(PeakCalc!$L$10:$L$303,MATCH(tblPivotData[[#This Row],[Time]],PeakCalc!$G$10:$G$303,0))</f>
        <v>1</v>
      </c>
    </row>
    <row r="321" spans="1:9" x14ac:dyDescent="0.25">
      <c r="A321" t="s">
        <v>94</v>
      </c>
      <c r="B321" t="s">
        <v>102</v>
      </c>
      <c r="C321" t="s">
        <v>100</v>
      </c>
      <c r="D321" t="s">
        <v>79</v>
      </c>
      <c r="E321" t="s">
        <v>44</v>
      </c>
      <c r="F321" s="6">
        <v>0.73958333333333337</v>
      </c>
      <c r="G321">
        <v>25</v>
      </c>
      <c r="H321" s="6">
        <f>FLOOR(tblPivotData[[#This Row],[Time]],Summary!$B$6/1440)</f>
        <v>0.73958333333333326</v>
      </c>
      <c r="I321">
        <f>INDEX(PeakCalc!$L$10:$L$303,MATCH(tblPivotData[[#This Row],[Time]],PeakCalc!$G$10:$G$303,0))</f>
        <v>0</v>
      </c>
    </row>
    <row r="322" spans="1:9" x14ac:dyDescent="0.25">
      <c r="A322" t="s">
        <v>94</v>
      </c>
      <c r="B322" t="s">
        <v>102</v>
      </c>
      <c r="C322" t="s">
        <v>100</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102</v>
      </c>
      <c r="C323" t="s">
        <v>100</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102</v>
      </c>
      <c r="C324" t="s">
        <v>100</v>
      </c>
      <c r="D324" t="s">
        <v>89</v>
      </c>
      <c r="E324" t="s">
        <v>43</v>
      </c>
      <c r="F324" s="6">
        <v>0.3125</v>
      </c>
      <c r="G324">
        <v>0</v>
      </c>
      <c r="H324" s="6">
        <f>FLOOR(tblPivotData[[#This Row],[Time]],Summary!$B$6/1440)</f>
        <v>0.3125</v>
      </c>
      <c r="I324">
        <f>INDEX(PeakCalc!$L$10:$L$303,MATCH(tblPivotData[[#This Row],[Time]],PeakCalc!$G$10:$G$303,0))</f>
        <v>1</v>
      </c>
    </row>
    <row r="325" spans="1:9" x14ac:dyDescent="0.25">
      <c r="A325" t="s">
        <v>94</v>
      </c>
      <c r="B325" t="s">
        <v>102</v>
      </c>
      <c r="C325" t="s">
        <v>100</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102</v>
      </c>
      <c r="C326" t="s">
        <v>100</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102</v>
      </c>
      <c r="C327" t="s">
        <v>100</v>
      </c>
      <c r="D327" t="s">
        <v>89</v>
      </c>
      <c r="E327" t="s">
        <v>43</v>
      </c>
      <c r="F327" s="6">
        <v>0.34375</v>
      </c>
      <c r="G327">
        <v>0</v>
      </c>
      <c r="H327" s="6">
        <f>FLOOR(tblPivotData[[#This Row],[Time]],Summary!$B$6/1440)</f>
        <v>0.34375</v>
      </c>
      <c r="I327">
        <f>INDEX(PeakCalc!$L$10:$L$303,MATCH(tblPivotData[[#This Row],[Time]],PeakCalc!$G$10:$G$303,0))</f>
        <v>1</v>
      </c>
    </row>
    <row r="328" spans="1:9" x14ac:dyDescent="0.25">
      <c r="A328" t="s">
        <v>94</v>
      </c>
      <c r="B328" t="s">
        <v>102</v>
      </c>
      <c r="C328" t="s">
        <v>100</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94</v>
      </c>
      <c r="B329" t="s">
        <v>102</v>
      </c>
      <c r="C329" t="s">
        <v>100</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102</v>
      </c>
      <c r="C330" t="s">
        <v>100</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102</v>
      </c>
      <c r="C331" t="s">
        <v>100</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102</v>
      </c>
      <c r="C332" t="s">
        <v>100</v>
      </c>
      <c r="D332" t="s">
        <v>89</v>
      </c>
      <c r="E332" t="s">
        <v>91</v>
      </c>
      <c r="F332" s="6">
        <v>0.5625</v>
      </c>
      <c r="G332">
        <v>0</v>
      </c>
      <c r="H332" s="6">
        <f>FLOOR(tblPivotData[[#This Row],[Time]],Summary!$B$6/1440)</f>
        <v>0.5625</v>
      </c>
      <c r="I332">
        <f>INDEX(PeakCalc!$L$10:$L$303,MATCH(tblPivotData[[#This Row],[Time]],PeakCalc!$G$10:$G$303,0))</f>
        <v>1</v>
      </c>
    </row>
    <row r="333" spans="1:9" x14ac:dyDescent="0.25">
      <c r="A333" t="s">
        <v>94</v>
      </c>
      <c r="B333" t="s">
        <v>102</v>
      </c>
      <c r="C333" t="s">
        <v>100</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102</v>
      </c>
      <c r="C334" t="s">
        <v>100</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94</v>
      </c>
      <c r="B335" t="s">
        <v>102</v>
      </c>
      <c r="C335" t="s">
        <v>100</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102</v>
      </c>
      <c r="C336" t="s">
        <v>100</v>
      </c>
      <c r="D336" t="s">
        <v>89</v>
      </c>
      <c r="E336" t="s">
        <v>44</v>
      </c>
      <c r="F336" s="6">
        <v>0.6875</v>
      </c>
      <c r="G336">
        <v>1</v>
      </c>
      <c r="H336" s="6">
        <f>FLOOR(tblPivotData[[#This Row],[Time]],Summary!$B$6/1440)</f>
        <v>0.6875</v>
      </c>
      <c r="I336">
        <f>INDEX(PeakCalc!$L$10:$L$303,MATCH(tblPivotData[[#This Row],[Time]],PeakCalc!$G$10:$G$303,0))</f>
        <v>0</v>
      </c>
    </row>
    <row r="337" spans="1:9" x14ac:dyDescent="0.25">
      <c r="A337" t="s">
        <v>94</v>
      </c>
      <c r="B337" t="s">
        <v>102</v>
      </c>
      <c r="C337" t="s">
        <v>100</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94</v>
      </c>
      <c r="B338" t="s">
        <v>102</v>
      </c>
      <c r="C338" t="s">
        <v>100</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102</v>
      </c>
      <c r="C339" t="s">
        <v>100</v>
      </c>
      <c r="D339" t="s">
        <v>89</v>
      </c>
      <c r="E339" t="s">
        <v>44</v>
      </c>
      <c r="F339" s="6">
        <v>0.71875</v>
      </c>
      <c r="G339">
        <v>2</v>
      </c>
      <c r="H339" s="6">
        <f>FLOOR(tblPivotData[[#This Row],[Time]],Summary!$B$6/1440)</f>
        <v>0.71875</v>
      </c>
      <c r="I339">
        <f>INDEX(PeakCalc!$L$10:$L$303,MATCH(tblPivotData[[#This Row],[Time]],PeakCalc!$G$10:$G$303,0))</f>
        <v>1</v>
      </c>
    </row>
    <row r="340" spans="1:9" x14ac:dyDescent="0.25">
      <c r="A340" t="s">
        <v>94</v>
      </c>
      <c r="B340" t="s">
        <v>102</v>
      </c>
      <c r="C340" t="s">
        <v>100</v>
      </c>
      <c r="D340" t="s">
        <v>89</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94</v>
      </c>
      <c r="B341" t="s">
        <v>102</v>
      </c>
      <c r="C341" t="s">
        <v>100</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100</v>
      </c>
      <c r="D342" t="s">
        <v>90</v>
      </c>
      <c r="E342" t="s">
        <v>43</v>
      </c>
      <c r="F342" s="6">
        <v>0.29166666666666669</v>
      </c>
      <c r="G342">
        <v>1</v>
      </c>
      <c r="H342" s="6">
        <f>FLOOR(tblPivotData[[#This Row],[Time]],Summary!$B$6/1440)</f>
        <v>0.29166666666666663</v>
      </c>
      <c r="I342">
        <f>INDEX(PeakCalc!$L$10:$L$303,MATCH(tblPivotData[[#This Row],[Time]],PeakCalc!$G$10:$G$303,0))</f>
        <v>0</v>
      </c>
    </row>
    <row r="343" spans="1:9" x14ac:dyDescent="0.25">
      <c r="A343" t="s">
        <v>94</v>
      </c>
      <c r="B343" t="s">
        <v>102</v>
      </c>
      <c r="C343" t="s">
        <v>100</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100</v>
      </c>
      <c r="D344" t="s">
        <v>90</v>
      </c>
      <c r="E344" t="s">
        <v>43</v>
      </c>
      <c r="F344" s="6">
        <v>0.3125</v>
      </c>
      <c r="G344">
        <v>0</v>
      </c>
      <c r="H344" s="6">
        <f>FLOOR(tblPivotData[[#This Row],[Time]],Summary!$B$6/1440)</f>
        <v>0.3125</v>
      </c>
      <c r="I344">
        <f>INDEX(PeakCalc!$L$10:$L$303,MATCH(tblPivotData[[#This Row],[Time]],PeakCalc!$G$10:$G$303,0))</f>
        <v>1</v>
      </c>
    </row>
    <row r="345" spans="1:9" x14ac:dyDescent="0.25">
      <c r="A345" t="s">
        <v>94</v>
      </c>
      <c r="B345" t="s">
        <v>102</v>
      </c>
      <c r="C345" t="s">
        <v>100</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102</v>
      </c>
      <c r="C346" t="s">
        <v>100</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100</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102</v>
      </c>
      <c r="C348" t="s">
        <v>100</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102</v>
      </c>
      <c r="C349" t="s">
        <v>100</v>
      </c>
      <c r="D349" t="s">
        <v>90</v>
      </c>
      <c r="E349" t="s">
        <v>43</v>
      </c>
      <c r="F349" s="6">
        <v>0.36458333333333331</v>
      </c>
      <c r="G349">
        <v>2</v>
      </c>
      <c r="H349" s="6">
        <f>FLOOR(tblPivotData[[#This Row],[Time]],Summary!$B$6/1440)</f>
        <v>0.36458333333333331</v>
      </c>
      <c r="I349">
        <f>INDEX(PeakCalc!$L$10:$L$303,MATCH(tblPivotData[[#This Row],[Time]],PeakCalc!$G$10:$G$303,0))</f>
        <v>0</v>
      </c>
    </row>
    <row r="350" spans="1:9" x14ac:dyDescent="0.25">
      <c r="A350" t="s">
        <v>94</v>
      </c>
      <c r="B350" t="s">
        <v>102</v>
      </c>
      <c r="C350" t="s">
        <v>100</v>
      </c>
      <c r="D350" t="s">
        <v>90</v>
      </c>
      <c r="E350" t="s">
        <v>91</v>
      </c>
      <c r="F350" s="6">
        <v>0.54166666666666663</v>
      </c>
      <c r="G350">
        <v>1</v>
      </c>
      <c r="H350" s="6">
        <f>FLOOR(tblPivotData[[#This Row],[Time]],Summary!$B$6/1440)</f>
        <v>0.54166666666666663</v>
      </c>
      <c r="I350">
        <f>INDEX(PeakCalc!$L$10:$L$303,MATCH(tblPivotData[[#This Row],[Time]],PeakCalc!$G$10:$G$303,0))</f>
        <v>1</v>
      </c>
    </row>
    <row r="351" spans="1:9" x14ac:dyDescent="0.25">
      <c r="A351" t="s">
        <v>94</v>
      </c>
      <c r="B351" t="s">
        <v>102</v>
      </c>
      <c r="C351" t="s">
        <v>100</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100</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100</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100</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100</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102</v>
      </c>
      <c r="C356" t="s">
        <v>100</v>
      </c>
      <c r="D356" t="s">
        <v>90</v>
      </c>
      <c r="E356" t="s">
        <v>44</v>
      </c>
      <c r="F356" s="6">
        <v>0.6875</v>
      </c>
      <c r="G356">
        <v>0</v>
      </c>
      <c r="H356" s="6">
        <f>FLOOR(tblPivotData[[#This Row],[Time]],Summary!$B$6/1440)</f>
        <v>0.6875</v>
      </c>
      <c r="I356">
        <f>INDEX(PeakCalc!$L$10:$L$303,MATCH(tblPivotData[[#This Row],[Time]],PeakCalc!$G$10:$G$303,0))</f>
        <v>0</v>
      </c>
    </row>
    <row r="357" spans="1:9" x14ac:dyDescent="0.25">
      <c r="A357" t="s">
        <v>94</v>
      </c>
      <c r="B357" t="s">
        <v>102</v>
      </c>
      <c r="C357" t="s">
        <v>100</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100</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94</v>
      </c>
      <c r="B359" t="s">
        <v>102</v>
      </c>
      <c r="C359" t="s">
        <v>100</v>
      </c>
      <c r="D359" t="s">
        <v>90</v>
      </c>
      <c r="E359" t="s">
        <v>44</v>
      </c>
      <c r="F359" s="6">
        <v>0.71875</v>
      </c>
      <c r="G359">
        <v>0</v>
      </c>
      <c r="H359" s="6">
        <f>FLOOR(tblPivotData[[#This Row],[Time]],Summary!$B$6/1440)</f>
        <v>0.71875</v>
      </c>
      <c r="I359">
        <f>INDEX(PeakCalc!$L$10:$L$303,MATCH(tblPivotData[[#This Row],[Time]],PeakCalc!$G$10:$G$303,0))</f>
        <v>1</v>
      </c>
    </row>
    <row r="360" spans="1:9" x14ac:dyDescent="0.25">
      <c r="A360" t="s">
        <v>94</v>
      </c>
      <c r="B360" t="s">
        <v>102</v>
      </c>
      <c r="C360" t="s">
        <v>100</v>
      </c>
      <c r="D360" t="s">
        <v>90</v>
      </c>
      <c r="E360" t="s">
        <v>44</v>
      </c>
      <c r="F360" s="6">
        <v>0.72916666666666663</v>
      </c>
      <c r="G360">
        <v>0</v>
      </c>
      <c r="H360" s="6">
        <f>FLOOR(tblPivotData[[#This Row],[Time]],Summary!$B$6/1440)</f>
        <v>0.72916666666666663</v>
      </c>
      <c r="I360">
        <f>INDEX(PeakCalc!$L$10:$L$303,MATCH(tblPivotData[[#This Row],[Time]],PeakCalc!$G$10:$G$303,0))</f>
        <v>1</v>
      </c>
    </row>
    <row r="361" spans="1:9" x14ac:dyDescent="0.25">
      <c r="A361" t="s">
        <v>94</v>
      </c>
      <c r="B361" t="s">
        <v>102</v>
      </c>
      <c r="C361" t="s">
        <v>100</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98</v>
      </c>
      <c r="C362" t="s">
        <v>93</v>
      </c>
      <c r="D362" t="s">
        <v>79</v>
      </c>
      <c r="E362" t="s">
        <v>43</v>
      </c>
      <c r="F362" s="6">
        <v>0.29166666666666669</v>
      </c>
      <c r="G362">
        <v>101</v>
      </c>
      <c r="H362" s="6">
        <f>FLOOR(tblPivotData[[#This Row],[Time]],Summary!$B$6/1440)</f>
        <v>0.29166666666666663</v>
      </c>
      <c r="I362">
        <f>INDEX(PeakCalc!$L$10:$L$303,MATCH(tblPivotData[[#This Row],[Time]],PeakCalc!$G$10:$G$303,0))</f>
        <v>0</v>
      </c>
    </row>
    <row r="363" spans="1:9" x14ac:dyDescent="0.25">
      <c r="A363" t="s">
        <v>94</v>
      </c>
      <c r="B363" t="s">
        <v>98</v>
      </c>
      <c r="C363" t="s">
        <v>93</v>
      </c>
      <c r="D363" t="s">
        <v>79</v>
      </c>
      <c r="E363" t="s">
        <v>43</v>
      </c>
      <c r="F363" s="6">
        <v>0.30208333333333331</v>
      </c>
      <c r="G363">
        <v>129</v>
      </c>
      <c r="H363" s="6">
        <f>FLOOR(tblPivotData[[#This Row],[Time]],Summary!$B$6/1440)</f>
        <v>0.30208333333333331</v>
      </c>
      <c r="I363">
        <f>INDEX(PeakCalc!$L$10:$L$303,MATCH(tblPivotData[[#This Row],[Time]],PeakCalc!$G$10:$G$303,0))</f>
        <v>0</v>
      </c>
    </row>
    <row r="364" spans="1:9" x14ac:dyDescent="0.25">
      <c r="A364" t="s">
        <v>94</v>
      </c>
      <c r="B364" t="s">
        <v>98</v>
      </c>
      <c r="C364" t="s">
        <v>93</v>
      </c>
      <c r="D364" t="s">
        <v>79</v>
      </c>
      <c r="E364" t="s">
        <v>43</v>
      </c>
      <c r="F364" s="6">
        <v>0.3125</v>
      </c>
      <c r="G364">
        <v>184</v>
      </c>
      <c r="H364" s="6">
        <f>FLOOR(tblPivotData[[#This Row],[Time]],Summary!$B$6/1440)</f>
        <v>0.3125</v>
      </c>
      <c r="I364">
        <f>INDEX(PeakCalc!$L$10:$L$303,MATCH(tblPivotData[[#This Row],[Time]],PeakCalc!$G$10:$G$303,0))</f>
        <v>1</v>
      </c>
    </row>
    <row r="365" spans="1:9" x14ac:dyDescent="0.25">
      <c r="A365" t="s">
        <v>94</v>
      </c>
      <c r="B365" t="s">
        <v>98</v>
      </c>
      <c r="C365" t="s">
        <v>93</v>
      </c>
      <c r="D365" t="s">
        <v>79</v>
      </c>
      <c r="E365" t="s">
        <v>43</v>
      </c>
      <c r="F365" s="6">
        <v>0.32291666666666669</v>
      </c>
      <c r="G365">
        <v>257</v>
      </c>
      <c r="H365" s="6">
        <f>FLOOR(tblPivotData[[#This Row],[Time]],Summary!$B$6/1440)</f>
        <v>0.32291666666666663</v>
      </c>
      <c r="I365">
        <f>INDEX(PeakCalc!$L$10:$L$303,MATCH(tblPivotData[[#This Row],[Time]],PeakCalc!$G$10:$G$303,0))</f>
        <v>1</v>
      </c>
    </row>
    <row r="366" spans="1:9" x14ac:dyDescent="0.25">
      <c r="A366" t="s">
        <v>94</v>
      </c>
      <c r="B366" t="s">
        <v>98</v>
      </c>
      <c r="C366" t="s">
        <v>93</v>
      </c>
      <c r="D366" t="s">
        <v>79</v>
      </c>
      <c r="E366" t="s">
        <v>43</v>
      </c>
      <c r="F366" s="6">
        <v>0.33333333333333331</v>
      </c>
      <c r="G366">
        <v>223</v>
      </c>
      <c r="H366" s="6">
        <f>FLOOR(tblPivotData[[#This Row],[Time]],Summary!$B$6/1440)</f>
        <v>0.33333333333333331</v>
      </c>
      <c r="I366">
        <f>INDEX(PeakCalc!$L$10:$L$303,MATCH(tblPivotData[[#This Row],[Time]],PeakCalc!$G$10:$G$303,0))</f>
        <v>1</v>
      </c>
    </row>
    <row r="367" spans="1:9" x14ac:dyDescent="0.25">
      <c r="A367" t="s">
        <v>94</v>
      </c>
      <c r="B367" t="s">
        <v>98</v>
      </c>
      <c r="C367" t="s">
        <v>93</v>
      </c>
      <c r="D367" t="s">
        <v>79</v>
      </c>
      <c r="E367" t="s">
        <v>43</v>
      </c>
      <c r="F367" s="6">
        <v>0.34375</v>
      </c>
      <c r="G367">
        <v>208</v>
      </c>
      <c r="H367" s="6">
        <f>FLOOR(tblPivotData[[#This Row],[Time]],Summary!$B$6/1440)</f>
        <v>0.34375</v>
      </c>
      <c r="I367">
        <f>INDEX(PeakCalc!$L$10:$L$303,MATCH(tblPivotData[[#This Row],[Time]],PeakCalc!$G$10:$G$303,0))</f>
        <v>1</v>
      </c>
    </row>
    <row r="368" spans="1:9" x14ac:dyDescent="0.25">
      <c r="A368" t="s">
        <v>94</v>
      </c>
      <c r="B368" t="s">
        <v>98</v>
      </c>
      <c r="C368" t="s">
        <v>93</v>
      </c>
      <c r="D368" t="s">
        <v>79</v>
      </c>
      <c r="E368" t="s">
        <v>43</v>
      </c>
      <c r="F368" s="6">
        <v>0.35416666666666669</v>
      </c>
      <c r="G368">
        <v>139</v>
      </c>
      <c r="H368" s="6">
        <f>FLOOR(tblPivotData[[#This Row],[Time]],Summary!$B$6/1440)</f>
        <v>0.35416666666666663</v>
      </c>
      <c r="I368">
        <f>INDEX(PeakCalc!$L$10:$L$303,MATCH(tblPivotData[[#This Row],[Time]],PeakCalc!$G$10:$G$303,0))</f>
        <v>0</v>
      </c>
    </row>
    <row r="369" spans="1:9" x14ac:dyDescent="0.25">
      <c r="A369" t="s">
        <v>94</v>
      </c>
      <c r="B369" t="s">
        <v>98</v>
      </c>
      <c r="C369" t="s">
        <v>93</v>
      </c>
      <c r="D369" t="s">
        <v>79</v>
      </c>
      <c r="E369" t="s">
        <v>43</v>
      </c>
      <c r="F369" s="6">
        <v>0.36458333333333331</v>
      </c>
      <c r="G369">
        <v>149</v>
      </c>
      <c r="H369" s="6">
        <f>FLOOR(tblPivotData[[#This Row],[Time]],Summary!$B$6/1440)</f>
        <v>0.36458333333333331</v>
      </c>
      <c r="I369">
        <f>INDEX(PeakCalc!$L$10:$L$303,MATCH(tblPivotData[[#This Row],[Time]],PeakCalc!$G$10:$G$303,0))</f>
        <v>0</v>
      </c>
    </row>
    <row r="370" spans="1:9" x14ac:dyDescent="0.25">
      <c r="A370" t="s">
        <v>94</v>
      </c>
      <c r="B370" t="s">
        <v>98</v>
      </c>
      <c r="C370" t="s">
        <v>93</v>
      </c>
      <c r="D370" t="s">
        <v>79</v>
      </c>
      <c r="E370" t="s">
        <v>91</v>
      </c>
      <c r="F370" s="6">
        <v>0.54166666666666663</v>
      </c>
      <c r="G370">
        <v>160</v>
      </c>
      <c r="H370" s="6">
        <f>FLOOR(tblPivotData[[#This Row],[Time]],Summary!$B$6/1440)</f>
        <v>0.54166666666666663</v>
      </c>
      <c r="I370">
        <f>INDEX(PeakCalc!$L$10:$L$303,MATCH(tblPivotData[[#This Row],[Time]],PeakCalc!$G$10:$G$303,0))</f>
        <v>1</v>
      </c>
    </row>
    <row r="371" spans="1:9" x14ac:dyDescent="0.25">
      <c r="A371" t="s">
        <v>94</v>
      </c>
      <c r="B371" t="s">
        <v>98</v>
      </c>
      <c r="C371" t="s">
        <v>93</v>
      </c>
      <c r="D371" t="s">
        <v>79</v>
      </c>
      <c r="E371" t="s">
        <v>91</v>
      </c>
      <c r="F371" s="6">
        <v>0.55208333333333337</v>
      </c>
      <c r="G371">
        <v>145</v>
      </c>
      <c r="H371" s="6">
        <f>FLOOR(tblPivotData[[#This Row],[Time]],Summary!$B$6/1440)</f>
        <v>0.55208333333333326</v>
      </c>
      <c r="I371">
        <f>INDEX(PeakCalc!$L$10:$L$303,MATCH(tblPivotData[[#This Row],[Time]],PeakCalc!$G$10:$G$303,0))</f>
        <v>1</v>
      </c>
    </row>
    <row r="372" spans="1:9" x14ac:dyDescent="0.25">
      <c r="A372" t="s">
        <v>94</v>
      </c>
      <c r="B372" t="s">
        <v>98</v>
      </c>
      <c r="C372" t="s">
        <v>93</v>
      </c>
      <c r="D372" t="s">
        <v>79</v>
      </c>
      <c r="E372" t="s">
        <v>91</v>
      </c>
      <c r="F372" s="6">
        <v>0.5625</v>
      </c>
      <c r="G372">
        <v>166</v>
      </c>
      <c r="H372" s="6">
        <f>FLOOR(tblPivotData[[#This Row],[Time]],Summary!$B$6/1440)</f>
        <v>0.5625</v>
      </c>
      <c r="I372">
        <f>INDEX(PeakCalc!$L$10:$L$303,MATCH(tblPivotData[[#This Row],[Time]],PeakCalc!$G$10:$G$303,0))</f>
        <v>1</v>
      </c>
    </row>
    <row r="373" spans="1:9" x14ac:dyDescent="0.25">
      <c r="A373" t="s">
        <v>94</v>
      </c>
      <c r="B373" t="s">
        <v>98</v>
      </c>
      <c r="C373" t="s">
        <v>93</v>
      </c>
      <c r="D373" t="s">
        <v>79</v>
      </c>
      <c r="E373" t="s">
        <v>91</v>
      </c>
      <c r="F373" s="6">
        <v>0.57291666666666663</v>
      </c>
      <c r="G373">
        <v>172</v>
      </c>
      <c r="H373" s="6">
        <f>FLOOR(tblPivotData[[#This Row],[Time]],Summary!$B$6/1440)</f>
        <v>0.57291666666666663</v>
      </c>
      <c r="I373">
        <f>INDEX(PeakCalc!$L$10:$L$303,MATCH(tblPivotData[[#This Row],[Time]],PeakCalc!$G$10:$G$303,0))</f>
        <v>1</v>
      </c>
    </row>
    <row r="374" spans="1:9" x14ac:dyDescent="0.25">
      <c r="A374" t="s">
        <v>94</v>
      </c>
      <c r="B374" t="s">
        <v>98</v>
      </c>
      <c r="C374" t="s">
        <v>93</v>
      </c>
      <c r="D374" t="s">
        <v>79</v>
      </c>
      <c r="E374" t="s">
        <v>44</v>
      </c>
      <c r="F374" s="6">
        <v>0.66666666666666663</v>
      </c>
      <c r="G374">
        <v>195</v>
      </c>
      <c r="H374" s="6">
        <f>FLOOR(tblPivotData[[#This Row],[Time]],Summary!$B$6/1440)</f>
        <v>0.66666666666666663</v>
      </c>
      <c r="I374">
        <f>INDEX(PeakCalc!$L$10:$L$303,MATCH(tblPivotData[[#This Row],[Time]],PeakCalc!$G$10:$G$303,0))</f>
        <v>0</v>
      </c>
    </row>
    <row r="375" spans="1:9" x14ac:dyDescent="0.25">
      <c r="A375" t="s">
        <v>94</v>
      </c>
      <c r="B375" t="s">
        <v>98</v>
      </c>
      <c r="C375" t="s">
        <v>93</v>
      </c>
      <c r="D375" t="s">
        <v>79</v>
      </c>
      <c r="E375" t="s">
        <v>44</v>
      </c>
      <c r="F375" s="6">
        <v>0.67708333333333337</v>
      </c>
      <c r="G375">
        <v>201</v>
      </c>
      <c r="H375" s="6">
        <f>FLOOR(tblPivotData[[#This Row],[Time]],Summary!$B$6/1440)</f>
        <v>0.67708333333333326</v>
      </c>
      <c r="I375">
        <f>INDEX(PeakCalc!$L$10:$L$303,MATCH(tblPivotData[[#This Row],[Time]],PeakCalc!$G$10:$G$303,0))</f>
        <v>0</v>
      </c>
    </row>
    <row r="376" spans="1:9" x14ac:dyDescent="0.25">
      <c r="A376" t="s">
        <v>94</v>
      </c>
      <c r="B376" t="s">
        <v>98</v>
      </c>
      <c r="C376" t="s">
        <v>93</v>
      </c>
      <c r="D376" t="s">
        <v>79</v>
      </c>
      <c r="E376" t="s">
        <v>44</v>
      </c>
      <c r="F376" s="6">
        <v>0.6875</v>
      </c>
      <c r="G376">
        <v>261</v>
      </c>
      <c r="H376" s="6">
        <f>FLOOR(tblPivotData[[#This Row],[Time]],Summary!$B$6/1440)</f>
        <v>0.6875</v>
      </c>
      <c r="I376">
        <f>INDEX(PeakCalc!$L$10:$L$303,MATCH(tblPivotData[[#This Row],[Time]],PeakCalc!$G$10:$G$303,0))</f>
        <v>0</v>
      </c>
    </row>
    <row r="377" spans="1:9" x14ac:dyDescent="0.25">
      <c r="A377" t="s">
        <v>94</v>
      </c>
      <c r="B377" t="s">
        <v>98</v>
      </c>
      <c r="C377" t="s">
        <v>93</v>
      </c>
      <c r="D377" t="s">
        <v>79</v>
      </c>
      <c r="E377" t="s">
        <v>44</v>
      </c>
      <c r="F377" s="6">
        <v>0.69791666666666663</v>
      </c>
      <c r="G377">
        <v>281</v>
      </c>
      <c r="H377" s="6">
        <f>FLOOR(tblPivotData[[#This Row],[Time]],Summary!$B$6/1440)</f>
        <v>0.69791666666666663</v>
      </c>
      <c r="I377">
        <f>INDEX(PeakCalc!$L$10:$L$303,MATCH(tblPivotData[[#This Row],[Time]],PeakCalc!$G$10:$G$303,0))</f>
        <v>1</v>
      </c>
    </row>
    <row r="378" spans="1:9" x14ac:dyDescent="0.25">
      <c r="A378" t="s">
        <v>94</v>
      </c>
      <c r="B378" t="s">
        <v>98</v>
      </c>
      <c r="C378" t="s">
        <v>93</v>
      </c>
      <c r="D378" t="s">
        <v>79</v>
      </c>
      <c r="E378" t="s">
        <v>44</v>
      </c>
      <c r="F378" s="6">
        <v>0.70833333333333337</v>
      </c>
      <c r="G378">
        <v>317</v>
      </c>
      <c r="H378" s="6">
        <f>FLOOR(tblPivotData[[#This Row],[Time]],Summary!$B$6/1440)</f>
        <v>0.70833333333333326</v>
      </c>
      <c r="I378">
        <f>INDEX(PeakCalc!$L$10:$L$303,MATCH(tblPivotData[[#This Row],[Time]],PeakCalc!$G$10:$G$303,0))</f>
        <v>1</v>
      </c>
    </row>
    <row r="379" spans="1:9" x14ac:dyDescent="0.25">
      <c r="A379" t="s">
        <v>94</v>
      </c>
      <c r="B379" t="s">
        <v>98</v>
      </c>
      <c r="C379" t="s">
        <v>93</v>
      </c>
      <c r="D379" t="s">
        <v>79</v>
      </c>
      <c r="E379" t="s">
        <v>44</v>
      </c>
      <c r="F379" s="6">
        <v>0.71875</v>
      </c>
      <c r="G379">
        <v>284</v>
      </c>
      <c r="H379" s="6">
        <f>FLOOR(tblPivotData[[#This Row],[Time]],Summary!$B$6/1440)</f>
        <v>0.71875</v>
      </c>
      <c r="I379">
        <f>INDEX(PeakCalc!$L$10:$L$303,MATCH(tblPivotData[[#This Row],[Time]],PeakCalc!$G$10:$G$303,0))</f>
        <v>1</v>
      </c>
    </row>
    <row r="380" spans="1:9" x14ac:dyDescent="0.25">
      <c r="A380" t="s">
        <v>94</v>
      </c>
      <c r="B380" t="s">
        <v>98</v>
      </c>
      <c r="C380" t="s">
        <v>93</v>
      </c>
      <c r="D380" t="s">
        <v>79</v>
      </c>
      <c r="E380" t="s">
        <v>44</v>
      </c>
      <c r="F380" s="6">
        <v>0.72916666666666663</v>
      </c>
      <c r="G380">
        <v>263</v>
      </c>
      <c r="H380" s="6">
        <f>FLOOR(tblPivotData[[#This Row],[Time]],Summary!$B$6/1440)</f>
        <v>0.72916666666666663</v>
      </c>
      <c r="I380">
        <f>INDEX(PeakCalc!$L$10:$L$303,MATCH(tblPivotData[[#This Row],[Time]],PeakCalc!$G$10:$G$303,0))</f>
        <v>1</v>
      </c>
    </row>
    <row r="381" spans="1:9" x14ac:dyDescent="0.25">
      <c r="A381" t="s">
        <v>94</v>
      </c>
      <c r="B381" t="s">
        <v>98</v>
      </c>
      <c r="C381" t="s">
        <v>93</v>
      </c>
      <c r="D381" t="s">
        <v>79</v>
      </c>
      <c r="E381" t="s">
        <v>44</v>
      </c>
      <c r="F381" s="6">
        <v>0.73958333333333337</v>
      </c>
      <c r="G381">
        <v>217</v>
      </c>
      <c r="H381" s="6">
        <f>FLOOR(tblPivotData[[#This Row],[Time]],Summary!$B$6/1440)</f>
        <v>0.73958333333333326</v>
      </c>
      <c r="I381">
        <f>INDEX(PeakCalc!$L$10:$L$303,MATCH(tblPivotData[[#This Row],[Time]],PeakCalc!$G$10:$G$303,0))</f>
        <v>0</v>
      </c>
    </row>
    <row r="382" spans="1:9" x14ac:dyDescent="0.25">
      <c r="A382" t="s">
        <v>94</v>
      </c>
      <c r="B382" t="s">
        <v>98</v>
      </c>
      <c r="C382" t="s">
        <v>93</v>
      </c>
      <c r="D382" t="s">
        <v>89</v>
      </c>
      <c r="E382" t="s">
        <v>43</v>
      </c>
      <c r="F382" s="6">
        <v>0.29166666666666669</v>
      </c>
      <c r="G382">
        <v>5</v>
      </c>
      <c r="H382" s="6">
        <f>FLOOR(tblPivotData[[#This Row],[Time]],Summary!$B$6/1440)</f>
        <v>0.29166666666666663</v>
      </c>
      <c r="I382">
        <f>INDEX(PeakCalc!$L$10:$L$303,MATCH(tblPivotData[[#This Row],[Time]],PeakCalc!$G$10:$G$303,0))</f>
        <v>0</v>
      </c>
    </row>
    <row r="383" spans="1:9" x14ac:dyDescent="0.25">
      <c r="A383" t="s">
        <v>94</v>
      </c>
      <c r="B383" t="s">
        <v>98</v>
      </c>
      <c r="C383" t="s">
        <v>93</v>
      </c>
      <c r="D383" t="s">
        <v>89</v>
      </c>
      <c r="E383" t="s">
        <v>43</v>
      </c>
      <c r="F383" s="6">
        <v>0.30208333333333331</v>
      </c>
      <c r="G383">
        <v>9</v>
      </c>
      <c r="H383" s="6">
        <f>FLOOR(tblPivotData[[#This Row],[Time]],Summary!$B$6/1440)</f>
        <v>0.30208333333333331</v>
      </c>
      <c r="I383">
        <f>INDEX(PeakCalc!$L$10:$L$303,MATCH(tblPivotData[[#This Row],[Time]],PeakCalc!$G$10:$G$303,0))</f>
        <v>0</v>
      </c>
    </row>
    <row r="384" spans="1:9" x14ac:dyDescent="0.25">
      <c r="A384" t="s">
        <v>94</v>
      </c>
      <c r="B384" t="s">
        <v>98</v>
      </c>
      <c r="C384" t="s">
        <v>93</v>
      </c>
      <c r="D384" t="s">
        <v>89</v>
      </c>
      <c r="E384" t="s">
        <v>43</v>
      </c>
      <c r="F384" s="6">
        <v>0.3125</v>
      </c>
      <c r="G384">
        <v>4</v>
      </c>
      <c r="H384" s="6">
        <f>FLOOR(tblPivotData[[#This Row],[Time]],Summary!$B$6/1440)</f>
        <v>0.3125</v>
      </c>
      <c r="I384">
        <f>INDEX(PeakCalc!$L$10:$L$303,MATCH(tblPivotData[[#This Row],[Time]],PeakCalc!$G$10:$G$303,0))</f>
        <v>1</v>
      </c>
    </row>
    <row r="385" spans="1:9" x14ac:dyDescent="0.25">
      <c r="A385" t="s">
        <v>94</v>
      </c>
      <c r="B385" t="s">
        <v>98</v>
      </c>
      <c r="C385" t="s">
        <v>93</v>
      </c>
      <c r="D385" t="s">
        <v>89</v>
      </c>
      <c r="E385" t="s">
        <v>43</v>
      </c>
      <c r="F385" s="6">
        <v>0.32291666666666669</v>
      </c>
      <c r="G385">
        <v>3</v>
      </c>
      <c r="H385" s="6">
        <f>FLOOR(tblPivotData[[#This Row],[Time]],Summary!$B$6/1440)</f>
        <v>0.32291666666666663</v>
      </c>
      <c r="I385">
        <f>INDEX(PeakCalc!$L$10:$L$303,MATCH(tblPivotData[[#This Row],[Time]],PeakCalc!$G$10:$G$303,0))</f>
        <v>1</v>
      </c>
    </row>
    <row r="386" spans="1:9" x14ac:dyDescent="0.25">
      <c r="A386" t="s">
        <v>94</v>
      </c>
      <c r="B386" t="s">
        <v>98</v>
      </c>
      <c r="C386" t="s">
        <v>93</v>
      </c>
      <c r="D386" t="s">
        <v>89</v>
      </c>
      <c r="E386" t="s">
        <v>43</v>
      </c>
      <c r="F386" s="6">
        <v>0.33333333333333331</v>
      </c>
      <c r="G386">
        <v>4</v>
      </c>
      <c r="H386" s="6">
        <f>FLOOR(tblPivotData[[#This Row],[Time]],Summary!$B$6/1440)</f>
        <v>0.33333333333333331</v>
      </c>
      <c r="I386">
        <f>INDEX(PeakCalc!$L$10:$L$303,MATCH(tblPivotData[[#This Row],[Time]],PeakCalc!$G$10:$G$303,0))</f>
        <v>1</v>
      </c>
    </row>
    <row r="387" spans="1:9" x14ac:dyDescent="0.25">
      <c r="A387" t="s">
        <v>94</v>
      </c>
      <c r="B387" t="s">
        <v>98</v>
      </c>
      <c r="C387" t="s">
        <v>93</v>
      </c>
      <c r="D387" t="s">
        <v>89</v>
      </c>
      <c r="E387" t="s">
        <v>43</v>
      </c>
      <c r="F387" s="6">
        <v>0.34375</v>
      </c>
      <c r="G387">
        <v>5</v>
      </c>
      <c r="H387" s="6">
        <f>FLOOR(tblPivotData[[#This Row],[Time]],Summary!$B$6/1440)</f>
        <v>0.34375</v>
      </c>
      <c r="I387">
        <f>INDEX(PeakCalc!$L$10:$L$303,MATCH(tblPivotData[[#This Row],[Time]],PeakCalc!$G$10:$G$303,0))</f>
        <v>1</v>
      </c>
    </row>
    <row r="388" spans="1:9" x14ac:dyDescent="0.25">
      <c r="A388" t="s">
        <v>94</v>
      </c>
      <c r="B388" t="s">
        <v>98</v>
      </c>
      <c r="C388" t="s">
        <v>93</v>
      </c>
      <c r="D388" t="s">
        <v>89</v>
      </c>
      <c r="E388" t="s">
        <v>43</v>
      </c>
      <c r="F388" s="6">
        <v>0.35416666666666669</v>
      </c>
      <c r="G388">
        <v>9</v>
      </c>
      <c r="H388" s="6">
        <f>FLOOR(tblPivotData[[#This Row],[Time]],Summary!$B$6/1440)</f>
        <v>0.35416666666666663</v>
      </c>
      <c r="I388">
        <f>INDEX(PeakCalc!$L$10:$L$303,MATCH(tblPivotData[[#This Row],[Time]],PeakCalc!$G$10:$G$303,0))</f>
        <v>0</v>
      </c>
    </row>
    <row r="389" spans="1:9" x14ac:dyDescent="0.25">
      <c r="A389" t="s">
        <v>94</v>
      </c>
      <c r="B389" t="s">
        <v>98</v>
      </c>
      <c r="C389" t="s">
        <v>93</v>
      </c>
      <c r="D389" t="s">
        <v>89</v>
      </c>
      <c r="E389" t="s">
        <v>43</v>
      </c>
      <c r="F389" s="6">
        <v>0.36458333333333331</v>
      </c>
      <c r="G389">
        <v>7</v>
      </c>
      <c r="H389" s="6">
        <f>FLOOR(tblPivotData[[#This Row],[Time]],Summary!$B$6/1440)</f>
        <v>0.36458333333333331</v>
      </c>
      <c r="I389">
        <f>INDEX(PeakCalc!$L$10:$L$303,MATCH(tblPivotData[[#This Row],[Time]],PeakCalc!$G$10:$G$303,0))</f>
        <v>0</v>
      </c>
    </row>
    <row r="390" spans="1:9" x14ac:dyDescent="0.25">
      <c r="A390" t="s">
        <v>94</v>
      </c>
      <c r="B390" t="s">
        <v>98</v>
      </c>
      <c r="C390" t="s">
        <v>93</v>
      </c>
      <c r="D390" t="s">
        <v>89</v>
      </c>
      <c r="E390" t="s">
        <v>91</v>
      </c>
      <c r="F390" s="6">
        <v>0.54166666666666663</v>
      </c>
      <c r="G390">
        <v>2</v>
      </c>
      <c r="H390" s="6">
        <f>FLOOR(tblPivotData[[#This Row],[Time]],Summary!$B$6/1440)</f>
        <v>0.54166666666666663</v>
      </c>
      <c r="I390">
        <f>INDEX(PeakCalc!$L$10:$L$303,MATCH(tblPivotData[[#This Row],[Time]],PeakCalc!$G$10:$G$303,0))</f>
        <v>1</v>
      </c>
    </row>
    <row r="391" spans="1:9" x14ac:dyDescent="0.25">
      <c r="A391" t="s">
        <v>94</v>
      </c>
      <c r="B391" t="s">
        <v>98</v>
      </c>
      <c r="C391" t="s">
        <v>93</v>
      </c>
      <c r="D391" t="s">
        <v>89</v>
      </c>
      <c r="E391" t="s">
        <v>91</v>
      </c>
      <c r="F391" s="6">
        <v>0.55208333333333337</v>
      </c>
      <c r="G391">
        <v>7</v>
      </c>
      <c r="H391" s="6">
        <f>FLOOR(tblPivotData[[#This Row],[Time]],Summary!$B$6/1440)</f>
        <v>0.55208333333333326</v>
      </c>
      <c r="I391">
        <f>INDEX(PeakCalc!$L$10:$L$303,MATCH(tblPivotData[[#This Row],[Time]],PeakCalc!$G$10:$G$303,0))</f>
        <v>1</v>
      </c>
    </row>
    <row r="392" spans="1:9" x14ac:dyDescent="0.25">
      <c r="A392" t="s">
        <v>94</v>
      </c>
      <c r="B392" t="s">
        <v>98</v>
      </c>
      <c r="C392" t="s">
        <v>93</v>
      </c>
      <c r="D392" t="s">
        <v>89</v>
      </c>
      <c r="E392" t="s">
        <v>91</v>
      </c>
      <c r="F392" s="6">
        <v>0.5625</v>
      </c>
      <c r="G392">
        <v>9</v>
      </c>
      <c r="H392" s="6">
        <f>FLOOR(tblPivotData[[#This Row],[Time]],Summary!$B$6/1440)</f>
        <v>0.5625</v>
      </c>
      <c r="I392">
        <f>INDEX(PeakCalc!$L$10:$L$303,MATCH(tblPivotData[[#This Row],[Time]],PeakCalc!$G$10:$G$303,0))</f>
        <v>1</v>
      </c>
    </row>
    <row r="393" spans="1:9" x14ac:dyDescent="0.25">
      <c r="A393" t="s">
        <v>94</v>
      </c>
      <c r="B393" t="s">
        <v>98</v>
      </c>
      <c r="C393" t="s">
        <v>93</v>
      </c>
      <c r="D393" t="s">
        <v>89</v>
      </c>
      <c r="E393" t="s">
        <v>91</v>
      </c>
      <c r="F393" s="6">
        <v>0.57291666666666663</v>
      </c>
      <c r="G393">
        <v>5</v>
      </c>
      <c r="H393" s="6">
        <f>FLOOR(tblPivotData[[#This Row],[Time]],Summary!$B$6/1440)</f>
        <v>0.57291666666666663</v>
      </c>
      <c r="I393">
        <f>INDEX(PeakCalc!$L$10:$L$303,MATCH(tblPivotData[[#This Row],[Time]],PeakCalc!$G$10:$G$303,0))</f>
        <v>1</v>
      </c>
    </row>
    <row r="394" spans="1:9" x14ac:dyDescent="0.25">
      <c r="A394" t="s">
        <v>94</v>
      </c>
      <c r="B394" t="s">
        <v>98</v>
      </c>
      <c r="C394" t="s">
        <v>93</v>
      </c>
      <c r="D394" t="s">
        <v>89</v>
      </c>
      <c r="E394" t="s">
        <v>44</v>
      </c>
      <c r="F394" s="6">
        <v>0.66666666666666663</v>
      </c>
      <c r="G394">
        <v>3</v>
      </c>
      <c r="H394" s="6">
        <f>FLOOR(tblPivotData[[#This Row],[Time]],Summary!$B$6/1440)</f>
        <v>0.66666666666666663</v>
      </c>
      <c r="I394">
        <f>INDEX(PeakCalc!$L$10:$L$303,MATCH(tblPivotData[[#This Row],[Time]],PeakCalc!$G$10:$G$303,0))</f>
        <v>0</v>
      </c>
    </row>
    <row r="395" spans="1:9" x14ac:dyDescent="0.25">
      <c r="A395" t="s">
        <v>94</v>
      </c>
      <c r="B395" t="s">
        <v>98</v>
      </c>
      <c r="C395" t="s">
        <v>93</v>
      </c>
      <c r="D395" t="s">
        <v>89</v>
      </c>
      <c r="E395" t="s">
        <v>44</v>
      </c>
      <c r="F395" s="6">
        <v>0.67708333333333337</v>
      </c>
      <c r="G395">
        <v>4</v>
      </c>
      <c r="H395" s="6">
        <f>FLOOR(tblPivotData[[#This Row],[Time]],Summary!$B$6/1440)</f>
        <v>0.67708333333333326</v>
      </c>
      <c r="I395">
        <f>INDEX(PeakCalc!$L$10:$L$303,MATCH(tblPivotData[[#This Row],[Time]],PeakCalc!$G$10:$G$303,0))</f>
        <v>0</v>
      </c>
    </row>
    <row r="396" spans="1:9" x14ac:dyDescent="0.25">
      <c r="A396" t="s">
        <v>94</v>
      </c>
      <c r="B396" t="s">
        <v>98</v>
      </c>
      <c r="C396" t="s">
        <v>93</v>
      </c>
      <c r="D396" t="s">
        <v>89</v>
      </c>
      <c r="E396" t="s">
        <v>44</v>
      </c>
      <c r="F396" s="6">
        <v>0.6875</v>
      </c>
      <c r="G396">
        <v>2</v>
      </c>
      <c r="H396" s="6">
        <f>FLOOR(tblPivotData[[#This Row],[Time]],Summary!$B$6/1440)</f>
        <v>0.6875</v>
      </c>
      <c r="I396">
        <f>INDEX(PeakCalc!$L$10:$L$303,MATCH(tblPivotData[[#This Row],[Time]],PeakCalc!$G$10:$G$303,0))</f>
        <v>0</v>
      </c>
    </row>
    <row r="397" spans="1:9" x14ac:dyDescent="0.25">
      <c r="A397" t="s">
        <v>94</v>
      </c>
      <c r="B397" t="s">
        <v>98</v>
      </c>
      <c r="C397" t="s">
        <v>93</v>
      </c>
      <c r="D397" t="s">
        <v>89</v>
      </c>
      <c r="E397" t="s">
        <v>44</v>
      </c>
      <c r="F397" s="6">
        <v>0.69791666666666663</v>
      </c>
      <c r="G397">
        <v>3</v>
      </c>
      <c r="H397" s="6">
        <f>FLOOR(tblPivotData[[#This Row],[Time]],Summary!$B$6/1440)</f>
        <v>0.69791666666666663</v>
      </c>
      <c r="I397">
        <f>INDEX(PeakCalc!$L$10:$L$303,MATCH(tblPivotData[[#This Row],[Time]],PeakCalc!$G$10:$G$303,0))</f>
        <v>1</v>
      </c>
    </row>
    <row r="398" spans="1:9" x14ac:dyDescent="0.25">
      <c r="A398" t="s">
        <v>94</v>
      </c>
      <c r="B398" t="s">
        <v>98</v>
      </c>
      <c r="C398" t="s">
        <v>93</v>
      </c>
      <c r="D398" t="s">
        <v>89</v>
      </c>
      <c r="E398" t="s">
        <v>44</v>
      </c>
      <c r="F398" s="6">
        <v>0.70833333333333337</v>
      </c>
      <c r="G398">
        <v>1</v>
      </c>
      <c r="H398" s="6">
        <f>FLOOR(tblPivotData[[#This Row],[Time]],Summary!$B$6/1440)</f>
        <v>0.70833333333333326</v>
      </c>
      <c r="I398">
        <f>INDEX(PeakCalc!$L$10:$L$303,MATCH(tblPivotData[[#This Row],[Time]],PeakCalc!$G$10:$G$303,0))</f>
        <v>1</v>
      </c>
    </row>
    <row r="399" spans="1:9" x14ac:dyDescent="0.25">
      <c r="A399" t="s">
        <v>94</v>
      </c>
      <c r="B399" t="s">
        <v>98</v>
      </c>
      <c r="C399" t="s">
        <v>93</v>
      </c>
      <c r="D399" t="s">
        <v>89</v>
      </c>
      <c r="E399" t="s">
        <v>44</v>
      </c>
      <c r="F399" s="6">
        <v>0.71875</v>
      </c>
      <c r="G399">
        <v>0</v>
      </c>
      <c r="H399" s="6">
        <f>FLOOR(tblPivotData[[#This Row],[Time]],Summary!$B$6/1440)</f>
        <v>0.71875</v>
      </c>
      <c r="I399">
        <f>INDEX(PeakCalc!$L$10:$L$303,MATCH(tblPivotData[[#This Row],[Time]],PeakCalc!$G$10:$G$303,0))</f>
        <v>1</v>
      </c>
    </row>
    <row r="400" spans="1:9" x14ac:dyDescent="0.25">
      <c r="A400" t="s">
        <v>94</v>
      </c>
      <c r="B400" t="s">
        <v>98</v>
      </c>
      <c r="C400" t="s">
        <v>93</v>
      </c>
      <c r="D400" t="s">
        <v>89</v>
      </c>
      <c r="E400" t="s">
        <v>44</v>
      </c>
      <c r="F400" s="6">
        <v>0.72916666666666663</v>
      </c>
      <c r="G400">
        <v>3</v>
      </c>
      <c r="H400" s="6">
        <f>FLOOR(tblPivotData[[#This Row],[Time]],Summary!$B$6/1440)</f>
        <v>0.72916666666666663</v>
      </c>
      <c r="I400">
        <f>INDEX(PeakCalc!$L$10:$L$303,MATCH(tblPivotData[[#This Row],[Time]],PeakCalc!$G$10:$G$303,0))</f>
        <v>1</v>
      </c>
    </row>
    <row r="401" spans="1:9" x14ac:dyDescent="0.25">
      <c r="A401" t="s">
        <v>94</v>
      </c>
      <c r="B401" t="s">
        <v>98</v>
      </c>
      <c r="C401" t="s">
        <v>93</v>
      </c>
      <c r="D401" t="s">
        <v>89</v>
      </c>
      <c r="E401" t="s">
        <v>44</v>
      </c>
      <c r="F401" s="6">
        <v>0.73958333333333337</v>
      </c>
      <c r="G401">
        <v>4</v>
      </c>
      <c r="H401" s="6">
        <f>FLOOR(tblPivotData[[#This Row],[Time]],Summary!$B$6/1440)</f>
        <v>0.73958333333333326</v>
      </c>
      <c r="I401">
        <f>INDEX(PeakCalc!$L$10:$L$303,MATCH(tblPivotData[[#This Row],[Time]],PeakCalc!$G$10:$G$303,0))</f>
        <v>0</v>
      </c>
    </row>
    <row r="402" spans="1:9" x14ac:dyDescent="0.25">
      <c r="A402" t="s">
        <v>94</v>
      </c>
      <c r="B402" t="s">
        <v>98</v>
      </c>
      <c r="C402" t="s">
        <v>93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98</v>
      </c>
      <c r="C403" t="s">
        <v>93</v>
      </c>
      <c r="D403" t="s">
        <v>90</v>
      </c>
      <c r="E403" t="s">
        <v>43</v>
      </c>
      <c r="F403" s="6">
        <v>0.30208333333333331</v>
      </c>
      <c r="G403">
        <v>2</v>
      </c>
      <c r="H403" s="6">
        <f>FLOOR(tblPivotData[[#This Row],[Time]],Summary!$B$6/1440)</f>
        <v>0.30208333333333331</v>
      </c>
      <c r="I403">
        <f>INDEX(PeakCalc!$L$10:$L$303,MATCH(tblPivotData[[#This Row],[Time]],PeakCalc!$G$10:$G$303,0))</f>
        <v>0</v>
      </c>
    </row>
    <row r="404" spans="1:9" x14ac:dyDescent="0.25">
      <c r="A404" t="s">
        <v>94</v>
      </c>
      <c r="B404" t="s">
        <v>98</v>
      </c>
      <c r="C404" t="s">
        <v>93</v>
      </c>
      <c r="D404" t="s">
        <v>90</v>
      </c>
      <c r="E404" t="s">
        <v>43</v>
      </c>
      <c r="F404" s="6">
        <v>0.3125</v>
      </c>
      <c r="G404">
        <v>1</v>
      </c>
      <c r="H404" s="6">
        <f>FLOOR(tblPivotData[[#This Row],[Time]],Summary!$B$6/1440)</f>
        <v>0.3125</v>
      </c>
      <c r="I404">
        <f>INDEX(PeakCalc!$L$10:$L$303,MATCH(tblPivotData[[#This Row],[Time]],PeakCalc!$G$10:$G$303,0))</f>
        <v>1</v>
      </c>
    </row>
    <row r="405" spans="1:9" x14ac:dyDescent="0.25">
      <c r="A405" t="s">
        <v>94</v>
      </c>
      <c r="B405" t="s">
        <v>98</v>
      </c>
      <c r="C405" t="s">
        <v>93</v>
      </c>
      <c r="D405" t="s">
        <v>90</v>
      </c>
      <c r="E405" t="s">
        <v>43</v>
      </c>
      <c r="F405" s="6">
        <v>0.32291666666666669</v>
      </c>
      <c r="G405">
        <v>2</v>
      </c>
      <c r="H405" s="6">
        <f>FLOOR(tblPivotData[[#This Row],[Time]],Summary!$B$6/1440)</f>
        <v>0.32291666666666663</v>
      </c>
      <c r="I405">
        <f>INDEX(PeakCalc!$L$10:$L$303,MATCH(tblPivotData[[#This Row],[Time]],PeakCalc!$G$10:$G$303,0))</f>
        <v>1</v>
      </c>
    </row>
    <row r="406" spans="1:9" x14ac:dyDescent="0.25">
      <c r="A406" t="s">
        <v>94</v>
      </c>
      <c r="B406" t="s">
        <v>98</v>
      </c>
      <c r="C406" t="s">
        <v>93</v>
      </c>
      <c r="D406" t="s">
        <v>90</v>
      </c>
      <c r="E406" t="s">
        <v>43</v>
      </c>
      <c r="F406" s="6">
        <v>0.33333333333333331</v>
      </c>
      <c r="G406">
        <v>1</v>
      </c>
      <c r="H406" s="6">
        <f>FLOOR(tblPivotData[[#This Row],[Time]],Summary!$B$6/1440)</f>
        <v>0.33333333333333331</v>
      </c>
      <c r="I406">
        <f>INDEX(PeakCalc!$L$10:$L$303,MATCH(tblPivotData[[#This Row],[Time]],PeakCalc!$G$10:$G$303,0))</f>
        <v>1</v>
      </c>
    </row>
    <row r="407" spans="1:9" x14ac:dyDescent="0.25">
      <c r="A407" t="s">
        <v>94</v>
      </c>
      <c r="B407" t="s">
        <v>98</v>
      </c>
      <c r="C407" t="s">
        <v>93</v>
      </c>
      <c r="D407" t="s">
        <v>90</v>
      </c>
      <c r="E407" t="s">
        <v>43</v>
      </c>
      <c r="F407" s="6">
        <v>0.34375</v>
      </c>
      <c r="G407">
        <v>2</v>
      </c>
      <c r="H407" s="6">
        <f>FLOOR(tblPivotData[[#This Row],[Time]],Summary!$B$6/1440)</f>
        <v>0.34375</v>
      </c>
      <c r="I407">
        <f>INDEX(PeakCalc!$L$10:$L$303,MATCH(tblPivotData[[#This Row],[Time]],PeakCalc!$G$10:$G$303,0))</f>
        <v>1</v>
      </c>
    </row>
    <row r="408" spans="1:9" x14ac:dyDescent="0.25">
      <c r="A408" t="s">
        <v>94</v>
      </c>
      <c r="B408" t="s">
        <v>98</v>
      </c>
      <c r="C408" t="s">
        <v>93</v>
      </c>
      <c r="D408" t="s">
        <v>90</v>
      </c>
      <c r="E408" t="s">
        <v>43</v>
      </c>
      <c r="F408" s="6">
        <v>0.35416666666666669</v>
      </c>
      <c r="G408">
        <v>1</v>
      </c>
      <c r="H408" s="6">
        <f>FLOOR(tblPivotData[[#This Row],[Time]],Summary!$B$6/1440)</f>
        <v>0.35416666666666663</v>
      </c>
      <c r="I408">
        <f>INDEX(PeakCalc!$L$10:$L$303,MATCH(tblPivotData[[#This Row],[Time]],PeakCalc!$G$10:$G$303,0))</f>
        <v>0</v>
      </c>
    </row>
    <row r="409" spans="1:9" x14ac:dyDescent="0.25">
      <c r="A409" t="s">
        <v>94</v>
      </c>
      <c r="B409" t="s">
        <v>98</v>
      </c>
      <c r="C409" t="s">
        <v>93</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98</v>
      </c>
      <c r="C410" t="s">
        <v>93</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98</v>
      </c>
      <c r="C411" t="s">
        <v>93</v>
      </c>
      <c r="D411" t="s">
        <v>90</v>
      </c>
      <c r="E411" t="s">
        <v>91</v>
      </c>
      <c r="F411" s="6">
        <v>0.55208333333333337</v>
      </c>
      <c r="G411">
        <v>1</v>
      </c>
      <c r="H411" s="6">
        <f>FLOOR(tblPivotData[[#This Row],[Time]],Summary!$B$6/1440)</f>
        <v>0.55208333333333326</v>
      </c>
      <c r="I411">
        <f>INDEX(PeakCalc!$L$10:$L$303,MATCH(tblPivotData[[#This Row],[Time]],PeakCalc!$G$10:$G$303,0))</f>
        <v>1</v>
      </c>
    </row>
    <row r="412" spans="1:9" x14ac:dyDescent="0.25">
      <c r="A412" t="s">
        <v>94</v>
      </c>
      <c r="B412" t="s">
        <v>98</v>
      </c>
      <c r="C412" t="s">
        <v>93</v>
      </c>
      <c r="D412" t="s">
        <v>90</v>
      </c>
      <c r="E412" t="s">
        <v>91</v>
      </c>
      <c r="F412" s="6">
        <v>0.5625</v>
      </c>
      <c r="G412">
        <v>0</v>
      </c>
      <c r="H412" s="6">
        <f>FLOOR(tblPivotData[[#This Row],[Time]],Summary!$B$6/1440)</f>
        <v>0.5625</v>
      </c>
      <c r="I412">
        <f>INDEX(PeakCalc!$L$10:$L$303,MATCH(tblPivotData[[#This Row],[Time]],PeakCalc!$G$10:$G$303,0))</f>
        <v>1</v>
      </c>
    </row>
    <row r="413" spans="1:9" x14ac:dyDescent="0.25">
      <c r="A413" t="s">
        <v>94</v>
      </c>
      <c r="B413" t="s">
        <v>98</v>
      </c>
      <c r="C413" t="s">
        <v>93</v>
      </c>
      <c r="D413" t="s">
        <v>90</v>
      </c>
      <c r="E413" t="s">
        <v>91</v>
      </c>
      <c r="F413" s="6">
        <v>0.57291666666666663</v>
      </c>
      <c r="G413">
        <v>1</v>
      </c>
      <c r="H413" s="6">
        <f>FLOOR(tblPivotData[[#This Row],[Time]],Summary!$B$6/1440)</f>
        <v>0.57291666666666663</v>
      </c>
      <c r="I413">
        <f>INDEX(PeakCalc!$L$10:$L$303,MATCH(tblPivotData[[#This Row],[Time]],PeakCalc!$G$10:$G$303,0))</f>
        <v>1</v>
      </c>
    </row>
    <row r="414" spans="1:9" x14ac:dyDescent="0.25">
      <c r="A414" t="s">
        <v>94</v>
      </c>
      <c r="B414" t="s">
        <v>98</v>
      </c>
      <c r="C414" t="s">
        <v>93</v>
      </c>
      <c r="D414" t="s">
        <v>90</v>
      </c>
      <c r="E414" t="s">
        <v>44</v>
      </c>
      <c r="F414" s="6">
        <v>0.66666666666666663</v>
      </c>
      <c r="G414">
        <v>1</v>
      </c>
      <c r="H414" s="6">
        <f>FLOOR(tblPivotData[[#This Row],[Time]],Summary!$B$6/1440)</f>
        <v>0.66666666666666663</v>
      </c>
      <c r="I414">
        <f>INDEX(PeakCalc!$L$10:$L$303,MATCH(tblPivotData[[#This Row],[Time]],PeakCalc!$G$10:$G$303,0))</f>
        <v>0</v>
      </c>
    </row>
    <row r="415" spans="1:9" x14ac:dyDescent="0.25">
      <c r="A415" t="s">
        <v>94</v>
      </c>
      <c r="B415" t="s">
        <v>98</v>
      </c>
      <c r="C415" t="s">
        <v>93</v>
      </c>
      <c r="D415" t="s">
        <v>90</v>
      </c>
      <c r="E415" t="s">
        <v>44</v>
      </c>
      <c r="F415" s="6">
        <v>0.67708333333333337</v>
      </c>
      <c r="G415">
        <v>5</v>
      </c>
      <c r="H415" s="6">
        <f>FLOOR(tblPivotData[[#This Row],[Time]],Summary!$B$6/1440)</f>
        <v>0.67708333333333326</v>
      </c>
      <c r="I415">
        <f>INDEX(PeakCalc!$L$10:$L$303,MATCH(tblPivotData[[#This Row],[Time]],PeakCalc!$G$10:$G$303,0))</f>
        <v>0</v>
      </c>
    </row>
    <row r="416" spans="1:9" x14ac:dyDescent="0.25">
      <c r="A416" t="s">
        <v>94</v>
      </c>
      <c r="B416" t="s">
        <v>98</v>
      </c>
      <c r="C416" t="s">
        <v>93</v>
      </c>
      <c r="D416" t="s">
        <v>90</v>
      </c>
      <c r="E416" t="s">
        <v>44</v>
      </c>
      <c r="F416" s="6">
        <v>0.6875</v>
      </c>
      <c r="G416">
        <v>11</v>
      </c>
      <c r="H416" s="6">
        <f>FLOOR(tblPivotData[[#This Row],[Time]],Summary!$B$6/1440)</f>
        <v>0.6875</v>
      </c>
      <c r="I416">
        <f>INDEX(PeakCalc!$L$10:$L$303,MATCH(tblPivotData[[#This Row],[Time]],PeakCalc!$G$10:$G$303,0))</f>
        <v>0</v>
      </c>
    </row>
    <row r="417" spans="1:9" x14ac:dyDescent="0.25">
      <c r="A417" t="s">
        <v>94</v>
      </c>
      <c r="B417" t="s">
        <v>98</v>
      </c>
      <c r="C417" t="s">
        <v>93</v>
      </c>
      <c r="D417" t="s">
        <v>90</v>
      </c>
      <c r="E417" t="s">
        <v>44</v>
      </c>
      <c r="F417" s="6">
        <v>0.69791666666666663</v>
      </c>
      <c r="G417">
        <v>5</v>
      </c>
      <c r="H417" s="6">
        <f>FLOOR(tblPivotData[[#This Row],[Time]],Summary!$B$6/1440)</f>
        <v>0.69791666666666663</v>
      </c>
      <c r="I417">
        <f>INDEX(PeakCalc!$L$10:$L$303,MATCH(tblPivotData[[#This Row],[Time]],PeakCalc!$G$10:$G$303,0))</f>
        <v>1</v>
      </c>
    </row>
    <row r="418" spans="1:9" x14ac:dyDescent="0.25">
      <c r="A418" t="s">
        <v>94</v>
      </c>
      <c r="B418" t="s">
        <v>98</v>
      </c>
      <c r="C418" t="s">
        <v>93</v>
      </c>
      <c r="D418" t="s">
        <v>90</v>
      </c>
      <c r="E418" t="s">
        <v>44</v>
      </c>
      <c r="F418" s="6">
        <v>0.70833333333333337</v>
      </c>
      <c r="G418">
        <v>5</v>
      </c>
      <c r="H418" s="6">
        <f>FLOOR(tblPivotData[[#This Row],[Time]],Summary!$B$6/1440)</f>
        <v>0.70833333333333326</v>
      </c>
      <c r="I418">
        <f>INDEX(PeakCalc!$L$10:$L$303,MATCH(tblPivotData[[#This Row],[Time]],PeakCalc!$G$10:$G$303,0))</f>
        <v>1</v>
      </c>
    </row>
    <row r="419" spans="1:9" x14ac:dyDescent="0.25">
      <c r="A419" t="s">
        <v>94</v>
      </c>
      <c r="B419" t="s">
        <v>98</v>
      </c>
      <c r="C419" t="s">
        <v>93</v>
      </c>
      <c r="D419" t="s">
        <v>90</v>
      </c>
      <c r="E419" t="s">
        <v>44</v>
      </c>
      <c r="F419" s="6">
        <v>0.71875</v>
      </c>
      <c r="G419">
        <v>10</v>
      </c>
      <c r="H419" s="6">
        <f>FLOOR(tblPivotData[[#This Row],[Time]],Summary!$B$6/1440)</f>
        <v>0.71875</v>
      </c>
      <c r="I419">
        <f>INDEX(PeakCalc!$L$10:$L$303,MATCH(tblPivotData[[#This Row],[Time]],PeakCalc!$G$10:$G$303,0))</f>
        <v>1</v>
      </c>
    </row>
    <row r="420" spans="1:9" x14ac:dyDescent="0.25">
      <c r="A420" t="s">
        <v>94</v>
      </c>
      <c r="B420" t="s">
        <v>98</v>
      </c>
      <c r="C420" t="s">
        <v>93</v>
      </c>
      <c r="D420" t="s">
        <v>90</v>
      </c>
      <c r="E420" t="s">
        <v>44</v>
      </c>
      <c r="F420" s="6">
        <v>0.72916666666666663</v>
      </c>
      <c r="G420">
        <v>4</v>
      </c>
      <c r="H420" s="6">
        <f>FLOOR(tblPivotData[[#This Row],[Time]],Summary!$B$6/1440)</f>
        <v>0.72916666666666663</v>
      </c>
      <c r="I420">
        <f>INDEX(PeakCalc!$L$10:$L$303,MATCH(tblPivotData[[#This Row],[Time]],PeakCalc!$G$10:$G$303,0))</f>
        <v>1</v>
      </c>
    </row>
    <row r="421" spans="1:9" x14ac:dyDescent="0.25">
      <c r="A421" t="s">
        <v>94</v>
      </c>
      <c r="B421" t="s">
        <v>98</v>
      </c>
      <c r="C421" t="s">
        <v>93</v>
      </c>
      <c r="D421" t="s">
        <v>90</v>
      </c>
      <c r="E421" t="s">
        <v>44</v>
      </c>
      <c r="F421" s="6">
        <v>0.73958333333333337</v>
      </c>
      <c r="G421">
        <v>2</v>
      </c>
      <c r="H421" s="6">
        <f>FLOOR(tblPivotData[[#This Row],[Time]],Summary!$B$6/1440)</f>
        <v>0.73958333333333326</v>
      </c>
      <c r="I421">
        <f>INDEX(PeakCalc!$L$10:$L$303,MATCH(tblPivotData[[#This Row],[Time]],PeakCalc!$G$10:$G$303,0))</f>
        <v>0</v>
      </c>
    </row>
    <row r="422" spans="1:9" x14ac:dyDescent="0.25">
      <c r="A422" t="s">
        <v>94</v>
      </c>
      <c r="B422" t="s">
        <v>92</v>
      </c>
      <c r="C422" t="s">
        <v>94</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94</v>
      </c>
      <c r="B423" t="s">
        <v>92</v>
      </c>
      <c r="C423" t="s">
        <v>94</v>
      </c>
      <c r="D423" t="s">
        <v>79</v>
      </c>
      <c r="E423" t="s">
        <v>43</v>
      </c>
      <c r="F423" s="6">
        <v>0.30208333333333331</v>
      </c>
      <c r="G423">
        <v>1</v>
      </c>
      <c r="H423" s="6">
        <f>FLOOR(tblPivotData[[#This Row],[Time]],Summary!$B$6/1440)</f>
        <v>0.30208333333333331</v>
      </c>
      <c r="I423">
        <f>INDEX(PeakCalc!$L$10:$L$303,MATCH(tblPivotData[[#This Row],[Time]],PeakCalc!$G$10:$G$303,0))</f>
        <v>0</v>
      </c>
    </row>
    <row r="424" spans="1:9" x14ac:dyDescent="0.25">
      <c r="A424" t="s">
        <v>94</v>
      </c>
      <c r="B424" t="s">
        <v>92</v>
      </c>
      <c r="C424" t="s">
        <v>94</v>
      </c>
      <c r="D424" t="s">
        <v>79</v>
      </c>
      <c r="E424" t="s">
        <v>43</v>
      </c>
      <c r="F424" s="6">
        <v>0.3125</v>
      </c>
      <c r="G424">
        <v>0</v>
      </c>
      <c r="H424" s="6">
        <f>FLOOR(tblPivotData[[#This Row],[Time]],Summary!$B$6/1440)</f>
        <v>0.3125</v>
      </c>
      <c r="I424">
        <f>INDEX(PeakCalc!$L$10:$L$303,MATCH(tblPivotData[[#This Row],[Time]],PeakCalc!$G$10:$G$303,0))</f>
        <v>1</v>
      </c>
    </row>
    <row r="425" spans="1:9" x14ac:dyDescent="0.25">
      <c r="A425" t="s">
        <v>94</v>
      </c>
      <c r="B425" t="s">
        <v>92</v>
      </c>
      <c r="C425" t="s">
        <v>94</v>
      </c>
      <c r="D425" t="s">
        <v>79</v>
      </c>
      <c r="E425" t="s">
        <v>43</v>
      </c>
      <c r="F425" s="6">
        <v>0.32291666666666669</v>
      </c>
      <c r="G425">
        <v>1</v>
      </c>
      <c r="H425" s="6">
        <f>FLOOR(tblPivotData[[#This Row],[Time]],Summary!$B$6/1440)</f>
        <v>0.32291666666666663</v>
      </c>
      <c r="I425">
        <f>INDEX(PeakCalc!$L$10:$L$303,MATCH(tblPivotData[[#This Row],[Time]],PeakCalc!$G$10:$G$303,0))</f>
        <v>1</v>
      </c>
    </row>
    <row r="426" spans="1:9" x14ac:dyDescent="0.25">
      <c r="A426" t="s">
        <v>94</v>
      </c>
      <c r="B426" t="s">
        <v>92</v>
      </c>
      <c r="C426" t="s">
        <v>94</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94</v>
      </c>
      <c r="B427" t="s">
        <v>92</v>
      </c>
      <c r="C427" t="s">
        <v>94</v>
      </c>
      <c r="D427" t="s">
        <v>79</v>
      </c>
      <c r="E427" t="s">
        <v>43</v>
      </c>
      <c r="F427" s="6">
        <v>0.34375</v>
      </c>
      <c r="G427">
        <v>0</v>
      </c>
      <c r="H427" s="6">
        <f>FLOOR(tblPivotData[[#This Row],[Time]],Summary!$B$6/1440)</f>
        <v>0.34375</v>
      </c>
      <c r="I427">
        <f>INDEX(PeakCalc!$L$10:$L$303,MATCH(tblPivotData[[#This Row],[Time]],PeakCalc!$G$10:$G$303,0))</f>
        <v>1</v>
      </c>
    </row>
    <row r="428" spans="1:9" x14ac:dyDescent="0.25">
      <c r="A428" t="s">
        <v>94</v>
      </c>
      <c r="B428" t="s">
        <v>92</v>
      </c>
      <c r="C428" t="s">
        <v>94</v>
      </c>
      <c r="D428" t="s">
        <v>79</v>
      </c>
      <c r="E428" t="s">
        <v>43</v>
      </c>
      <c r="F428" s="6">
        <v>0.35416666666666669</v>
      </c>
      <c r="G428">
        <v>0</v>
      </c>
      <c r="H428" s="6">
        <f>FLOOR(tblPivotData[[#This Row],[Time]],Summary!$B$6/1440)</f>
        <v>0.35416666666666663</v>
      </c>
      <c r="I428">
        <f>INDEX(PeakCalc!$L$10:$L$303,MATCH(tblPivotData[[#This Row],[Time]],PeakCalc!$G$10:$G$303,0))</f>
        <v>0</v>
      </c>
    </row>
    <row r="429" spans="1:9" x14ac:dyDescent="0.25">
      <c r="A429" t="s">
        <v>94</v>
      </c>
      <c r="B429" t="s">
        <v>92</v>
      </c>
      <c r="C429" t="s">
        <v>94</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25">
      <c r="A430" t="s">
        <v>94</v>
      </c>
      <c r="B430" t="s">
        <v>92</v>
      </c>
      <c r="C430" t="s">
        <v>94</v>
      </c>
      <c r="D430" t="s">
        <v>79</v>
      </c>
      <c r="E430" t="s">
        <v>91</v>
      </c>
      <c r="F430" s="6">
        <v>0.54166666666666663</v>
      </c>
      <c r="G430">
        <v>0</v>
      </c>
      <c r="H430" s="6">
        <f>FLOOR(tblPivotData[[#This Row],[Time]],Summary!$B$6/1440)</f>
        <v>0.54166666666666663</v>
      </c>
      <c r="I430">
        <f>INDEX(PeakCalc!$L$10:$L$303,MATCH(tblPivotData[[#This Row],[Time]],PeakCalc!$G$10:$G$303,0))</f>
        <v>1</v>
      </c>
    </row>
    <row r="431" spans="1:9" x14ac:dyDescent="0.25">
      <c r="A431" t="s">
        <v>94</v>
      </c>
      <c r="B431" t="s">
        <v>92</v>
      </c>
      <c r="C431" t="s">
        <v>94</v>
      </c>
      <c r="D431" t="s">
        <v>79</v>
      </c>
      <c r="E431" t="s">
        <v>91</v>
      </c>
      <c r="F431" s="6">
        <v>0.55208333333333337</v>
      </c>
      <c r="G431">
        <v>0</v>
      </c>
      <c r="H431" s="6">
        <f>FLOOR(tblPivotData[[#This Row],[Time]],Summary!$B$6/1440)</f>
        <v>0.55208333333333326</v>
      </c>
      <c r="I431">
        <f>INDEX(PeakCalc!$L$10:$L$303,MATCH(tblPivotData[[#This Row],[Time]],PeakCalc!$G$10:$G$303,0))</f>
        <v>1</v>
      </c>
    </row>
    <row r="432" spans="1:9" x14ac:dyDescent="0.25">
      <c r="A432" t="s">
        <v>94</v>
      </c>
      <c r="B432" t="s">
        <v>92</v>
      </c>
      <c r="C432" t="s">
        <v>94</v>
      </c>
      <c r="D432" t="s">
        <v>79</v>
      </c>
      <c r="E432" t="s">
        <v>91</v>
      </c>
      <c r="F432" s="6">
        <v>0.5625</v>
      </c>
      <c r="G432">
        <v>0</v>
      </c>
      <c r="H432" s="6">
        <f>FLOOR(tblPivotData[[#This Row],[Time]],Summary!$B$6/1440)</f>
        <v>0.5625</v>
      </c>
      <c r="I432">
        <f>INDEX(PeakCalc!$L$10:$L$303,MATCH(tblPivotData[[#This Row],[Time]],PeakCalc!$G$10:$G$303,0))</f>
        <v>1</v>
      </c>
    </row>
    <row r="433" spans="1:9" x14ac:dyDescent="0.25">
      <c r="A433" t="s">
        <v>94</v>
      </c>
      <c r="B433" t="s">
        <v>92</v>
      </c>
      <c r="C433" t="s">
        <v>94</v>
      </c>
      <c r="D433" t="s">
        <v>79</v>
      </c>
      <c r="E433" t="s">
        <v>91</v>
      </c>
      <c r="F433" s="6">
        <v>0.57291666666666663</v>
      </c>
      <c r="G433">
        <v>1</v>
      </c>
      <c r="H433" s="6">
        <f>FLOOR(tblPivotData[[#This Row],[Time]],Summary!$B$6/1440)</f>
        <v>0.57291666666666663</v>
      </c>
      <c r="I433">
        <f>INDEX(PeakCalc!$L$10:$L$303,MATCH(tblPivotData[[#This Row],[Time]],PeakCalc!$G$10:$G$303,0))</f>
        <v>1</v>
      </c>
    </row>
    <row r="434" spans="1:9" x14ac:dyDescent="0.25">
      <c r="A434" t="s">
        <v>94</v>
      </c>
      <c r="B434" t="s">
        <v>92</v>
      </c>
      <c r="C434" t="s">
        <v>94</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94</v>
      </c>
      <c r="B435" t="s">
        <v>92</v>
      </c>
      <c r="C435" t="s">
        <v>94</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25">
      <c r="A436" t="s">
        <v>94</v>
      </c>
      <c r="B436" t="s">
        <v>92</v>
      </c>
      <c r="C436" t="s">
        <v>94</v>
      </c>
      <c r="D436" t="s">
        <v>79</v>
      </c>
      <c r="E436" t="s">
        <v>44</v>
      </c>
      <c r="F436" s="6">
        <v>0.6875</v>
      </c>
      <c r="G436">
        <v>0</v>
      </c>
      <c r="H436" s="6">
        <f>FLOOR(tblPivotData[[#This Row],[Time]],Summary!$B$6/1440)</f>
        <v>0.6875</v>
      </c>
      <c r="I436">
        <f>INDEX(PeakCalc!$L$10:$L$303,MATCH(tblPivotData[[#This Row],[Time]],PeakCalc!$G$10:$G$303,0))</f>
        <v>0</v>
      </c>
    </row>
    <row r="437" spans="1:9" x14ac:dyDescent="0.25">
      <c r="A437" t="s">
        <v>94</v>
      </c>
      <c r="B437" t="s">
        <v>92</v>
      </c>
      <c r="C437" t="s">
        <v>94</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94</v>
      </c>
      <c r="B438" t="s">
        <v>92</v>
      </c>
      <c r="C438" t="s">
        <v>94</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94</v>
      </c>
      <c r="B439" t="s">
        <v>92</v>
      </c>
      <c r="C439" t="s">
        <v>94</v>
      </c>
      <c r="D439" t="s">
        <v>79</v>
      </c>
      <c r="E439" t="s">
        <v>44</v>
      </c>
      <c r="F439" s="6">
        <v>0.71875</v>
      </c>
      <c r="G439">
        <v>0</v>
      </c>
      <c r="H439" s="6">
        <f>FLOOR(tblPivotData[[#This Row],[Time]],Summary!$B$6/1440)</f>
        <v>0.71875</v>
      </c>
      <c r="I439">
        <f>INDEX(PeakCalc!$L$10:$L$303,MATCH(tblPivotData[[#This Row],[Time]],PeakCalc!$G$10:$G$303,0))</f>
        <v>1</v>
      </c>
    </row>
    <row r="440" spans="1:9" x14ac:dyDescent="0.25">
      <c r="A440" t="s">
        <v>94</v>
      </c>
      <c r="B440" t="s">
        <v>92</v>
      </c>
      <c r="C440" t="s">
        <v>94</v>
      </c>
      <c r="D440" t="s">
        <v>79</v>
      </c>
      <c r="E440" t="s">
        <v>44</v>
      </c>
      <c r="F440" s="6">
        <v>0.72916666666666663</v>
      </c>
      <c r="G440">
        <v>0</v>
      </c>
      <c r="H440" s="6">
        <f>FLOOR(tblPivotData[[#This Row],[Time]],Summary!$B$6/1440)</f>
        <v>0.72916666666666663</v>
      </c>
      <c r="I440">
        <f>INDEX(PeakCalc!$L$10:$L$303,MATCH(tblPivotData[[#This Row],[Time]],PeakCalc!$G$10:$G$303,0))</f>
        <v>1</v>
      </c>
    </row>
    <row r="441" spans="1:9" x14ac:dyDescent="0.25">
      <c r="A441" t="s">
        <v>94</v>
      </c>
      <c r="B441" t="s">
        <v>92</v>
      </c>
      <c r="C441" t="s">
        <v>94</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94</v>
      </c>
      <c r="B442" t="s">
        <v>92</v>
      </c>
      <c r="C442" t="s">
        <v>94</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94</v>
      </c>
      <c r="B443" t="s">
        <v>92</v>
      </c>
      <c r="C443" t="s">
        <v>94</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92</v>
      </c>
      <c r="C444" t="s">
        <v>94</v>
      </c>
      <c r="D444" t="s">
        <v>89</v>
      </c>
      <c r="E444" t="s">
        <v>43</v>
      </c>
      <c r="F444" s="6">
        <v>0.3125</v>
      </c>
      <c r="G444">
        <v>0</v>
      </c>
      <c r="H444" s="6">
        <f>FLOOR(tblPivotData[[#This Row],[Time]],Summary!$B$6/1440)</f>
        <v>0.3125</v>
      </c>
      <c r="I444">
        <f>INDEX(PeakCalc!$L$10:$L$303,MATCH(tblPivotData[[#This Row],[Time]],PeakCalc!$G$10:$G$303,0))</f>
        <v>1</v>
      </c>
    </row>
    <row r="445" spans="1:9" x14ac:dyDescent="0.25">
      <c r="A445" t="s">
        <v>94</v>
      </c>
      <c r="B445" t="s">
        <v>92</v>
      </c>
      <c r="C445" t="s">
        <v>94</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94</v>
      </c>
      <c r="B446" t="s">
        <v>92</v>
      </c>
      <c r="C446" t="s">
        <v>94</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94</v>
      </c>
      <c r="B447" t="s">
        <v>92</v>
      </c>
      <c r="C447" t="s">
        <v>94</v>
      </c>
      <c r="D447" t="s">
        <v>89</v>
      </c>
      <c r="E447" t="s">
        <v>43</v>
      </c>
      <c r="F447" s="6">
        <v>0.34375</v>
      </c>
      <c r="G447">
        <v>0</v>
      </c>
      <c r="H447" s="6">
        <f>FLOOR(tblPivotData[[#This Row],[Time]],Summary!$B$6/1440)</f>
        <v>0.34375</v>
      </c>
      <c r="I447">
        <f>INDEX(PeakCalc!$L$10:$L$303,MATCH(tblPivotData[[#This Row],[Time]],PeakCalc!$G$10:$G$303,0))</f>
        <v>1</v>
      </c>
    </row>
    <row r="448" spans="1:9" x14ac:dyDescent="0.25">
      <c r="A448" t="s">
        <v>94</v>
      </c>
      <c r="B448" t="s">
        <v>92</v>
      </c>
      <c r="C448" t="s">
        <v>94</v>
      </c>
      <c r="D448" t="s">
        <v>89</v>
      </c>
      <c r="E448" t="s">
        <v>43</v>
      </c>
      <c r="F448" s="6">
        <v>0.35416666666666669</v>
      </c>
      <c r="G448">
        <v>0</v>
      </c>
      <c r="H448" s="6">
        <f>FLOOR(tblPivotData[[#This Row],[Time]],Summary!$B$6/1440)</f>
        <v>0.35416666666666663</v>
      </c>
      <c r="I448">
        <f>INDEX(PeakCalc!$L$10:$L$303,MATCH(tblPivotData[[#This Row],[Time]],PeakCalc!$G$10:$G$303,0))</f>
        <v>0</v>
      </c>
    </row>
    <row r="449" spans="1:9" x14ac:dyDescent="0.25">
      <c r="A449" t="s">
        <v>94</v>
      </c>
      <c r="B449" t="s">
        <v>92</v>
      </c>
      <c r="C449" t="s">
        <v>94</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94</v>
      </c>
      <c r="B450" t="s">
        <v>92</v>
      </c>
      <c r="C450" t="s">
        <v>94</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92</v>
      </c>
      <c r="C451" t="s">
        <v>94</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94</v>
      </c>
      <c r="B452" t="s">
        <v>92</v>
      </c>
      <c r="C452" t="s">
        <v>94</v>
      </c>
      <c r="D452" t="s">
        <v>89</v>
      </c>
      <c r="E452" t="s">
        <v>91</v>
      </c>
      <c r="F452" s="6">
        <v>0.5625</v>
      </c>
      <c r="G452">
        <v>0</v>
      </c>
      <c r="H452" s="6">
        <f>FLOOR(tblPivotData[[#This Row],[Time]],Summary!$B$6/1440)</f>
        <v>0.5625</v>
      </c>
      <c r="I452">
        <f>INDEX(PeakCalc!$L$10:$L$303,MATCH(tblPivotData[[#This Row],[Time]],PeakCalc!$G$10:$G$303,0))</f>
        <v>1</v>
      </c>
    </row>
    <row r="453" spans="1:9" x14ac:dyDescent="0.25">
      <c r="A453" t="s">
        <v>94</v>
      </c>
      <c r="B453" t="s">
        <v>92</v>
      </c>
      <c r="C453" t="s">
        <v>94</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94</v>
      </c>
      <c r="B454" t="s">
        <v>92</v>
      </c>
      <c r="C454" t="s">
        <v>94</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92</v>
      </c>
      <c r="C455" t="s">
        <v>94</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94</v>
      </c>
      <c r="B456" t="s">
        <v>92</v>
      </c>
      <c r="C456" t="s">
        <v>94</v>
      </c>
      <c r="D456" t="s">
        <v>89</v>
      </c>
      <c r="E456" t="s">
        <v>44</v>
      </c>
      <c r="F456" s="6">
        <v>0.6875</v>
      </c>
      <c r="G456">
        <v>0</v>
      </c>
      <c r="H456" s="6">
        <f>FLOOR(tblPivotData[[#This Row],[Time]],Summary!$B$6/1440)</f>
        <v>0.6875</v>
      </c>
      <c r="I456">
        <f>INDEX(PeakCalc!$L$10:$L$303,MATCH(tblPivotData[[#This Row],[Time]],PeakCalc!$G$10:$G$303,0))</f>
        <v>0</v>
      </c>
    </row>
    <row r="457" spans="1:9" x14ac:dyDescent="0.25">
      <c r="A457" t="s">
        <v>94</v>
      </c>
      <c r="B457" t="s">
        <v>92</v>
      </c>
      <c r="C457" t="s">
        <v>94</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92</v>
      </c>
      <c r="C458" t="s">
        <v>94</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92</v>
      </c>
      <c r="C459" t="s">
        <v>94</v>
      </c>
      <c r="D459" t="s">
        <v>89</v>
      </c>
      <c r="E459" t="s">
        <v>44</v>
      </c>
      <c r="F459" s="6">
        <v>0.71875</v>
      </c>
      <c r="G459">
        <v>0</v>
      </c>
      <c r="H459" s="6">
        <f>FLOOR(tblPivotData[[#This Row],[Time]],Summary!$B$6/1440)</f>
        <v>0.71875</v>
      </c>
      <c r="I459">
        <f>INDEX(PeakCalc!$L$10:$L$303,MATCH(tblPivotData[[#This Row],[Time]],PeakCalc!$G$10:$G$303,0))</f>
        <v>1</v>
      </c>
    </row>
    <row r="460" spans="1:9" x14ac:dyDescent="0.25">
      <c r="A460" t="s">
        <v>94</v>
      </c>
      <c r="B460" t="s">
        <v>92</v>
      </c>
      <c r="C460" t="s">
        <v>94</v>
      </c>
      <c r="D460" t="s">
        <v>89</v>
      </c>
      <c r="E460" t="s">
        <v>44</v>
      </c>
      <c r="F460" s="6">
        <v>0.72916666666666663</v>
      </c>
      <c r="G460">
        <v>0</v>
      </c>
      <c r="H460" s="6">
        <f>FLOOR(tblPivotData[[#This Row],[Time]],Summary!$B$6/1440)</f>
        <v>0.72916666666666663</v>
      </c>
      <c r="I460">
        <f>INDEX(PeakCalc!$L$10:$L$303,MATCH(tblPivotData[[#This Row],[Time]],PeakCalc!$G$10:$G$303,0))</f>
        <v>1</v>
      </c>
    </row>
    <row r="461" spans="1:9" x14ac:dyDescent="0.25">
      <c r="A461" t="s">
        <v>94</v>
      </c>
      <c r="B461" t="s">
        <v>92</v>
      </c>
      <c r="C461" t="s">
        <v>94</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92</v>
      </c>
      <c r="C462" t="s">
        <v>94</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92</v>
      </c>
      <c r="C463" t="s">
        <v>94</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92</v>
      </c>
      <c r="C464" t="s">
        <v>94</v>
      </c>
      <c r="D464" t="s">
        <v>90</v>
      </c>
      <c r="E464" t="s">
        <v>43</v>
      </c>
      <c r="F464" s="6">
        <v>0.3125</v>
      </c>
      <c r="G464">
        <v>0</v>
      </c>
      <c r="H464" s="6">
        <f>FLOOR(tblPivotData[[#This Row],[Time]],Summary!$B$6/1440)</f>
        <v>0.3125</v>
      </c>
      <c r="I464">
        <f>INDEX(PeakCalc!$L$10:$L$303,MATCH(tblPivotData[[#This Row],[Time]],PeakCalc!$G$10:$G$303,0))</f>
        <v>1</v>
      </c>
    </row>
    <row r="465" spans="1:9" x14ac:dyDescent="0.25">
      <c r="A465" t="s">
        <v>94</v>
      </c>
      <c r="B465" t="s">
        <v>92</v>
      </c>
      <c r="C465" t="s">
        <v>94</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92</v>
      </c>
      <c r="C466" t="s">
        <v>94</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92</v>
      </c>
      <c r="C467" t="s">
        <v>94</v>
      </c>
      <c r="D467" t="s">
        <v>90</v>
      </c>
      <c r="E467" t="s">
        <v>43</v>
      </c>
      <c r="F467" s="6">
        <v>0.34375</v>
      </c>
      <c r="G467">
        <v>0</v>
      </c>
      <c r="H467" s="6">
        <f>FLOOR(tblPivotData[[#This Row],[Time]],Summary!$B$6/1440)</f>
        <v>0.34375</v>
      </c>
      <c r="I467">
        <f>INDEX(PeakCalc!$L$10:$L$303,MATCH(tblPivotData[[#This Row],[Time]],PeakCalc!$G$10:$G$303,0))</f>
        <v>1</v>
      </c>
    </row>
    <row r="468" spans="1:9" x14ac:dyDescent="0.25">
      <c r="A468" t="s">
        <v>94</v>
      </c>
      <c r="B468" t="s">
        <v>92</v>
      </c>
      <c r="C468" t="s">
        <v>94</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94</v>
      </c>
      <c r="B469" t="s">
        <v>92</v>
      </c>
      <c r="C469" t="s">
        <v>94</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92</v>
      </c>
      <c r="C470" t="s">
        <v>94</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92</v>
      </c>
      <c r="C471" t="s">
        <v>94</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92</v>
      </c>
      <c r="C472" t="s">
        <v>94</v>
      </c>
      <c r="D472" t="s">
        <v>90</v>
      </c>
      <c r="E472" t="s">
        <v>91</v>
      </c>
      <c r="F472" s="6">
        <v>0.5625</v>
      </c>
      <c r="G472">
        <v>0</v>
      </c>
      <c r="H472" s="6">
        <f>FLOOR(tblPivotData[[#This Row],[Time]],Summary!$B$6/1440)</f>
        <v>0.5625</v>
      </c>
      <c r="I472">
        <f>INDEX(PeakCalc!$L$10:$L$303,MATCH(tblPivotData[[#This Row],[Time]],PeakCalc!$G$10:$G$303,0))</f>
        <v>1</v>
      </c>
    </row>
    <row r="473" spans="1:9" x14ac:dyDescent="0.25">
      <c r="A473" t="s">
        <v>94</v>
      </c>
      <c r="B473" t="s">
        <v>92</v>
      </c>
      <c r="C473" t="s">
        <v>94</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92</v>
      </c>
      <c r="C474" t="s">
        <v>94</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92</v>
      </c>
      <c r="C475" t="s">
        <v>94</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92</v>
      </c>
      <c r="C476" t="s">
        <v>94</v>
      </c>
      <c r="D476" t="s">
        <v>90</v>
      </c>
      <c r="E476" t="s">
        <v>44</v>
      </c>
      <c r="F476" s="6">
        <v>0.6875</v>
      </c>
      <c r="G476">
        <v>0</v>
      </c>
      <c r="H476" s="6">
        <f>FLOOR(tblPivotData[[#This Row],[Time]],Summary!$B$6/1440)</f>
        <v>0.6875</v>
      </c>
      <c r="I476">
        <f>INDEX(PeakCalc!$L$10:$L$303,MATCH(tblPivotData[[#This Row],[Time]],PeakCalc!$G$10:$G$303,0))</f>
        <v>0</v>
      </c>
    </row>
    <row r="477" spans="1:9" x14ac:dyDescent="0.25">
      <c r="A477" t="s">
        <v>94</v>
      </c>
      <c r="B477" t="s">
        <v>92</v>
      </c>
      <c r="C477" t="s">
        <v>94</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92</v>
      </c>
      <c r="C478" t="s">
        <v>94</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92</v>
      </c>
      <c r="C479" t="s">
        <v>94</v>
      </c>
      <c r="D479" t="s">
        <v>90</v>
      </c>
      <c r="E479" t="s">
        <v>44</v>
      </c>
      <c r="F479" s="6">
        <v>0.71875</v>
      </c>
      <c r="G479">
        <v>0</v>
      </c>
      <c r="H479" s="6">
        <f>FLOOR(tblPivotData[[#This Row],[Time]],Summary!$B$6/1440)</f>
        <v>0.71875</v>
      </c>
      <c r="I479">
        <f>INDEX(PeakCalc!$L$10:$L$303,MATCH(tblPivotData[[#This Row],[Time]],PeakCalc!$G$10:$G$303,0))</f>
        <v>1</v>
      </c>
    </row>
    <row r="480" spans="1:9" x14ac:dyDescent="0.25">
      <c r="A480" t="s">
        <v>94</v>
      </c>
      <c r="B480" t="s">
        <v>92</v>
      </c>
      <c r="C480" t="s">
        <v>94</v>
      </c>
      <c r="D480" t="s">
        <v>90</v>
      </c>
      <c r="E480" t="s">
        <v>44</v>
      </c>
      <c r="F480" s="6">
        <v>0.72916666666666663</v>
      </c>
      <c r="G480">
        <v>0</v>
      </c>
      <c r="H480" s="6">
        <f>FLOOR(tblPivotData[[#This Row],[Time]],Summary!$B$6/1440)</f>
        <v>0.72916666666666663</v>
      </c>
      <c r="I480">
        <f>INDEX(PeakCalc!$L$10:$L$303,MATCH(tblPivotData[[#This Row],[Time]],PeakCalc!$G$10:$G$303,0))</f>
        <v>1</v>
      </c>
    </row>
    <row r="481" spans="1:9" x14ac:dyDescent="0.25">
      <c r="A481" t="s">
        <v>94</v>
      </c>
      <c r="B481" t="s">
        <v>92</v>
      </c>
      <c r="C481" t="s">
        <v>94</v>
      </c>
      <c r="D481" t="s">
        <v>90</v>
      </c>
      <c r="E481" t="s">
        <v>44</v>
      </c>
      <c r="F481" s="6">
        <v>0.73958333333333337</v>
      </c>
      <c r="G481">
        <v>0</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25">
      <c r="B11" s="16"/>
      <c r="C11" s="51" t="s">
        <v>100</v>
      </c>
      <c r="D11" s="52"/>
      <c r="E11" s="52"/>
      <c r="F11" s="52"/>
      <c r="G11" s="52"/>
      <c r="H11" s="52"/>
      <c r="I11" s="52"/>
      <c r="J11" s="52"/>
      <c r="K11" s="49" t="s">
        <v>104</v>
      </c>
      <c r="L11" s="51" t="s">
        <v>93</v>
      </c>
      <c r="M11" s="52"/>
      <c r="N11" s="52"/>
      <c r="O11" s="52"/>
      <c r="P11" s="52"/>
      <c r="Q11" s="52"/>
      <c r="R11" s="52"/>
      <c r="S11" s="52"/>
      <c r="T11" s="52"/>
      <c r="U11" s="52"/>
      <c r="V11" s="52"/>
      <c r="W11" s="52"/>
      <c r="X11" s="49" t="s">
        <v>105</v>
      </c>
      <c r="Y11" s="51" t="s">
        <v>94</v>
      </c>
      <c r="Z11" s="52"/>
      <c r="AA11" s="52"/>
      <c r="AB11" s="52"/>
      <c r="AC11" s="52"/>
      <c r="AD11" s="52"/>
      <c r="AE11" s="52"/>
      <c r="AF11" s="52"/>
      <c r="AG11" s="52"/>
      <c r="AH11" s="52"/>
      <c r="AI11" s="52"/>
      <c r="AJ11" s="52"/>
      <c r="AK11" s="49" t="s">
        <v>106</v>
      </c>
      <c r="AL11" s="49" t="s">
        <v>49</v>
      </c>
    </row>
    <row r="12" spans="2:38" x14ac:dyDescent="0.25">
      <c r="B12" s="16"/>
      <c r="C12" s="49" t="s">
        <v>95</v>
      </c>
      <c r="D12" s="50"/>
      <c r="E12" s="50"/>
      <c r="F12" s="49" t="s">
        <v>107</v>
      </c>
      <c r="G12" s="49" t="s">
        <v>96</v>
      </c>
      <c r="H12" s="50"/>
      <c r="I12" s="50"/>
      <c r="J12" s="49" t="s">
        <v>108</v>
      </c>
      <c r="K12" s="50"/>
      <c r="L12" s="49" t="s">
        <v>97</v>
      </c>
      <c r="M12" s="50"/>
      <c r="N12" s="50"/>
      <c r="O12" s="49" t="s">
        <v>109</v>
      </c>
      <c r="P12" s="49" t="s">
        <v>101</v>
      </c>
      <c r="Q12" s="50"/>
      <c r="R12" s="50"/>
      <c r="S12" s="49" t="s">
        <v>110</v>
      </c>
      <c r="T12" s="49" t="s">
        <v>92</v>
      </c>
      <c r="U12" s="50"/>
      <c r="V12" s="50"/>
      <c r="W12" s="49" t="s">
        <v>111</v>
      </c>
      <c r="X12" s="50"/>
      <c r="Y12" s="49" t="s">
        <v>92</v>
      </c>
      <c r="Z12" s="50"/>
      <c r="AA12" s="50"/>
      <c r="AB12" s="49" t="s">
        <v>111</v>
      </c>
      <c r="AC12" s="49" t="s">
        <v>102</v>
      </c>
      <c r="AD12" s="50"/>
      <c r="AE12" s="50"/>
      <c r="AF12" s="49" t="s">
        <v>112</v>
      </c>
      <c r="AG12" s="49" t="s">
        <v>98</v>
      </c>
      <c r="AH12" s="50"/>
      <c r="AI12" s="50"/>
      <c r="AJ12" s="49" t="s">
        <v>113</v>
      </c>
      <c r="AK12" s="50"/>
      <c r="AL12" s="50"/>
    </row>
    <row r="13" spans="2:38"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17" t="s">
        <v>79</v>
      </c>
      <c r="U13" s="17" t="s">
        <v>89</v>
      </c>
      <c r="V13" s="17" t="s">
        <v>90</v>
      </c>
      <c r="W13" s="50"/>
      <c r="X13" s="50"/>
      <c r="Y13" s="17" t="s">
        <v>79</v>
      </c>
      <c r="Z13" s="17" t="s">
        <v>89</v>
      </c>
      <c r="AA13" s="17" t="s">
        <v>90</v>
      </c>
      <c r="AB13" s="50"/>
      <c r="AC13" s="17" t="s">
        <v>79</v>
      </c>
      <c r="AD13" s="17" t="s">
        <v>89</v>
      </c>
      <c r="AE13" s="17" t="s">
        <v>90</v>
      </c>
      <c r="AF13" s="50"/>
      <c r="AG13" s="17" t="s">
        <v>79</v>
      </c>
      <c r="AH13" s="17" t="s">
        <v>89</v>
      </c>
      <c r="AI13" s="17" t="s">
        <v>90</v>
      </c>
      <c r="AJ13" s="50"/>
      <c r="AK13" s="50"/>
      <c r="AL13" s="50"/>
    </row>
    <row r="14" spans="2:38" x14ac:dyDescent="0.25">
      <c r="B14" s="10" t="s">
        <v>43</v>
      </c>
      <c r="C14">
        <v>304</v>
      </c>
      <c r="D14">
        <v>3</v>
      </c>
      <c r="E14">
        <v>5</v>
      </c>
      <c r="F14">
        <v>312</v>
      </c>
      <c r="G14">
        <v>128</v>
      </c>
      <c r="H14">
        <v>1</v>
      </c>
      <c r="I14">
        <v>2</v>
      </c>
      <c r="J14">
        <v>131</v>
      </c>
      <c r="K14">
        <v>443</v>
      </c>
      <c r="L14">
        <v>1719</v>
      </c>
      <c r="M14">
        <v>52</v>
      </c>
      <c r="N14">
        <v>28</v>
      </c>
      <c r="O14">
        <v>1799</v>
      </c>
      <c r="P14">
        <v>78</v>
      </c>
      <c r="Q14">
        <v>1</v>
      </c>
      <c r="R14">
        <v>4</v>
      </c>
      <c r="S14">
        <v>83</v>
      </c>
      <c r="T14">
        <v>1</v>
      </c>
      <c r="U14">
        <v>0</v>
      </c>
      <c r="V14">
        <v>0</v>
      </c>
      <c r="W14">
        <v>1</v>
      </c>
      <c r="X14">
        <v>1883</v>
      </c>
      <c r="Y14">
        <v>2</v>
      </c>
      <c r="Z14">
        <v>0</v>
      </c>
      <c r="AA14">
        <v>0</v>
      </c>
      <c r="AB14">
        <v>2</v>
      </c>
      <c r="AC14">
        <v>127</v>
      </c>
      <c r="AD14">
        <v>0</v>
      </c>
      <c r="AE14">
        <v>3</v>
      </c>
      <c r="AF14">
        <v>130</v>
      </c>
      <c r="AG14">
        <v>1390</v>
      </c>
      <c r="AH14">
        <v>46</v>
      </c>
      <c r="AI14">
        <v>9</v>
      </c>
      <c r="AJ14">
        <v>1445</v>
      </c>
      <c r="AK14">
        <v>1577</v>
      </c>
      <c r="AL14">
        <v>3903</v>
      </c>
    </row>
    <row r="15" spans="2:38" x14ac:dyDescent="0.25">
      <c r="B15" s="11">
        <v>0.29166666666666669</v>
      </c>
      <c r="C15">
        <v>26</v>
      </c>
      <c r="D15">
        <v>0</v>
      </c>
      <c r="E15">
        <v>0</v>
      </c>
      <c r="F15">
        <v>26</v>
      </c>
      <c r="G15">
        <v>10</v>
      </c>
      <c r="H15">
        <v>0</v>
      </c>
      <c r="I15">
        <v>0</v>
      </c>
      <c r="J15">
        <v>10</v>
      </c>
      <c r="K15">
        <v>36</v>
      </c>
      <c r="L15">
        <v>168</v>
      </c>
      <c r="M15">
        <v>4</v>
      </c>
      <c r="N15">
        <v>3</v>
      </c>
      <c r="O15">
        <v>175</v>
      </c>
      <c r="P15">
        <v>2</v>
      </c>
      <c r="Q15">
        <v>0</v>
      </c>
      <c r="R15">
        <v>0</v>
      </c>
      <c r="S15">
        <v>2</v>
      </c>
      <c r="T15">
        <v>0</v>
      </c>
      <c r="U15">
        <v>0</v>
      </c>
      <c r="V15">
        <v>0</v>
      </c>
      <c r="W15">
        <v>0</v>
      </c>
      <c r="X15">
        <v>177</v>
      </c>
      <c r="Y15">
        <v>0</v>
      </c>
      <c r="Z15">
        <v>0</v>
      </c>
      <c r="AA15">
        <v>0</v>
      </c>
      <c r="AB15">
        <v>0</v>
      </c>
      <c r="AC15">
        <v>3</v>
      </c>
      <c r="AD15">
        <v>0</v>
      </c>
      <c r="AE15">
        <v>1</v>
      </c>
      <c r="AF15">
        <v>4</v>
      </c>
      <c r="AG15">
        <v>101</v>
      </c>
      <c r="AH15">
        <v>5</v>
      </c>
      <c r="AI15">
        <v>0</v>
      </c>
      <c r="AJ15">
        <v>106</v>
      </c>
      <c r="AK15">
        <v>110</v>
      </c>
      <c r="AL15">
        <v>323</v>
      </c>
    </row>
    <row r="16" spans="2:38" x14ac:dyDescent="0.25">
      <c r="B16" s="11">
        <v>0.30208333333333331</v>
      </c>
      <c r="C16">
        <v>23</v>
      </c>
      <c r="D16">
        <v>0</v>
      </c>
      <c r="E16">
        <v>0</v>
      </c>
      <c r="F16">
        <v>23</v>
      </c>
      <c r="G16">
        <v>18</v>
      </c>
      <c r="H16">
        <v>0</v>
      </c>
      <c r="I16">
        <v>0</v>
      </c>
      <c r="J16">
        <v>18</v>
      </c>
      <c r="K16">
        <v>41</v>
      </c>
      <c r="L16">
        <v>182</v>
      </c>
      <c r="M16">
        <v>5</v>
      </c>
      <c r="N16">
        <v>0</v>
      </c>
      <c r="O16">
        <v>187</v>
      </c>
      <c r="P16">
        <v>9</v>
      </c>
      <c r="Q16">
        <v>0</v>
      </c>
      <c r="R16">
        <v>0</v>
      </c>
      <c r="S16">
        <v>9</v>
      </c>
      <c r="T16">
        <v>0</v>
      </c>
      <c r="U16">
        <v>0</v>
      </c>
      <c r="V16">
        <v>0</v>
      </c>
      <c r="W16">
        <v>0</v>
      </c>
      <c r="X16">
        <v>196</v>
      </c>
      <c r="Y16">
        <v>1</v>
      </c>
      <c r="Z16">
        <v>0</v>
      </c>
      <c r="AA16">
        <v>0</v>
      </c>
      <c r="AB16">
        <v>1</v>
      </c>
      <c r="AC16">
        <v>5</v>
      </c>
      <c r="AD16">
        <v>0</v>
      </c>
      <c r="AE16">
        <v>0</v>
      </c>
      <c r="AF16">
        <v>5</v>
      </c>
      <c r="AG16">
        <v>129</v>
      </c>
      <c r="AH16">
        <v>9</v>
      </c>
      <c r="AI16">
        <v>2</v>
      </c>
      <c r="AJ16">
        <v>140</v>
      </c>
      <c r="AK16">
        <v>146</v>
      </c>
      <c r="AL16">
        <v>383</v>
      </c>
    </row>
    <row r="17" spans="2:38" x14ac:dyDescent="0.25">
      <c r="B17" s="11">
        <v>0.3125</v>
      </c>
      <c r="C17">
        <v>47</v>
      </c>
      <c r="D17">
        <v>0</v>
      </c>
      <c r="E17">
        <v>2</v>
      </c>
      <c r="F17">
        <v>49</v>
      </c>
      <c r="G17">
        <v>17</v>
      </c>
      <c r="H17">
        <v>0</v>
      </c>
      <c r="I17">
        <v>1</v>
      </c>
      <c r="J17">
        <v>18</v>
      </c>
      <c r="K17">
        <v>67</v>
      </c>
      <c r="L17">
        <v>204</v>
      </c>
      <c r="M17">
        <v>4</v>
      </c>
      <c r="N17">
        <v>4</v>
      </c>
      <c r="O17">
        <v>212</v>
      </c>
      <c r="P17">
        <v>5</v>
      </c>
      <c r="Q17">
        <v>0</v>
      </c>
      <c r="R17">
        <v>0</v>
      </c>
      <c r="S17">
        <v>5</v>
      </c>
      <c r="T17">
        <v>0</v>
      </c>
      <c r="U17">
        <v>0</v>
      </c>
      <c r="V17">
        <v>0</v>
      </c>
      <c r="W17">
        <v>0</v>
      </c>
      <c r="X17">
        <v>217</v>
      </c>
      <c r="Y17">
        <v>0</v>
      </c>
      <c r="Z17">
        <v>0</v>
      </c>
      <c r="AA17">
        <v>0</v>
      </c>
      <c r="AB17">
        <v>0</v>
      </c>
      <c r="AC17">
        <v>11</v>
      </c>
      <c r="AD17">
        <v>0</v>
      </c>
      <c r="AE17">
        <v>0</v>
      </c>
      <c r="AF17">
        <v>11</v>
      </c>
      <c r="AG17">
        <v>184</v>
      </c>
      <c r="AH17">
        <v>4</v>
      </c>
      <c r="AI17">
        <v>1</v>
      </c>
      <c r="AJ17">
        <v>189</v>
      </c>
      <c r="AK17">
        <v>200</v>
      </c>
      <c r="AL17">
        <v>484</v>
      </c>
    </row>
    <row r="18" spans="2:38" x14ac:dyDescent="0.25">
      <c r="B18" s="11">
        <v>0.32291666666666669</v>
      </c>
      <c r="C18">
        <v>64</v>
      </c>
      <c r="D18">
        <v>1</v>
      </c>
      <c r="E18">
        <v>2</v>
      </c>
      <c r="F18">
        <v>67</v>
      </c>
      <c r="G18">
        <v>11</v>
      </c>
      <c r="H18">
        <v>0</v>
      </c>
      <c r="I18">
        <v>1</v>
      </c>
      <c r="J18">
        <v>12</v>
      </c>
      <c r="K18">
        <v>79</v>
      </c>
      <c r="L18">
        <v>255</v>
      </c>
      <c r="M18">
        <v>3</v>
      </c>
      <c r="N18">
        <v>4</v>
      </c>
      <c r="O18">
        <v>262</v>
      </c>
      <c r="P18">
        <v>8</v>
      </c>
      <c r="Q18">
        <v>0</v>
      </c>
      <c r="R18">
        <v>0</v>
      </c>
      <c r="S18">
        <v>8</v>
      </c>
      <c r="T18">
        <v>0</v>
      </c>
      <c r="U18">
        <v>0</v>
      </c>
      <c r="V18">
        <v>0</v>
      </c>
      <c r="W18">
        <v>0</v>
      </c>
      <c r="X18">
        <v>270</v>
      </c>
      <c r="Y18">
        <v>1</v>
      </c>
      <c r="Z18">
        <v>0</v>
      </c>
      <c r="AA18">
        <v>0</v>
      </c>
      <c r="AB18">
        <v>1</v>
      </c>
      <c r="AC18">
        <v>14</v>
      </c>
      <c r="AD18">
        <v>0</v>
      </c>
      <c r="AE18">
        <v>0</v>
      </c>
      <c r="AF18">
        <v>14</v>
      </c>
      <c r="AG18">
        <v>257</v>
      </c>
      <c r="AH18">
        <v>3</v>
      </c>
      <c r="AI18">
        <v>2</v>
      </c>
      <c r="AJ18">
        <v>262</v>
      </c>
      <c r="AK18">
        <v>277</v>
      </c>
      <c r="AL18">
        <v>626</v>
      </c>
    </row>
    <row r="19" spans="2:38" x14ac:dyDescent="0.25">
      <c r="B19" s="11">
        <v>0.33333333333333331</v>
      </c>
      <c r="C19">
        <v>36</v>
      </c>
      <c r="D19">
        <v>0</v>
      </c>
      <c r="E19">
        <v>0</v>
      </c>
      <c r="F19">
        <v>36</v>
      </c>
      <c r="G19">
        <v>18</v>
      </c>
      <c r="H19">
        <v>1</v>
      </c>
      <c r="I19">
        <v>0</v>
      </c>
      <c r="J19">
        <v>19</v>
      </c>
      <c r="K19">
        <v>55</v>
      </c>
      <c r="L19">
        <v>237</v>
      </c>
      <c r="M19">
        <v>7</v>
      </c>
      <c r="N19">
        <v>8</v>
      </c>
      <c r="O19">
        <v>252</v>
      </c>
      <c r="P19">
        <v>15</v>
      </c>
      <c r="Q19">
        <v>1</v>
      </c>
      <c r="R19">
        <v>2</v>
      </c>
      <c r="S19">
        <v>18</v>
      </c>
      <c r="T19">
        <v>0</v>
      </c>
      <c r="U19">
        <v>0</v>
      </c>
      <c r="V19">
        <v>0</v>
      </c>
      <c r="W19">
        <v>0</v>
      </c>
      <c r="X19">
        <v>270</v>
      </c>
      <c r="Y19">
        <v>0</v>
      </c>
      <c r="Z19">
        <v>0</v>
      </c>
      <c r="AA19">
        <v>0</v>
      </c>
      <c r="AB19">
        <v>0</v>
      </c>
      <c r="AC19">
        <v>14</v>
      </c>
      <c r="AD19">
        <v>0</v>
      </c>
      <c r="AE19">
        <v>0</v>
      </c>
      <c r="AF19">
        <v>14</v>
      </c>
      <c r="AG19">
        <v>223</v>
      </c>
      <c r="AH19">
        <v>4</v>
      </c>
      <c r="AI19">
        <v>1</v>
      </c>
      <c r="AJ19">
        <v>228</v>
      </c>
      <c r="AK19">
        <v>242</v>
      </c>
      <c r="AL19">
        <v>567</v>
      </c>
    </row>
    <row r="20" spans="2:38" x14ac:dyDescent="0.25">
      <c r="B20" s="11">
        <v>0.34375</v>
      </c>
      <c r="C20">
        <v>36</v>
      </c>
      <c r="D20">
        <v>1</v>
      </c>
      <c r="E20">
        <v>1</v>
      </c>
      <c r="F20">
        <v>38</v>
      </c>
      <c r="G20">
        <v>18</v>
      </c>
      <c r="H20">
        <v>0</v>
      </c>
      <c r="I20">
        <v>0</v>
      </c>
      <c r="J20">
        <v>18</v>
      </c>
      <c r="K20">
        <v>56</v>
      </c>
      <c r="L20">
        <v>215</v>
      </c>
      <c r="M20">
        <v>4</v>
      </c>
      <c r="N20">
        <v>5</v>
      </c>
      <c r="O20">
        <v>224</v>
      </c>
      <c r="P20">
        <v>9</v>
      </c>
      <c r="Q20">
        <v>0</v>
      </c>
      <c r="R20">
        <v>1</v>
      </c>
      <c r="S20">
        <v>10</v>
      </c>
      <c r="T20">
        <v>0</v>
      </c>
      <c r="U20">
        <v>0</v>
      </c>
      <c r="V20">
        <v>0</v>
      </c>
      <c r="W20">
        <v>0</v>
      </c>
      <c r="X20">
        <v>234</v>
      </c>
      <c r="Y20">
        <v>0</v>
      </c>
      <c r="Z20">
        <v>0</v>
      </c>
      <c r="AA20">
        <v>0</v>
      </c>
      <c r="AB20">
        <v>0</v>
      </c>
      <c r="AC20">
        <v>33</v>
      </c>
      <c r="AD20">
        <v>0</v>
      </c>
      <c r="AE20">
        <v>0</v>
      </c>
      <c r="AF20">
        <v>33</v>
      </c>
      <c r="AG20">
        <v>208</v>
      </c>
      <c r="AH20">
        <v>5</v>
      </c>
      <c r="AI20">
        <v>2</v>
      </c>
      <c r="AJ20">
        <v>215</v>
      </c>
      <c r="AK20">
        <v>248</v>
      </c>
      <c r="AL20">
        <v>538</v>
      </c>
    </row>
    <row r="21" spans="2:38" x14ac:dyDescent="0.25">
      <c r="B21" s="11">
        <v>0.35416666666666669</v>
      </c>
      <c r="C21">
        <v>28</v>
      </c>
      <c r="D21">
        <v>1</v>
      </c>
      <c r="E21">
        <v>0</v>
      </c>
      <c r="F21">
        <v>29</v>
      </c>
      <c r="G21">
        <v>16</v>
      </c>
      <c r="H21">
        <v>0</v>
      </c>
      <c r="I21">
        <v>0</v>
      </c>
      <c r="J21">
        <v>16</v>
      </c>
      <c r="K21">
        <v>45</v>
      </c>
      <c r="L21">
        <v>217</v>
      </c>
      <c r="M21">
        <v>9</v>
      </c>
      <c r="N21">
        <v>2</v>
      </c>
      <c r="O21">
        <v>228</v>
      </c>
      <c r="P21">
        <v>14</v>
      </c>
      <c r="Q21">
        <v>0</v>
      </c>
      <c r="R21">
        <v>0</v>
      </c>
      <c r="S21">
        <v>14</v>
      </c>
      <c r="T21">
        <v>1</v>
      </c>
      <c r="U21">
        <v>0</v>
      </c>
      <c r="V21">
        <v>0</v>
      </c>
      <c r="W21">
        <v>1</v>
      </c>
      <c r="X21">
        <v>243</v>
      </c>
      <c r="Y21">
        <v>0</v>
      </c>
      <c r="Z21">
        <v>0</v>
      </c>
      <c r="AA21">
        <v>0</v>
      </c>
      <c r="AB21">
        <v>0</v>
      </c>
      <c r="AC21">
        <v>25</v>
      </c>
      <c r="AD21">
        <v>0</v>
      </c>
      <c r="AE21">
        <v>0</v>
      </c>
      <c r="AF21">
        <v>25</v>
      </c>
      <c r="AG21">
        <v>139</v>
      </c>
      <c r="AH21">
        <v>9</v>
      </c>
      <c r="AI21">
        <v>1</v>
      </c>
      <c r="AJ21">
        <v>149</v>
      </c>
      <c r="AK21">
        <v>174</v>
      </c>
      <c r="AL21">
        <v>462</v>
      </c>
    </row>
    <row r="22" spans="2:38" x14ac:dyDescent="0.25">
      <c r="B22" s="11">
        <v>0.36458333333333331</v>
      </c>
      <c r="C22">
        <v>44</v>
      </c>
      <c r="D22">
        <v>0</v>
      </c>
      <c r="E22">
        <v>0</v>
      </c>
      <c r="F22">
        <v>44</v>
      </c>
      <c r="G22">
        <v>20</v>
      </c>
      <c r="H22">
        <v>0</v>
      </c>
      <c r="I22">
        <v>0</v>
      </c>
      <c r="J22">
        <v>20</v>
      </c>
      <c r="K22">
        <v>64</v>
      </c>
      <c r="L22">
        <v>241</v>
      </c>
      <c r="M22">
        <v>16</v>
      </c>
      <c r="N22">
        <v>2</v>
      </c>
      <c r="O22">
        <v>259</v>
      </c>
      <c r="P22">
        <v>16</v>
      </c>
      <c r="Q22">
        <v>0</v>
      </c>
      <c r="R22">
        <v>1</v>
      </c>
      <c r="S22">
        <v>17</v>
      </c>
      <c r="T22">
        <v>0</v>
      </c>
      <c r="U22">
        <v>0</v>
      </c>
      <c r="V22">
        <v>0</v>
      </c>
      <c r="W22">
        <v>0</v>
      </c>
      <c r="X22">
        <v>276</v>
      </c>
      <c r="Y22">
        <v>0</v>
      </c>
      <c r="Z22">
        <v>0</v>
      </c>
      <c r="AA22">
        <v>0</v>
      </c>
      <c r="AB22">
        <v>0</v>
      </c>
      <c r="AC22">
        <v>22</v>
      </c>
      <c r="AD22">
        <v>0</v>
      </c>
      <c r="AE22">
        <v>2</v>
      </c>
      <c r="AF22">
        <v>24</v>
      </c>
      <c r="AG22">
        <v>149</v>
      </c>
      <c r="AH22">
        <v>7</v>
      </c>
      <c r="AI22">
        <v>0</v>
      </c>
      <c r="AJ22">
        <v>156</v>
      </c>
      <c r="AK22">
        <v>180</v>
      </c>
      <c r="AL22">
        <v>520</v>
      </c>
    </row>
    <row r="23" spans="2:38" x14ac:dyDescent="0.25">
      <c r="B23" s="10" t="s">
        <v>44</v>
      </c>
      <c r="C23">
        <v>159</v>
      </c>
      <c r="D23">
        <v>1</v>
      </c>
      <c r="E23">
        <v>3</v>
      </c>
      <c r="F23">
        <v>163</v>
      </c>
      <c r="G23">
        <v>83</v>
      </c>
      <c r="H23">
        <v>0</v>
      </c>
      <c r="I23">
        <v>0</v>
      </c>
      <c r="J23">
        <v>83</v>
      </c>
      <c r="K23">
        <v>246</v>
      </c>
      <c r="L23">
        <v>1619</v>
      </c>
      <c r="M23">
        <v>34</v>
      </c>
      <c r="N23">
        <v>4</v>
      </c>
      <c r="O23">
        <v>1657</v>
      </c>
      <c r="P23">
        <v>231</v>
      </c>
      <c r="Q23">
        <v>4</v>
      </c>
      <c r="R23">
        <v>2</v>
      </c>
      <c r="S23">
        <v>237</v>
      </c>
      <c r="T23">
        <v>6</v>
      </c>
      <c r="U23">
        <v>0</v>
      </c>
      <c r="V23">
        <v>0</v>
      </c>
      <c r="W23">
        <v>6</v>
      </c>
      <c r="X23">
        <v>1900</v>
      </c>
      <c r="Y23">
        <v>0</v>
      </c>
      <c r="Z23">
        <v>0</v>
      </c>
      <c r="AA23">
        <v>0</v>
      </c>
      <c r="AB23">
        <v>0</v>
      </c>
      <c r="AC23">
        <v>287</v>
      </c>
      <c r="AD23">
        <v>5</v>
      </c>
      <c r="AE23">
        <v>1</v>
      </c>
      <c r="AF23">
        <v>293</v>
      </c>
      <c r="AG23">
        <v>2019</v>
      </c>
      <c r="AH23">
        <v>20</v>
      </c>
      <c r="AI23">
        <v>43</v>
      </c>
      <c r="AJ23">
        <v>2082</v>
      </c>
      <c r="AK23">
        <v>2375</v>
      </c>
      <c r="AL23">
        <v>4521</v>
      </c>
    </row>
    <row r="24" spans="2:38" x14ac:dyDescent="0.25">
      <c r="B24" s="11">
        <v>0.66666666666666663</v>
      </c>
      <c r="C24">
        <v>18</v>
      </c>
      <c r="D24">
        <v>0</v>
      </c>
      <c r="E24">
        <v>0</v>
      </c>
      <c r="F24">
        <v>18</v>
      </c>
      <c r="G24">
        <v>11</v>
      </c>
      <c r="H24">
        <v>0</v>
      </c>
      <c r="I24">
        <v>0</v>
      </c>
      <c r="J24">
        <v>11</v>
      </c>
      <c r="K24">
        <v>29</v>
      </c>
      <c r="L24">
        <v>235</v>
      </c>
      <c r="M24">
        <v>10</v>
      </c>
      <c r="N24">
        <v>0</v>
      </c>
      <c r="O24">
        <v>245</v>
      </c>
      <c r="P24">
        <v>24</v>
      </c>
      <c r="Q24">
        <v>0</v>
      </c>
      <c r="R24">
        <v>0</v>
      </c>
      <c r="S24">
        <v>24</v>
      </c>
      <c r="T24">
        <v>1</v>
      </c>
      <c r="U24">
        <v>0</v>
      </c>
      <c r="V24">
        <v>0</v>
      </c>
      <c r="W24">
        <v>1</v>
      </c>
      <c r="X24">
        <v>270</v>
      </c>
      <c r="Y24">
        <v>0</v>
      </c>
      <c r="Z24">
        <v>0</v>
      </c>
      <c r="AA24">
        <v>0</v>
      </c>
      <c r="AB24">
        <v>0</v>
      </c>
      <c r="AC24">
        <v>26</v>
      </c>
      <c r="AD24">
        <v>1</v>
      </c>
      <c r="AE24">
        <v>0</v>
      </c>
      <c r="AF24">
        <v>27</v>
      </c>
      <c r="AG24">
        <v>195</v>
      </c>
      <c r="AH24">
        <v>3</v>
      </c>
      <c r="AI24">
        <v>1</v>
      </c>
      <c r="AJ24">
        <v>199</v>
      </c>
      <c r="AK24">
        <v>226</v>
      </c>
      <c r="AL24">
        <v>525</v>
      </c>
    </row>
    <row r="25" spans="2:38" x14ac:dyDescent="0.25">
      <c r="B25" s="11">
        <v>0.67708333333333337</v>
      </c>
      <c r="C25">
        <v>17</v>
      </c>
      <c r="D25">
        <v>0</v>
      </c>
      <c r="E25">
        <v>0</v>
      </c>
      <c r="F25">
        <v>17</v>
      </c>
      <c r="G25">
        <v>17</v>
      </c>
      <c r="H25">
        <v>0</v>
      </c>
      <c r="I25">
        <v>0</v>
      </c>
      <c r="J25">
        <v>17</v>
      </c>
      <c r="K25">
        <v>34</v>
      </c>
      <c r="L25">
        <v>207</v>
      </c>
      <c r="M25">
        <v>4</v>
      </c>
      <c r="N25">
        <v>3</v>
      </c>
      <c r="O25">
        <v>214</v>
      </c>
      <c r="P25">
        <v>25</v>
      </c>
      <c r="Q25">
        <v>0</v>
      </c>
      <c r="R25">
        <v>1</v>
      </c>
      <c r="S25">
        <v>26</v>
      </c>
      <c r="T25">
        <v>1</v>
      </c>
      <c r="U25">
        <v>0</v>
      </c>
      <c r="V25">
        <v>0</v>
      </c>
      <c r="W25">
        <v>1</v>
      </c>
      <c r="X25">
        <v>241</v>
      </c>
      <c r="Y25">
        <v>0</v>
      </c>
      <c r="Z25">
        <v>0</v>
      </c>
      <c r="AA25">
        <v>0</v>
      </c>
      <c r="AB25">
        <v>0</v>
      </c>
      <c r="AC25">
        <v>41</v>
      </c>
      <c r="AD25">
        <v>0</v>
      </c>
      <c r="AE25">
        <v>0</v>
      </c>
      <c r="AF25">
        <v>41</v>
      </c>
      <c r="AG25">
        <v>201</v>
      </c>
      <c r="AH25">
        <v>4</v>
      </c>
      <c r="AI25">
        <v>5</v>
      </c>
      <c r="AJ25">
        <v>210</v>
      </c>
      <c r="AK25">
        <v>251</v>
      </c>
      <c r="AL25">
        <v>526</v>
      </c>
    </row>
    <row r="26" spans="2:38" x14ac:dyDescent="0.25">
      <c r="B26" s="11">
        <v>0.6875</v>
      </c>
      <c r="C26">
        <v>13</v>
      </c>
      <c r="D26">
        <v>0</v>
      </c>
      <c r="E26">
        <v>0</v>
      </c>
      <c r="F26">
        <v>13</v>
      </c>
      <c r="G26">
        <v>6</v>
      </c>
      <c r="H26">
        <v>0</v>
      </c>
      <c r="I26">
        <v>0</v>
      </c>
      <c r="J26">
        <v>6</v>
      </c>
      <c r="K26">
        <v>19</v>
      </c>
      <c r="L26">
        <v>201</v>
      </c>
      <c r="M26">
        <v>4</v>
      </c>
      <c r="N26">
        <v>0</v>
      </c>
      <c r="O26">
        <v>205</v>
      </c>
      <c r="P26">
        <v>24</v>
      </c>
      <c r="Q26">
        <v>0</v>
      </c>
      <c r="R26">
        <v>0</v>
      </c>
      <c r="S26">
        <v>24</v>
      </c>
      <c r="T26">
        <v>1</v>
      </c>
      <c r="U26">
        <v>0</v>
      </c>
      <c r="V26">
        <v>0</v>
      </c>
      <c r="W26">
        <v>1</v>
      </c>
      <c r="X26">
        <v>230</v>
      </c>
      <c r="Y26">
        <v>0</v>
      </c>
      <c r="Z26">
        <v>0</v>
      </c>
      <c r="AA26">
        <v>0</v>
      </c>
      <c r="AB26">
        <v>0</v>
      </c>
      <c r="AC26">
        <v>31</v>
      </c>
      <c r="AD26">
        <v>1</v>
      </c>
      <c r="AE26">
        <v>0</v>
      </c>
      <c r="AF26">
        <v>32</v>
      </c>
      <c r="AG26">
        <v>261</v>
      </c>
      <c r="AH26">
        <v>2</v>
      </c>
      <c r="AI26">
        <v>11</v>
      </c>
      <c r="AJ26">
        <v>274</v>
      </c>
      <c r="AK26">
        <v>306</v>
      </c>
      <c r="AL26">
        <v>555</v>
      </c>
    </row>
    <row r="27" spans="2:38" x14ac:dyDescent="0.25">
      <c r="B27" s="11">
        <v>0.69791666666666663</v>
      </c>
      <c r="C27">
        <v>25</v>
      </c>
      <c r="D27">
        <v>0</v>
      </c>
      <c r="E27">
        <v>0</v>
      </c>
      <c r="F27">
        <v>25</v>
      </c>
      <c r="G27">
        <v>11</v>
      </c>
      <c r="H27">
        <v>0</v>
      </c>
      <c r="I27">
        <v>0</v>
      </c>
      <c r="J27">
        <v>11</v>
      </c>
      <c r="K27">
        <v>36</v>
      </c>
      <c r="L27">
        <v>202</v>
      </c>
      <c r="M27">
        <v>4</v>
      </c>
      <c r="N27">
        <v>1</v>
      </c>
      <c r="O27">
        <v>207</v>
      </c>
      <c r="P27">
        <v>29</v>
      </c>
      <c r="Q27">
        <v>2</v>
      </c>
      <c r="R27">
        <v>0</v>
      </c>
      <c r="S27">
        <v>31</v>
      </c>
      <c r="T27">
        <v>1</v>
      </c>
      <c r="U27">
        <v>0</v>
      </c>
      <c r="V27">
        <v>0</v>
      </c>
      <c r="W27">
        <v>1</v>
      </c>
      <c r="X27">
        <v>239</v>
      </c>
      <c r="Y27">
        <v>0</v>
      </c>
      <c r="Z27">
        <v>0</v>
      </c>
      <c r="AA27">
        <v>0</v>
      </c>
      <c r="AB27">
        <v>0</v>
      </c>
      <c r="AC27">
        <v>34</v>
      </c>
      <c r="AD27">
        <v>1</v>
      </c>
      <c r="AE27">
        <v>0</v>
      </c>
      <c r="AF27">
        <v>35</v>
      </c>
      <c r="AG27">
        <v>281</v>
      </c>
      <c r="AH27">
        <v>3</v>
      </c>
      <c r="AI27">
        <v>5</v>
      </c>
      <c r="AJ27">
        <v>289</v>
      </c>
      <c r="AK27">
        <v>324</v>
      </c>
      <c r="AL27">
        <v>599</v>
      </c>
    </row>
    <row r="28" spans="2:38" x14ac:dyDescent="0.25">
      <c r="B28" s="11">
        <v>0.70833333333333337</v>
      </c>
      <c r="C28">
        <v>18</v>
      </c>
      <c r="D28">
        <v>1</v>
      </c>
      <c r="E28">
        <v>0</v>
      </c>
      <c r="F28">
        <v>19</v>
      </c>
      <c r="G28">
        <v>4</v>
      </c>
      <c r="H28">
        <v>0</v>
      </c>
      <c r="I28">
        <v>0</v>
      </c>
      <c r="J28">
        <v>4</v>
      </c>
      <c r="K28">
        <v>23</v>
      </c>
      <c r="L28">
        <v>237</v>
      </c>
      <c r="M28">
        <v>2</v>
      </c>
      <c r="N28">
        <v>0</v>
      </c>
      <c r="O28">
        <v>239</v>
      </c>
      <c r="P28">
        <v>25</v>
      </c>
      <c r="Q28">
        <v>1</v>
      </c>
      <c r="R28">
        <v>0</v>
      </c>
      <c r="S28">
        <v>26</v>
      </c>
      <c r="T28">
        <v>0</v>
      </c>
      <c r="U28">
        <v>0</v>
      </c>
      <c r="V28">
        <v>0</v>
      </c>
      <c r="W28">
        <v>0</v>
      </c>
      <c r="X28">
        <v>265</v>
      </c>
      <c r="Y28">
        <v>0</v>
      </c>
      <c r="Z28">
        <v>0</v>
      </c>
      <c r="AA28">
        <v>0</v>
      </c>
      <c r="AB28">
        <v>0</v>
      </c>
      <c r="AC28">
        <v>49</v>
      </c>
      <c r="AD28">
        <v>0</v>
      </c>
      <c r="AE28">
        <v>1</v>
      </c>
      <c r="AF28">
        <v>50</v>
      </c>
      <c r="AG28">
        <v>317</v>
      </c>
      <c r="AH28">
        <v>1</v>
      </c>
      <c r="AI28">
        <v>5</v>
      </c>
      <c r="AJ28">
        <v>323</v>
      </c>
      <c r="AK28">
        <v>373</v>
      </c>
      <c r="AL28">
        <v>661</v>
      </c>
    </row>
    <row r="29" spans="2:38" x14ac:dyDescent="0.25">
      <c r="B29" s="11">
        <v>0.71875</v>
      </c>
      <c r="C29">
        <v>19</v>
      </c>
      <c r="D29">
        <v>0</v>
      </c>
      <c r="E29">
        <v>2</v>
      </c>
      <c r="F29">
        <v>21</v>
      </c>
      <c r="G29">
        <v>7</v>
      </c>
      <c r="H29">
        <v>0</v>
      </c>
      <c r="I29">
        <v>0</v>
      </c>
      <c r="J29">
        <v>7</v>
      </c>
      <c r="K29">
        <v>28</v>
      </c>
      <c r="L29">
        <v>171</v>
      </c>
      <c r="M29">
        <v>6</v>
      </c>
      <c r="N29">
        <v>0</v>
      </c>
      <c r="O29">
        <v>177</v>
      </c>
      <c r="P29">
        <v>38</v>
      </c>
      <c r="Q29">
        <v>0</v>
      </c>
      <c r="R29">
        <v>1</v>
      </c>
      <c r="S29">
        <v>39</v>
      </c>
      <c r="T29">
        <v>1</v>
      </c>
      <c r="U29">
        <v>0</v>
      </c>
      <c r="V29">
        <v>0</v>
      </c>
      <c r="W29">
        <v>1</v>
      </c>
      <c r="X29">
        <v>217</v>
      </c>
      <c r="Y29">
        <v>0</v>
      </c>
      <c r="Z29">
        <v>0</v>
      </c>
      <c r="AA29">
        <v>0</v>
      </c>
      <c r="AB29">
        <v>0</v>
      </c>
      <c r="AC29">
        <v>44</v>
      </c>
      <c r="AD29">
        <v>2</v>
      </c>
      <c r="AE29">
        <v>0</v>
      </c>
      <c r="AF29">
        <v>46</v>
      </c>
      <c r="AG29">
        <v>284</v>
      </c>
      <c r="AH29">
        <v>0</v>
      </c>
      <c r="AI29">
        <v>10</v>
      </c>
      <c r="AJ29">
        <v>294</v>
      </c>
      <c r="AK29">
        <v>340</v>
      </c>
      <c r="AL29">
        <v>585</v>
      </c>
    </row>
    <row r="30" spans="2:38" x14ac:dyDescent="0.25">
      <c r="B30" s="11">
        <v>0.72916666666666663</v>
      </c>
      <c r="C30">
        <v>28</v>
      </c>
      <c r="D30">
        <v>0</v>
      </c>
      <c r="E30">
        <v>1</v>
      </c>
      <c r="F30">
        <v>29</v>
      </c>
      <c r="G30">
        <v>13</v>
      </c>
      <c r="H30">
        <v>0</v>
      </c>
      <c r="I30">
        <v>0</v>
      </c>
      <c r="J30">
        <v>13</v>
      </c>
      <c r="K30">
        <v>42</v>
      </c>
      <c r="L30">
        <v>201</v>
      </c>
      <c r="M30">
        <v>3</v>
      </c>
      <c r="N30">
        <v>0</v>
      </c>
      <c r="O30">
        <v>204</v>
      </c>
      <c r="P30">
        <v>38</v>
      </c>
      <c r="Q30">
        <v>0</v>
      </c>
      <c r="R30">
        <v>0</v>
      </c>
      <c r="S30">
        <v>38</v>
      </c>
      <c r="T30">
        <v>1</v>
      </c>
      <c r="U30">
        <v>0</v>
      </c>
      <c r="V30">
        <v>0</v>
      </c>
      <c r="W30">
        <v>1</v>
      </c>
      <c r="X30">
        <v>243</v>
      </c>
      <c r="Y30">
        <v>0</v>
      </c>
      <c r="Z30">
        <v>0</v>
      </c>
      <c r="AA30">
        <v>0</v>
      </c>
      <c r="AB30">
        <v>0</v>
      </c>
      <c r="AC30">
        <v>37</v>
      </c>
      <c r="AD30">
        <v>0</v>
      </c>
      <c r="AE30">
        <v>0</v>
      </c>
      <c r="AF30">
        <v>37</v>
      </c>
      <c r="AG30">
        <v>263</v>
      </c>
      <c r="AH30">
        <v>3</v>
      </c>
      <c r="AI30">
        <v>4</v>
      </c>
      <c r="AJ30">
        <v>270</v>
      </c>
      <c r="AK30">
        <v>307</v>
      </c>
      <c r="AL30">
        <v>592</v>
      </c>
    </row>
    <row r="31" spans="2:38" x14ac:dyDescent="0.25">
      <c r="B31" s="11">
        <v>0.73958333333333337</v>
      </c>
      <c r="C31">
        <v>21</v>
      </c>
      <c r="D31">
        <v>0</v>
      </c>
      <c r="E31">
        <v>0</v>
      </c>
      <c r="F31">
        <v>21</v>
      </c>
      <c r="G31">
        <v>14</v>
      </c>
      <c r="H31">
        <v>0</v>
      </c>
      <c r="I31">
        <v>0</v>
      </c>
      <c r="J31">
        <v>14</v>
      </c>
      <c r="K31">
        <v>35</v>
      </c>
      <c r="L31">
        <v>165</v>
      </c>
      <c r="M31">
        <v>1</v>
      </c>
      <c r="N31">
        <v>0</v>
      </c>
      <c r="O31">
        <v>166</v>
      </c>
      <c r="P31">
        <v>28</v>
      </c>
      <c r="Q31">
        <v>1</v>
      </c>
      <c r="R31">
        <v>0</v>
      </c>
      <c r="S31">
        <v>29</v>
      </c>
      <c r="T31">
        <v>0</v>
      </c>
      <c r="U31">
        <v>0</v>
      </c>
      <c r="V31">
        <v>0</v>
      </c>
      <c r="W31">
        <v>0</v>
      </c>
      <c r="X31">
        <v>195</v>
      </c>
      <c r="Y31">
        <v>0</v>
      </c>
      <c r="Z31">
        <v>0</v>
      </c>
      <c r="AA31">
        <v>0</v>
      </c>
      <c r="AB31">
        <v>0</v>
      </c>
      <c r="AC31">
        <v>25</v>
      </c>
      <c r="AD31">
        <v>0</v>
      </c>
      <c r="AE31">
        <v>0</v>
      </c>
      <c r="AF31">
        <v>25</v>
      </c>
      <c r="AG31">
        <v>217</v>
      </c>
      <c r="AH31">
        <v>4</v>
      </c>
      <c r="AI31">
        <v>2</v>
      </c>
      <c r="AJ31">
        <v>223</v>
      </c>
      <c r="AK31">
        <v>248</v>
      </c>
      <c r="AL31">
        <v>478</v>
      </c>
    </row>
    <row r="32" spans="2:38" x14ac:dyDescent="0.25">
      <c r="B32" s="10" t="s">
        <v>91</v>
      </c>
      <c r="C32">
        <v>55</v>
      </c>
      <c r="D32">
        <v>0</v>
      </c>
      <c r="E32">
        <v>1</v>
      </c>
      <c r="F32">
        <v>56</v>
      </c>
      <c r="G32">
        <v>46</v>
      </c>
      <c r="H32">
        <v>0</v>
      </c>
      <c r="I32">
        <v>0</v>
      </c>
      <c r="J32">
        <v>46</v>
      </c>
      <c r="K32">
        <v>102</v>
      </c>
      <c r="L32">
        <v>624</v>
      </c>
      <c r="M32">
        <v>29</v>
      </c>
      <c r="N32">
        <v>3</v>
      </c>
      <c r="O32">
        <v>656</v>
      </c>
      <c r="P32">
        <v>62</v>
      </c>
      <c r="Q32">
        <v>0</v>
      </c>
      <c r="R32">
        <v>1</v>
      </c>
      <c r="S32">
        <v>63</v>
      </c>
      <c r="T32">
        <v>0</v>
      </c>
      <c r="U32">
        <v>0</v>
      </c>
      <c r="V32">
        <v>0</v>
      </c>
      <c r="W32">
        <v>0</v>
      </c>
      <c r="X32">
        <v>719</v>
      </c>
      <c r="Y32">
        <v>1</v>
      </c>
      <c r="Z32">
        <v>0</v>
      </c>
      <c r="AA32">
        <v>0</v>
      </c>
      <c r="AB32">
        <v>1</v>
      </c>
      <c r="AC32">
        <v>72</v>
      </c>
      <c r="AD32">
        <v>0</v>
      </c>
      <c r="AE32">
        <v>1</v>
      </c>
      <c r="AF32">
        <v>73</v>
      </c>
      <c r="AG32">
        <v>643</v>
      </c>
      <c r="AH32">
        <v>23</v>
      </c>
      <c r="AI32">
        <v>2</v>
      </c>
      <c r="AJ32">
        <v>668</v>
      </c>
      <c r="AK32">
        <v>742</v>
      </c>
      <c r="AL32">
        <v>1563</v>
      </c>
    </row>
    <row r="33" spans="2:38" x14ac:dyDescent="0.25">
      <c r="B33" s="11">
        <v>0.54166666666666663</v>
      </c>
      <c r="C33">
        <v>12</v>
      </c>
      <c r="D33">
        <v>0</v>
      </c>
      <c r="E33">
        <v>1</v>
      </c>
      <c r="F33">
        <v>13</v>
      </c>
      <c r="G33">
        <v>8</v>
      </c>
      <c r="H33">
        <v>0</v>
      </c>
      <c r="I33">
        <v>0</v>
      </c>
      <c r="J33">
        <v>8</v>
      </c>
      <c r="K33">
        <v>21</v>
      </c>
      <c r="L33">
        <v>160</v>
      </c>
      <c r="M33">
        <v>7</v>
      </c>
      <c r="N33">
        <v>0</v>
      </c>
      <c r="O33">
        <v>167</v>
      </c>
      <c r="P33">
        <v>20</v>
      </c>
      <c r="Q33">
        <v>0</v>
      </c>
      <c r="R33">
        <v>1</v>
      </c>
      <c r="S33">
        <v>21</v>
      </c>
      <c r="T33">
        <v>0</v>
      </c>
      <c r="U33">
        <v>0</v>
      </c>
      <c r="V33">
        <v>0</v>
      </c>
      <c r="W33">
        <v>0</v>
      </c>
      <c r="X33">
        <v>188</v>
      </c>
      <c r="Y33">
        <v>0</v>
      </c>
      <c r="Z33">
        <v>0</v>
      </c>
      <c r="AA33">
        <v>0</v>
      </c>
      <c r="AB33">
        <v>0</v>
      </c>
      <c r="AC33">
        <v>24</v>
      </c>
      <c r="AD33">
        <v>0</v>
      </c>
      <c r="AE33">
        <v>1</v>
      </c>
      <c r="AF33">
        <v>25</v>
      </c>
      <c r="AG33">
        <v>160</v>
      </c>
      <c r="AH33">
        <v>2</v>
      </c>
      <c r="AI33">
        <v>0</v>
      </c>
      <c r="AJ33">
        <v>162</v>
      </c>
      <c r="AK33">
        <v>187</v>
      </c>
      <c r="AL33">
        <v>396</v>
      </c>
    </row>
    <row r="34" spans="2:38" x14ac:dyDescent="0.25">
      <c r="B34" s="11">
        <v>0.55208333333333337</v>
      </c>
      <c r="C34">
        <v>16</v>
      </c>
      <c r="D34">
        <v>0</v>
      </c>
      <c r="E34">
        <v>0</v>
      </c>
      <c r="F34">
        <v>16</v>
      </c>
      <c r="G34">
        <v>11</v>
      </c>
      <c r="H34">
        <v>0</v>
      </c>
      <c r="I34">
        <v>0</v>
      </c>
      <c r="J34">
        <v>11</v>
      </c>
      <c r="K34">
        <v>27</v>
      </c>
      <c r="L34">
        <v>151</v>
      </c>
      <c r="M34">
        <v>7</v>
      </c>
      <c r="N34">
        <v>1</v>
      </c>
      <c r="O34">
        <v>159</v>
      </c>
      <c r="P34">
        <v>12</v>
      </c>
      <c r="Q34">
        <v>0</v>
      </c>
      <c r="R34">
        <v>0</v>
      </c>
      <c r="S34">
        <v>12</v>
      </c>
      <c r="T34">
        <v>0</v>
      </c>
      <c r="U34">
        <v>0</v>
      </c>
      <c r="V34">
        <v>0</v>
      </c>
      <c r="W34">
        <v>0</v>
      </c>
      <c r="X34">
        <v>171</v>
      </c>
      <c r="Y34">
        <v>0</v>
      </c>
      <c r="Z34">
        <v>0</v>
      </c>
      <c r="AA34">
        <v>0</v>
      </c>
      <c r="AB34">
        <v>0</v>
      </c>
      <c r="AC34">
        <v>16</v>
      </c>
      <c r="AD34">
        <v>0</v>
      </c>
      <c r="AE34">
        <v>0</v>
      </c>
      <c r="AF34">
        <v>16</v>
      </c>
      <c r="AG34">
        <v>145</v>
      </c>
      <c r="AH34">
        <v>7</v>
      </c>
      <c r="AI34">
        <v>1</v>
      </c>
      <c r="AJ34">
        <v>153</v>
      </c>
      <c r="AK34">
        <v>169</v>
      </c>
      <c r="AL34">
        <v>367</v>
      </c>
    </row>
    <row r="35" spans="2:38" x14ac:dyDescent="0.25">
      <c r="B35" s="11">
        <v>0.5625</v>
      </c>
      <c r="C35">
        <v>13</v>
      </c>
      <c r="D35">
        <v>0</v>
      </c>
      <c r="E35">
        <v>0</v>
      </c>
      <c r="F35">
        <v>13</v>
      </c>
      <c r="G35">
        <v>12</v>
      </c>
      <c r="H35">
        <v>0</v>
      </c>
      <c r="I35">
        <v>0</v>
      </c>
      <c r="J35">
        <v>12</v>
      </c>
      <c r="K35">
        <v>25</v>
      </c>
      <c r="L35">
        <v>145</v>
      </c>
      <c r="M35">
        <v>7</v>
      </c>
      <c r="N35">
        <v>1</v>
      </c>
      <c r="O35">
        <v>153</v>
      </c>
      <c r="P35">
        <v>15</v>
      </c>
      <c r="Q35">
        <v>0</v>
      </c>
      <c r="R35">
        <v>0</v>
      </c>
      <c r="S35">
        <v>15</v>
      </c>
      <c r="T35">
        <v>0</v>
      </c>
      <c r="U35">
        <v>0</v>
      </c>
      <c r="V35">
        <v>0</v>
      </c>
      <c r="W35">
        <v>0</v>
      </c>
      <c r="X35">
        <v>168</v>
      </c>
      <c r="Y35">
        <v>0</v>
      </c>
      <c r="Z35">
        <v>0</v>
      </c>
      <c r="AA35">
        <v>0</v>
      </c>
      <c r="AB35">
        <v>0</v>
      </c>
      <c r="AC35">
        <v>14</v>
      </c>
      <c r="AD35">
        <v>0</v>
      </c>
      <c r="AE35">
        <v>0</v>
      </c>
      <c r="AF35">
        <v>14</v>
      </c>
      <c r="AG35">
        <v>166</v>
      </c>
      <c r="AH35">
        <v>9</v>
      </c>
      <c r="AI35">
        <v>0</v>
      </c>
      <c r="AJ35">
        <v>175</v>
      </c>
      <c r="AK35">
        <v>189</v>
      </c>
      <c r="AL35">
        <v>382</v>
      </c>
    </row>
    <row r="36" spans="2:38" x14ac:dyDescent="0.25">
      <c r="B36" s="11">
        <v>0.57291666666666663</v>
      </c>
      <c r="C36">
        <v>14</v>
      </c>
      <c r="D36">
        <v>0</v>
      </c>
      <c r="E36">
        <v>0</v>
      </c>
      <c r="F36">
        <v>14</v>
      </c>
      <c r="G36">
        <v>15</v>
      </c>
      <c r="H36">
        <v>0</v>
      </c>
      <c r="I36">
        <v>0</v>
      </c>
      <c r="J36">
        <v>15</v>
      </c>
      <c r="K36">
        <v>29</v>
      </c>
      <c r="L36">
        <v>168</v>
      </c>
      <c r="M36">
        <v>8</v>
      </c>
      <c r="N36">
        <v>1</v>
      </c>
      <c r="O36">
        <v>177</v>
      </c>
      <c r="P36">
        <v>15</v>
      </c>
      <c r="Q36">
        <v>0</v>
      </c>
      <c r="R36">
        <v>0</v>
      </c>
      <c r="S36">
        <v>15</v>
      </c>
      <c r="T36">
        <v>0</v>
      </c>
      <c r="U36">
        <v>0</v>
      </c>
      <c r="V36">
        <v>0</v>
      </c>
      <c r="W36">
        <v>0</v>
      </c>
      <c r="X36">
        <v>192</v>
      </c>
      <c r="Y36">
        <v>1</v>
      </c>
      <c r="Z36">
        <v>0</v>
      </c>
      <c r="AA36">
        <v>0</v>
      </c>
      <c r="AB36">
        <v>1</v>
      </c>
      <c r="AC36">
        <v>18</v>
      </c>
      <c r="AD36">
        <v>0</v>
      </c>
      <c r="AE36">
        <v>0</v>
      </c>
      <c r="AF36">
        <v>18</v>
      </c>
      <c r="AG36">
        <v>172</v>
      </c>
      <c r="AH36">
        <v>5</v>
      </c>
      <c r="AI36">
        <v>1</v>
      </c>
      <c r="AJ36">
        <v>178</v>
      </c>
      <c r="AK36">
        <v>197</v>
      </c>
      <c r="AL36">
        <v>418</v>
      </c>
    </row>
  </sheetData>
  <mergeCells count="23">
    <mergeCell ref="C11:J11"/>
    <mergeCell ref="K11:K13"/>
    <mergeCell ref="L11:W11"/>
    <mergeCell ref="X11:X13"/>
    <mergeCell ref="Y11:AJ11"/>
    <mergeCell ref="AG12:AI12"/>
    <mergeCell ref="AJ12:AJ13"/>
    <mergeCell ref="AK11:AK13"/>
    <mergeCell ref="AL11:AL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2215</v>
      </c>
      <c r="I5">
        <f>MAX(I11:I303)</f>
        <v>1563</v>
      </c>
      <c r="J5">
        <f>MAX(J11:J303)</f>
        <v>2437</v>
      </c>
      <c r="K5">
        <f>MAX(K11:K303)</f>
        <v>0</v>
      </c>
      <c r="N5" t="s">
        <v>53</v>
      </c>
      <c r="O5">
        <f>INDEX($H5:$K5,1,MATCH($O$4,$H$10:$K$10,0))</f>
        <v>0</v>
      </c>
    </row>
    <row r="6" spans="1:21" x14ac:dyDescent="0.25">
      <c r="G6" t="s">
        <v>55</v>
      </c>
      <c r="H6" s="6">
        <f>IF(H5=0,0,H7-1/24)</f>
        <v>0.31249999999999994</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2215 vehicles between 07:30 and 08:30</v>
      </c>
      <c r="I8" s="6" t="str">
        <f>IF(I5=0,"","The peak hour for " &amp;I10&amp;" is "&amp;I5&amp;" vehicles between " &amp; TEXT(I6, "hh:mm")&amp; " and " &amp;TEXT(I7,"hh:mm"))</f>
        <v>The peak hour for INT is 1563 vehicles between 13:00 and 14:00</v>
      </c>
      <c r="J8" s="6" t="str">
        <f>IF(J5=0,"","The peak hour for " &amp;J10&amp;" is "&amp;J5&amp;" vehicles between " &amp; TEXT(J6, "hh:mm")&amp; " and " &amp;TEXT(J7,"hh:mm"))</f>
        <v>The peak hour for PM is 2437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323</v>
      </c>
      <c r="G11" s="7">
        <f>A11</f>
        <v>0.29166666666666669</v>
      </c>
      <c r="H11">
        <f>IF(B11&lt;&gt;0,SUMIF($G$11:$G11,"&gt;"&amp;$G11-1/24,B$11:B11),0)</f>
        <v>323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323</v>
      </c>
      <c r="Q11">
        <f>P11*L11</f>
        <v>0</v>
      </c>
      <c r="S11" s="9">
        <v>0.29166666666666669</v>
      </c>
      <c r="T11">
        <v>323</v>
      </c>
      <c r="U11">
        <v>0</v>
      </c>
    </row>
    <row r="12" spans="1:21" x14ac:dyDescent="0.25">
      <c r="A12" s="9">
        <v>0.30208333333333331</v>
      </c>
      <c r="B12">
        <v>383</v>
      </c>
      <c r="G12" s="7">
        <f t="shared" ref="G12:G26" si="3">A12</f>
        <v>0.30208333333333331</v>
      </c>
      <c r="H12">
        <f>IF(B12&lt;&gt;0,SUMIF($G$11:$G12,"&gt;"&amp;$G12-1/24,B$11:B12),0)</f>
        <v>706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383</v>
      </c>
      <c r="Q12">
        <f t="shared" ref="Q12:Q75" si="7">P12*L12</f>
        <v>0</v>
      </c>
      <c r="S12" s="9">
        <v>0.30208333333333331</v>
      </c>
      <c r="T12">
        <v>383</v>
      </c>
      <c r="U12">
        <v>0</v>
      </c>
    </row>
    <row r="13" spans="1:21" x14ac:dyDescent="0.25">
      <c r="A13" s="9">
        <v>0.3125</v>
      </c>
      <c r="B13">
        <v>484</v>
      </c>
      <c r="G13" s="7">
        <f t="shared" si="3"/>
        <v>0.3125</v>
      </c>
      <c r="H13">
        <f>IF(B13&lt;&gt;0,SUMIF($G$11:$G13,"&gt;"&amp;$G13-1/24,B$11:B13),0)</f>
        <v>1190</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484</v>
      </c>
      <c r="Q13">
        <f t="shared" si="7"/>
        <v>484</v>
      </c>
      <c r="S13" s="9">
        <v>0.3125</v>
      </c>
      <c r="T13">
        <v>484</v>
      </c>
      <c r="U13">
        <v>484</v>
      </c>
    </row>
    <row r="14" spans="1:21" x14ac:dyDescent="0.25">
      <c r="A14" s="9">
        <v>0.32291666666666669</v>
      </c>
      <c r="B14">
        <v>626</v>
      </c>
      <c r="G14" s="7">
        <f t="shared" si="3"/>
        <v>0.32291666666666669</v>
      </c>
      <c r="H14">
        <f>IF(B14&lt;&gt;0,SUMIF($G$11:$G14,"&gt;"&amp;$G14-1/24,B$11:B14),0)</f>
        <v>1816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626</v>
      </c>
      <c r="Q14">
        <f t="shared" si="7"/>
        <v>626</v>
      </c>
      <c r="S14" s="9">
        <v>0.32291666666666669</v>
      </c>
      <c r="T14">
        <v>626</v>
      </c>
      <c r="U14">
        <v>626</v>
      </c>
    </row>
    <row r="15" spans="1:21" x14ac:dyDescent="0.25">
      <c r="A15" s="9">
        <v>0.33333333333333331</v>
      </c>
      <c r="B15">
        <v>567</v>
      </c>
      <c r="G15" s="7">
        <f t="shared" si="3"/>
        <v>0.33333333333333331</v>
      </c>
      <c r="H15">
        <f>IF(B15&lt;&gt;0,SUMIF($G$11:$G15,"&gt;"&amp;$G15-1/24,B$11:B15),0)</f>
        <v>2060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567</v>
      </c>
      <c r="Q15">
        <f t="shared" si="7"/>
        <v>567</v>
      </c>
      <c r="S15" s="9">
        <v>0.33333333333333331</v>
      </c>
      <c r="T15">
        <v>567</v>
      </c>
      <c r="U15">
        <v>567</v>
      </c>
    </row>
    <row r="16" spans="1:21" x14ac:dyDescent="0.25">
      <c r="A16" s="9">
        <v>0.34375</v>
      </c>
      <c r="B16">
        <v>538</v>
      </c>
      <c r="G16" s="7">
        <f t="shared" si="3"/>
        <v>0.34375</v>
      </c>
      <c r="H16">
        <f>IF(B16&lt;&gt;0,SUMIF($G$11:$G16,"&gt;"&amp;$G16-1/24,B$11:B16),0)</f>
        <v>2215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538</v>
      </c>
      <c r="Q16">
        <f t="shared" si="7"/>
        <v>538</v>
      </c>
      <c r="S16" s="9">
        <v>0.34375</v>
      </c>
      <c r="T16">
        <v>538</v>
      </c>
      <c r="U16">
        <v>538</v>
      </c>
    </row>
    <row r="17" spans="1:21" x14ac:dyDescent="0.25">
      <c r="A17" s="9">
        <v>0.35416666666666669</v>
      </c>
      <c r="B17">
        <v>462</v>
      </c>
      <c r="G17" s="7">
        <f t="shared" si="3"/>
        <v>0.35416666666666669</v>
      </c>
      <c r="H17">
        <f>IF(B17&lt;&gt;0,SUMIF($G$11:$G17,"&gt;"&amp;$G17-1/24,B$11:B17),0)</f>
        <v>2193</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462</v>
      </c>
      <c r="Q17">
        <f t="shared" si="7"/>
        <v>0</v>
      </c>
      <c r="S17" s="9">
        <v>0.35416666666666669</v>
      </c>
      <c r="T17">
        <v>462</v>
      </c>
      <c r="U17">
        <v>0</v>
      </c>
    </row>
    <row r="18" spans="1:21" x14ac:dyDescent="0.25">
      <c r="A18" s="9">
        <v>0.36458333333333331</v>
      </c>
      <c r="B18">
        <v>520</v>
      </c>
      <c r="G18" s="7">
        <f t="shared" si="3"/>
        <v>0.36458333333333331</v>
      </c>
      <c r="H18">
        <f>IF(B18&lt;&gt;0,SUMIF($G$11:$G18,"&gt;"&amp;$G18-1/24,B$11:B18),0)</f>
        <v>2087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520</v>
      </c>
      <c r="Q18">
        <f t="shared" si="7"/>
        <v>0</v>
      </c>
      <c r="S18" s="9">
        <v>0.36458333333333331</v>
      </c>
      <c r="T18">
        <v>520</v>
      </c>
      <c r="U18">
        <v>0</v>
      </c>
    </row>
    <row r="19" spans="1:21" x14ac:dyDescent="0.25">
      <c r="A19" s="9">
        <v>0.54166666666666663</v>
      </c>
      <c r="C19">
        <v>396</v>
      </c>
      <c r="G19" s="7">
        <f t="shared" si="3"/>
        <v>0.54166666666666663</v>
      </c>
      <c r="H19">
        <f>IF(B19&lt;&gt;0,SUMIF($G$11:$G19,"&gt;"&amp;$G19-1/24,B$11:B19),0)</f>
        <v>0</v>
      </c>
      <c r="I19">
        <f>IF(C19&lt;&gt;0,SUMIF($G$11:$G19,"&gt;"&amp;$G19-1/24,C$11:C19),0)</f>
        <v>396</v>
      </c>
      <c r="J19">
        <f>IF(D19&lt;&gt;0,SUMIF($G$11:$G19,"&gt;"&amp;$G19-1/24,D$11:D19),0)</f>
        <v>0</v>
      </c>
      <c r="K19">
        <f>IF(E19&lt;&gt;0,SUMIF($G$11:$G19,"&gt;"&amp;$G19-1/24,E$11:E19),0)</f>
        <v>0</v>
      </c>
      <c r="L19">
        <f t="shared" si="4"/>
        <v>1</v>
      </c>
      <c r="N19" t="str">
        <f t="shared" si="5"/>
        <v>INT</v>
      </c>
      <c r="O19" s="7">
        <f t="shared" si="2"/>
        <v>0.54166666666666663</v>
      </c>
      <c r="P19">
        <f t="shared" si="6"/>
        <v>396</v>
      </c>
      <c r="Q19">
        <f t="shared" si="7"/>
        <v>396</v>
      </c>
      <c r="S19" s="9" t="s">
        <v>49</v>
      </c>
      <c r="T19">
        <v>3903</v>
      </c>
      <c r="U19">
        <v>2215</v>
      </c>
    </row>
    <row r="20" spans="1:21" x14ac:dyDescent="0.25">
      <c r="A20" s="9">
        <v>0.55208333333333337</v>
      </c>
      <c r="C20">
        <v>367</v>
      </c>
      <c r="G20" s="7">
        <f t="shared" si="3"/>
        <v>0.55208333333333337</v>
      </c>
      <c r="H20">
        <f>IF(B20&lt;&gt;0,SUMIF($G$11:$G20,"&gt;"&amp;$G20-1/24,B$11:B20),0)</f>
        <v>0</v>
      </c>
      <c r="I20">
        <f>IF(C20&lt;&gt;0,SUMIF($G$11:$G20,"&gt;"&amp;$G20-1/24,C$11:C20),0)</f>
        <v>763</v>
      </c>
      <c r="J20">
        <f>IF(D20&lt;&gt;0,SUMIF($G$11:$G20,"&gt;"&amp;$G20-1/24,D$11:D20),0)</f>
        <v>0</v>
      </c>
      <c r="K20">
        <f>IF(E20&lt;&gt;0,SUMIF($G$11:$G20,"&gt;"&amp;$G20-1/24,E$11:E20),0)</f>
        <v>0</v>
      </c>
      <c r="L20">
        <f t="shared" si="4"/>
        <v>1</v>
      </c>
      <c r="N20" t="str">
        <f t="shared" si="5"/>
        <v>INT</v>
      </c>
      <c r="O20" s="7">
        <f t="shared" si="2"/>
        <v>0.55208333333333337</v>
      </c>
      <c r="P20">
        <f t="shared" si="6"/>
        <v>367</v>
      </c>
      <c r="Q20">
        <f t="shared" si="7"/>
        <v>367</v>
      </c>
    </row>
    <row r="21" spans="1:21" x14ac:dyDescent="0.25">
      <c r="A21" s="9">
        <v>0.5625</v>
      </c>
      <c r="C21">
        <v>382</v>
      </c>
      <c r="G21" s="7">
        <f t="shared" si="3"/>
        <v>0.5625</v>
      </c>
      <c r="H21">
        <f>IF(B21&lt;&gt;0,SUMIF($G$11:$G21,"&gt;"&amp;$G21-1/24,B$11:B21),0)</f>
        <v>0</v>
      </c>
      <c r="I21">
        <f>IF(C21&lt;&gt;0,SUMIF($G$11:$G21,"&gt;"&amp;$G21-1/24,C$11:C21),0)</f>
        <v>1145</v>
      </c>
      <c r="J21">
        <f>IF(D21&lt;&gt;0,SUMIF($G$11:$G21,"&gt;"&amp;$G21-1/24,D$11:D21),0)</f>
        <v>0</v>
      </c>
      <c r="K21">
        <f>IF(E21&lt;&gt;0,SUMIF($G$11:$G21,"&gt;"&amp;$G21-1/24,E$11:E21),0)</f>
        <v>0</v>
      </c>
      <c r="L21">
        <f t="shared" si="4"/>
        <v>1</v>
      </c>
      <c r="N21" t="str">
        <f t="shared" si="5"/>
        <v>INT</v>
      </c>
      <c r="O21" s="7">
        <f t="shared" si="2"/>
        <v>0.5625</v>
      </c>
      <c r="P21">
        <f t="shared" si="6"/>
        <v>382</v>
      </c>
      <c r="Q21">
        <f t="shared" si="7"/>
        <v>382</v>
      </c>
    </row>
    <row r="22" spans="1:21" x14ac:dyDescent="0.25">
      <c r="A22" s="9">
        <v>0.57291666666666663</v>
      </c>
      <c r="C22">
        <v>418</v>
      </c>
      <c r="G22" s="7">
        <f t="shared" si="3"/>
        <v>0.57291666666666663</v>
      </c>
      <c r="H22">
        <f>IF(B22&lt;&gt;0,SUMIF($G$11:$G22,"&gt;"&amp;$G22-1/24,B$11:B22),0)</f>
        <v>0</v>
      </c>
      <c r="I22">
        <f>IF(C22&lt;&gt;0,SUMIF($G$11:$G22,"&gt;"&amp;$G22-1/24,C$11:C22),0)</f>
        <v>1563</v>
      </c>
      <c r="J22">
        <f>IF(D22&lt;&gt;0,SUMIF($G$11:$G22,"&gt;"&amp;$G22-1/24,D$11:D22),0)</f>
        <v>0</v>
      </c>
      <c r="K22">
        <f>IF(E22&lt;&gt;0,SUMIF($G$11:$G22,"&gt;"&amp;$G22-1/24,E$11:E22),0)</f>
        <v>0</v>
      </c>
      <c r="L22">
        <f t="shared" si="4"/>
        <v>1</v>
      </c>
      <c r="N22" t="str">
        <f t="shared" si="5"/>
        <v>INT</v>
      </c>
      <c r="O22" s="7">
        <f t="shared" si="2"/>
        <v>0.57291666666666663</v>
      </c>
      <c r="P22">
        <f t="shared" si="6"/>
        <v>418</v>
      </c>
      <c r="Q22">
        <f t="shared" si="7"/>
        <v>418</v>
      </c>
    </row>
    <row r="23" spans="1:21" x14ac:dyDescent="0.25">
      <c r="A23" s="9">
        <v>0.66666666666666663</v>
      </c>
      <c r="D23">
        <v>525</v>
      </c>
      <c r="G23" s="7">
        <f t="shared" si="3"/>
        <v>0.66666666666666663</v>
      </c>
      <c r="H23">
        <f>IF(B23&lt;&gt;0,SUMIF($G$11:$G23,"&gt;"&amp;$G23-1/24,B$11:B23),0)</f>
        <v>0</v>
      </c>
      <c r="I23">
        <f>IF(C23&lt;&gt;0,SUMIF($G$11:$G23,"&gt;"&amp;$G23-1/24,C$11:C23),0)</f>
        <v>0</v>
      </c>
      <c r="J23">
        <f>IF(D23&lt;&gt;0,SUMIF($G$11:$G23,"&gt;"&amp;$G23-1/24,D$11:D23),0)</f>
        <v>525</v>
      </c>
      <c r="K23">
        <f>IF(E23&lt;&gt;0,SUMIF($G$11:$G23,"&gt;"&amp;$G23-1/24,E$11:E23),0)</f>
        <v>0</v>
      </c>
      <c r="L23">
        <f t="shared" si="4"/>
        <v>0</v>
      </c>
      <c r="N23" t="str">
        <f t="shared" si="5"/>
        <v>PM</v>
      </c>
      <c r="O23" s="7">
        <f t="shared" si="2"/>
        <v>0.66666666666666663</v>
      </c>
      <c r="P23">
        <f t="shared" si="6"/>
        <v>525</v>
      </c>
      <c r="Q23">
        <f t="shared" si="7"/>
        <v>0</v>
      </c>
    </row>
    <row r="24" spans="1:21" x14ac:dyDescent="0.25">
      <c r="A24" s="9">
        <v>0.67708333333333337</v>
      </c>
      <c r="D24">
        <v>526</v>
      </c>
      <c r="G24" s="7">
        <f t="shared" si="3"/>
        <v>0.67708333333333337</v>
      </c>
      <c r="H24">
        <f>IF(B24&lt;&gt;0,SUMIF($G$11:$G24,"&gt;"&amp;$G24-1/24,B$11:B24),0)</f>
        <v>0</v>
      </c>
      <c r="I24">
        <f>IF(C24&lt;&gt;0,SUMIF($G$11:$G24,"&gt;"&amp;$G24-1/24,C$11:C24),0)</f>
        <v>0</v>
      </c>
      <c r="J24">
        <f>IF(D24&lt;&gt;0,SUMIF($G$11:$G24,"&gt;"&amp;$G24-1/24,D$11:D24),0)</f>
        <v>1051</v>
      </c>
      <c r="K24">
        <f>IF(E24&lt;&gt;0,SUMIF($G$11:$G24,"&gt;"&amp;$G24-1/24,E$11:E24),0)</f>
        <v>0</v>
      </c>
      <c r="L24">
        <f t="shared" si="4"/>
        <v>0</v>
      </c>
      <c r="N24" t="str">
        <f t="shared" si="5"/>
        <v>PM</v>
      </c>
      <c r="O24" s="7">
        <f t="shared" si="2"/>
        <v>0.67708333333333337</v>
      </c>
      <c r="P24">
        <f t="shared" si="6"/>
        <v>526</v>
      </c>
      <c r="Q24">
        <f t="shared" si="7"/>
        <v>0</v>
      </c>
    </row>
    <row r="25" spans="1:21" x14ac:dyDescent="0.25">
      <c r="A25" s="9">
        <v>0.6875</v>
      </c>
      <c r="D25">
        <v>555</v>
      </c>
      <c r="G25" s="7">
        <f t="shared" si="3"/>
        <v>0.6875</v>
      </c>
      <c r="H25">
        <f>IF(B25&lt;&gt;0,SUMIF($G$11:$G25,"&gt;"&amp;$G25-1/24,B$11:B25),0)</f>
        <v>0</v>
      </c>
      <c r="I25">
        <f>IF(C25&lt;&gt;0,SUMIF($G$11:$G25,"&gt;"&amp;$G25-1/24,C$11:C25),0)</f>
        <v>0</v>
      </c>
      <c r="J25">
        <f>IF(D25&lt;&gt;0,SUMIF($G$11:$G25,"&gt;"&amp;$G25-1/24,D$11:D25),0)</f>
        <v>1606</v>
      </c>
      <c r="K25">
        <f>IF(E25&lt;&gt;0,SUMIF($G$11:$G25,"&gt;"&amp;$G25-1/24,E$11:E25),0)</f>
        <v>0</v>
      </c>
      <c r="L25">
        <f t="shared" si="4"/>
        <v>0</v>
      </c>
      <c r="N25" t="str">
        <f t="shared" si="5"/>
        <v>PM</v>
      </c>
      <c r="O25" s="7">
        <f t="shared" si="2"/>
        <v>0.6875</v>
      </c>
      <c r="P25">
        <f t="shared" si="6"/>
        <v>555</v>
      </c>
      <c r="Q25">
        <f t="shared" si="7"/>
        <v>0</v>
      </c>
    </row>
    <row r="26" spans="1:21" x14ac:dyDescent="0.25">
      <c r="A26" s="9">
        <v>0.69791666666666663</v>
      </c>
      <c r="D26">
        <v>599</v>
      </c>
      <c r="G26" s="7">
        <f t="shared" si="3"/>
        <v>0.69791666666666663</v>
      </c>
      <c r="H26">
        <f>IF(B26&lt;&gt;0,SUMIF($G$11:$G26,"&gt;"&amp;$G26-1/24,B$11:B26),0)</f>
        <v>0</v>
      </c>
      <c r="I26">
        <f>IF(C26&lt;&gt;0,SUMIF($G$11:$G26,"&gt;"&amp;$G26-1/24,C$11:C26),0)</f>
        <v>0</v>
      </c>
      <c r="J26">
        <f>IF(D26&lt;&gt;0,SUMIF($G$11:$G26,"&gt;"&amp;$G26-1/24,D$11:D26),0)</f>
        <v>2205</v>
      </c>
      <c r="K26">
        <f>IF(E26&lt;&gt;0,SUMIF($G$11:$G26,"&gt;"&amp;$G26-1/24,E$11:E26),0)</f>
        <v>0</v>
      </c>
      <c r="L26">
        <f t="shared" si="4"/>
        <v>1</v>
      </c>
      <c r="N26" t="str">
        <f t="shared" si="5"/>
        <v>PM</v>
      </c>
      <c r="O26" s="7">
        <f t="shared" si="2"/>
        <v>0.69791666666666663</v>
      </c>
      <c r="P26">
        <f t="shared" si="6"/>
        <v>599</v>
      </c>
      <c r="Q26">
        <f t="shared" si="7"/>
        <v>599</v>
      </c>
    </row>
    <row r="27" spans="1:21" x14ac:dyDescent="0.25">
      <c r="A27" s="9">
        <v>0.70833333333333337</v>
      </c>
      <c r="D27">
        <v>661</v>
      </c>
      <c r="G27" s="7">
        <f t="shared" ref="G27:G90" si="8">A27</f>
        <v>0.70833333333333337</v>
      </c>
      <c r="H27">
        <f>IF(B27&lt;&gt;0,SUMIF($G$11:$G27,"&gt;"&amp;$G27-1/24,B$11:B27),0)</f>
        <v>0</v>
      </c>
      <c r="I27">
        <f>IF(C27&lt;&gt;0,SUMIF($G$11:$G27,"&gt;"&amp;$G27-1/24,C$11:C27),0)</f>
        <v>0</v>
      </c>
      <c r="J27">
        <f>IF(D27&lt;&gt;0,SUMIF($G$11:$G27,"&gt;"&amp;$G27-1/24,D$11:D27),0)</f>
        <v>2341</v>
      </c>
      <c r="K27">
        <f>IF(E27&lt;&gt;0,SUMIF($G$11:$G27,"&gt;"&amp;$G27-1/24,E$11:E27),0)</f>
        <v>0</v>
      </c>
      <c r="L27">
        <f t="shared" si="4"/>
        <v>1</v>
      </c>
      <c r="N27" t="str">
        <f t="shared" si="5"/>
        <v>PM</v>
      </c>
      <c r="O27" s="7">
        <f t="shared" si="2"/>
        <v>0.70833333333333337</v>
      </c>
      <c r="P27">
        <f t="shared" si="6"/>
        <v>661</v>
      </c>
      <c r="Q27">
        <f t="shared" si="7"/>
        <v>661</v>
      </c>
    </row>
    <row r="28" spans="1:21" x14ac:dyDescent="0.25">
      <c r="A28" s="9">
        <v>0.71875</v>
      </c>
      <c r="D28">
        <v>585</v>
      </c>
      <c r="G28" s="7">
        <f t="shared" si="8"/>
        <v>0.71875</v>
      </c>
      <c r="H28">
        <f>IF(B28&lt;&gt;0,SUMIF($G$11:$G28,"&gt;"&amp;$G28-1/24,B$11:B28),0)</f>
        <v>0</v>
      </c>
      <c r="I28">
        <f>IF(C28&lt;&gt;0,SUMIF($G$11:$G28,"&gt;"&amp;$G28-1/24,C$11:C28),0)</f>
        <v>0</v>
      </c>
      <c r="J28">
        <f>IF(D28&lt;&gt;0,SUMIF($G$11:$G28,"&gt;"&amp;$G28-1/24,D$11:D28),0)</f>
        <v>2400</v>
      </c>
      <c r="K28">
        <f>IF(E28&lt;&gt;0,SUMIF($G$11:$G28,"&gt;"&amp;$G28-1/24,E$11:E28),0)</f>
        <v>0</v>
      </c>
      <c r="L28">
        <f t="shared" si="4"/>
        <v>1</v>
      </c>
      <c r="N28" t="str">
        <f t="shared" si="5"/>
        <v>PM</v>
      </c>
      <c r="O28" s="7">
        <f t="shared" si="2"/>
        <v>0.71875</v>
      </c>
      <c r="P28">
        <f t="shared" si="6"/>
        <v>585</v>
      </c>
      <c r="Q28">
        <f t="shared" si="7"/>
        <v>585</v>
      </c>
    </row>
    <row r="29" spans="1:21" x14ac:dyDescent="0.25">
      <c r="A29" s="9">
        <v>0.72916666666666663</v>
      </c>
      <c r="D29">
        <v>592</v>
      </c>
      <c r="G29" s="7">
        <f t="shared" si="8"/>
        <v>0.72916666666666663</v>
      </c>
      <c r="H29">
        <f>IF(B29&lt;&gt;0,SUMIF($G$11:$G29,"&gt;"&amp;$G29-1/24,B$11:B29),0)</f>
        <v>0</v>
      </c>
      <c r="I29">
        <f>IF(C29&lt;&gt;0,SUMIF($G$11:$G29,"&gt;"&amp;$G29-1/24,C$11:C29),0)</f>
        <v>0</v>
      </c>
      <c r="J29">
        <f>IF(D29&lt;&gt;0,SUMIF($G$11:$G29,"&gt;"&amp;$G29-1/24,D$11:D29),0)</f>
        <v>2437</v>
      </c>
      <c r="K29">
        <f>IF(E29&lt;&gt;0,SUMIF($G$11:$G29,"&gt;"&amp;$G29-1/24,E$11:E29),0)</f>
        <v>0</v>
      </c>
      <c r="L29">
        <f t="shared" si="4"/>
        <v>1</v>
      </c>
      <c r="N29" t="str">
        <f t="shared" si="5"/>
        <v>PM</v>
      </c>
      <c r="O29" s="7">
        <f t="shared" si="2"/>
        <v>0.72916666666666663</v>
      </c>
      <c r="P29">
        <f t="shared" si="6"/>
        <v>592</v>
      </c>
      <c r="Q29">
        <f t="shared" si="7"/>
        <v>592</v>
      </c>
    </row>
    <row r="30" spans="1:21" x14ac:dyDescent="0.25">
      <c r="A30" s="9">
        <v>0.73958333333333337</v>
      </c>
      <c r="D30">
        <v>478</v>
      </c>
      <c r="G30" s="7">
        <f t="shared" si="8"/>
        <v>0.73958333333333337</v>
      </c>
      <c r="H30">
        <f>IF(B30&lt;&gt;0,SUMIF($G$11:$G30,"&gt;"&amp;$G30-1/24,B$11:B30),0)</f>
        <v>0</v>
      </c>
      <c r="I30">
        <f>IF(C30&lt;&gt;0,SUMIF($G$11:$G30,"&gt;"&amp;$G30-1/24,C$11:C30),0)</f>
        <v>0</v>
      </c>
      <c r="J30">
        <f>IF(D30&lt;&gt;0,SUMIF($G$11:$G30,"&gt;"&amp;$G30-1/24,D$11:D30),0)</f>
        <v>2316</v>
      </c>
      <c r="K30">
        <f>IF(E30&lt;&gt;0,SUMIF($G$11:$G30,"&gt;"&amp;$G30-1/24,E$11:E30),0)</f>
        <v>0</v>
      </c>
      <c r="L30">
        <f t="shared" si="4"/>
        <v>0</v>
      </c>
      <c r="N30" t="str">
        <f t="shared" si="5"/>
        <v>PM</v>
      </c>
      <c r="O30" s="7">
        <f t="shared" si="2"/>
        <v>0.73958333333333337</v>
      </c>
      <c r="P30">
        <f t="shared" si="6"/>
        <v>478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323</v>
      </c>
      <c r="E5" t="str">
        <f>"Vehicle Count by Exit Leg for "&amp;C2&amp;" Period"</f>
        <v>Vehicle Count by Exit Leg for AM Period</v>
      </c>
    </row>
    <row r="6" spans="2:5" x14ac:dyDescent="0.25">
      <c r="B6" s="9">
        <v>0.30208333333333331</v>
      </c>
      <c r="C6">
        <v>383</v>
      </c>
    </row>
    <row r="7" spans="2:5" x14ac:dyDescent="0.25">
      <c r="B7" s="9">
        <v>0.3125</v>
      </c>
      <c r="C7">
        <v>484</v>
      </c>
    </row>
    <row r="8" spans="2:5" x14ac:dyDescent="0.25">
      <c r="B8" s="9">
        <v>0.32291666666666669</v>
      </c>
      <c r="C8">
        <v>626</v>
      </c>
    </row>
    <row r="9" spans="2:5" x14ac:dyDescent="0.25">
      <c r="B9" s="9">
        <v>0.33333333333333331</v>
      </c>
      <c r="C9">
        <v>567</v>
      </c>
    </row>
    <row r="10" spans="2:5" x14ac:dyDescent="0.25">
      <c r="B10" s="9">
        <v>0.34375</v>
      </c>
      <c r="C10">
        <v>538</v>
      </c>
    </row>
    <row r="11" spans="2:5" x14ac:dyDescent="0.25">
      <c r="B11" s="9">
        <v>0.35416666666666669</v>
      </c>
      <c r="C11">
        <v>462</v>
      </c>
    </row>
    <row r="12" spans="2:5" x14ac:dyDescent="0.25">
      <c r="B12" s="9">
        <v>0.36458333333333331</v>
      </c>
      <c r="C12">
        <v>520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7109375" bestFit="1" customWidth="1"/>
    <col min="12" max="12" width="28.5703125" bestFit="1" customWidth="1"/>
    <col min="13" max="13" width="27.42578125" bestFit="1" customWidth="1"/>
    <col min="14" max="14" width="8.28515625" customWidth="1"/>
    <col min="15" max="15" width="5.5703125" customWidth="1"/>
    <col min="16" max="18" width="3.28515625" customWidth="1"/>
    <col min="19" max="19" width="11.28515625" bestFit="1" customWidth="1"/>
    <col min="20" max="20" width="24.7109375" bestFit="1" customWidth="1"/>
    <col min="21" max="21" width="28.5703125" bestFit="1" customWidth="1"/>
    <col min="22" max="22" width="27.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100</v>
      </c>
      <c r="L25" s="16" t="s">
        <v>94</v>
      </c>
      <c r="M25" s="16" t="s">
        <v>93</v>
      </c>
      <c r="T25" s="16" t="s">
        <v>100</v>
      </c>
      <c r="U25" s="16" t="s">
        <v>94</v>
      </c>
      <c r="V25" s="16" t="s">
        <v>93</v>
      </c>
      <c r="X25" s="13"/>
    </row>
    <row r="26" spans="2:24" x14ac:dyDescent="0.25">
      <c r="B26" s="9">
        <v>0.29166666666666669</v>
      </c>
      <c r="C26" s="16">
        <v>323</v>
      </c>
      <c r="J26" s="9">
        <v>0.29166666666666669</v>
      </c>
      <c r="K26" s="16">
        <v>36</v>
      </c>
      <c r="L26" s="16">
        <v>110</v>
      </c>
      <c r="M26" s="16">
        <v>177</v>
      </c>
      <c r="S26" s="9">
        <v>0.29166666666666669</v>
      </c>
      <c r="T26" s="16">
        <v>6</v>
      </c>
      <c r="U26" s="16">
        <v>185</v>
      </c>
      <c r="V26" s="16">
        <v>132</v>
      </c>
    </row>
    <row r="27" spans="2:24" x14ac:dyDescent="0.25">
      <c r="B27" s="9">
        <v>0.30208333333333331</v>
      </c>
      <c r="C27" s="16">
        <v>383</v>
      </c>
      <c r="J27" s="9">
        <v>0.30208333333333331</v>
      </c>
      <c r="K27" s="16">
        <v>41</v>
      </c>
      <c r="L27" s="16">
        <v>146</v>
      </c>
      <c r="M27" s="16">
        <v>196</v>
      </c>
      <c r="S27" s="9">
        <v>0.30208333333333331</v>
      </c>
      <c r="T27" s="16">
        <v>14</v>
      </c>
      <c r="U27" s="16">
        <v>206</v>
      </c>
      <c r="V27" s="16">
        <v>163</v>
      </c>
    </row>
    <row r="28" spans="2:24" x14ac:dyDescent="0.25">
      <c r="B28" s="9">
        <v>0.3125</v>
      </c>
      <c r="C28" s="16">
        <v>484</v>
      </c>
      <c r="J28" s="9">
        <v>0.3125</v>
      </c>
      <c r="K28" s="16">
        <v>67</v>
      </c>
      <c r="L28" s="16">
        <v>200</v>
      </c>
      <c r="M28" s="16">
        <v>217</v>
      </c>
      <c r="S28" s="9">
        <v>0.3125</v>
      </c>
      <c r="T28" s="16">
        <v>16</v>
      </c>
      <c r="U28" s="16">
        <v>230</v>
      </c>
      <c r="V28" s="16">
        <v>238</v>
      </c>
    </row>
    <row r="29" spans="2:24" x14ac:dyDescent="0.25">
      <c r="B29" s="9">
        <v>0.32291666666666669</v>
      </c>
      <c r="C29" s="16">
        <v>626</v>
      </c>
      <c r="J29" s="9">
        <v>0.32291666666666669</v>
      </c>
      <c r="K29" s="16">
        <v>79</v>
      </c>
      <c r="L29" s="16">
        <v>277</v>
      </c>
      <c r="M29" s="16">
        <v>270</v>
      </c>
      <c r="S29" s="9">
        <v>0.32291666666666669</v>
      </c>
      <c r="T29" s="16">
        <v>22</v>
      </c>
      <c r="U29" s="16">
        <v>275</v>
      </c>
      <c r="V29" s="16">
        <v>329</v>
      </c>
    </row>
    <row r="30" spans="2:24" x14ac:dyDescent="0.25">
      <c r="B30" s="9">
        <v>0.33333333333333331</v>
      </c>
      <c r="C30" s="16">
        <v>567</v>
      </c>
      <c r="J30" s="9">
        <v>0.33333333333333331</v>
      </c>
      <c r="K30" s="16">
        <v>55</v>
      </c>
      <c r="L30" s="16">
        <v>242</v>
      </c>
      <c r="M30" s="16">
        <v>270</v>
      </c>
      <c r="S30" s="9">
        <v>0.33333333333333331</v>
      </c>
      <c r="T30" s="16">
        <v>32</v>
      </c>
      <c r="U30" s="16">
        <v>271</v>
      </c>
      <c r="V30" s="16">
        <v>264</v>
      </c>
    </row>
    <row r="31" spans="2:24" x14ac:dyDescent="0.25">
      <c r="B31" s="9">
        <v>0.34375</v>
      </c>
      <c r="C31" s="16">
        <v>538</v>
      </c>
      <c r="J31" s="9">
        <v>0.34375</v>
      </c>
      <c r="K31" s="16">
        <v>56</v>
      </c>
      <c r="L31" s="16">
        <v>248</v>
      </c>
      <c r="M31" s="16">
        <v>234</v>
      </c>
      <c r="S31" s="9">
        <v>0.34375</v>
      </c>
      <c r="T31" s="16">
        <v>43</v>
      </c>
      <c r="U31" s="16">
        <v>242</v>
      </c>
      <c r="V31" s="16">
        <v>253</v>
      </c>
    </row>
    <row r="32" spans="2:24" x14ac:dyDescent="0.25">
      <c r="B32" s="9">
        <v>0.35416666666666669</v>
      </c>
      <c r="C32" s="16">
        <v>462</v>
      </c>
      <c r="J32" s="9">
        <v>0.35416666666666669</v>
      </c>
      <c r="K32" s="16">
        <v>45</v>
      </c>
      <c r="L32" s="16">
        <v>174</v>
      </c>
      <c r="M32" s="16">
        <v>243</v>
      </c>
      <c r="S32" s="9">
        <v>0.35416666666666669</v>
      </c>
      <c r="T32" s="16">
        <v>39</v>
      </c>
      <c r="U32" s="16">
        <v>244</v>
      </c>
      <c r="V32" s="16">
        <v>179</v>
      </c>
    </row>
    <row r="33" spans="2:22" x14ac:dyDescent="0.25">
      <c r="B33" s="9">
        <v>0.36458333333333331</v>
      </c>
      <c r="C33" s="16">
        <v>520</v>
      </c>
      <c r="J33" s="9">
        <v>0.36458333333333331</v>
      </c>
      <c r="K33" s="16">
        <v>64</v>
      </c>
      <c r="L33" s="16">
        <v>180</v>
      </c>
      <c r="M33" s="16">
        <v>276</v>
      </c>
      <c r="S33" s="9">
        <v>0.36458333333333331</v>
      </c>
      <c r="T33" s="16">
        <v>41</v>
      </c>
      <c r="U33" s="16">
        <v>279</v>
      </c>
      <c r="V33" s="16">
        <v>200</v>
      </c>
    </row>
    <row r="34" spans="2:22" x14ac:dyDescent="0.25">
      <c r="B34" s="9" t="s">
        <v>49</v>
      </c>
      <c r="C34" s="16">
        <v>3903</v>
      </c>
      <c r="J34" s="9" t="s">
        <v>49</v>
      </c>
      <c r="K34" s="16">
        <v>443</v>
      </c>
      <c r="L34" s="16">
        <v>1577</v>
      </c>
      <c r="M34" s="16">
        <v>1883</v>
      </c>
      <c r="S34" s="9" t="s">
        <v>49</v>
      </c>
      <c r="T34" s="16">
        <v>213</v>
      </c>
      <c r="U34" s="16">
        <v>1932</v>
      </c>
      <c r="V34" s="16">
        <v>1758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9"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2215 vehicles between 07:30 and 08:30</v>
      </c>
    </row>
    <row r="5" spans="2:2" x14ac:dyDescent="0.25">
      <c r="B5" s="6" t="str">
        <f>PeakCalc!I8</f>
        <v>The peak hour for INT is 1563 vehicles between 13:00 and 14:00</v>
      </c>
    </row>
    <row r="6" spans="2:2" x14ac:dyDescent="0.25">
      <c r="B6" s="6" t="str">
        <f>PeakCalc!J8</f>
        <v>The peak hour for PM is 2437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114</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100</v>
      </c>
      <c r="C32">
        <v>247</v>
      </c>
      <c r="D32">
        <v>3</v>
      </c>
      <c r="E32">
        <v>7</v>
      </c>
      <c r="F32">
        <v>257</v>
      </c>
      <c r="G32">
        <v>125</v>
      </c>
      <c r="H32">
        <v>1</v>
      </c>
      <c r="I32">
        <v>3</v>
      </c>
      <c r="J32">
        <v>129</v>
      </c>
      <c r="K32">
        <v>101</v>
      </c>
      <c r="L32">
        <v>0</v>
      </c>
      <c r="M32">
        <v>1</v>
      </c>
      <c r="N32">
        <v>102</v>
      </c>
    </row>
    <row r="33" spans="2:14" x14ac:dyDescent="0.25">
      <c r="B33" s="14" t="s">
        <v>95</v>
      </c>
      <c r="C33">
        <v>183</v>
      </c>
      <c r="D33">
        <v>2</v>
      </c>
      <c r="E33">
        <v>5</v>
      </c>
      <c r="F33">
        <v>190</v>
      </c>
      <c r="G33">
        <v>90</v>
      </c>
      <c r="H33">
        <v>1</v>
      </c>
      <c r="I33">
        <v>3</v>
      </c>
      <c r="J33">
        <v>94</v>
      </c>
      <c r="K33">
        <v>55</v>
      </c>
      <c r="L33">
        <v>0</v>
      </c>
      <c r="M33">
        <v>1</v>
      </c>
      <c r="N33">
        <v>56</v>
      </c>
    </row>
    <row r="34" spans="2:14" x14ac:dyDescent="0.25">
      <c r="B34" s="14" t="s">
        <v>96</v>
      </c>
      <c r="C34">
        <v>64</v>
      </c>
      <c r="D34">
        <v>1</v>
      </c>
      <c r="E34">
        <v>2</v>
      </c>
      <c r="F34">
        <v>67</v>
      </c>
      <c r="G34">
        <v>35</v>
      </c>
      <c r="H34">
        <v>0</v>
      </c>
      <c r="I34">
        <v>0</v>
      </c>
      <c r="J34">
        <v>35</v>
      </c>
      <c r="K34">
        <v>46</v>
      </c>
      <c r="L34">
        <v>0</v>
      </c>
      <c r="M34">
        <v>0</v>
      </c>
      <c r="N34">
        <v>46</v>
      </c>
    </row>
    <row r="35" spans="2:14" x14ac:dyDescent="0.25">
      <c r="B35" s="10" t="s">
        <v>93</v>
      </c>
      <c r="C35">
        <v>948</v>
      </c>
      <c r="D35">
        <v>19</v>
      </c>
      <c r="E35">
        <v>24</v>
      </c>
      <c r="F35">
        <v>991</v>
      </c>
      <c r="G35">
        <v>944</v>
      </c>
      <c r="H35">
        <v>18</v>
      </c>
      <c r="I35">
        <v>2</v>
      </c>
      <c r="J35">
        <v>964</v>
      </c>
      <c r="K35">
        <v>686</v>
      </c>
      <c r="L35">
        <v>29</v>
      </c>
      <c r="M35">
        <v>4</v>
      </c>
      <c r="N35">
        <v>719</v>
      </c>
    </row>
    <row r="36" spans="2:14" x14ac:dyDescent="0.25">
      <c r="B36" s="14" t="s">
        <v>97</v>
      </c>
      <c r="C36">
        <v>911</v>
      </c>
      <c r="D36">
        <v>18</v>
      </c>
      <c r="E36">
        <v>21</v>
      </c>
      <c r="F36">
        <v>950</v>
      </c>
      <c r="G36">
        <v>811</v>
      </c>
      <c r="H36">
        <v>15</v>
      </c>
      <c r="I36">
        <v>1</v>
      </c>
      <c r="J36">
        <v>827</v>
      </c>
      <c r="K36">
        <v>624</v>
      </c>
      <c r="L36">
        <v>29</v>
      </c>
      <c r="M36">
        <v>3</v>
      </c>
      <c r="N36">
        <v>656</v>
      </c>
    </row>
    <row r="37" spans="2:14" x14ac:dyDescent="0.25">
      <c r="B37" s="14" t="s">
        <v>101</v>
      </c>
      <c r="C37">
        <v>37</v>
      </c>
      <c r="D37">
        <v>1</v>
      </c>
      <c r="E37">
        <v>3</v>
      </c>
      <c r="F37">
        <v>41</v>
      </c>
      <c r="G37">
        <v>130</v>
      </c>
      <c r="H37">
        <v>3</v>
      </c>
      <c r="I37">
        <v>1</v>
      </c>
      <c r="J37">
        <v>134</v>
      </c>
      <c r="K37">
        <v>62</v>
      </c>
      <c r="L37">
        <v>0</v>
      </c>
      <c r="M37">
        <v>1</v>
      </c>
      <c r="N37">
        <v>63</v>
      </c>
    </row>
    <row r="38" spans="2:14" x14ac:dyDescent="0.25">
      <c r="B38" s="14" t="s">
        <v>92</v>
      </c>
      <c r="C38">
        <v>0</v>
      </c>
      <c r="D38">
        <v>0</v>
      </c>
      <c r="E38">
        <v>0</v>
      </c>
      <c r="F38">
        <v>0</v>
      </c>
      <c r="G38">
        <v>3</v>
      </c>
      <c r="H38">
        <v>0</v>
      </c>
      <c r="I38">
        <v>0</v>
      </c>
      <c r="J38">
        <v>3</v>
      </c>
      <c r="K38">
        <v>0</v>
      </c>
      <c r="L38">
        <v>0</v>
      </c>
      <c r="M38">
        <v>0</v>
      </c>
      <c r="N38">
        <v>0</v>
      </c>
    </row>
    <row r="39" spans="2:14" x14ac:dyDescent="0.25">
      <c r="B39" s="10" t="s">
        <v>94</v>
      </c>
      <c r="C39">
        <v>945</v>
      </c>
      <c r="D39">
        <v>16</v>
      </c>
      <c r="E39">
        <v>6</v>
      </c>
      <c r="F39">
        <v>967</v>
      </c>
      <c r="G39">
        <v>1309</v>
      </c>
      <c r="H39">
        <v>10</v>
      </c>
      <c r="I39">
        <v>25</v>
      </c>
      <c r="J39">
        <v>1344</v>
      </c>
      <c r="K39">
        <v>716</v>
      </c>
      <c r="L39">
        <v>23</v>
      </c>
      <c r="M39">
        <v>3</v>
      </c>
      <c r="N39">
        <v>742</v>
      </c>
    </row>
    <row r="40" spans="2:14" x14ac:dyDescent="0.25">
      <c r="B40" s="14" t="s">
        <v>92</v>
      </c>
      <c r="C40">
        <v>1</v>
      </c>
      <c r="D40">
        <v>0</v>
      </c>
      <c r="E40">
        <v>0</v>
      </c>
      <c r="F40">
        <v>1</v>
      </c>
      <c r="G40">
        <v>0</v>
      </c>
      <c r="H40">
        <v>0</v>
      </c>
      <c r="I40">
        <v>0</v>
      </c>
      <c r="J40">
        <v>0</v>
      </c>
      <c r="K40">
        <v>1</v>
      </c>
      <c r="L40">
        <v>0</v>
      </c>
      <c r="M40">
        <v>0</v>
      </c>
      <c r="N40">
        <v>1</v>
      </c>
    </row>
    <row r="41" spans="2:14" x14ac:dyDescent="0.25">
      <c r="B41" s="14" t="s">
        <v>102</v>
      </c>
      <c r="C41">
        <v>72</v>
      </c>
      <c r="D41">
        <v>0</v>
      </c>
      <c r="E41">
        <v>0</v>
      </c>
      <c r="F41">
        <v>72</v>
      </c>
      <c r="G41">
        <v>164</v>
      </c>
      <c r="H41">
        <v>3</v>
      </c>
      <c r="I41">
        <v>1</v>
      </c>
      <c r="J41">
        <v>168</v>
      </c>
      <c r="K41">
        <v>72</v>
      </c>
      <c r="L41">
        <v>0</v>
      </c>
      <c r="M41">
        <v>1</v>
      </c>
      <c r="N41">
        <v>73</v>
      </c>
    </row>
    <row r="42" spans="2:14" x14ac:dyDescent="0.25">
      <c r="B42" s="14" t="s">
        <v>98</v>
      </c>
      <c r="C42">
        <v>872</v>
      </c>
      <c r="D42">
        <v>16</v>
      </c>
      <c r="E42">
        <v>6</v>
      </c>
      <c r="F42">
        <v>894</v>
      </c>
      <c r="G42">
        <v>1145</v>
      </c>
      <c r="H42">
        <v>7</v>
      </c>
      <c r="I42">
        <v>24</v>
      </c>
      <c r="J42">
        <v>1176</v>
      </c>
      <c r="K42">
        <v>643</v>
      </c>
      <c r="L42">
        <v>23</v>
      </c>
      <c r="M42">
        <v>2</v>
      </c>
      <c r="N42">
        <v>668</v>
      </c>
    </row>
    <row r="43" spans="2:14" x14ac:dyDescent="0.25">
      <c r="B43" s="10" t="s">
        <v>49</v>
      </c>
      <c r="C43">
        <v>2140</v>
      </c>
      <c r="D43">
        <v>38</v>
      </c>
      <c r="E43">
        <v>37</v>
      </c>
      <c r="F43">
        <v>2215</v>
      </c>
      <c r="G43">
        <v>2378</v>
      </c>
      <c r="H43">
        <v>29</v>
      </c>
      <c r="I43">
        <v>30</v>
      </c>
      <c r="J43">
        <v>2437</v>
      </c>
      <c r="K43">
        <v>1503</v>
      </c>
      <c r="L43">
        <v>52</v>
      </c>
      <c r="M43">
        <v>8</v>
      </c>
      <c r="N43">
        <v>1563</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C1B2B-847D-416E-A250-9157582A957E}">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156</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92</v>
      </c>
      <c r="J14" s="54" t="s">
        <v>144</v>
      </c>
      <c r="K14" s="54" t="s">
        <v>143</v>
      </c>
      <c r="L14" s="54" t="s">
        <v>142</v>
      </c>
      <c r="M14" s="54" t="s">
        <v>141</v>
      </c>
      <c r="N14" s="54" t="s">
        <v>140</v>
      </c>
      <c r="O14" s="54" t="s">
        <v>139</v>
      </c>
      <c r="P14" s="54" t="s">
        <v>138</v>
      </c>
      <c r="Q14" s="54" t="s">
        <v>92</v>
      </c>
      <c r="R14" s="54" t="s">
        <v>144</v>
      </c>
      <c r="S14" s="54" t="s">
        <v>143</v>
      </c>
      <c r="T14" s="54" t="s">
        <v>142</v>
      </c>
      <c r="U14" s="54" t="s">
        <v>141</v>
      </c>
      <c r="V14" s="54" t="s">
        <v>140</v>
      </c>
      <c r="W14" s="54" t="s">
        <v>139</v>
      </c>
      <c r="X14" s="54" t="s">
        <v>138</v>
      </c>
      <c r="Y14" s="54" t="s">
        <v>92</v>
      </c>
      <c r="Z14" s="54" t="s">
        <v>144</v>
      </c>
      <c r="AA14" s="54" t="s">
        <v>143</v>
      </c>
      <c r="AB14" s="54" t="s">
        <v>142</v>
      </c>
      <c r="AC14" s="54" t="s">
        <v>141</v>
      </c>
      <c r="AD14" s="54" t="s">
        <v>140</v>
      </c>
      <c r="AE14" s="54" t="s">
        <v>139</v>
      </c>
      <c r="AF14" s="54" t="s">
        <v>138</v>
      </c>
      <c r="AG14" s="54" t="s">
        <v>92</v>
      </c>
      <c r="AH14" s="54" t="s">
        <v>144</v>
      </c>
      <c r="AI14" s="54" t="s">
        <v>143</v>
      </c>
      <c r="AJ14" s="54" t="s">
        <v>142</v>
      </c>
      <c r="AK14" s="54" t="s">
        <v>141</v>
      </c>
      <c r="AL14" s="54" t="s">
        <v>140</v>
      </c>
      <c r="AM14" s="54" t="s">
        <v>139</v>
      </c>
      <c r="AN14" s="54" t="s">
        <v>138</v>
      </c>
      <c r="AO14" s="54" t="s">
        <v>92</v>
      </c>
      <c r="AP14" s="54" t="s">
        <v>144</v>
      </c>
      <c r="AQ14" s="54" t="s">
        <v>143</v>
      </c>
      <c r="AR14" s="54" t="s">
        <v>142</v>
      </c>
      <c r="AS14" s="54" t="s">
        <v>141</v>
      </c>
      <c r="AT14" s="54" t="s">
        <v>140</v>
      </c>
      <c r="AU14" s="54" t="s">
        <v>139</v>
      </c>
      <c r="AV14" s="54" t="s">
        <v>138</v>
      </c>
      <c r="AW14" s="54" t="s">
        <v>92</v>
      </c>
      <c r="AX14" s="54" t="s">
        <v>144</v>
      </c>
      <c r="AY14" s="54" t="s">
        <v>143</v>
      </c>
      <c r="AZ14" s="54" t="s">
        <v>142</v>
      </c>
      <c r="BA14" s="54" t="s">
        <v>141</v>
      </c>
      <c r="BB14" s="54" t="s">
        <v>140</v>
      </c>
      <c r="BC14" s="54" t="s">
        <v>139</v>
      </c>
      <c r="BD14" s="54" t="s">
        <v>138</v>
      </c>
      <c r="BE14" s="54" t="s">
        <v>92</v>
      </c>
      <c r="BF14" s="54" t="s">
        <v>144</v>
      </c>
      <c r="BG14" s="54" t="s">
        <v>143</v>
      </c>
      <c r="BH14" s="54" t="s">
        <v>142</v>
      </c>
      <c r="BI14" s="54" t="s">
        <v>141</v>
      </c>
      <c r="BJ14" s="54" t="s">
        <v>140</v>
      </c>
      <c r="BK14" s="54" t="s">
        <v>139</v>
      </c>
      <c r="BL14" s="54" t="s">
        <v>138</v>
      </c>
      <c r="BM14" s="54" t="s">
        <v>92</v>
      </c>
    </row>
    <row r="15" spans="1:65" ht="15" customHeight="1" x14ac:dyDescent="0.2">
      <c r="A15" s="53" t="s">
        <v>137</v>
      </c>
      <c r="B15" s="53" t="s">
        <v>115</v>
      </c>
      <c r="C15" s="53" t="s">
        <v>115</v>
      </c>
      <c r="D15" s="53" t="s">
        <v>115</v>
      </c>
      <c r="E15" s="53" t="s">
        <v>115</v>
      </c>
      <c r="F15" s="53" t="s">
        <v>115</v>
      </c>
      <c r="G15" s="53" t="s">
        <v>115</v>
      </c>
      <c r="H15" s="53" t="s">
        <v>115</v>
      </c>
      <c r="I15" s="53" t="s">
        <v>115</v>
      </c>
      <c r="J15" s="53" t="s">
        <v>115</v>
      </c>
      <c r="K15" s="53">
        <v>26</v>
      </c>
      <c r="L15" s="53" t="s">
        <v>115</v>
      </c>
      <c r="M15" s="53" t="s">
        <v>115</v>
      </c>
      <c r="N15" s="53" t="s">
        <v>115</v>
      </c>
      <c r="O15" s="53">
        <v>10</v>
      </c>
      <c r="P15" s="53" t="s">
        <v>115</v>
      </c>
      <c r="Q15" s="53">
        <v>0</v>
      </c>
      <c r="R15" s="53" t="s">
        <v>115</v>
      </c>
      <c r="S15" s="53" t="s">
        <v>115</v>
      </c>
      <c r="T15" s="53" t="s">
        <v>115</v>
      </c>
      <c r="U15" s="53" t="s">
        <v>115</v>
      </c>
      <c r="V15" s="53" t="s">
        <v>115</v>
      </c>
      <c r="W15" s="53" t="s">
        <v>115</v>
      </c>
      <c r="X15" s="53" t="s">
        <v>115</v>
      </c>
      <c r="Y15" s="53" t="s">
        <v>115</v>
      </c>
      <c r="Z15" s="53" t="s">
        <v>115</v>
      </c>
      <c r="AA15" s="53" t="s">
        <v>115</v>
      </c>
      <c r="AB15" s="53" t="s">
        <v>115</v>
      </c>
      <c r="AC15" s="53">
        <v>168</v>
      </c>
      <c r="AD15" s="53" t="s">
        <v>115</v>
      </c>
      <c r="AE15" s="53">
        <v>2</v>
      </c>
      <c r="AF15" s="53" t="s">
        <v>115</v>
      </c>
      <c r="AG15" s="53">
        <v>0</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v>3</v>
      </c>
      <c r="BH15" s="53" t="s">
        <v>115</v>
      </c>
      <c r="BI15" s="53">
        <v>101</v>
      </c>
      <c r="BJ15" s="53" t="s">
        <v>115</v>
      </c>
      <c r="BK15" s="53" t="s">
        <v>115</v>
      </c>
      <c r="BL15" s="53" t="s">
        <v>115</v>
      </c>
      <c r="BM15" s="53">
        <v>0</v>
      </c>
    </row>
    <row r="16" spans="1:65" ht="15" customHeight="1" x14ac:dyDescent="0.2">
      <c r="A16" s="53" t="s">
        <v>136</v>
      </c>
      <c r="B16" s="53" t="s">
        <v>115</v>
      </c>
      <c r="C16" s="53" t="s">
        <v>115</v>
      </c>
      <c r="D16" s="53" t="s">
        <v>115</v>
      </c>
      <c r="E16" s="53" t="s">
        <v>115</v>
      </c>
      <c r="F16" s="53" t="s">
        <v>115</v>
      </c>
      <c r="G16" s="53" t="s">
        <v>115</v>
      </c>
      <c r="H16" s="53" t="s">
        <v>115</v>
      </c>
      <c r="I16" s="53" t="s">
        <v>115</v>
      </c>
      <c r="J16" s="53" t="s">
        <v>115</v>
      </c>
      <c r="K16" s="53">
        <v>23</v>
      </c>
      <c r="L16" s="53" t="s">
        <v>115</v>
      </c>
      <c r="M16" s="53" t="s">
        <v>115</v>
      </c>
      <c r="N16" s="53" t="s">
        <v>115</v>
      </c>
      <c r="O16" s="53">
        <v>18</v>
      </c>
      <c r="P16" s="53" t="s">
        <v>115</v>
      </c>
      <c r="Q16" s="53">
        <v>0</v>
      </c>
      <c r="R16" s="53" t="s">
        <v>115</v>
      </c>
      <c r="S16" s="53" t="s">
        <v>115</v>
      </c>
      <c r="T16" s="53" t="s">
        <v>115</v>
      </c>
      <c r="U16" s="53" t="s">
        <v>115</v>
      </c>
      <c r="V16" s="53" t="s">
        <v>115</v>
      </c>
      <c r="W16" s="53" t="s">
        <v>115</v>
      </c>
      <c r="X16" s="53" t="s">
        <v>115</v>
      </c>
      <c r="Y16" s="53" t="s">
        <v>115</v>
      </c>
      <c r="Z16" s="53" t="s">
        <v>115</v>
      </c>
      <c r="AA16" s="53" t="s">
        <v>115</v>
      </c>
      <c r="AB16" s="53" t="s">
        <v>115</v>
      </c>
      <c r="AC16" s="53">
        <v>182</v>
      </c>
      <c r="AD16" s="53" t="s">
        <v>115</v>
      </c>
      <c r="AE16" s="53">
        <v>9</v>
      </c>
      <c r="AF16" s="53" t="s">
        <v>115</v>
      </c>
      <c r="AG16" s="53">
        <v>0</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v>5</v>
      </c>
      <c r="BH16" s="53" t="s">
        <v>115</v>
      </c>
      <c r="BI16" s="53">
        <v>129</v>
      </c>
      <c r="BJ16" s="53" t="s">
        <v>115</v>
      </c>
      <c r="BK16" s="53" t="s">
        <v>115</v>
      </c>
      <c r="BL16" s="53" t="s">
        <v>115</v>
      </c>
      <c r="BM16" s="53">
        <v>1</v>
      </c>
    </row>
    <row r="17" spans="1:65" ht="15" customHeight="1" x14ac:dyDescent="0.2">
      <c r="A17" s="53" t="s">
        <v>135</v>
      </c>
      <c r="B17" s="53" t="s">
        <v>115</v>
      </c>
      <c r="C17" s="53" t="s">
        <v>115</v>
      </c>
      <c r="D17" s="53" t="s">
        <v>115</v>
      </c>
      <c r="E17" s="53" t="s">
        <v>115</v>
      </c>
      <c r="F17" s="53" t="s">
        <v>115</v>
      </c>
      <c r="G17" s="53" t="s">
        <v>115</v>
      </c>
      <c r="H17" s="53" t="s">
        <v>115</v>
      </c>
      <c r="I17" s="53" t="s">
        <v>115</v>
      </c>
      <c r="J17" s="53" t="s">
        <v>115</v>
      </c>
      <c r="K17" s="53">
        <v>47</v>
      </c>
      <c r="L17" s="53" t="s">
        <v>115</v>
      </c>
      <c r="M17" s="53" t="s">
        <v>115</v>
      </c>
      <c r="N17" s="53" t="s">
        <v>115</v>
      </c>
      <c r="O17" s="53">
        <v>17</v>
      </c>
      <c r="P17" s="53" t="s">
        <v>115</v>
      </c>
      <c r="Q17" s="53">
        <v>0</v>
      </c>
      <c r="R17" s="53" t="s">
        <v>115</v>
      </c>
      <c r="S17" s="53" t="s">
        <v>115</v>
      </c>
      <c r="T17" s="53" t="s">
        <v>115</v>
      </c>
      <c r="U17" s="53" t="s">
        <v>115</v>
      </c>
      <c r="V17" s="53" t="s">
        <v>115</v>
      </c>
      <c r="W17" s="53" t="s">
        <v>115</v>
      </c>
      <c r="X17" s="53" t="s">
        <v>115</v>
      </c>
      <c r="Y17" s="53" t="s">
        <v>115</v>
      </c>
      <c r="Z17" s="53" t="s">
        <v>115</v>
      </c>
      <c r="AA17" s="53" t="s">
        <v>115</v>
      </c>
      <c r="AB17" s="53" t="s">
        <v>115</v>
      </c>
      <c r="AC17" s="53">
        <v>204</v>
      </c>
      <c r="AD17" s="53" t="s">
        <v>115</v>
      </c>
      <c r="AE17" s="53">
        <v>5</v>
      </c>
      <c r="AF17" s="53" t="s">
        <v>115</v>
      </c>
      <c r="AG17" s="53">
        <v>0</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v>11</v>
      </c>
      <c r="BH17" s="53" t="s">
        <v>115</v>
      </c>
      <c r="BI17" s="53">
        <v>184</v>
      </c>
      <c r="BJ17" s="53" t="s">
        <v>115</v>
      </c>
      <c r="BK17" s="53" t="s">
        <v>115</v>
      </c>
      <c r="BL17" s="53" t="s">
        <v>115</v>
      </c>
      <c r="BM17" s="53">
        <v>0</v>
      </c>
    </row>
    <row r="18" spans="1:65" ht="15" customHeight="1" x14ac:dyDescent="0.2">
      <c r="A18" s="53" t="s">
        <v>134</v>
      </c>
      <c r="B18" s="53" t="s">
        <v>115</v>
      </c>
      <c r="C18" s="53" t="s">
        <v>115</v>
      </c>
      <c r="D18" s="53" t="s">
        <v>115</v>
      </c>
      <c r="E18" s="53" t="s">
        <v>115</v>
      </c>
      <c r="F18" s="53" t="s">
        <v>115</v>
      </c>
      <c r="G18" s="53" t="s">
        <v>115</v>
      </c>
      <c r="H18" s="53" t="s">
        <v>115</v>
      </c>
      <c r="I18" s="53" t="s">
        <v>115</v>
      </c>
      <c r="J18" s="53" t="s">
        <v>115</v>
      </c>
      <c r="K18" s="53">
        <v>64</v>
      </c>
      <c r="L18" s="53" t="s">
        <v>115</v>
      </c>
      <c r="M18" s="53" t="s">
        <v>115</v>
      </c>
      <c r="N18" s="53" t="s">
        <v>115</v>
      </c>
      <c r="O18" s="53">
        <v>11</v>
      </c>
      <c r="P18" s="53" t="s">
        <v>115</v>
      </c>
      <c r="Q18" s="53">
        <v>0</v>
      </c>
      <c r="R18" s="53" t="s">
        <v>115</v>
      </c>
      <c r="S18" s="53" t="s">
        <v>115</v>
      </c>
      <c r="T18" s="53" t="s">
        <v>115</v>
      </c>
      <c r="U18" s="53" t="s">
        <v>115</v>
      </c>
      <c r="V18" s="53" t="s">
        <v>115</v>
      </c>
      <c r="W18" s="53" t="s">
        <v>115</v>
      </c>
      <c r="X18" s="53" t="s">
        <v>115</v>
      </c>
      <c r="Y18" s="53" t="s">
        <v>115</v>
      </c>
      <c r="Z18" s="53" t="s">
        <v>115</v>
      </c>
      <c r="AA18" s="53" t="s">
        <v>115</v>
      </c>
      <c r="AB18" s="53" t="s">
        <v>115</v>
      </c>
      <c r="AC18" s="53">
        <v>255</v>
      </c>
      <c r="AD18" s="53" t="s">
        <v>115</v>
      </c>
      <c r="AE18" s="53">
        <v>8</v>
      </c>
      <c r="AF18" s="53" t="s">
        <v>115</v>
      </c>
      <c r="AG18" s="53">
        <v>0</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v>14</v>
      </c>
      <c r="BH18" s="53" t="s">
        <v>115</v>
      </c>
      <c r="BI18" s="53">
        <v>257</v>
      </c>
      <c r="BJ18" s="53" t="s">
        <v>115</v>
      </c>
      <c r="BK18" s="53" t="s">
        <v>115</v>
      </c>
      <c r="BL18" s="53" t="s">
        <v>115</v>
      </c>
      <c r="BM18" s="53">
        <v>1</v>
      </c>
    </row>
    <row r="19" spans="1:65" ht="15" customHeight="1" x14ac:dyDescent="0.2">
      <c r="A19" s="53" t="s">
        <v>133</v>
      </c>
      <c r="B19" s="53" t="s">
        <v>115</v>
      </c>
      <c r="C19" s="53" t="s">
        <v>115</v>
      </c>
      <c r="D19" s="53" t="s">
        <v>115</v>
      </c>
      <c r="E19" s="53" t="s">
        <v>115</v>
      </c>
      <c r="F19" s="53" t="s">
        <v>115</v>
      </c>
      <c r="G19" s="53" t="s">
        <v>115</v>
      </c>
      <c r="H19" s="53" t="s">
        <v>115</v>
      </c>
      <c r="I19" s="53" t="s">
        <v>115</v>
      </c>
      <c r="J19" s="53" t="s">
        <v>115</v>
      </c>
      <c r="K19" s="53">
        <v>36</v>
      </c>
      <c r="L19" s="53" t="s">
        <v>115</v>
      </c>
      <c r="M19" s="53" t="s">
        <v>115</v>
      </c>
      <c r="N19" s="53" t="s">
        <v>115</v>
      </c>
      <c r="O19" s="53">
        <v>18</v>
      </c>
      <c r="P19" s="53" t="s">
        <v>115</v>
      </c>
      <c r="Q19" s="53">
        <v>0</v>
      </c>
      <c r="R19" s="53" t="s">
        <v>115</v>
      </c>
      <c r="S19" s="53" t="s">
        <v>115</v>
      </c>
      <c r="T19" s="53" t="s">
        <v>115</v>
      </c>
      <c r="U19" s="53" t="s">
        <v>115</v>
      </c>
      <c r="V19" s="53" t="s">
        <v>115</v>
      </c>
      <c r="W19" s="53" t="s">
        <v>115</v>
      </c>
      <c r="X19" s="53" t="s">
        <v>115</v>
      </c>
      <c r="Y19" s="53" t="s">
        <v>115</v>
      </c>
      <c r="Z19" s="53" t="s">
        <v>115</v>
      </c>
      <c r="AA19" s="53" t="s">
        <v>115</v>
      </c>
      <c r="AB19" s="53" t="s">
        <v>115</v>
      </c>
      <c r="AC19" s="53">
        <v>237</v>
      </c>
      <c r="AD19" s="53" t="s">
        <v>115</v>
      </c>
      <c r="AE19" s="53">
        <v>15</v>
      </c>
      <c r="AF19" s="53" t="s">
        <v>115</v>
      </c>
      <c r="AG19" s="53">
        <v>0</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v>14</v>
      </c>
      <c r="BH19" s="53" t="s">
        <v>115</v>
      </c>
      <c r="BI19" s="53">
        <v>223</v>
      </c>
      <c r="BJ19" s="53" t="s">
        <v>115</v>
      </c>
      <c r="BK19" s="53" t="s">
        <v>115</v>
      </c>
      <c r="BL19" s="53" t="s">
        <v>115</v>
      </c>
      <c r="BM19" s="53">
        <v>0</v>
      </c>
    </row>
    <row r="20" spans="1:65" ht="15" customHeight="1" x14ac:dyDescent="0.2">
      <c r="A20" s="53" t="s">
        <v>132</v>
      </c>
      <c r="B20" s="53" t="s">
        <v>115</v>
      </c>
      <c r="C20" s="53" t="s">
        <v>115</v>
      </c>
      <c r="D20" s="53" t="s">
        <v>115</v>
      </c>
      <c r="E20" s="53" t="s">
        <v>115</v>
      </c>
      <c r="F20" s="53" t="s">
        <v>115</v>
      </c>
      <c r="G20" s="53" t="s">
        <v>115</v>
      </c>
      <c r="H20" s="53" t="s">
        <v>115</v>
      </c>
      <c r="I20" s="53" t="s">
        <v>115</v>
      </c>
      <c r="J20" s="53" t="s">
        <v>115</v>
      </c>
      <c r="K20" s="53">
        <v>36</v>
      </c>
      <c r="L20" s="53" t="s">
        <v>115</v>
      </c>
      <c r="M20" s="53" t="s">
        <v>115</v>
      </c>
      <c r="N20" s="53" t="s">
        <v>115</v>
      </c>
      <c r="O20" s="53">
        <v>18</v>
      </c>
      <c r="P20" s="53" t="s">
        <v>115</v>
      </c>
      <c r="Q20" s="53">
        <v>0</v>
      </c>
      <c r="R20" s="53" t="s">
        <v>115</v>
      </c>
      <c r="S20" s="53" t="s">
        <v>115</v>
      </c>
      <c r="T20" s="53" t="s">
        <v>115</v>
      </c>
      <c r="U20" s="53" t="s">
        <v>115</v>
      </c>
      <c r="V20" s="53" t="s">
        <v>115</v>
      </c>
      <c r="W20" s="53" t="s">
        <v>115</v>
      </c>
      <c r="X20" s="53" t="s">
        <v>115</v>
      </c>
      <c r="Y20" s="53" t="s">
        <v>115</v>
      </c>
      <c r="Z20" s="53" t="s">
        <v>115</v>
      </c>
      <c r="AA20" s="53" t="s">
        <v>115</v>
      </c>
      <c r="AB20" s="53" t="s">
        <v>115</v>
      </c>
      <c r="AC20" s="53">
        <v>215</v>
      </c>
      <c r="AD20" s="53" t="s">
        <v>115</v>
      </c>
      <c r="AE20" s="53">
        <v>9</v>
      </c>
      <c r="AF20" s="53" t="s">
        <v>115</v>
      </c>
      <c r="AG20" s="53">
        <v>0</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v>33</v>
      </c>
      <c r="BH20" s="53" t="s">
        <v>115</v>
      </c>
      <c r="BI20" s="53">
        <v>208</v>
      </c>
      <c r="BJ20" s="53" t="s">
        <v>115</v>
      </c>
      <c r="BK20" s="53" t="s">
        <v>115</v>
      </c>
      <c r="BL20" s="53" t="s">
        <v>115</v>
      </c>
      <c r="BM20" s="53">
        <v>0</v>
      </c>
    </row>
    <row r="21" spans="1:65" ht="15" customHeight="1" x14ac:dyDescent="0.2">
      <c r="A21" s="53" t="s">
        <v>131</v>
      </c>
      <c r="B21" s="53" t="s">
        <v>115</v>
      </c>
      <c r="C21" s="53" t="s">
        <v>115</v>
      </c>
      <c r="D21" s="53" t="s">
        <v>115</v>
      </c>
      <c r="E21" s="53" t="s">
        <v>115</v>
      </c>
      <c r="F21" s="53" t="s">
        <v>115</v>
      </c>
      <c r="G21" s="53" t="s">
        <v>115</v>
      </c>
      <c r="H21" s="53" t="s">
        <v>115</v>
      </c>
      <c r="I21" s="53" t="s">
        <v>115</v>
      </c>
      <c r="J21" s="53" t="s">
        <v>115</v>
      </c>
      <c r="K21" s="53">
        <v>28</v>
      </c>
      <c r="L21" s="53" t="s">
        <v>115</v>
      </c>
      <c r="M21" s="53" t="s">
        <v>115</v>
      </c>
      <c r="N21" s="53" t="s">
        <v>115</v>
      </c>
      <c r="O21" s="53">
        <v>16</v>
      </c>
      <c r="P21" s="53" t="s">
        <v>115</v>
      </c>
      <c r="Q21" s="53">
        <v>0</v>
      </c>
      <c r="R21" s="53" t="s">
        <v>115</v>
      </c>
      <c r="S21" s="53" t="s">
        <v>115</v>
      </c>
      <c r="T21" s="53" t="s">
        <v>115</v>
      </c>
      <c r="U21" s="53" t="s">
        <v>115</v>
      </c>
      <c r="V21" s="53" t="s">
        <v>115</v>
      </c>
      <c r="W21" s="53" t="s">
        <v>115</v>
      </c>
      <c r="X21" s="53" t="s">
        <v>115</v>
      </c>
      <c r="Y21" s="53" t="s">
        <v>115</v>
      </c>
      <c r="Z21" s="53" t="s">
        <v>115</v>
      </c>
      <c r="AA21" s="53" t="s">
        <v>115</v>
      </c>
      <c r="AB21" s="53" t="s">
        <v>115</v>
      </c>
      <c r="AC21" s="53">
        <v>217</v>
      </c>
      <c r="AD21" s="53" t="s">
        <v>115</v>
      </c>
      <c r="AE21" s="53">
        <v>14</v>
      </c>
      <c r="AF21" s="53" t="s">
        <v>115</v>
      </c>
      <c r="AG21" s="53">
        <v>1</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v>25</v>
      </c>
      <c r="BH21" s="53" t="s">
        <v>115</v>
      </c>
      <c r="BI21" s="53">
        <v>139</v>
      </c>
      <c r="BJ21" s="53" t="s">
        <v>115</v>
      </c>
      <c r="BK21" s="53" t="s">
        <v>115</v>
      </c>
      <c r="BL21" s="53" t="s">
        <v>115</v>
      </c>
      <c r="BM21" s="53">
        <v>0</v>
      </c>
    </row>
    <row r="22" spans="1:65" ht="15" customHeight="1" x14ac:dyDescent="0.2">
      <c r="A22" s="53" t="s">
        <v>130</v>
      </c>
      <c r="B22" s="53" t="s">
        <v>115</v>
      </c>
      <c r="C22" s="53" t="s">
        <v>115</v>
      </c>
      <c r="D22" s="53" t="s">
        <v>115</v>
      </c>
      <c r="E22" s="53" t="s">
        <v>115</v>
      </c>
      <c r="F22" s="53" t="s">
        <v>115</v>
      </c>
      <c r="G22" s="53" t="s">
        <v>115</v>
      </c>
      <c r="H22" s="53" t="s">
        <v>115</v>
      </c>
      <c r="I22" s="53" t="s">
        <v>115</v>
      </c>
      <c r="J22" s="53" t="s">
        <v>115</v>
      </c>
      <c r="K22" s="53">
        <v>44</v>
      </c>
      <c r="L22" s="53" t="s">
        <v>115</v>
      </c>
      <c r="M22" s="53" t="s">
        <v>115</v>
      </c>
      <c r="N22" s="53" t="s">
        <v>115</v>
      </c>
      <c r="O22" s="53">
        <v>20</v>
      </c>
      <c r="P22" s="53" t="s">
        <v>115</v>
      </c>
      <c r="Q22" s="53">
        <v>0</v>
      </c>
      <c r="R22" s="53" t="s">
        <v>115</v>
      </c>
      <c r="S22" s="53" t="s">
        <v>115</v>
      </c>
      <c r="T22" s="53" t="s">
        <v>115</v>
      </c>
      <c r="U22" s="53" t="s">
        <v>115</v>
      </c>
      <c r="V22" s="53" t="s">
        <v>115</v>
      </c>
      <c r="W22" s="53" t="s">
        <v>115</v>
      </c>
      <c r="X22" s="53" t="s">
        <v>115</v>
      </c>
      <c r="Y22" s="53" t="s">
        <v>115</v>
      </c>
      <c r="Z22" s="53" t="s">
        <v>115</v>
      </c>
      <c r="AA22" s="53" t="s">
        <v>115</v>
      </c>
      <c r="AB22" s="53" t="s">
        <v>115</v>
      </c>
      <c r="AC22" s="53">
        <v>241</v>
      </c>
      <c r="AD22" s="53" t="s">
        <v>115</v>
      </c>
      <c r="AE22" s="53">
        <v>16</v>
      </c>
      <c r="AF22" s="53" t="s">
        <v>115</v>
      </c>
      <c r="AG22" s="53">
        <v>0</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v>22</v>
      </c>
      <c r="BH22" s="53" t="s">
        <v>115</v>
      </c>
      <c r="BI22" s="53">
        <v>149</v>
      </c>
      <c r="BJ22" s="53" t="s">
        <v>115</v>
      </c>
      <c r="BK22" s="53" t="s">
        <v>115</v>
      </c>
      <c r="BL22" s="53" t="s">
        <v>115</v>
      </c>
      <c r="BM22" s="53">
        <v>0</v>
      </c>
    </row>
    <row r="23" spans="1:65" ht="15" customHeight="1" x14ac:dyDescent="0.2">
      <c r="A23" s="53" t="s">
        <v>129</v>
      </c>
      <c r="B23" s="53" t="s">
        <v>115</v>
      </c>
      <c r="C23" s="53" t="s">
        <v>115</v>
      </c>
      <c r="D23" s="53" t="s">
        <v>115</v>
      </c>
      <c r="E23" s="53" t="s">
        <v>115</v>
      </c>
      <c r="F23" s="53" t="s">
        <v>115</v>
      </c>
      <c r="G23" s="53" t="s">
        <v>115</v>
      </c>
      <c r="H23" s="53" t="s">
        <v>115</v>
      </c>
      <c r="I23" s="53" t="s">
        <v>115</v>
      </c>
      <c r="J23" s="53" t="s">
        <v>115</v>
      </c>
      <c r="K23" s="53">
        <v>12</v>
      </c>
      <c r="L23" s="53" t="s">
        <v>115</v>
      </c>
      <c r="M23" s="53" t="s">
        <v>115</v>
      </c>
      <c r="N23" s="53" t="s">
        <v>115</v>
      </c>
      <c r="O23" s="53">
        <v>8</v>
      </c>
      <c r="P23" s="53" t="s">
        <v>115</v>
      </c>
      <c r="Q23" s="53">
        <v>0</v>
      </c>
      <c r="R23" s="53" t="s">
        <v>115</v>
      </c>
      <c r="S23" s="53" t="s">
        <v>115</v>
      </c>
      <c r="T23" s="53" t="s">
        <v>115</v>
      </c>
      <c r="U23" s="53" t="s">
        <v>115</v>
      </c>
      <c r="V23" s="53" t="s">
        <v>115</v>
      </c>
      <c r="W23" s="53" t="s">
        <v>115</v>
      </c>
      <c r="X23" s="53" t="s">
        <v>115</v>
      </c>
      <c r="Y23" s="53" t="s">
        <v>115</v>
      </c>
      <c r="Z23" s="53" t="s">
        <v>115</v>
      </c>
      <c r="AA23" s="53" t="s">
        <v>115</v>
      </c>
      <c r="AB23" s="53" t="s">
        <v>115</v>
      </c>
      <c r="AC23" s="53">
        <v>160</v>
      </c>
      <c r="AD23" s="53" t="s">
        <v>115</v>
      </c>
      <c r="AE23" s="53">
        <v>20</v>
      </c>
      <c r="AF23" s="53" t="s">
        <v>115</v>
      </c>
      <c r="AG23" s="53">
        <v>0</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v>24</v>
      </c>
      <c r="BH23" s="53" t="s">
        <v>115</v>
      </c>
      <c r="BI23" s="53">
        <v>160</v>
      </c>
      <c r="BJ23" s="53" t="s">
        <v>115</v>
      </c>
      <c r="BK23" s="53" t="s">
        <v>115</v>
      </c>
      <c r="BL23" s="53" t="s">
        <v>115</v>
      </c>
      <c r="BM23" s="53">
        <v>0</v>
      </c>
    </row>
    <row r="24" spans="1:65" ht="15" customHeight="1" x14ac:dyDescent="0.2">
      <c r="A24" s="53" t="s">
        <v>128</v>
      </c>
      <c r="B24" s="53" t="s">
        <v>115</v>
      </c>
      <c r="C24" s="53" t="s">
        <v>115</v>
      </c>
      <c r="D24" s="53" t="s">
        <v>115</v>
      </c>
      <c r="E24" s="53" t="s">
        <v>115</v>
      </c>
      <c r="F24" s="53" t="s">
        <v>115</v>
      </c>
      <c r="G24" s="53" t="s">
        <v>115</v>
      </c>
      <c r="H24" s="53" t="s">
        <v>115</v>
      </c>
      <c r="I24" s="53" t="s">
        <v>115</v>
      </c>
      <c r="J24" s="53" t="s">
        <v>115</v>
      </c>
      <c r="K24" s="53">
        <v>16</v>
      </c>
      <c r="L24" s="53" t="s">
        <v>115</v>
      </c>
      <c r="M24" s="53" t="s">
        <v>115</v>
      </c>
      <c r="N24" s="53" t="s">
        <v>115</v>
      </c>
      <c r="O24" s="53">
        <v>11</v>
      </c>
      <c r="P24" s="53" t="s">
        <v>115</v>
      </c>
      <c r="Q24" s="53">
        <v>0</v>
      </c>
      <c r="R24" s="53" t="s">
        <v>115</v>
      </c>
      <c r="S24" s="53" t="s">
        <v>115</v>
      </c>
      <c r="T24" s="53" t="s">
        <v>115</v>
      </c>
      <c r="U24" s="53" t="s">
        <v>115</v>
      </c>
      <c r="V24" s="53" t="s">
        <v>115</v>
      </c>
      <c r="W24" s="53" t="s">
        <v>115</v>
      </c>
      <c r="X24" s="53" t="s">
        <v>115</v>
      </c>
      <c r="Y24" s="53" t="s">
        <v>115</v>
      </c>
      <c r="Z24" s="53" t="s">
        <v>115</v>
      </c>
      <c r="AA24" s="53" t="s">
        <v>115</v>
      </c>
      <c r="AB24" s="53" t="s">
        <v>115</v>
      </c>
      <c r="AC24" s="53">
        <v>151</v>
      </c>
      <c r="AD24" s="53" t="s">
        <v>115</v>
      </c>
      <c r="AE24" s="53">
        <v>12</v>
      </c>
      <c r="AF24" s="53" t="s">
        <v>115</v>
      </c>
      <c r="AG24" s="53">
        <v>0</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v>16</v>
      </c>
      <c r="BH24" s="53" t="s">
        <v>115</v>
      </c>
      <c r="BI24" s="53">
        <v>145</v>
      </c>
      <c r="BJ24" s="53" t="s">
        <v>115</v>
      </c>
      <c r="BK24" s="53" t="s">
        <v>115</v>
      </c>
      <c r="BL24" s="53" t="s">
        <v>115</v>
      </c>
      <c r="BM24" s="53">
        <v>0</v>
      </c>
    </row>
    <row r="25" spans="1:65" ht="15" customHeight="1" x14ac:dyDescent="0.2">
      <c r="A25" s="53" t="s">
        <v>127</v>
      </c>
      <c r="B25" s="53" t="s">
        <v>115</v>
      </c>
      <c r="C25" s="53" t="s">
        <v>115</v>
      </c>
      <c r="D25" s="53" t="s">
        <v>115</v>
      </c>
      <c r="E25" s="53" t="s">
        <v>115</v>
      </c>
      <c r="F25" s="53" t="s">
        <v>115</v>
      </c>
      <c r="G25" s="53" t="s">
        <v>115</v>
      </c>
      <c r="H25" s="53" t="s">
        <v>115</v>
      </c>
      <c r="I25" s="53" t="s">
        <v>115</v>
      </c>
      <c r="J25" s="53" t="s">
        <v>115</v>
      </c>
      <c r="K25" s="53">
        <v>13</v>
      </c>
      <c r="L25" s="53" t="s">
        <v>115</v>
      </c>
      <c r="M25" s="53" t="s">
        <v>115</v>
      </c>
      <c r="N25" s="53" t="s">
        <v>115</v>
      </c>
      <c r="O25" s="53">
        <v>12</v>
      </c>
      <c r="P25" s="53" t="s">
        <v>115</v>
      </c>
      <c r="Q25" s="53">
        <v>0</v>
      </c>
      <c r="R25" s="53" t="s">
        <v>115</v>
      </c>
      <c r="S25" s="53" t="s">
        <v>115</v>
      </c>
      <c r="T25" s="53" t="s">
        <v>115</v>
      </c>
      <c r="U25" s="53" t="s">
        <v>115</v>
      </c>
      <c r="V25" s="53" t="s">
        <v>115</v>
      </c>
      <c r="W25" s="53" t="s">
        <v>115</v>
      </c>
      <c r="X25" s="53" t="s">
        <v>115</v>
      </c>
      <c r="Y25" s="53" t="s">
        <v>115</v>
      </c>
      <c r="Z25" s="53" t="s">
        <v>115</v>
      </c>
      <c r="AA25" s="53" t="s">
        <v>115</v>
      </c>
      <c r="AB25" s="53" t="s">
        <v>115</v>
      </c>
      <c r="AC25" s="53">
        <v>145</v>
      </c>
      <c r="AD25" s="53" t="s">
        <v>115</v>
      </c>
      <c r="AE25" s="53">
        <v>15</v>
      </c>
      <c r="AF25" s="53" t="s">
        <v>115</v>
      </c>
      <c r="AG25" s="53">
        <v>0</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v>14</v>
      </c>
      <c r="BH25" s="53" t="s">
        <v>115</v>
      </c>
      <c r="BI25" s="53">
        <v>166</v>
      </c>
      <c r="BJ25" s="53" t="s">
        <v>115</v>
      </c>
      <c r="BK25" s="53" t="s">
        <v>115</v>
      </c>
      <c r="BL25" s="53" t="s">
        <v>115</v>
      </c>
      <c r="BM25" s="53">
        <v>0</v>
      </c>
    </row>
    <row r="26" spans="1:65" ht="15" customHeight="1" x14ac:dyDescent="0.2">
      <c r="A26" s="53" t="s">
        <v>126</v>
      </c>
      <c r="B26" s="53" t="s">
        <v>115</v>
      </c>
      <c r="C26" s="53" t="s">
        <v>115</v>
      </c>
      <c r="D26" s="53" t="s">
        <v>115</v>
      </c>
      <c r="E26" s="53" t="s">
        <v>115</v>
      </c>
      <c r="F26" s="53" t="s">
        <v>115</v>
      </c>
      <c r="G26" s="53" t="s">
        <v>115</v>
      </c>
      <c r="H26" s="53" t="s">
        <v>115</v>
      </c>
      <c r="I26" s="53" t="s">
        <v>115</v>
      </c>
      <c r="J26" s="53" t="s">
        <v>115</v>
      </c>
      <c r="K26" s="53">
        <v>14</v>
      </c>
      <c r="L26" s="53" t="s">
        <v>115</v>
      </c>
      <c r="M26" s="53" t="s">
        <v>115</v>
      </c>
      <c r="N26" s="53" t="s">
        <v>115</v>
      </c>
      <c r="O26" s="53">
        <v>15</v>
      </c>
      <c r="P26" s="53" t="s">
        <v>115</v>
      </c>
      <c r="Q26" s="53">
        <v>0</v>
      </c>
      <c r="R26" s="53" t="s">
        <v>115</v>
      </c>
      <c r="S26" s="53" t="s">
        <v>115</v>
      </c>
      <c r="T26" s="53" t="s">
        <v>115</v>
      </c>
      <c r="U26" s="53" t="s">
        <v>115</v>
      </c>
      <c r="V26" s="53" t="s">
        <v>115</v>
      </c>
      <c r="W26" s="53" t="s">
        <v>115</v>
      </c>
      <c r="X26" s="53" t="s">
        <v>115</v>
      </c>
      <c r="Y26" s="53" t="s">
        <v>115</v>
      </c>
      <c r="Z26" s="53" t="s">
        <v>115</v>
      </c>
      <c r="AA26" s="53" t="s">
        <v>115</v>
      </c>
      <c r="AB26" s="53" t="s">
        <v>115</v>
      </c>
      <c r="AC26" s="53">
        <v>168</v>
      </c>
      <c r="AD26" s="53" t="s">
        <v>115</v>
      </c>
      <c r="AE26" s="53">
        <v>15</v>
      </c>
      <c r="AF26" s="53" t="s">
        <v>115</v>
      </c>
      <c r="AG26" s="53">
        <v>0</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v>18</v>
      </c>
      <c r="BH26" s="53" t="s">
        <v>115</v>
      </c>
      <c r="BI26" s="53">
        <v>172</v>
      </c>
      <c r="BJ26" s="53" t="s">
        <v>115</v>
      </c>
      <c r="BK26" s="53" t="s">
        <v>115</v>
      </c>
      <c r="BL26" s="53" t="s">
        <v>115</v>
      </c>
      <c r="BM26" s="53">
        <v>1</v>
      </c>
    </row>
    <row r="27" spans="1:65" ht="15" customHeight="1" x14ac:dyDescent="0.2">
      <c r="A27" s="53" t="s">
        <v>125</v>
      </c>
      <c r="B27" s="53" t="s">
        <v>115</v>
      </c>
      <c r="C27" s="53" t="s">
        <v>115</v>
      </c>
      <c r="D27" s="53" t="s">
        <v>115</v>
      </c>
      <c r="E27" s="53" t="s">
        <v>115</v>
      </c>
      <c r="F27" s="53" t="s">
        <v>115</v>
      </c>
      <c r="G27" s="53" t="s">
        <v>115</v>
      </c>
      <c r="H27" s="53" t="s">
        <v>115</v>
      </c>
      <c r="I27" s="53" t="s">
        <v>115</v>
      </c>
      <c r="J27" s="53" t="s">
        <v>115</v>
      </c>
      <c r="K27" s="53">
        <v>0</v>
      </c>
      <c r="L27" s="53" t="s">
        <v>115</v>
      </c>
      <c r="M27" s="53" t="s">
        <v>115</v>
      </c>
      <c r="N27" s="53" t="s">
        <v>115</v>
      </c>
      <c r="O27" s="53">
        <v>0</v>
      </c>
      <c r="P27" s="53" t="s">
        <v>115</v>
      </c>
      <c r="Q27" s="53">
        <v>0</v>
      </c>
      <c r="R27" s="53" t="s">
        <v>115</v>
      </c>
      <c r="S27" s="53" t="s">
        <v>115</v>
      </c>
      <c r="T27" s="53" t="s">
        <v>115</v>
      </c>
      <c r="U27" s="53" t="s">
        <v>115</v>
      </c>
      <c r="V27" s="53" t="s">
        <v>115</v>
      </c>
      <c r="W27" s="53" t="s">
        <v>115</v>
      </c>
      <c r="X27" s="53" t="s">
        <v>115</v>
      </c>
      <c r="Y27" s="53" t="s">
        <v>115</v>
      </c>
      <c r="Z27" s="53" t="s">
        <v>115</v>
      </c>
      <c r="AA27" s="53" t="s">
        <v>115</v>
      </c>
      <c r="AB27" s="53" t="s">
        <v>115</v>
      </c>
      <c r="AC27" s="53">
        <v>0</v>
      </c>
      <c r="AD27" s="53" t="s">
        <v>115</v>
      </c>
      <c r="AE27" s="53">
        <v>0</v>
      </c>
      <c r="AF27" s="53" t="s">
        <v>115</v>
      </c>
      <c r="AG27" s="53">
        <v>0</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v>0</v>
      </c>
      <c r="BH27" s="53" t="s">
        <v>115</v>
      </c>
      <c r="BI27" s="53">
        <v>1</v>
      </c>
      <c r="BJ27" s="53" t="s">
        <v>115</v>
      </c>
      <c r="BK27" s="53" t="s">
        <v>115</v>
      </c>
      <c r="BL27" s="53" t="s">
        <v>115</v>
      </c>
      <c r="BM27" s="53">
        <v>0</v>
      </c>
    </row>
    <row r="28" spans="1:65" ht="15" customHeight="1" x14ac:dyDescent="0.2">
      <c r="A28" s="53" t="s">
        <v>124</v>
      </c>
      <c r="B28" s="53" t="s">
        <v>115</v>
      </c>
      <c r="C28" s="53" t="s">
        <v>115</v>
      </c>
      <c r="D28" s="53" t="s">
        <v>115</v>
      </c>
      <c r="E28" s="53" t="s">
        <v>115</v>
      </c>
      <c r="F28" s="53" t="s">
        <v>115</v>
      </c>
      <c r="G28" s="53" t="s">
        <v>115</v>
      </c>
      <c r="H28" s="53" t="s">
        <v>115</v>
      </c>
      <c r="I28" s="53" t="s">
        <v>115</v>
      </c>
      <c r="J28" s="53" t="s">
        <v>115</v>
      </c>
      <c r="K28" s="53">
        <v>18</v>
      </c>
      <c r="L28" s="53" t="s">
        <v>115</v>
      </c>
      <c r="M28" s="53" t="s">
        <v>115</v>
      </c>
      <c r="N28" s="53" t="s">
        <v>115</v>
      </c>
      <c r="O28" s="53">
        <v>11</v>
      </c>
      <c r="P28" s="53" t="s">
        <v>115</v>
      </c>
      <c r="Q28" s="53">
        <v>0</v>
      </c>
      <c r="R28" s="53" t="s">
        <v>115</v>
      </c>
      <c r="S28" s="53" t="s">
        <v>115</v>
      </c>
      <c r="T28" s="53" t="s">
        <v>115</v>
      </c>
      <c r="U28" s="53" t="s">
        <v>115</v>
      </c>
      <c r="V28" s="53" t="s">
        <v>115</v>
      </c>
      <c r="W28" s="53" t="s">
        <v>115</v>
      </c>
      <c r="X28" s="53" t="s">
        <v>115</v>
      </c>
      <c r="Y28" s="53" t="s">
        <v>115</v>
      </c>
      <c r="Z28" s="53" t="s">
        <v>115</v>
      </c>
      <c r="AA28" s="53" t="s">
        <v>115</v>
      </c>
      <c r="AB28" s="53" t="s">
        <v>115</v>
      </c>
      <c r="AC28" s="53">
        <v>235</v>
      </c>
      <c r="AD28" s="53" t="s">
        <v>115</v>
      </c>
      <c r="AE28" s="53">
        <v>24</v>
      </c>
      <c r="AF28" s="53" t="s">
        <v>115</v>
      </c>
      <c r="AG28" s="53">
        <v>1</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v>26</v>
      </c>
      <c r="BH28" s="53" t="s">
        <v>115</v>
      </c>
      <c r="BI28" s="53">
        <v>195</v>
      </c>
      <c r="BJ28" s="53" t="s">
        <v>115</v>
      </c>
      <c r="BK28" s="53" t="s">
        <v>115</v>
      </c>
      <c r="BL28" s="53" t="s">
        <v>115</v>
      </c>
      <c r="BM28" s="53">
        <v>0</v>
      </c>
    </row>
    <row r="29" spans="1:65" ht="15" customHeight="1" x14ac:dyDescent="0.2">
      <c r="A29" s="53" t="s">
        <v>123</v>
      </c>
      <c r="B29" s="53" t="s">
        <v>115</v>
      </c>
      <c r="C29" s="53" t="s">
        <v>115</v>
      </c>
      <c r="D29" s="53" t="s">
        <v>115</v>
      </c>
      <c r="E29" s="53" t="s">
        <v>115</v>
      </c>
      <c r="F29" s="53" t="s">
        <v>115</v>
      </c>
      <c r="G29" s="53" t="s">
        <v>115</v>
      </c>
      <c r="H29" s="53" t="s">
        <v>115</v>
      </c>
      <c r="I29" s="53" t="s">
        <v>115</v>
      </c>
      <c r="J29" s="53" t="s">
        <v>115</v>
      </c>
      <c r="K29" s="53">
        <v>17</v>
      </c>
      <c r="L29" s="53" t="s">
        <v>115</v>
      </c>
      <c r="M29" s="53" t="s">
        <v>115</v>
      </c>
      <c r="N29" s="53" t="s">
        <v>115</v>
      </c>
      <c r="O29" s="53">
        <v>17</v>
      </c>
      <c r="P29" s="53" t="s">
        <v>115</v>
      </c>
      <c r="Q29" s="53">
        <v>0</v>
      </c>
      <c r="R29" s="53" t="s">
        <v>115</v>
      </c>
      <c r="S29" s="53" t="s">
        <v>115</v>
      </c>
      <c r="T29" s="53" t="s">
        <v>115</v>
      </c>
      <c r="U29" s="53" t="s">
        <v>115</v>
      </c>
      <c r="V29" s="53" t="s">
        <v>115</v>
      </c>
      <c r="W29" s="53" t="s">
        <v>115</v>
      </c>
      <c r="X29" s="53" t="s">
        <v>115</v>
      </c>
      <c r="Y29" s="53" t="s">
        <v>115</v>
      </c>
      <c r="Z29" s="53" t="s">
        <v>115</v>
      </c>
      <c r="AA29" s="53" t="s">
        <v>115</v>
      </c>
      <c r="AB29" s="53" t="s">
        <v>115</v>
      </c>
      <c r="AC29" s="53">
        <v>207</v>
      </c>
      <c r="AD29" s="53" t="s">
        <v>115</v>
      </c>
      <c r="AE29" s="53">
        <v>25</v>
      </c>
      <c r="AF29" s="53" t="s">
        <v>115</v>
      </c>
      <c r="AG29" s="53">
        <v>1</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v>41</v>
      </c>
      <c r="BH29" s="53" t="s">
        <v>115</v>
      </c>
      <c r="BI29" s="53">
        <v>201</v>
      </c>
      <c r="BJ29" s="53" t="s">
        <v>115</v>
      </c>
      <c r="BK29" s="53" t="s">
        <v>115</v>
      </c>
      <c r="BL29" s="53" t="s">
        <v>115</v>
      </c>
      <c r="BM29" s="53">
        <v>0</v>
      </c>
    </row>
    <row r="30" spans="1:65" ht="15" customHeight="1" x14ac:dyDescent="0.2">
      <c r="A30" s="53" t="s">
        <v>122</v>
      </c>
      <c r="B30" s="53" t="s">
        <v>115</v>
      </c>
      <c r="C30" s="53" t="s">
        <v>115</v>
      </c>
      <c r="D30" s="53" t="s">
        <v>115</v>
      </c>
      <c r="E30" s="53" t="s">
        <v>115</v>
      </c>
      <c r="F30" s="53" t="s">
        <v>115</v>
      </c>
      <c r="G30" s="53" t="s">
        <v>115</v>
      </c>
      <c r="H30" s="53" t="s">
        <v>115</v>
      </c>
      <c r="I30" s="53" t="s">
        <v>115</v>
      </c>
      <c r="J30" s="53" t="s">
        <v>115</v>
      </c>
      <c r="K30" s="53">
        <v>13</v>
      </c>
      <c r="L30" s="53" t="s">
        <v>115</v>
      </c>
      <c r="M30" s="53" t="s">
        <v>115</v>
      </c>
      <c r="N30" s="53" t="s">
        <v>115</v>
      </c>
      <c r="O30" s="53">
        <v>6</v>
      </c>
      <c r="P30" s="53" t="s">
        <v>115</v>
      </c>
      <c r="Q30" s="53">
        <v>0</v>
      </c>
      <c r="R30" s="53" t="s">
        <v>115</v>
      </c>
      <c r="S30" s="53" t="s">
        <v>115</v>
      </c>
      <c r="T30" s="53" t="s">
        <v>115</v>
      </c>
      <c r="U30" s="53" t="s">
        <v>115</v>
      </c>
      <c r="V30" s="53" t="s">
        <v>115</v>
      </c>
      <c r="W30" s="53" t="s">
        <v>115</v>
      </c>
      <c r="X30" s="53" t="s">
        <v>115</v>
      </c>
      <c r="Y30" s="53" t="s">
        <v>115</v>
      </c>
      <c r="Z30" s="53" t="s">
        <v>115</v>
      </c>
      <c r="AA30" s="53" t="s">
        <v>115</v>
      </c>
      <c r="AB30" s="53" t="s">
        <v>115</v>
      </c>
      <c r="AC30" s="53">
        <v>201</v>
      </c>
      <c r="AD30" s="53" t="s">
        <v>115</v>
      </c>
      <c r="AE30" s="53">
        <v>24</v>
      </c>
      <c r="AF30" s="53" t="s">
        <v>115</v>
      </c>
      <c r="AG30" s="53">
        <v>1</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v>31</v>
      </c>
      <c r="BH30" s="53" t="s">
        <v>115</v>
      </c>
      <c r="BI30" s="53">
        <v>261</v>
      </c>
      <c r="BJ30" s="53" t="s">
        <v>115</v>
      </c>
      <c r="BK30" s="53" t="s">
        <v>115</v>
      </c>
      <c r="BL30" s="53" t="s">
        <v>115</v>
      </c>
      <c r="BM30" s="53">
        <v>0</v>
      </c>
    </row>
    <row r="31" spans="1:65" ht="15" customHeight="1" x14ac:dyDescent="0.2">
      <c r="A31" s="53" t="s">
        <v>121</v>
      </c>
      <c r="B31" s="53" t="s">
        <v>115</v>
      </c>
      <c r="C31" s="53" t="s">
        <v>115</v>
      </c>
      <c r="D31" s="53" t="s">
        <v>115</v>
      </c>
      <c r="E31" s="53" t="s">
        <v>115</v>
      </c>
      <c r="F31" s="53" t="s">
        <v>115</v>
      </c>
      <c r="G31" s="53" t="s">
        <v>115</v>
      </c>
      <c r="H31" s="53" t="s">
        <v>115</v>
      </c>
      <c r="I31" s="53" t="s">
        <v>115</v>
      </c>
      <c r="J31" s="53" t="s">
        <v>115</v>
      </c>
      <c r="K31" s="53">
        <v>25</v>
      </c>
      <c r="L31" s="53" t="s">
        <v>115</v>
      </c>
      <c r="M31" s="53" t="s">
        <v>115</v>
      </c>
      <c r="N31" s="53" t="s">
        <v>115</v>
      </c>
      <c r="O31" s="53">
        <v>11</v>
      </c>
      <c r="P31" s="53" t="s">
        <v>115</v>
      </c>
      <c r="Q31" s="53">
        <v>0</v>
      </c>
      <c r="R31" s="53" t="s">
        <v>115</v>
      </c>
      <c r="S31" s="53" t="s">
        <v>115</v>
      </c>
      <c r="T31" s="53" t="s">
        <v>115</v>
      </c>
      <c r="U31" s="53" t="s">
        <v>115</v>
      </c>
      <c r="V31" s="53" t="s">
        <v>115</v>
      </c>
      <c r="W31" s="53" t="s">
        <v>115</v>
      </c>
      <c r="X31" s="53" t="s">
        <v>115</v>
      </c>
      <c r="Y31" s="53" t="s">
        <v>115</v>
      </c>
      <c r="Z31" s="53" t="s">
        <v>115</v>
      </c>
      <c r="AA31" s="53" t="s">
        <v>115</v>
      </c>
      <c r="AB31" s="53" t="s">
        <v>115</v>
      </c>
      <c r="AC31" s="53">
        <v>202</v>
      </c>
      <c r="AD31" s="53" t="s">
        <v>115</v>
      </c>
      <c r="AE31" s="53">
        <v>29</v>
      </c>
      <c r="AF31" s="53" t="s">
        <v>115</v>
      </c>
      <c r="AG31" s="53">
        <v>1</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v>34</v>
      </c>
      <c r="BH31" s="53" t="s">
        <v>115</v>
      </c>
      <c r="BI31" s="53">
        <v>281</v>
      </c>
      <c r="BJ31" s="53" t="s">
        <v>115</v>
      </c>
      <c r="BK31" s="53" t="s">
        <v>115</v>
      </c>
      <c r="BL31" s="53" t="s">
        <v>115</v>
      </c>
      <c r="BM31" s="53">
        <v>0</v>
      </c>
    </row>
    <row r="32" spans="1:65" ht="15" customHeight="1" x14ac:dyDescent="0.2">
      <c r="A32" s="53" t="s">
        <v>120</v>
      </c>
      <c r="B32" s="53" t="s">
        <v>115</v>
      </c>
      <c r="C32" s="53" t="s">
        <v>115</v>
      </c>
      <c r="D32" s="53" t="s">
        <v>115</v>
      </c>
      <c r="E32" s="53" t="s">
        <v>115</v>
      </c>
      <c r="F32" s="53" t="s">
        <v>115</v>
      </c>
      <c r="G32" s="53" t="s">
        <v>115</v>
      </c>
      <c r="H32" s="53" t="s">
        <v>115</v>
      </c>
      <c r="I32" s="53" t="s">
        <v>115</v>
      </c>
      <c r="J32" s="53" t="s">
        <v>115</v>
      </c>
      <c r="K32" s="53">
        <v>18</v>
      </c>
      <c r="L32" s="53" t="s">
        <v>115</v>
      </c>
      <c r="M32" s="53" t="s">
        <v>115</v>
      </c>
      <c r="N32" s="53" t="s">
        <v>115</v>
      </c>
      <c r="O32" s="53">
        <v>4</v>
      </c>
      <c r="P32" s="53" t="s">
        <v>115</v>
      </c>
      <c r="Q32" s="53">
        <v>0</v>
      </c>
      <c r="R32" s="53" t="s">
        <v>115</v>
      </c>
      <c r="S32" s="53" t="s">
        <v>115</v>
      </c>
      <c r="T32" s="53" t="s">
        <v>115</v>
      </c>
      <c r="U32" s="53" t="s">
        <v>115</v>
      </c>
      <c r="V32" s="53" t="s">
        <v>115</v>
      </c>
      <c r="W32" s="53" t="s">
        <v>115</v>
      </c>
      <c r="X32" s="53" t="s">
        <v>115</v>
      </c>
      <c r="Y32" s="53" t="s">
        <v>115</v>
      </c>
      <c r="Z32" s="53" t="s">
        <v>115</v>
      </c>
      <c r="AA32" s="53" t="s">
        <v>115</v>
      </c>
      <c r="AB32" s="53" t="s">
        <v>115</v>
      </c>
      <c r="AC32" s="53">
        <v>237</v>
      </c>
      <c r="AD32" s="53" t="s">
        <v>115</v>
      </c>
      <c r="AE32" s="53">
        <v>25</v>
      </c>
      <c r="AF32" s="53" t="s">
        <v>115</v>
      </c>
      <c r="AG32" s="53">
        <v>0</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v>49</v>
      </c>
      <c r="BH32" s="53" t="s">
        <v>115</v>
      </c>
      <c r="BI32" s="53">
        <v>317</v>
      </c>
      <c r="BJ32" s="53" t="s">
        <v>115</v>
      </c>
      <c r="BK32" s="53" t="s">
        <v>115</v>
      </c>
      <c r="BL32" s="53" t="s">
        <v>115</v>
      </c>
      <c r="BM32" s="53">
        <v>0</v>
      </c>
    </row>
    <row r="33" spans="1:65" ht="15" customHeight="1" x14ac:dyDescent="0.2">
      <c r="A33" s="53" t="s">
        <v>119</v>
      </c>
      <c r="B33" s="53" t="s">
        <v>115</v>
      </c>
      <c r="C33" s="53" t="s">
        <v>115</v>
      </c>
      <c r="D33" s="53" t="s">
        <v>115</v>
      </c>
      <c r="E33" s="53" t="s">
        <v>115</v>
      </c>
      <c r="F33" s="53" t="s">
        <v>115</v>
      </c>
      <c r="G33" s="53" t="s">
        <v>115</v>
      </c>
      <c r="H33" s="53" t="s">
        <v>115</v>
      </c>
      <c r="I33" s="53" t="s">
        <v>115</v>
      </c>
      <c r="J33" s="53" t="s">
        <v>115</v>
      </c>
      <c r="K33" s="53">
        <v>19</v>
      </c>
      <c r="L33" s="53" t="s">
        <v>115</v>
      </c>
      <c r="M33" s="53" t="s">
        <v>115</v>
      </c>
      <c r="N33" s="53" t="s">
        <v>115</v>
      </c>
      <c r="O33" s="53">
        <v>7</v>
      </c>
      <c r="P33" s="53" t="s">
        <v>115</v>
      </c>
      <c r="Q33" s="53">
        <v>0</v>
      </c>
      <c r="R33" s="53" t="s">
        <v>115</v>
      </c>
      <c r="S33" s="53" t="s">
        <v>115</v>
      </c>
      <c r="T33" s="53" t="s">
        <v>115</v>
      </c>
      <c r="U33" s="53" t="s">
        <v>115</v>
      </c>
      <c r="V33" s="53" t="s">
        <v>115</v>
      </c>
      <c r="W33" s="53" t="s">
        <v>115</v>
      </c>
      <c r="X33" s="53" t="s">
        <v>115</v>
      </c>
      <c r="Y33" s="53" t="s">
        <v>115</v>
      </c>
      <c r="Z33" s="53" t="s">
        <v>115</v>
      </c>
      <c r="AA33" s="53" t="s">
        <v>115</v>
      </c>
      <c r="AB33" s="53" t="s">
        <v>115</v>
      </c>
      <c r="AC33" s="53">
        <v>171</v>
      </c>
      <c r="AD33" s="53" t="s">
        <v>115</v>
      </c>
      <c r="AE33" s="53">
        <v>38</v>
      </c>
      <c r="AF33" s="53" t="s">
        <v>115</v>
      </c>
      <c r="AG33" s="53">
        <v>1</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v>44</v>
      </c>
      <c r="BH33" s="53" t="s">
        <v>115</v>
      </c>
      <c r="BI33" s="53">
        <v>284</v>
      </c>
      <c r="BJ33" s="53" t="s">
        <v>115</v>
      </c>
      <c r="BK33" s="53" t="s">
        <v>115</v>
      </c>
      <c r="BL33" s="53" t="s">
        <v>115</v>
      </c>
      <c r="BM33" s="53">
        <v>0</v>
      </c>
    </row>
    <row r="34" spans="1:65" ht="15" customHeight="1" x14ac:dyDescent="0.2">
      <c r="A34" s="53" t="s">
        <v>118</v>
      </c>
      <c r="B34" s="53" t="s">
        <v>115</v>
      </c>
      <c r="C34" s="53" t="s">
        <v>115</v>
      </c>
      <c r="D34" s="53" t="s">
        <v>115</v>
      </c>
      <c r="E34" s="53" t="s">
        <v>115</v>
      </c>
      <c r="F34" s="53" t="s">
        <v>115</v>
      </c>
      <c r="G34" s="53" t="s">
        <v>115</v>
      </c>
      <c r="H34" s="53" t="s">
        <v>115</v>
      </c>
      <c r="I34" s="53" t="s">
        <v>115</v>
      </c>
      <c r="J34" s="53" t="s">
        <v>115</v>
      </c>
      <c r="K34" s="53">
        <v>28</v>
      </c>
      <c r="L34" s="53" t="s">
        <v>115</v>
      </c>
      <c r="M34" s="53" t="s">
        <v>115</v>
      </c>
      <c r="N34" s="53" t="s">
        <v>115</v>
      </c>
      <c r="O34" s="53">
        <v>13</v>
      </c>
      <c r="P34" s="53" t="s">
        <v>115</v>
      </c>
      <c r="Q34" s="53">
        <v>0</v>
      </c>
      <c r="R34" s="53" t="s">
        <v>115</v>
      </c>
      <c r="S34" s="53" t="s">
        <v>115</v>
      </c>
      <c r="T34" s="53" t="s">
        <v>115</v>
      </c>
      <c r="U34" s="53" t="s">
        <v>115</v>
      </c>
      <c r="V34" s="53" t="s">
        <v>115</v>
      </c>
      <c r="W34" s="53" t="s">
        <v>115</v>
      </c>
      <c r="X34" s="53" t="s">
        <v>115</v>
      </c>
      <c r="Y34" s="53" t="s">
        <v>115</v>
      </c>
      <c r="Z34" s="53" t="s">
        <v>115</v>
      </c>
      <c r="AA34" s="53" t="s">
        <v>115</v>
      </c>
      <c r="AB34" s="53" t="s">
        <v>115</v>
      </c>
      <c r="AC34" s="53">
        <v>201</v>
      </c>
      <c r="AD34" s="53" t="s">
        <v>115</v>
      </c>
      <c r="AE34" s="53">
        <v>38</v>
      </c>
      <c r="AF34" s="53" t="s">
        <v>115</v>
      </c>
      <c r="AG34" s="53">
        <v>1</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v>37</v>
      </c>
      <c r="BH34" s="53" t="s">
        <v>115</v>
      </c>
      <c r="BI34" s="53">
        <v>263</v>
      </c>
      <c r="BJ34" s="53" t="s">
        <v>115</v>
      </c>
      <c r="BK34" s="53" t="s">
        <v>115</v>
      </c>
      <c r="BL34" s="53" t="s">
        <v>115</v>
      </c>
      <c r="BM34" s="53">
        <v>0</v>
      </c>
    </row>
    <row r="35" spans="1:65" ht="15" customHeight="1" x14ac:dyDescent="0.2">
      <c r="A35" s="53" t="s">
        <v>117</v>
      </c>
      <c r="B35" s="53" t="s">
        <v>115</v>
      </c>
      <c r="C35" s="53" t="s">
        <v>115</v>
      </c>
      <c r="D35" s="53" t="s">
        <v>115</v>
      </c>
      <c r="E35" s="53" t="s">
        <v>115</v>
      </c>
      <c r="F35" s="53" t="s">
        <v>115</v>
      </c>
      <c r="G35" s="53" t="s">
        <v>115</v>
      </c>
      <c r="H35" s="53" t="s">
        <v>115</v>
      </c>
      <c r="I35" s="53" t="s">
        <v>115</v>
      </c>
      <c r="J35" s="53" t="s">
        <v>115</v>
      </c>
      <c r="K35" s="53">
        <v>21</v>
      </c>
      <c r="L35" s="53" t="s">
        <v>115</v>
      </c>
      <c r="M35" s="53" t="s">
        <v>115</v>
      </c>
      <c r="N35" s="53" t="s">
        <v>115</v>
      </c>
      <c r="O35" s="53">
        <v>14</v>
      </c>
      <c r="P35" s="53" t="s">
        <v>115</v>
      </c>
      <c r="Q35" s="53">
        <v>0</v>
      </c>
      <c r="R35" s="53" t="s">
        <v>115</v>
      </c>
      <c r="S35" s="53" t="s">
        <v>115</v>
      </c>
      <c r="T35" s="53" t="s">
        <v>115</v>
      </c>
      <c r="U35" s="53" t="s">
        <v>115</v>
      </c>
      <c r="V35" s="53" t="s">
        <v>115</v>
      </c>
      <c r="W35" s="53" t="s">
        <v>115</v>
      </c>
      <c r="X35" s="53" t="s">
        <v>115</v>
      </c>
      <c r="Y35" s="53" t="s">
        <v>115</v>
      </c>
      <c r="Z35" s="53" t="s">
        <v>115</v>
      </c>
      <c r="AA35" s="53" t="s">
        <v>115</v>
      </c>
      <c r="AB35" s="53" t="s">
        <v>115</v>
      </c>
      <c r="AC35" s="53">
        <v>165</v>
      </c>
      <c r="AD35" s="53" t="s">
        <v>115</v>
      </c>
      <c r="AE35" s="53">
        <v>28</v>
      </c>
      <c r="AF35" s="53" t="s">
        <v>115</v>
      </c>
      <c r="AG35" s="53">
        <v>0</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v>25</v>
      </c>
      <c r="BH35" s="53" t="s">
        <v>115</v>
      </c>
      <c r="BI35" s="53">
        <v>217</v>
      </c>
      <c r="BJ35" s="53" t="s">
        <v>115</v>
      </c>
      <c r="BK35" s="53" t="s">
        <v>115</v>
      </c>
      <c r="BL35" s="53" t="s">
        <v>115</v>
      </c>
      <c r="BM35" s="53">
        <v>0</v>
      </c>
    </row>
    <row r="36" spans="1:65" ht="15" customHeight="1" x14ac:dyDescent="0.2">
      <c r="A36" s="53" t="s">
        <v>116</v>
      </c>
      <c r="B36" s="53" t="s">
        <v>115</v>
      </c>
      <c r="C36" s="53" t="s">
        <v>115</v>
      </c>
      <c r="D36" s="53" t="s">
        <v>115</v>
      </c>
      <c r="E36" s="53" t="s">
        <v>115</v>
      </c>
      <c r="F36" s="53" t="s">
        <v>115</v>
      </c>
      <c r="G36" s="53" t="s">
        <v>115</v>
      </c>
      <c r="H36" s="53" t="s">
        <v>115</v>
      </c>
      <c r="I36" s="53" t="s">
        <v>115</v>
      </c>
      <c r="J36" s="53" t="s">
        <v>115</v>
      </c>
      <c r="K36" s="53">
        <v>0</v>
      </c>
      <c r="L36" s="53" t="s">
        <v>115</v>
      </c>
      <c r="M36" s="53" t="s">
        <v>115</v>
      </c>
      <c r="N36" s="53" t="s">
        <v>115</v>
      </c>
      <c r="O36" s="53">
        <v>0</v>
      </c>
      <c r="P36" s="53" t="s">
        <v>115</v>
      </c>
      <c r="Q36" s="53">
        <v>0</v>
      </c>
      <c r="R36" s="53" t="s">
        <v>115</v>
      </c>
      <c r="S36" s="53" t="s">
        <v>115</v>
      </c>
      <c r="T36" s="53" t="s">
        <v>115</v>
      </c>
      <c r="U36" s="53" t="s">
        <v>115</v>
      </c>
      <c r="V36" s="53" t="s">
        <v>115</v>
      </c>
      <c r="W36" s="53" t="s">
        <v>115</v>
      </c>
      <c r="X36" s="53" t="s">
        <v>115</v>
      </c>
      <c r="Y36" s="53" t="s">
        <v>115</v>
      </c>
      <c r="Z36" s="53" t="s">
        <v>115</v>
      </c>
      <c r="AA36" s="53" t="s">
        <v>115</v>
      </c>
      <c r="AB36" s="53" t="s">
        <v>115</v>
      </c>
      <c r="AC36" s="53">
        <v>0</v>
      </c>
      <c r="AD36" s="53" t="s">
        <v>115</v>
      </c>
      <c r="AE36" s="53">
        <v>0</v>
      </c>
      <c r="AF36" s="53" t="s">
        <v>115</v>
      </c>
      <c r="AG36" s="53">
        <v>0</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v>0</v>
      </c>
      <c r="BH36" s="53" t="s">
        <v>115</v>
      </c>
      <c r="BI36" s="53">
        <v>0</v>
      </c>
      <c r="BJ36" s="53" t="s">
        <v>115</v>
      </c>
      <c r="BK36" s="53" t="s">
        <v>115</v>
      </c>
      <c r="BL36" s="53" t="s">
        <v>115</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1AF0D-688A-4762-958F-3893CE2D22C6}">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156</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92</v>
      </c>
      <c r="J14" s="54" t="s">
        <v>144</v>
      </c>
      <c r="K14" s="54" t="s">
        <v>143</v>
      </c>
      <c r="L14" s="54" t="s">
        <v>142</v>
      </c>
      <c r="M14" s="54" t="s">
        <v>141</v>
      </c>
      <c r="N14" s="54" t="s">
        <v>140</v>
      </c>
      <c r="O14" s="54" t="s">
        <v>139</v>
      </c>
      <c r="P14" s="54" t="s">
        <v>138</v>
      </c>
      <c r="Q14" s="54" t="s">
        <v>92</v>
      </c>
      <c r="R14" s="54" t="s">
        <v>144</v>
      </c>
      <c r="S14" s="54" t="s">
        <v>143</v>
      </c>
      <c r="T14" s="54" t="s">
        <v>142</v>
      </c>
      <c r="U14" s="54" t="s">
        <v>141</v>
      </c>
      <c r="V14" s="54" t="s">
        <v>140</v>
      </c>
      <c r="W14" s="54" t="s">
        <v>139</v>
      </c>
      <c r="X14" s="54" t="s">
        <v>138</v>
      </c>
      <c r="Y14" s="54" t="s">
        <v>92</v>
      </c>
      <c r="Z14" s="54" t="s">
        <v>144</v>
      </c>
      <c r="AA14" s="54" t="s">
        <v>143</v>
      </c>
      <c r="AB14" s="54" t="s">
        <v>142</v>
      </c>
      <c r="AC14" s="54" t="s">
        <v>141</v>
      </c>
      <c r="AD14" s="54" t="s">
        <v>140</v>
      </c>
      <c r="AE14" s="54" t="s">
        <v>139</v>
      </c>
      <c r="AF14" s="54" t="s">
        <v>138</v>
      </c>
      <c r="AG14" s="54" t="s">
        <v>92</v>
      </c>
      <c r="AH14" s="54" t="s">
        <v>144</v>
      </c>
      <c r="AI14" s="54" t="s">
        <v>143</v>
      </c>
      <c r="AJ14" s="54" t="s">
        <v>142</v>
      </c>
      <c r="AK14" s="54" t="s">
        <v>141</v>
      </c>
      <c r="AL14" s="54" t="s">
        <v>140</v>
      </c>
      <c r="AM14" s="54" t="s">
        <v>139</v>
      </c>
      <c r="AN14" s="54" t="s">
        <v>138</v>
      </c>
      <c r="AO14" s="54" t="s">
        <v>92</v>
      </c>
      <c r="AP14" s="54" t="s">
        <v>144</v>
      </c>
      <c r="AQ14" s="54" t="s">
        <v>143</v>
      </c>
      <c r="AR14" s="54" t="s">
        <v>142</v>
      </c>
      <c r="AS14" s="54" t="s">
        <v>141</v>
      </c>
      <c r="AT14" s="54" t="s">
        <v>140</v>
      </c>
      <c r="AU14" s="54" t="s">
        <v>139</v>
      </c>
      <c r="AV14" s="54" t="s">
        <v>138</v>
      </c>
      <c r="AW14" s="54" t="s">
        <v>92</v>
      </c>
      <c r="AX14" s="54" t="s">
        <v>144</v>
      </c>
      <c r="AY14" s="54" t="s">
        <v>143</v>
      </c>
      <c r="AZ14" s="54" t="s">
        <v>142</v>
      </c>
      <c r="BA14" s="54" t="s">
        <v>141</v>
      </c>
      <c r="BB14" s="54" t="s">
        <v>140</v>
      </c>
      <c r="BC14" s="54" t="s">
        <v>139</v>
      </c>
      <c r="BD14" s="54" t="s">
        <v>138</v>
      </c>
      <c r="BE14" s="54" t="s">
        <v>92</v>
      </c>
      <c r="BF14" s="54" t="s">
        <v>144</v>
      </c>
      <c r="BG14" s="54" t="s">
        <v>143</v>
      </c>
      <c r="BH14" s="54" t="s">
        <v>142</v>
      </c>
      <c r="BI14" s="54" t="s">
        <v>141</v>
      </c>
      <c r="BJ14" s="54" t="s">
        <v>140</v>
      </c>
      <c r="BK14" s="54" t="s">
        <v>139</v>
      </c>
      <c r="BL14" s="54" t="s">
        <v>138</v>
      </c>
      <c r="BM14" s="54" t="s">
        <v>92</v>
      </c>
    </row>
    <row r="15" spans="1:65" ht="15" customHeight="1" x14ac:dyDescent="0.2">
      <c r="A15" s="53" t="s">
        <v>137</v>
      </c>
      <c r="B15" s="53" t="s">
        <v>115</v>
      </c>
      <c r="C15" s="53" t="s">
        <v>115</v>
      </c>
      <c r="D15" s="53" t="s">
        <v>115</v>
      </c>
      <c r="E15" s="53" t="s">
        <v>115</v>
      </c>
      <c r="F15" s="53" t="s">
        <v>115</v>
      </c>
      <c r="G15" s="53" t="s">
        <v>115</v>
      </c>
      <c r="H15" s="53" t="s">
        <v>115</v>
      </c>
      <c r="I15" s="53" t="s">
        <v>115</v>
      </c>
      <c r="J15" s="53" t="s">
        <v>115</v>
      </c>
      <c r="K15" s="53">
        <v>0</v>
      </c>
      <c r="L15" s="53" t="s">
        <v>115</v>
      </c>
      <c r="M15" s="53" t="s">
        <v>115</v>
      </c>
      <c r="N15" s="53" t="s">
        <v>115</v>
      </c>
      <c r="O15" s="53">
        <v>0</v>
      </c>
      <c r="P15" s="53" t="s">
        <v>115</v>
      </c>
      <c r="Q15" s="53">
        <v>0</v>
      </c>
      <c r="R15" s="53" t="s">
        <v>115</v>
      </c>
      <c r="S15" s="53" t="s">
        <v>115</v>
      </c>
      <c r="T15" s="53" t="s">
        <v>115</v>
      </c>
      <c r="U15" s="53" t="s">
        <v>115</v>
      </c>
      <c r="V15" s="53" t="s">
        <v>115</v>
      </c>
      <c r="W15" s="53" t="s">
        <v>115</v>
      </c>
      <c r="X15" s="53" t="s">
        <v>115</v>
      </c>
      <c r="Y15" s="53" t="s">
        <v>115</v>
      </c>
      <c r="Z15" s="53" t="s">
        <v>115</v>
      </c>
      <c r="AA15" s="53" t="s">
        <v>115</v>
      </c>
      <c r="AB15" s="53" t="s">
        <v>115</v>
      </c>
      <c r="AC15" s="53">
        <v>4</v>
      </c>
      <c r="AD15" s="53" t="s">
        <v>115</v>
      </c>
      <c r="AE15" s="53">
        <v>0</v>
      </c>
      <c r="AF15" s="53" t="s">
        <v>115</v>
      </c>
      <c r="AG15" s="53">
        <v>0</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v>0</v>
      </c>
      <c r="BH15" s="53" t="s">
        <v>115</v>
      </c>
      <c r="BI15" s="53">
        <v>5</v>
      </c>
      <c r="BJ15" s="53" t="s">
        <v>115</v>
      </c>
      <c r="BK15" s="53" t="s">
        <v>115</v>
      </c>
      <c r="BL15" s="53" t="s">
        <v>115</v>
      </c>
      <c r="BM15" s="53">
        <v>0</v>
      </c>
    </row>
    <row r="16" spans="1:65" ht="15" customHeight="1" x14ac:dyDescent="0.2">
      <c r="A16" s="53" t="s">
        <v>136</v>
      </c>
      <c r="B16" s="53" t="s">
        <v>115</v>
      </c>
      <c r="C16" s="53" t="s">
        <v>115</v>
      </c>
      <c r="D16" s="53" t="s">
        <v>115</v>
      </c>
      <c r="E16" s="53" t="s">
        <v>115</v>
      </c>
      <c r="F16" s="53" t="s">
        <v>115</v>
      </c>
      <c r="G16" s="53" t="s">
        <v>115</v>
      </c>
      <c r="H16" s="53" t="s">
        <v>115</v>
      </c>
      <c r="I16" s="53" t="s">
        <v>115</v>
      </c>
      <c r="J16" s="53" t="s">
        <v>115</v>
      </c>
      <c r="K16" s="53">
        <v>0</v>
      </c>
      <c r="L16" s="53" t="s">
        <v>115</v>
      </c>
      <c r="M16" s="53" t="s">
        <v>115</v>
      </c>
      <c r="N16" s="53" t="s">
        <v>115</v>
      </c>
      <c r="O16" s="53">
        <v>0</v>
      </c>
      <c r="P16" s="53" t="s">
        <v>115</v>
      </c>
      <c r="Q16" s="53">
        <v>0</v>
      </c>
      <c r="R16" s="53" t="s">
        <v>115</v>
      </c>
      <c r="S16" s="53" t="s">
        <v>115</v>
      </c>
      <c r="T16" s="53" t="s">
        <v>115</v>
      </c>
      <c r="U16" s="53" t="s">
        <v>115</v>
      </c>
      <c r="V16" s="53" t="s">
        <v>115</v>
      </c>
      <c r="W16" s="53" t="s">
        <v>115</v>
      </c>
      <c r="X16" s="53" t="s">
        <v>115</v>
      </c>
      <c r="Y16" s="53" t="s">
        <v>115</v>
      </c>
      <c r="Z16" s="53" t="s">
        <v>115</v>
      </c>
      <c r="AA16" s="53" t="s">
        <v>115</v>
      </c>
      <c r="AB16" s="53" t="s">
        <v>115</v>
      </c>
      <c r="AC16" s="53">
        <v>5</v>
      </c>
      <c r="AD16" s="53" t="s">
        <v>115</v>
      </c>
      <c r="AE16" s="53">
        <v>0</v>
      </c>
      <c r="AF16" s="53" t="s">
        <v>115</v>
      </c>
      <c r="AG16" s="53">
        <v>0</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v>0</v>
      </c>
      <c r="BH16" s="53" t="s">
        <v>115</v>
      </c>
      <c r="BI16" s="53">
        <v>9</v>
      </c>
      <c r="BJ16" s="53" t="s">
        <v>115</v>
      </c>
      <c r="BK16" s="53" t="s">
        <v>115</v>
      </c>
      <c r="BL16" s="53" t="s">
        <v>115</v>
      </c>
      <c r="BM16" s="53">
        <v>0</v>
      </c>
    </row>
    <row r="17" spans="1:65" ht="15" customHeight="1" x14ac:dyDescent="0.2">
      <c r="A17" s="53" t="s">
        <v>135</v>
      </c>
      <c r="B17" s="53" t="s">
        <v>115</v>
      </c>
      <c r="C17" s="53" t="s">
        <v>115</v>
      </c>
      <c r="D17" s="53" t="s">
        <v>115</v>
      </c>
      <c r="E17" s="53" t="s">
        <v>115</v>
      </c>
      <c r="F17" s="53" t="s">
        <v>115</v>
      </c>
      <c r="G17" s="53" t="s">
        <v>115</v>
      </c>
      <c r="H17" s="53" t="s">
        <v>115</v>
      </c>
      <c r="I17" s="53" t="s">
        <v>115</v>
      </c>
      <c r="J17" s="53" t="s">
        <v>115</v>
      </c>
      <c r="K17" s="53">
        <v>0</v>
      </c>
      <c r="L17" s="53" t="s">
        <v>115</v>
      </c>
      <c r="M17" s="53" t="s">
        <v>115</v>
      </c>
      <c r="N17" s="53" t="s">
        <v>115</v>
      </c>
      <c r="O17" s="53">
        <v>0</v>
      </c>
      <c r="P17" s="53" t="s">
        <v>115</v>
      </c>
      <c r="Q17" s="53">
        <v>0</v>
      </c>
      <c r="R17" s="53" t="s">
        <v>115</v>
      </c>
      <c r="S17" s="53" t="s">
        <v>115</v>
      </c>
      <c r="T17" s="53" t="s">
        <v>115</v>
      </c>
      <c r="U17" s="53" t="s">
        <v>115</v>
      </c>
      <c r="V17" s="53" t="s">
        <v>115</v>
      </c>
      <c r="W17" s="53" t="s">
        <v>115</v>
      </c>
      <c r="X17" s="53" t="s">
        <v>115</v>
      </c>
      <c r="Y17" s="53" t="s">
        <v>115</v>
      </c>
      <c r="Z17" s="53" t="s">
        <v>115</v>
      </c>
      <c r="AA17" s="53" t="s">
        <v>115</v>
      </c>
      <c r="AB17" s="53" t="s">
        <v>115</v>
      </c>
      <c r="AC17" s="53">
        <v>4</v>
      </c>
      <c r="AD17" s="53" t="s">
        <v>115</v>
      </c>
      <c r="AE17" s="53">
        <v>0</v>
      </c>
      <c r="AF17" s="53" t="s">
        <v>115</v>
      </c>
      <c r="AG17" s="53">
        <v>0</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v>0</v>
      </c>
      <c r="BH17" s="53" t="s">
        <v>115</v>
      </c>
      <c r="BI17" s="53">
        <v>4</v>
      </c>
      <c r="BJ17" s="53" t="s">
        <v>115</v>
      </c>
      <c r="BK17" s="53" t="s">
        <v>115</v>
      </c>
      <c r="BL17" s="53" t="s">
        <v>115</v>
      </c>
      <c r="BM17" s="53">
        <v>0</v>
      </c>
    </row>
    <row r="18" spans="1:65" ht="15" customHeight="1" x14ac:dyDescent="0.2">
      <c r="A18" s="53" t="s">
        <v>134</v>
      </c>
      <c r="B18" s="53" t="s">
        <v>115</v>
      </c>
      <c r="C18" s="53" t="s">
        <v>115</v>
      </c>
      <c r="D18" s="53" t="s">
        <v>115</v>
      </c>
      <c r="E18" s="53" t="s">
        <v>115</v>
      </c>
      <c r="F18" s="53" t="s">
        <v>115</v>
      </c>
      <c r="G18" s="53" t="s">
        <v>115</v>
      </c>
      <c r="H18" s="53" t="s">
        <v>115</v>
      </c>
      <c r="I18" s="53" t="s">
        <v>115</v>
      </c>
      <c r="J18" s="53" t="s">
        <v>115</v>
      </c>
      <c r="K18" s="53">
        <v>1</v>
      </c>
      <c r="L18" s="53" t="s">
        <v>115</v>
      </c>
      <c r="M18" s="53" t="s">
        <v>115</v>
      </c>
      <c r="N18" s="53" t="s">
        <v>115</v>
      </c>
      <c r="O18" s="53">
        <v>0</v>
      </c>
      <c r="P18" s="53" t="s">
        <v>115</v>
      </c>
      <c r="Q18" s="53">
        <v>0</v>
      </c>
      <c r="R18" s="53" t="s">
        <v>115</v>
      </c>
      <c r="S18" s="53" t="s">
        <v>115</v>
      </c>
      <c r="T18" s="53" t="s">
        <v>115</v>
      </c>
      <c r="U18" s="53" t="s">
        <v>115</v>
      </c>
      <c r="V18" s="53" t="s">
        <v>115</v>
      </c>
      <c r="W18" s="53" t="s">
        <v>115</v>
      </c>
      <c r="X18" s="53" t="s">
        <v>115</v>
      </c>
      <c r="Y18" s="53" t="s">
        <v>115</v>
      </c>
      <c r="Z18" s="53" t="s">
        <v>115</v>
      </c>
      <c r="AA18" s="53" t="s">
        <v>115</v>
      </c>
      <c r="AB18" s="53" t="s">
        <v>115</v>
      </c>
      <c r="AC18" s="53">
        <v>3</v>
      </c>
      <c r="AD18" s="53" t="s">
        <v>115</v>
      </c>
      <c r="AE18" s="53">
        <v>0</v>
      </c>
      <c r="AF18" s="53" t="s">
        <v>115</v>
      </c>
      <c r="AG18" s="53">
        <v>0</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v>0</v>
      </c>
      <c r="BH18" s="53" t="s">
        <v>115</v>
      </c>
      <c r="BI18" s="53">
        <v>3</v>
      </c>
      <c r="BJ18" s="53" t="s">
        <v>115</v>
      </c>
      <c r="BK18" s="53" t="s">
        <v>115</v>
      </c>
      <c r="BL18" s="53" t="s">
        <v>115</v>
      </c>
      <c r="BM18" s="53">
        <v>0</v>
      </c>
    </row>
    <row r="19" spans="1:65" ht="15" customHeight="1" x14ac:dyDescent="0.2">
      <c r="A19" s="53" t="s">
        <v>133</v>
      </c>
      <c r="B19" s="53" t="s">
        <v>115</v>
      </c>
      <c r="C19" s="53" t="s">
        <v>115</v>
      </c>
      <c r="D19" s="53" t="s">
        <v>115</v>
      </c>
      <c r="E19" s="53" t="s">
        <v>115</v>
      </c>
      <c r="F19" s="53" t="s">
        <v>115</v>
      </c>
      <c r="G19" s="53" t="s">
        <v>115</v>
      </c>
      <c r="H19" s="53" t="s">
        <v>115</v>
      </c>
      <c r="I19" s="53" t="s">
        <v>115</v>
      </c>
      <c r="J19" s="53" t="s">
        <v>115</v>
      </c>
      <c r="K19" s="53">
        <v>0</v>
      </c>
      <c r="L19" s="53" t="s">
        <v>115</v>
      </c>
      <c r="M19" s="53" t="s">
        <v>115</v>
      </c>
      <c r="N19" s="53" t="s">
        <v>115</v>
      </c>
      <c r="O19" s="53">
        <v>1</v>
      </c>
      <c r="P19" s="53" t="s">
        <v>115</v>
      </c>
      <c r="Q19" s="53">
        <v>0</v>
      </c>
      <c r="R19" s="53" t="s">
        <v>115</v>
      </c>
      <c r="S19" s="53" t="s">
        <v>115</v>
      </c>
      <c r="T19" s="53" t="s">
        <v>115</v>
      </c>
      <c r="U19" s="53" t="s">
        <v>115</v>
      </c>
      <c r="V19" s="53" t="s">
        <v>115</v>
      </c>
      <c r="W19" s="53" t="s">
        <v>115</v>
      </c>
      <c r="X19" s="53" t="s">
        <v>115</v>
      </c>
      <c r="Y19" s="53" t="s">
        <v>115</v>
      </c>
      <c r="Z19" s="53" t="s">
        <v>115</v>
      </c>
      <c r="AA19" s="53" t="s">
        <v>115</v>
      </c>
      <c r="AB19" s="53" t="s">
        <v>115</v>
      </c>
      <c r="AC19" s="53">
        <v>7</v>
      </c>
      <c r="AD19" s="53" t="s">
        <v>115</v>
      </c>
      <c r="AE19" s="53">
        <v>1</v>
      </c>
      <c r="AF19" s="53" t="s">
        <v>115</v>
      </c>
      <c r="AG19" s="53">
        <v>0</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v>0</v>
      </c>
      <c r="BH19" s="53" t="s">
        <v>115</v>
      </c>
      <c r="BI19" s="53">
        <v>4</v>
      </c>
      <c r="BJ19" s="53" t="s">
        <v>115</v>
      </c>
      <c r="BK19" s="53" t="s">
        <v>115</v>
      </c>
      <c r="BL19" s="53" t="s">
        <v>115</v>
      </c>
      <c r="BM19" s="53">
        <v>0</v>
      </c>
    </row>
    <row r="20" spans="1:65" ht="15" customHeight="1" x14ac:dyDescent="0.2">
      <c r="A20" s="53" t="s">
        <v>132</v>
      </c>
      <c r="B20" s="53" t="s">
        <v>115</v>
      </c>
      <c r="C20" s="53" t="s">
        <v>115</v>
      </c>
      <c r="D20" s="53" t="s">
        <v>115</v>
      </c>
      <c r="E20" s="53" t="s">
        <v>115</v>
      </c>
      <c r="F20" s="53" t="s">
        <v>115</v>
      </c>
      <c r="G20" s="53" t="s">
        <v>115</v>
      </c>
      <c r="H20" s="53" t="s">
        <v>115</v>
      </c>
      <c r="I20" s="53" t="s">
        <v>115</v>
      </c>
      <c r="J20" s="53" t="s">
        <v>115</v>
      </c>
      <c r="K20" s="53">
        <v>1</v>
      </c>
      <c r="L20" s="53" t="s">
        <v>115</v>
      </c>
      <c r="M20" s="53" t="s">
        <v>115</v>
      </c>
      <c r="N20" s="53" t="s">
        <v>115</v>
      </c>
      <c r="O20" s="53">
        <v>0</v>
      </c>
      <c r="P20" s="53" t="s">
        <v>115</v>
      </c>
      <c r="Q20" s="53">
        <v>0</v>
      </c>
      <c r="R20" s="53" t="s">
        <v>115</v>
      </c>
      <c r="S20" s="53" t="s">
        <v>115</v>
      </c>
      <c r="T20" s="53" t="s">
        <v>115</v>
      </c>
      <c r="U20" s="53" t="s">
        <v>115</v>
      </c>
      <c r="V20" s="53" t="s">
        <v>115</v>
      </c>
      <c r="W20" s="53" t="s">
        <v>115</v>
      </c>
      <c r="X20" s="53" t="s">
        <v>115</v>
      </c>
      <c r="Y20" s="53" t="s">
        <v>115</v>
      </c>
      <c r="Z20" s="53" t="s">
        <v>115</v>
      </c>
      <c r="AA20" s="53" t="s">
        <v>115</v>
      </c>
      <c r="AB20" s="53" t="s">
        <v>115</v>
      </c>
      <c r="AC20" s="53">
        <v>4</v>
      </c>
      <c r="AD20" s="53" t="s">
        <v>115</v>
      </c>
      <c r="AE20" s="53">
        <v>0</v>
      </c>
      <c r="AF20" s="53" t="s">
        <v>115</v>
      </c>
      <c r="AG20" s="53">
        <v>0</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v>0</v>
      </c>
      <c r="BH20" s="53" t="s">
        <v>115</v>
      </c>
      <c r="BI20" s="53">
        <v>5</v>
      </c>
      <c r="BJ20" s="53" t="s">
        <v>115</v>
      </c>
      <c r="BK20" s="53" t="s">
        <v>115</v>
      </c>
      <c r="BL20" s="53" t="s">
        <v>115</v>
      </c>
      <c r="BM20" s="53">
        <v>0</v>
      </c>
    </row>
    <row r="21" spans="1:65" ht="15" customHeight="1" x14ac:dyDescent="0.2">
      <c r="A21" s="53" t="s">
        <v>131</v>
      </c>
      <c r="B21" s="53" t="s">
        <v>115</v>
      </c>
      <c r="C21" s="53" t="s">
        <v>115</v>
      </c>
      <c r="D21" s="53" t="s">
        <v>115</v>
      </c>
      <c r="E21" s="53" t="s">
        <v>115</v>
      </c>
      <c r="F21" s="53" t="s">
        <v>115</v>
      </c>
      <c r="G21" s="53" t="s">
        <v>115</v>
      </c>
      <c r="H21" s="53" t="s">
        <v>115</v>
      </c>
      <c r="I21" s="53" t="s">
        <v>115</v>
      </c>
      <c r="J21" s="53" t="s">
        <v>115</v>
      </c>
      <c r="K21" s="53">
        <v>1</v>
      </c>
      <c r="L21" s="53" t="s">
        <v>115</v>
      </c>
      <c r="M21" s="53" t="s">
        <v>115</v>
      </c>
      <c r="N21" s="53" t="s">
        <v>115</v>
      </c>
      <c r="O21" s="53">
        <v>0</v>
      </c>
      <c r="P21" s="53" t="s">
        <v>115</v>
      </c>
      <c r="Q21" s="53">
        <v>0</v>
      </c>
      <c r="R21" s="53" t="s">
        <v>115</v>
      </c>
      <c r="S21" s="53" t="s">
        <v>115</v>
      </c>
      <c r="T21" s="53" t="s">
        <v>115</v>
      </c>
      <c r="U21" s="53" t="s">
        <v>115</v>
      </c>
      <c r="V21" s="53" t="s">
        <v>115</v>
      </c>
      <c r="W21" s="53" t="s">
        <v>115</v>
      </c>
      <c r="X21" s="53" t="s">
        <v>115</v>
      </c>
      <c r="Y21" s="53" t="s">
        <v>115</v>
      </c>
      <c r="Z21" s="53" t="s">
        <v>115</v>
      </c>
      <c r="AA21" s="53" t="s">
        <v>115</v>
      </c>
      <c r="AB21" s="53" t="s">
        <v>115</v>
      </c>
      <c r="AC21" s="53">
        <v>9</v>
      </c>
      <c r="AD21" s="53" t="s">
        <v>115</v>
      </c>
      <c r="AE21" s="53">
        <v>0</v>
      </c>
      <c r="AF21" s="53" t="s">
        <v>115</v>
      </c>
      <c r="AG21" s="53">
        <v>0</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v>0</v>
      </c>
      <c r="BH21" s="53" t="s">
        <v>115</v>
      </c>
      <c r="BI21" s="53">
        <v>9</v>
      </c>
      <c r="BJ21" s="53" t="s">
        <v>115</v>
      </c>
      <c r="BK21" s="53" t="s">
        <v>115</v>
      </c>
      <c r="BL21" s="53" t="s">
        <v>115</v>
      </c>
      <c r="BM21" s="53">
        <v>0</v>
      </c>
    </row>
    <row r="22" spans="1:65" ht="15" customHeight="1" x14ac:dyDescent="0.2">
      <c r="A22" s="53" t="s">
        <v>130</v>
      </c>
      <c r="B22" s="53" t="s">
        <v>115</v>
      </c>
      <c r="C22" s="53" t="s">
        <v>115</v>
      </c>
      <c r="D22" s="53" t="s">
        <v>115</v>
      </c>
      <c r="E22" s="53" t="s">
        <v>115</v>
      </c>
      <c r="F22" s="53" t="s">
        <v>115</v>
      </c>
      <c r="G22" s="53" t="s">
        <v>115</v>
      </c>
      <c r="H22" s="53" t="s">
        <v>115</v>
      </c>
      <c r="I22" s="53" t="s">
        <v>115</v>
      </c>
      <c r="J22" s="53" t="s">
        <v>115</v>
      </c>
      <c r="K22" s="53">
        <v>0</v>
      </c>
      <c r="L22" s="53" t="s">
        <v>115</v>
      </c>
      <c r="M22" s="53" t="s">
        <v>115</v>
      </c>
      <c r="N22" s="53" t="s">
        <v>115</v>
      </c>
      <c r="O22" s="53">
        <v>0</v>
      </c>
      <c r="P22" s="53" t="s">
        <v>115</v>
      </c>
      <c r="Q22" s="53">
        <v>0</v>
      </c>
      <c r="R22" s="53" t="s">
        <v>115</v>
      </c>
      <c r="S22" s="53" t="s">
        <v>115</v>
      </c>
      <c r="T22" s="53" t="s">
        <v>115</v>
      </c>
      <c r="U22" s="53" t="s">
        <v>115</v>
      </c>
      <c r="V22" s="53" t="s">
        <v>115</v>
      </c>
      <c r="W22" s="53" t="s">
        <v>115</v>
      </c>
      <c r="X22" s="53" t="s">
        <v>115</v>
      </c>
      <c r="Y22" s="53" t="s">
        <v>115</v>
      </c>
      <c r="Z22" s="53" t="s">
        <v>115</v>
      </c>
      <c r="AA22" s="53" t="s">
        <v>115</v>
      </c>
      <c r="AB22" s="53" t="s">
        <v>115</v>
      </c>
      <c r="AC22" s="53">
        <v>16</v>
      </c>
      <c r="AD22" s="53" t="s">
        <v>115</v>
      </c>
      <c r="AE22" s="53">
        <v>0</v>
      </c>
      <c r="AF22" s="53" t="s">
        <v>115</v>
      </c>
      <c r="AG22" s="53">
        <v>0</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v>0</v>
      </c>
      <c r="BH22" s="53" t="s">
        <v>115</v>
      </c>
      <c r="BI22" s="53">
        <v>7</v>
      </c>
      <c r="BJ22" s="53" t="s">
        <v>115</v>
      </c>
      <c r="BK22" s="53" t="s">
        <v>115</v>
      </c>
      <c r="BL22" s="53" t="s">
        <v>115</v>
      </c>
      <c r="BM22" s="53">
        <v>0</v>
      </c>
    </row>
    <row r="23" spans="1:65" ht="15" customHeight="1" x14ac:dyDescent="0.2">
      <c r="A23" s="53" t="s">
        <v>129</v>
      </c>
      <c r="B23" s="53" t="s">
        <v>115</v>
      </c>
      <c r="C23" s="53" t="s">
        <v>115</v>
      </c>
      <c r="D23" s="53" t="s">
        <v>115</v>
      </c>
      <c r="E23" s="53" t="s">
        <v>115</v>
      </c>
      <c r="F23" s="53" t="s">
        <v>115</v>
      </c>
      <c r="G23" s="53" t="s">
        <v>115</v>
      </c>
      <c r="H23" s="53" t="s">
        <v>115</v>
      </c>
      <c r="I23" s="53" t="s">
        <v>115</v>
      </c>
      <c r="J23" s="53" t="s">
        <v>115</v>
      </c>
      <c r="K23" s="53">
        <v>0</v>
      </c>
      <c r="L23" s="53" t="s">
        <v>115</v>
      </c>
      <c r="M23" s="53" t="s">
        <v>115</v>
      </c>
      <c r="N23" s="53" t="s">
        <v>115</v>
      </c>
      <c r="O23" s="53">
        <v>0</v>
      </c>
      <c r="P23" s="53" t="s">
        <v>115</v>
      </c>
      <c r="Q23" s="53">
        <v>0</v>
      </c>
      <c r="R23" s="53" t="s">
        <v>115</v>
      </c>
      <c r="S23" s="53" t="s">
        <v>115</v>
      </c>
      <c r="T23" s="53" t="s">
        <v>115</v>
      </c>
      <c r="U23" s="53" t="s">
        <v>115</v>
      </c>
      <c r="V23" s="53" t="s">
        <v>115</v>
      </c>
      <c r="W23" s="53" t="s">
        <v>115</v>
      </c>
      <c r="X23" s="53" t="s">
        <v>115</v>
      </c>
      <c r="Y23" s="53" t="s">
        <v>115</v>
      </c>
      <c r="Z23" s="53" t="s">
        <v>115</v>
      </c>
      <c r="AA23" s="53" t="s">
        <v>115</v>
      </c>
      <c r="AB23" s="53" t="s">
        <v>115</v>
      </c>
      <c r="AC23" s="53">
        <v>7</v>
      </c>
      <c r="AD23" s="53" t="s">
        <v>115</v>
      </c>
      <c r="AE23" s="53">
        <v>0</v>
      </c>
      <c r="AF23" s="53" t="s">
        <v>115</v>
      </c>
      <c r="AG23" s="53">
        <v>0</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v>0</v>
      </c>
      <c r="BH23" s="53" t="s">
        <v>115</v>
      </c>
      <c r="BI23" s="53">
        <v>2</v>
      </c>
      <c r="BJ23" s="53" t="s">
        <v>115</v>
      </c>
      <c r="BK23" s="53" t="s">
        <v>115</v>
      </c>
      <c r="BL23" s="53" t="s">
        <v>115</v>
      </c>
      <c r="BM23" s="53">
        <v>0</v>
      </c>
    </row>
    <row r="24" spans="1:65" ht="15" customHeight="1" x14ac:dyDescent="0.2">
      <c r="A24" s="53" t="s">
        <v>128</v>
      </c>
      <c r="B24" s="53" t="s">
        <v>115</v>
      </c>
      <c r="C24" s="53" t="s">
        <v>115</v>
      </c>
      <c r="D24" s="53" t="s">
        <v>115</v>
      </c>
      <c r="E24" s="53" t="s">
        <v>115</v>
      </c>
      <c r="F24" s="53" t="s">
        <v>115</v>
      </c>
      <c r="G24" s="53" t="s">
        <v>115</v>
      </c>
      <c r="H24" s="53" t="s">
        <v>115</v>
      </c>
      <c r="I24" s="53" t="s">
        <v>115</v>
      </c>
      <c r="J24" s="53" t="s">
        <v>115</v>
      </c>
      <c r="K24" s="53">
        <v>0</v>
      </c>
      <c r="L24" s="53" t="s">
        <v>115</v>
      </c>
      <c r="M24" s="53" t="s">
        <v>115</v>
      </c>
      <c r="N24" s="53" t="s">
        <v>115</v>
      </c>
      <c r="O24" s="53">
        <v>0</v>
      </c>
      <c r="P24" s="53" t="s">
        <v>115</v>
      </c>
      <c r="Q24" s="53">
        <v>0</v>
      </c>
      <c r="R24" s="53" t="s">
        <v>115</v>
      </c>
      <c r="S24" s="53" t="s">
        <v>115</v>
      </c>
      <c r="T24" s="53" t="s">
        <v>115</v>
      </c>
      <c r="U24" s="53" t="s">
        <v>115</v>
      </c>
      <c r="V24" s="53" t="s">
        <v>115</v>
      </c>
      <c r="W24" s="53" t="s">
        <v>115</v>
      </c>
      <c r="X24" s="53" t="s">
        <v>115</v>
      </c>
      <c r="Y24" s="53" t="s">
        <v>115</v>
      </c>
      <c r="Z24" s="53" t="s">
        <v>115</v>
      </c>
      <c r="AA24" s="53" t="s">
        <v>115</v>
      </c>
      <c r="AB24" s="53" t="s">
        <v>115</v>
      </c>
      <c r="AC24" s="53">
        <v>7</v>
      </c>
      <c r="AD24" s="53" t="s">
        <v>115</v>
      </c>
      <c r="AE24" s="53">
        <v>0</v>
      </c>
      <c r="AF24" s="53" t="s">
        <v>115</v>
      </c>
      <c r="AG24" s="53">
        <v>0</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v>0</v>
      </c>
      <c r="BH24" s="53" t="s">
        <v>115</v>
      </c>
      <c r="BI24" s="53">
        <v>7</v>
      </c>
      <c r="BJ24" s="53" t="s">
        <v>115</v>
      </c>
      <c r="BK24" s="53" t="s">
        <v>115</v>
      </c>
      <c r="BL24" s="53" t="s">
        <v>115</v>
      </c>
      <c r="BM24" s="53">
        <v>0</v>
      </c>
    </row>
    <row r="25" spans="1:65" ht="15" customHeight="1" x14ac:dyDescent="0.2">
      <c r="A25" s="53" t="s">
        <v>127</v>
      </c>
      <c r="B25" s="53" t="s">
        <v>115</v>
      </c>
      <c r="C25" s="53" t="s">
        <v>115</v>
      </c>
      <c r="D25" s="53" t="s">
        <v>115</v>
      </c>
      <c r="E25" s="53" t="s">
        <v>115</v>
      </c>
      <c r="F25" s="53" t="s">
        <v>115</v>
      </c>
      <c r="G25" s="53" t="s">
        <v>115</v>
      </c>
      <c r="H25" s="53" t="s">
        <v>115</v>
      </c>
      <c r="I25" s="53" t="s">
        <v>115</v>
      </c>
      <c r="J25" s="53" t="s">
        <v>115</v>
      </c>
      <c r="K25" s="53">
        <v>0</v>
      </c>
      <c r="L25" s="53" t="s">
        <v>115</v>
      </c>
      <c r="M25" s="53" t="s">
        <v>115</v>
      </c>
      <c r="N25" s="53" t="s">
        <v>115</v>
      </c>
      <c r="O25" s="53">
        <v>0</v>
      </c>
      <c r="P25" s="53" t="s">
        <v>115</v>
      </c>
      <c r="Q25" s="53">
        <v>0</v>
      </c>
      <c r="R25" s="53" t="s">
        <v>115</v>
      </c>
      <c r="S25" s="53" t="s">
        <v>115</v>
      </c>
      <c r="T25" s="53" t="s">
        <v>115</v>
      </c>
      <c r="U25" s="53" t="s">
        <v>115</v>
      </c>
      <c r="V25" s="53" t="s">
        <v>115</v>
      </c>
      <c r="W25" s="53" t="s">
        <v>115</v>
      </c>
      <c r="X25" s="53" t="s">
        <v>115</v>
      </c>
      <c r="Y25" s="53" t="s">
        <v>115</v>
      </c>
      <c r="Z25" s="53" t="s">
        <v>115</v>
      </c>
      <c r="AA25" s="53" t="s">
        <v>115</v>
      </c>
      <c r="AB25" s="53" t="s">
        <v>115</v>
      </c>
      <c r="AC25" s="53">
        <v>7</v>
      </c>
      <c r="AD25" s="53" t="s">
        <v>115</v>
      </c>
      <c r="AE25" s="53">
        <v>0</v>
      </c>
      <c r="AF25" s="53" t="s">
        <v>115</v>
      </c>
      <c r="AG25" s="53">
        <v>0</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v>0</v>
      </c>
      <c r="BH25" s="53" t="s">
        <v>115</v>
      </c>
      <c r="BI25" s="53">
        <v>9</v>
      </c>
      <c r="BJ25" s="53" t="s">
        <v>115</v>
      </c>
      <c r="BK25" s="53" t="s">
        <v>115</v>
      </c>
      <c r="BL25" s="53" t="s">
        <v>115</v>
      </c>
      <c r="BM25" s="53">
        <v>0</v>
      </c>
    </row>
    <row r="26" spans="1:65" ht="15" customHeight="1" x14ac:dyDescent="0.2">
      <c r="A26" s="53" t="s">
        <v>126</v>
      </c>
      <c r="B26" s="53" t="s">
        <v>115</v>
      </c>
      <c r="C26" s="53" t="s">
        <v>115</v>
      </c>
      <c r="D26" s="53" t="s">
        <v>115</v>
      </c>
      <c r="E26" s="53" t="s">
        <v>115</v>
      </c>
      <c r="F26" s="53" t="s">
        <v>115</v>
      </c>
      <c r="G26" s="53" t="s">
        <v>115</v>
      </c>
      <c r="H26" s="53" t="s">
        <v>115</v>
      </c>
      <c r="I26" s="53" t="s">
        <v>115</v>
      </c>
      <c r="J26" s="53" t="s">
        <v>115</v>
      </c>
      <c r="K26" s="53">
        <v>0</v>
      </c>
      <c r="L26" s="53" t="s">
        <v>115</v>
      </c>
      <c r="M26" s="53" t="s">
        <v>115</v>
      </c>
      <c r="N26" s="53" t="s">
        <v>115</v>
      </c>
      <c r="O26" s="53">
        <v>0</v>
      </c>
      <c r="P26" s="53" t="s">
        <v>115</v>
      </c>
      <c r="Q26" s="53">
        <v>0</v>
      </c>
      <c r="R26" s="53" t="s">
        <v>115</v>
      </c>
      <c r="S26" s="53" t="s">
        <v>115</v>
      </c>
      <c r="T26" s="53" t="s">
        <v>115</v>
      </c>
      <c r="U26" s="53" t="s">
        <v>115</v>
      </c>
      <c r="V26" s="53" t="s">
        <v>115</v>
      </c>
      <c r="W26" s="53" t="s">
        <v>115</v>
      </c>
      <c r="X26" s="53" t="s">
        <v>115</v>
      </c>
      <c r="Y26" s="53" t="s">
        <v>115</v>
      </c>
      <c r="Z26" s="53" t="s">
        <v>115</v>
      </c>
      <c r="AA26" s="53" t="s">
        <v>115</v>
      </c>
      <c r="AB26" s="53" t="s">
        <v>115</v>
      </c>
      <c r="AC26" s="53">
        <v>8</v>
      </c>
      <c r="AD26" s="53" t="s">
        <v>115</v>
      </c>
      <c r="AE26" s="53">
        <v>0</v>
      </c>
      <c r="AF26" s="53" t="s">
        <v>115</v>
      </c>
      <c r="AG26" s="53">
        <v>0</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v>0</v>
      </c>
      <c r="BH26" s="53" t="s">
        <v>115</v>
      </c>
      <c r="BI26" s="53">
        <v>5</v>
      </c>
      <c r="BJ26" s="53" t="s">
        <v>115</v>
      </c>
      <c r="BK26" s="53" t="s">
        <v>115</v>
      </c>
      <c r="BL26" s="53" t="s">
        <v>115</v>
      </c>
      <c r="BM26" s="53">
        <v>0</v>
      </c>
    </row>
    <row r="27" spans="1:65" ht="15" customHeight="1" x14ac:dyDescent="0.2">
      <c r="A27" s="53" t="s">
        <v>125</v>
      </c>
      <c r="B27" s="53" t="s">
        <v>115</v>
      </c>
      <c r="C27" s="53" t="s">
        <v>115</v>
      </c>
      <c r="D27" s="53" t="s">
        <v>115</v>
      </c>
      <c r="E27" s="53" t="s">
        <v>115</v>
      </c>
      <c r="F27" s="53" t="s">
        <v>115</v>
      </c>
      <c r="G27" s="53" t="s">
        <v>115</v>
      </c>
      <c r="H27" s="53" t="s">
        <v>115</v>
      </c>
      <c r="I27" s="53" t="s">
        <v>115</v>
      </c>
      <c r="J27" s="53" t="s">
        <v>115</v>
      </c>
      <c r="K27" s="53">
        <v>0</v>
      </c>
      <c r="L27" s="53" t="s">
        <v>115</v>
      </c>
      <c r="M27" s="53" t="s">
        <v>115</v>
      </c>
      <c r="N27" s="53" t="s">
        <v>115</v>
      </c>
      <c r="O27" s="53">
        <v>0</v>
      </c>
      <c r="P27" s="53" t="s">
        <v>115</v>
      </c>
      <c r="Q27" s="53">
        <v>0</v>
      </c>
      <c r="R27" s="53" t="s">
        <v>115</v>
      </c>
      <c r="S27" s="53" t="s">
        <v>115</v>
      </c>
      <c r="T27" s="53" t="s">
        <v>115</v>
      </c>
      <c r="U27" s="53" t="s">
        <v>115</v>
      </c>
      <c r="V27" s="53" t="s">
        <v>115</v>
      </c>
      <c r="W27" s="53" t="s">
        <v>115</v>
      </c>
      <c r="X27" s="53" t="s">
        <v>115</v>
      </c>
      <c r="Y27" s="53" t="s">
        <v>115</v>
      </c>
      <c r="Z27" s="53" t="s">
        <v>115</v>
      </c>
      <c r="AA27" s="53" t="s">
        <v>115</v>
      </c>
      <c r="AB27" s="53" t="s">
        <v>115</v>
      </c>
      <c r="AC27" s="53">
        <v>0</v>
      </c>
      <c r="AD27" s="53" t="s">
        <v>115</v>
      </c>
      <c r="AE27" s="53">
        <v>0</v>
      </c>
      <c r="AF27" s="53" t="s">
        <v>115</v>
      </c>
      <c r="AG27" s="53">
        <v>0</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v>0</v>
      </c>
      <c r="BH27" s="53" t="s">
        <v>115</v>
      </c>
      <c r="BI27" s="53">
        <v>0</v>
      </c>
      <c r="BJ27" s="53" t="s">
        <v>115</v>
      </c>
      <c r="BK27" s="53" t="s">
        <v>115</v>
      </c>
      <c r="BL27" s="53" t="s">
        <v>115</v>
      </c>
      <c r="BM27" s="53">
        <v>0</v>
      </c>
    </row>
    <row r="28" spans="1:65" ht="15" customHeight="1" x14ac:dyDescent="0.2">
      <c r="A28" s="53" t="s">
        <v>124</v>
      </c>
      <c r="B28" s="53" t="s">
        <v>115</v>
      </c>
      <c r="C28" s="53" t="s">
        <v>115</v>
      </c>
      <c r="D28" s="53" t="s">
        <v>115</v>
      </c>
      <c r="E28" s="53" t="s">
        <v>115</v>
      </c>
      <c r="F28" s="53" t="s">
        <v>115</v>
      </c>
      <c r="G28" s="53" t="s">
        <v>115</v>
      </c>
      <c r="H28" s="53" t="s">
        <v>115</v>
      </c>
      <c r="I28" s="53" t="s">
        <v>115</v>
      </c>
      <c r="J28" s="53" t="s">
        <v>115</v>
      </c>
      <c r="K28" s="53">
        <v>0</v>
      </c>
      <c r="L28" s="53" t="s">
        <v>115</v>
      </c>
      <c r="M28" s="53" t="s">
        <v>115</v>
      </c>
      <c r="N28" s="53" t="s">
        <v>115</v>
      </c>
      <c r="O28" s="53">
        <v>0</v>
      </c>
      <c r="P28" s="53" t="s">
        <v>115</v>
      </c>
      <c r="Q28" s="53">
        <v>0</v>
      </c>
      <c r="R28" s="53" t="s">
        <v>115</v>
      </c>
      <c r="S28" s="53" t="s">
        <v>115</v>
      </c>
      <c r="T28" s="53" t="s">
        <v>115</v>
      </c>
      <c r="U28" s="53" t="s">
        <v>115</v>
      </c>
      <c r="V28" s="53" t="s">
        <v>115</v>
      </c>
      <c r="W28" s="53" t="s">
        <v>115</v>
      </c>
      <c r="X28" s="53" t="s">
        <v>115</v>
      </c>
      <c r="Y28" s="53" t="s">
        <v>115</v>
      </c>
      <c r="Z28" s="53" t="s">
        <v>115</v>
      </c>
      <c r="AA28" s="53" t="s">
        <v>115</v>
      </c>
      <c r="AB28" s="53" t="s">
        <v>115</v>
      </c>
      <c r="AC28" s="53">
        <v>10</v>
      </c>
      <c r="AD28" s="53" t="s">
        <v>115</v>
      </c>
      <c r="AE28" s="53">
        <v>0</v>
      </c>
      <c r="AF28" s="53" t="s">
        <v>115</v>
      </c>
      <c r="AG28" s="53">
        <v>0</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v>1</v>
      </c>
      <c r="BH28" s="53" t="s">
        <v>115</v>
      </c>
      <c r="BI28" s="53">
        <v>3</v>
      </c>
      <c r="BJ28" s="53" t="s">
        <v>115</v>
      </c>
      <c r="BK28" s="53" t="s">
        <v>115</v>
      </c>
      <c r="BL28" s="53" t="s">
        <v>115</v>
      </c>
      <c r="BM28" s="53">
        <v>0</v>
      </c>
    </row>
    <row r="29" spans="1:65" ht="15" customHeight="1" x14ac:dyDescent="0.2">
      <c r="A29" s="53" t="s">
        <v>123</v>
      </c>
      <c r="B29" s="53" t="s">
        <v>115</v>
      </c>
      <c r="C29" s="53" t="s">
        <v>115</v>
      </c>
      <c r="D29" s="53" t="s">
        <v>115</v>
      </c>
      <c r="E29" s="53" t="s">
        <v>115</v>
      </c>
      <c r="F29" s="53" t="s">
        <v>115</v>
      </c>
      <c r="G29" s="53" t="s">
        <v>115</v>
      </c>
      <c r="H29" s="53" t="s">
        <v>115</v>
      </c>
      <c r="I29" s="53" t="s">
        <v>115</v>
      </c>
      <c r="J29" s="53" t="s">
        <v>115</v>
      </c>
      <c r="K29" s="53">
        <v>0</v>
      </c>
      <c r="L29" s="53" t="s">
        <v>115</v>
      </c>
      <c r="M29" s="53" t="s">
        <v>115</v>
      </c>
      <c r="N29" s="53" t="s">
        <v>115</v>
      </c>
      <c r="O29" s="53">
        <v>0</v>
      </c>
      <c r="P29" s="53" t="s">
        <v>115</v>
      </c>
      <c r="Q29" s="53">
        <v>0</v>
      </c>
      <c r="R29" s="53" t="s">
        <v>115</v>
      </c>
      <c r="S29" s="53" t="s">
        <v>115</v>
      </c>
      <c r="T29" s="53" t="s">
        <v>115</v>
      </c>
      <c r="U29" s="53" t="s">
        <v>115</v>
      </c>
      <c r="V29" s="53" t="s">
        <v>115</v>
      </c>
      <c r="W29" s="53" t="s">
        <v>115</v>
      </c>
      <c r="X29" s="53" t="s">
        <v>115</v>
      </c>
      <c r="Y29" s="53" t="s">
        <v>115</v>
      </c>
      <c r="Z29" s="53" t="s">
        <v>115</v>
      </c>
      <c r="AA29" s="53" t="s">
        <v>115</v>
      </c>
      <c r="AB29" s="53" t="s">
        <v>115</v>
      </c>
      <c r="AC29" s="53">
        <v>4</v>
      </c>
      <c r="AD29" s="53" t="s">
        <v>115</v>
      </c>
      <c r="AE29" s="53">
        <v>0</v>
      </c>
      <c r="AF29" s="53" t="s">
        <v>115</v>
      </c>
      <c r="AG29" s="53">
        <v>0</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v>0</v>
      </c>
      <c r="BH29" s="53" t="s">
        <v>115</v>
      </c>
      <c r="BI29" s="53">
        <v>4</v>
      </c>
      <c r="BJ29" s="53" t="s">
        <v>115</v>
      </c>
      <c r="BK29" s="53" t="s">
        <v>115</v>
      </c>
      <c r="BL29" s="53" t="s">
        <v>115</v>
      </c>
      <c r="BM29" s="53">
        <v>0</v>
      </c>
    </row>
    <row r="30" spans="1:65" ht="15" customHeight="1" x14ac:dyDescent="0.2">
      <c r="A30" s="53" t="s">
        <v>122</v>
      </c>
      <c r="B30" s="53" t="s">
        <v>115</v>
      </c>
      <c r="C30" s="53" t="s">
        <v>115</v>
      </c>
      <c r="D30" s="53" t="s">
        <v>115</v>
      </c>
      <c r="E30" s="53" t="s">
        <v>115</v>
      </c>
      <c r="F30" s="53" t="s">
        <v>115</v>
      </c>
      <c r="G30" s="53" t="s">
        <v>115</v>
      </c>
      <c r="H30" s="53" t="s">
        <v>115</v>
      </c>
      <c r="I30" s="53" t="s">
        <v>115</v>
      </c>
      <c r="J30" s="53" t="s">
        <v>115</v>
      </c>
      <c r="K30" s="53">
        <v>0</v>
      </c>
      <c r="L30" s="53" t="s">
        <v>115</v>
      </c>
      <c r="M30" s="53" t="s">
        <v>115</v>
      </c>
      <c r="N30" s="53" t="s">
        <v>115</v>
      </c>
      <c r="O30" s="53">
        <v>0</v>
      </c>
      <c r="P30" s="53" t="s">
        <v>115</v>
      </c>
      <c r="Q30" s="53">
        <v>0</v>
      </c>
      <c r="R30" s="53" t="s">
        <v>115</v>
      </c>
      <c r="S30" s="53" t="s">
        <v>115</v>
      </c>
      <c r="T30" s="53" t="s">
        <v>115</v>
      </c>
      <c r="U30" s="53" t="s">
        <v>115</v>
      </c>
      <c r="V30" s="53" t="s">
        <v>115</v>
      </c>
      <c r="W30" s="53" t="s">
        <v>115</v>
      </c>
      <c r="X30" s="53" t="s">
        <v>115</v>
      </c>
      <c r="Y30" s="53" t="s">
        <v>115</v>
      </c>
      <c r="Z30" s="53" t="s">
        <v>115</v>
      </c>
      <c r="AA30" s="53" t="s">
        <v>115</v>
      </c>
      <c r="AB30" s="53" t="s">
        <v>115</v>
      </c>
      <c r="AC30" s="53">
        <v>4</v>
      </c>
      <c r="AD30" s="53" t="s">
        <v>115</v>
      </c>
      <c r="AE30" s="53">
        <v>0</v>
      </c>
      <c r="AF30" s="53" t="s">
        <v>115</v>
      </c>
      <c r="AG30" s="53">
        <v>0</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v>1</v>
      </c>
      <c r="BH30" s="53" t="s">
        <v>115</v>
      </c>
      <c r="BI30" s="53">
        <v>2</v>
      </c>
      <c r="BJ30" s="53" t="s">
        <v>115</v>
      </c>
      <c r="BK30" s="53" t="s">
        <v>115</v>
      </c>
      <c r="BL30" s="53" t="s">
        <v>115</v>
      </c>
      <c r="BM30" s="53">
        <v>0</v>
      </c>
    </row>
    <row r="31" spans="1:65" ht="15" customHeight="1" x14ac:dyDescent="0.2">
      <c r="A31" s="53" t="s">
        <v>121</v>
      </c>
      <c r="B31" s="53" t="s">
        <v>115</v>
      </c>
      <c r="C31" s="53" t="s">
        <v>115</v>
      </c>
      <c r="D31" s="53" t="s">
        <v>115</v>
      </c>
      <c r="E31" s="53" t="s">
        <v>115</v>
      </c>
      <c r="F31" s="53" t="s">
        <v>115</v>
      </c>
      <c r="G31" s="53" t="s">
        <v>115</v>
      </c>
      <c r="H31" s="53" t="s">
        <v>115</v>
      </c>
      <c r="I31" s="53" t="s">
        <v>115</v>
      </c>
      <c r="J31" s="53" t="s">
        <v>115</v>
      </c>
      <c r="K31" s="53">
        <v>0</v>
      </c>
      <c r="L31" s="53" t="s">
        <v>115</v>
      </c>
      <c r="M31" s="53" t="s">
        <v>115</v>
      </c>
      <c r="N31" s="53" t="s">
        <v>115</v>
      </c>
      <c r="O31" s="53">
        <v>0</v>
      </c>
      <c r="P31" s="53" t="s">
        <v>115</v>
      </c>
      <c r="Q31" s="53">
        <v>0</v>
      </c>
      <c r="R31" s="53" t="s">
        <v>115</v>
      </c>
      <c r="S31" s="53" t="s">
        <v>115</v>
      </c>
      <c r="T31" s="53" t="s">
        <v>115</v>
      </c>
      <c r="U31" s="53" t="s">
        <v>115</v>
      </c>
      <c r="V31" s="53" t="s">
        <v>115</v>
      </c>
      <c r="W31" s="53" t="s">
        <v>115</v>
      </c>
      <c r="X31" s="53" t="s">
        <v>115</v>
      </c>
      <c r="Y31" s="53" t="s">
        <v>115</v>
      </c>
      <c r="Z31" s="53" t="s">
        <v>115</v>
      </c>
      <c r="AA31" s="53" t="s">
        <v>115</v>
      </c>
      <c r="AB31" s="53" t="s">
        <v>115</v>
      </c>
      <c r="AC31" s="53">
        <v>4</v>
      </c>
      <c r="AD31" s="53" t="s">
        <v>115</v>
      </c>
      <c r="AE31" s="53">
        <v>2</v>
      </c>
      <c r="AF31" s="53" t="s">
        <v>115</v>
      </c>
      <c r="AG31" s="53">
        <v>0</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v>1</v>
      </c>
      <c r="BH31" s="53" t="s">
        <v>115</v>
      </c>
      <c r="BI31" s="53">
        <v>3</v>
      </c>
      <c r="BJ31" s="53" t="s">
        <v>115</v>
      </c>
      <c r="BK31" s="53" t="s">
        <v>115</v>
      </c>
      <c r="BL31" s="53" t="s">
        <v>115</v>
      </c>
      <c r="BM31" s="53">
        <v>0</v>
      </c>
    </row>
    <row r="32" spans="1:65" ht="15" customHeight="1" x14ac:dyDescent="0.2">
      <c r="A32" s="53" t="s">
        <v>120</v>
      </c>
      <c r="B32" s="53" t="s">
        <v>115</v>
      </c>
      <c r="C32" s="53" t="s">
        <v>115</v>
      </c>
      <c r="D32" s="53" t="s">
        <v>115</v>
      </c>
      <c r="E32" s="53" t="s">
        <v>115</v>
      </c>
      <c r="F32" s="53" t="s">
        <v>115</v>
      </c>
      <c r="G32" s="53" t="s">
        <v>115</v>
      </c>
      <c r="H32" s="53" t="s">
        <v>115</v>
      </c>
      <c r="I32" s="53" t="s">
        <v>115</v>
      </c>
      <c r="J32" s="53" t="s">
        <v>115</v>
      </c>
      <c r="K32" s="53">
        <v>1</v>
      </c>
      <c r="L32" s="53" t="s">
        <v>115</v>
      </c>
      <c r="M32" s="53" t="s">
        <v>115</v>
      </c>
      <c r="N32" s="53" t="s">
        <v>115</v>
      </c>
      <c r="O32" s="53">
        <v>0</v>
      </c>
      <c r="P32" s="53" t="s">
        <v>115</v>
      </c>
      <c r="Q32" s="53">
        <v>0</v>
      </c>
      <c r="R32" s="53" t="s">
        <v>115</v>
      </c>
      <c r="S32" s="53" t="s">
        <v>115</v>
      </c>
      <c r="T32" s="53" t="s">
        <v>115</v>
      </c>
      <c r="U32" s="53" t="s">
        <v>115</v>
      </c>
      <c r="V32" s="53" t="s">
        <v>115</v>
      </c>
      <c r="W32" s="53" t="s">
        <v>115</v>
      </c>
      <c r="X32" s="53" t="s">
        <v>115</v>
      </c>
      <c r="Y32" s="53" t="s">
        <v>115</v>
      </c>
      <c r="Z32" s="53" t="s">
        <v>115</v>
      </c>
      <c r="AA32" s="53" t="s">
        <v>115</v>
      </c>
      <c r="AB32" s="53" t="s">
        <v>115</v>
      </c>
      <c r="AC32" s="53">
        <v>2</v>
      </c>
      <c r="AD32" s="53" t="s">
        <v>115</v>
      </c>
      <c r="AE32" s="53">
        <v>1</v>
      </c>
      <c r="AF32" s="53" t="s">
        <v>115</v>
      </c>
      <c r="AG32" s="53">
        <v>0</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v>0</v>
      </c>
      <c r="BH32" s="53" t="s">
        <v>115</v>
      </c>
      <c r="BI32" s="53">
        <v>1</v>
      </c>
      <c r="BJ32" s="53" t="s">
        <v>115</v>
      </c>
      <c r="BK32" s="53" t="s">
        <v>115</v>
      </c>
      <c r="BL32" s="53" t="s">
        <v>115</v>
      </c>
      <c r="BM32" s="53">
        <v>0</v>
      </c>
    </row>
    <row r="33" spans="1:65" ht="15" customHeight="1" x14ac:dyDescent="0.2">
      <c r="A33" s="53" t="s">
        <v>119</v>
      </c>
      <c r="B33" s="53" t="s">
        <v>115</v>
      </c>
      <c r="C33" s="53" t="s">
        <v>115</v>
      </c>
      <c r="D33" s="53" t="s">
        <v>115</v>
      </c>
      <c r="E33" s="53" t="s">
        <v>115</v>
      </c>
      <c r="F33" s="53" t="s">
        <v>115</v>
      </c>
      <c r="G33" s="53" t="s">
        <v>115</v>
      </c>
      <c r="H33" s="53" t="s">
        <v>115</v>
      </c>
      <c r="I33" s="53" t="s">
        <v>115</v>
      </c>
      <c r="J33" s="53" t="s">
        <v>115</v>
      </c>
      <c r="K33" s="53">
        <v>0</v>
      </c>
      <c r="L33" s="53" t="s">
        <v>115</v>
      </c>
      <c r="M33" s="53" t="s">
        <v>115</v>
      </c>
      <c r="N33" s="53" t="s">
        <v>115</v>
      </c>
      <c r="O33" s="53">
        <v>0</v>
      </c>
      <c r="P33" s="53" t="s">
        <v>115</v>
      </c>
      <c r="Q33" s="53">
        <v>0</v>
      </c>
      <c r="R33" s="53" t="s">
        <v>115</v>
      </c>
      <c r="S33" s="53" t="s">
        <v>115</v>
      </c>
      <c r="T33" s="53" t="s">
        <v>115</v>
      </c>
      <c r="U33" s="53" t="s">
        <v>115</v>
      </c>
      <c r="V33" s="53" t="s">
        <v>115</v>
      </c>
      <c r="W33" s="53" t="s">
        <v>115</v>
      </c>
      <c r="X33" s="53" t="s">
        <v>115</v>
      </c>
      <c r="Y33" s="53" t="s">
        <v>115</v>
      </c>
      <c r="Z33" s="53" t="s">
        <v>115</v>
      </c>
      <c r="AA33" s="53" t="s">
        <v>115</v>
      </c>
      <c r="AB33" s="53" t="s">
        <v>115</v>
      </c>
      <c r="AC33" s="53">
        <v>6</v>
      </c>
      <c r="AD33" s="53" t="s">
        <v>115</v>
      </c>
      <c r="AE33" s="53">
        <v>0</v>
      </c>
      <c r="AF33" s="53" t="s">
        <v>115</v>
      </c>
      <c r="AG33" s="53">
        <v>0</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v>2</v>
      </c>
      <c r="BH33" s="53" t="s">
        <v>115</v>
      </c>
      <c r="BI33" s="53">
        <v>0</v>
      </c>
      <c r="BJ33" s="53" t="s">
        <v>115</v>
      </c>
      <c r="BK33" s="53" t="s">
        <v>115</v>
      </c>
      <c r="BL33" s="53" t="s">
        <v>115</v>
      </c>
      <c r="BM33" s="53">
        <v>0</v>
      </c>
    </row>
    <row r="34" spans="1:65" ht="15" customHeight="1" x14ac:dyDescent="0.2">
      <c r="A34" s="53" t="s">
        <v>118</v>
      </c>
      <c r="B34" s="53" t="s">
        <v>115</v>
      </c>
      <c r="C34" s="53" t="s">
        <v>115</v>
      </c>
      <c r="D34" s="53" t="s">
        <v>115</v>
      </c>
      <c r="E34" s="53" t="s">
        <v>115</v>
      </c>
      <c r="F34" s="53" t="s">
        <v>115</v>
      </c>
      <c r="G34" s="53" t="s">
        <v>115</v>
      </c>
      <c r="H34" s="53" t="s">
        <v>115</v>
      </c>
      <c r="I34" s="53" t="s">
        <v>115</v>
      </c>
      <c r="J34" s="53" t="s">
        <v>115</v>
      </c>
      <c r="K34" s="53">
        <v>0</v>
      </c>
      <c r="L34" s="53" t="s">
        <v>115</v>
      </c>
      <c r="M34" s="53" t="s">
        <v>115</v>
      </c>
      <c r="N34" s="53" t="s">
        <v>115</v>
      </c>
      <c r="O34" s="53">
        <v>0</v>
      </c>
      <c r="P34" s="53" t="s">
        <v>115</v>
      </c>
      <c r="Q34" s="53">
        <v>0</v>
      </c>
      <c r="R34" s="53" t="s">
        <v>115</v>
      </c>
      <c r="S34" s="53" t="s">
        <v>115</v>
      </c>
      <c r="T34" s="53" t="s">
        <v>115</v>
      </c>
      <c r="U34" s="53" t="s">
        <v>115</v>
      </c>
      <c r="V34" s="53" t="s">
        <v>115</v>
      </c>
      <c r="W34" s="53" t="s">
        <v>115</v>
      </c>
      <c r="X34" s="53" t="s">
        <v>115</v>
      </c>
      <c r="Y34" s="53" t="s">
        <v>115</v>
      </c>
      <c r="Z34" s="53" t="s">
        <v>115</v>
      </c>
      <c r="AA34" s="53" t="s">
        <v>115</v>
      </c>
      <c r="AB34" s="53" t="s">
        <v>115</v>
      </c>
      <c r="AC34" s="53">
        <v>3</v>
      </c>
      <c r="AD34" s="53" t="s">
        <v>115</v>
      </c>
      <c r="AE34" s="53">
        <v>0</v>
      </c>
      <c r="AF34" s="53" t="s">
        <v>115</v>
      </c>
      <c r="AG34" s="53">
        <v>0</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v>0</v>
      </c>
      <c r="BH34" s="53" t="s">
        <v>115</v>
      </c>
      <c r="BI34" s="53">
        <v>3</v>
      </c>
      <c r="BJ34" s="53" t="s">
        <v>115</v>
      </c>
      <c r="BK34" s="53" t="s">
        <v>115</v>
      </c>
      <c r="BL34" s="53" t="s">
        <v>115</v>
      </c>
      <c r="BM34" s="53">
        <v>0</v>
      </c>
    </row>
    <row r="35" spans="1:65" ht="15" customHeight="1" x14ac:dyDescent="0.2">
      <c r="A35" s="53" t="s">
        <v>117</v>
      </c>
      <c r="B35" s="53" t="s">
        <v>115</v>
      </c>
      <c r="C35" s="53" t="s">
        <v>115</v>
      </c>
      <c r="D35" s="53" t="s">
        <v>115</v>
      </c>
      <c r="E35" s="53" t="s">
        <v>115</v>
      </c>
      <c r="F35" s="53" t="s">
        <v>115</v>
      </c>
      <c r="G35" s="53" t="s">
        <v>115</v>
      </c>
      <c r="H35" s="53" t="s">
        <v>115</v>
      </c>
      <c r="I35" s="53" t="s">
        <v>115</v>
      </c>
      <c r="J35" s="53" t="s">
        <v>115</v>
      </c>
      <c r="K35" s="53">
        <v>0</v>
      </c>
      <c r="L35" s="53" t="s">
        <v>115</v>
      </c>
      <c r="M35" s="53" t="s">
        <v>115</v>
      </c>
      <c r="N35" s="53" t="s">
        <v>115</v>
      </c>
      <c r="O35" s="53">
        <v>0</v>
      </c>
      <c r="P35" s="53" t="s">
        <v>115</v>
      </c>
      <c r="Q35" s="53">
        <v>0</v>
      </c>
      <c r="R35" s="53" t="s">
        <v>115</v>
      </c>
      <c r="S35" s="53" t="s">
        <v>115</v>
      </c>
      <c r="T35" s="53" t="s">
        <v>115</v>
      </c>
      <c r="U35" s="53" t="s">
        <v>115</v>
      </c>
      <c r="V35" s="53" t="s">
        <v>115</v>
      </c>
      <c r="W35" s="53" t="s">
        <v>115</v>
      </c>
      <c r="X35" s="53" t="s">
        <v>115</v>
      </c>
      <c r="Y35" s="53" t="s">
        <v>115</v>
      </c>
      <c r="Z35" s="53" t="s">
        <v>115</v>
      </c>
      <c r="AA35" s="53" t="s">
        <v>115</v>
      </c>
      <c r="AB35" s="53" t="s">
        <v>115</v>
      </c>
      <c r="AC35" s="53">
        <v>1</v>
      </c>
      <c r="AD35" s="53" t="s">
        <v>115</v>
      </c>
      <c r="AE35" s="53">
        <v>1</v>
      </c>
      <c r="AF35" s="53" t="s">
        <v>115</v>
      </c>
      <c r="AG35" s="53">
        <v>0</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v>0</v>
      </c>
      <c r="BH35" s="53" t="s">
        <v>115</v>
      </c>
      <c r="BI35" s="53">
        <v>4</v>
      </c>
      <c r="BJ35" s="53" t="s">
        <v>115</v>
      </c>
      <c r="BK35" s="53" t="s">
        <v>115</v>
      </c>
      <c r="BL35" s="53" t="s">
        <v>115</v>
      </c>
      <c r="BM35" s="53">
        <v>0</v>
      </c>
    </row>
    <row r="36" spans="1:65" ht="15" customHeight="1" x14ac:dyDescent="0.2">
      <c r="A36" s="53" t="s">
        <v>116</v>
      </c>
      <c r="B36" s="53" t="s">
        <v>115</v>
      </c>
      <c r="C36" s="53" t="s">
        <v>115</v>
      </c>
      <c r="D36" s="53" t="s">
        <v>115</v>
      </c>
      <c r="E36" s="53" t="s">
        <v>115</v>
      </c>
      <c r="F36" s="53" t="s">
        <v>115</v>
      </c>
      <c r="G36" s="53" t="s">
        <v>115</v>
      </c>
      <c r="H36" s="53" t="s">
        <v>115</v>
      </c>
      <c r="I36" s="53" t="s">
        <v>115</v>
      </c>
      <c r="J36" s="53" t="s">
        <v>115</v>
      </c>
      <c r="K36" s="53">
        <v>0</v>
      </c>
      <c r="L36" s="53" t="s">
        <v>115</v>
      </c>
      <c r="M36" s="53" t="s">
        <v>115</v>
      </c>
      <c r="N36" s="53" t="s">
        <v>115</v>
      </c>
      <c r="O36" s="53">
        <v>0</v>
      </c>
      <c r="P36" s="53" t="s">
        <v>115</v>
      </c>
      <c r="Q36" s="53">
        <v>0</v>
      </c>
      <c r="R36" s="53" t="s">
        <v>115</v>
      </c>
      <c r="S36" s="53" t="s">
        <v>115</v>
      </c>
      <c r="T36" s="53" t="s">
        <v>115</v>
      </c>
      <c r="U36" s="53" t="s">
        <v>115</v>
      </c>
      <c r="V36" s="53" t="s">
        <v>115</v>
      </c>
      <c r="W36" s="53" t="s">
        <v>115</v>
      </c>
      <c r="X36" s="53" t="s">
        <v>115</v>
      </c>
      <c r="Y36" s="53" t="s">
        <v>115</v>
      </c>
      <c r="Z36" s="53" t="s">
        <v>115</v>
      </c>
      <c r="AA36" s="53" t="s">
        <v>115</v>
      </c>
      <c r="AB36" s="53" t="s">
        <v>115</v>
      </c>
      <c r="AC36" s="53">
        <v>0</v>
      </c>
      <c r="AD36" s="53" t="s">
        <v>115</v>
      </c>
      <c r="AE36" s="53">
        <v>0</v>
      </c>
      <c r="AF36" s="53" t="s">
        <v>115</v>
      </c>
      <c r="AG36" s="53">
        <v>0</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v>0</v>
      </c>
      <c r="BH36" s="53" t="s">
        <v>115</v>
      </c>
      <c r="BI36" s="53">
        <v>0</v>
      </c>
      <c r="BJ36" s="53" t="s">
        <v>115</v>
      </c>
      <c r="BK36" s="53" t="s">
        <v>115</v>
      </c>
      <c r="BL36" s="53" t="s">
        <v>115</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9DBCC-AB99-48C4-991C-AC570B155248}">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156</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92</v>
      </c>
      <c r="J14" s="54" t="s">
        <v>144</v>
      </c>
      <c r="K14" s="54" t="s">
        <v>143</v>
      </c>
      <c r="L14" s="54" t="s">
        <v>142</v>
      </c>
      <c r="M14" s="54" t="s">
        <v>141</v>
      </c>
      <c r="N14" s="54" t="s">
        <v>140</v>
      </c>
      <c r="O14" s="54" t="s">
        <v>139</v>
      </c>
      <c r="P14" s="54" t="s">
        <v>138</v>
      </c>
      <c r="Q14" s="54" t="s">
        <v>92</v>
      </c>
      <c r="R14" s="54" t="s">
        <v>144</v>
      </c>
      <c r="S14" s="54" t="s">
        <v>143</v>
      </c>
      <c r="T14" s="54" t="s">
        <v>142</v>
      </c>
      <c r="U14" s="54" t="s">
        <v>141</v>
      </c>
      <c r="V14" s="54" t="s">
        <v>140</v>
      </c>
      <c r="W14" s="54" t="s">
        <v>139</v>
      </c>
      <c r="X14" s="54" t="s">
        <v>138</v>
      </c>
      <c r="Y14" s="54" t="s">
        <v>92</v>
      </c>
      <c r="Z14" s="54" t="s">
        <v>144</v>
      </c>
      <c r="AA14" s="54" t="s">
        <v>143</v>
      </c>
      <c r="AB14" s="54" t="s">
        <v>142</v>
      </c>
      <c r="AC14" s="54" t="s">
        <v>141</v>
      </c>
      <c r="AD14" s="54" t="s">
        <v>140</v>
      </c>
      <c r="AE14" s="54" t="s">
        <v>139</v>
      </c>
      <c r="AF14" s="54" t="s">
        <v>138</v>
      </c>
      <c r="AG14" s="54" t="s">
        <v>92</v>
      </c>
      <c r="AH14" s="54" t="s">
        <v>144</v>
      </c>
      <c r="AI14" s="54" t="s">
        <v>143</v>
      </c>
      <c r="AJ14" s="54" t="s">
        <v>142</v>
      </c>
      <c r="AK14" s="54" t="s">
        <v>141</v>
      </c>
      <c r="AL14" s="54" t="s">
        <v>140</v>
      </c>
      <c r="AM14" s="54" t="s">
        <v>139</v>
      </c>
      <c r="AN14" s="54" t="s">
        <v>138</v>
      </c>
      <c r="AO14" s="54" t="s">
        <v>92</v>
      </c>
      <c r="AP14" s="54" t="s">
        <v>144</v>
      </c>
      <c r="AQ14" s="54" t="s">
        <v>143</v>
      </c>
      <c r="AR14" s="54" t="s">
        <v>142</v>
      </c>
      <c r="AS14" s="54" t="s">
        <v>141</v>
      </c>
      <c r="AT14" s="54" t="s">
        <v>140</v>
      </c>
      <c r="AU14" s="54" t="s">
        <v>139</v>
      </c>
      <c r="AV14" s="54" t="s">
        <v>138</v>
      </c>
      <c r="AW14" s="54" t="s">
        <v>92</v>
      </c>
      <c r="AX14" s="54" t="s">
        <v>144</v>
      </c>
      <c r="AY14" s="54" t="s">
        <v>143</v>
      </c>
      <c r="AZ14" s="54" t="s">
        <v>142</v>
      </c>
      <c r="BA14" s="54" t="s">
        <v>141</v>
      </c>
      <c r="BB14" s="54" t="s">
        <v>140</v>
      </c>
      <c r="BC14" s="54" t="s">
        <v>139</v>
      </c>
      <c r="BD14" s="54" t="s">
        <v>138</v>
      </c>
      <c r="BE14" s="54" t="s">
        <v>92</v>
      </c>
      <c r="BF14" s="54" t="s">
        <v>144</v>
      </c>
      <c r="BG14" s="54" t="s">
        <v>143</v>
      </c>
      <c r="BH14" s="54" t="s">
        <v>142</v>
      </c>
      <c r="BI14" s="54" t="s">
        <v>141</v>
      </c>
      <c r="BJ14" s="54" t="s">
        <v>140</v>
      </c>
      <c r="BK14" s="54" t="s">
        <v>139</v>
      </c>
      <c r="BL14" s="54" t="s">
        <v>138</v>
      </c>
      <c r="BM14" s="54" t="s">
        <v>92</v>
      </c>
    </row>
    <row r="15" spans="1:65" ht="15" customHeight="1" x14ac:dyDescent="0.2">
      <c r="A15" s="53" t="s">
        <v>137</v>
      </c>
      <c r="B15" s="53" t="s">
        <v>115</v>
      </c>
      <c r="C15" s="53" t="s">
        <v>115</v>
      </c>
      <c r="D15" s="53" t="s">
        <v>115</v>
      </c>
      <c r="E15" s="53" t="s">
        <v>115</v>
      </c>
      <c r="F15" s="53" t="s">
        <v>115</v>
      </c>
      <c r="G15" s="53" t="s">
        <v>115</v>
      </c>
      <c r="H15" s="53" t="s">
        <v>115</v>
      </c>
      <c r="I15" s="53" t="s">
        <v>115</v>
      </c>
      <c r="J15" s="53" t="s">
        <v>115</v>
      </c>
      <c r="K15" s="53">
        <v>0</v>
      </c>
      <c r="L15" s="53" t="s">
        <v>115</v>
      </c>
      <c r="M15" s="53" t="s">
        <v>115</v>
      </c>
      <c r="N15" s="53" t="s">
        <v>115</v>
      </c>
      <c r="O15" s="53">
        <v>0</v>
      </c>
      <c r="P15" s="53" t="s">
        <v>115</v>
      </c>
      <c r="Q15" s="53">
        <v>0</v>
      </c>
      <c r="R15" s="53" t="s">
        <v>115</v>
      </c>
      <c r="S15" s="53" t="s">
        <v>115</v>
      </c>
      <c r="T15" s="53" t="s">
        <v>115</v>
      </c>
      <c r="U15" s="53" t="s">
        <v>115</v>
      </c>
      <c r="V15" s="53" t="s">
        <v>115</v>
      </c>
      <c r="W15" s="53" t="s">
        <v>115</v>
      </c>
      <c r="X15" s="53" t="s">
        <v>115</v>
      </c>
      <c r="Y15" s="53" t="s">
        <v>115</v>
      </c>
      <c r="Z15" s="53" t="s">
        <v>115</v>
      </c>
      <c r="AA15" s="53" t="s">
        <v>115</v>
      </c>
      <c r="AB15" s="53" t="s">
        <v>115</v>
      </c>
      <c r="AC15" s="53">
        <v>3</v>
      </c>
      <c r="AD15" s="53" t="s">
        <v>115</v>
      </c>
      <c r="AE15" s="53">
        <v>0</v>
      </c>
      <c r="AF15" s="53" t="s">
        <v>115</v>
      </c>
      <c r="AG15" s="53">
        <v>0</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v>1</v>
      </c>
      <c r="BH15" s="53" t="s">
        <v>115</v>
      </c>
      <c r="BI15" s="53">
        <v>0</v>
      </c>
      <c r="BJ15" s="53" t="s">
        <v>115</v>
      </c>
      <c r="BK15" s="53" t="s">
        <v>115</v>
      </c>
      <c r="BL15" s="53" t="s">
        <v>115</v>
      </c>
      <c r="BM15" s="53">
        <v>0</v>
      </c>
    </row>
    <row r="16" spans="1:65" ht="15" customHeight="1" x14ac:dyDescent="0.2">
      <c r="A16" s="53" t="s">
        <v>136</v>
      </c>
      <c r="B16" s="53" t="s">
        <v>115</v>
      </c>
      <c r="C16" s="53" t="s">
        <v>115</v>
      </c>
      <c r="D16" s="53" t="s">
        <v>115</v>
      </c>
      <c r="E16" s="53" t="s">
        <v>115</v>
      </c>
      <c r="F16" s="53" t="s">
        <v>115</v>
      </c>
      <c r="G16" s="53" t="s">
        <v>115</v>
      </c>
      <c r="H16" s="53" t="s">
        <v>115</v>
      </c>
      <c r="I16" s="53" t="s">
        <v>115</v>
      </c>
      <c r="J16" s="53" t="s">
        <v>115</v>
      </c>
      <c r="K16" s="53">
        <v>0</v>
      </c>
      <c r="L16" s="53" t="s">
        <v>115</v>
      </c>
      <c r="M16" s="53" t="s">
        <v>115</v>
      </c>
      <c r="N16" s="53" t="s">
        <v>115</v>
      </c>
      <c r="O16" s="53">
        <v>0</v>
      </c>
      <c r="P16" s="53" t="s">
        <v>115</v>
      </c>
      <c r="Q16" s="53">
        <v>0</v>
      </c>
      <c r="R16" s="53" t="s">
        <v>115</v>
      </c>
      <c r="S16" s="53" t="s">
        <v>115</v>
      </c>
      <c r="T16" s="53" t="s">
        <v>115</v>
      </c>
      <c r="U16" s="53" t="s">
        <v>115</v>
      </c>
      <c r="V16" s="53" t="s">
        <v>115</v>
      </c>
      <c r="W16" s="53" t="s">
        <v>115</v>
      </c>
      <c r="X16" s="53" t="s">
        <v>115</v>
      </c>
      <c r="Y16" s="53" t="s">
        <v>115</v>
      </c>
      <c r="Z16" s="53" t="s">
        <v>115</v>
      </c>
      <c r="AA16" s="53" t="s">
        <v>115</v>
      </c>
      <c r="AB16" s="53" t="s">
        <v>115</v>
      </c>
      <c r="AC16" s="53">
        <v>0</v>
      </c>
      <c r="AD16" s="53" t="s">
        <v>115</v>
      </c>
      <c r="AE16" s="53">
        <v>0</v>
      </c>
      <c r="AF16" s="53" t="s">
        <v>115</v>
      </c>
      <c r="AG16" s="53">
        <v>0</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v>0</v>
      </c>
      <c r="BH16" s="53" t="s">
        <v>115</v>
      </c>
      <c r="BI16" s="53">
        <v>2</v>
      </c>
      <c r="BJ16" s="53" t="s">
        <v>115</v>
      </c>
      <c r="BK16" s="53" t="s">
        <v>115</v>
      </c>
      <c r="BL16" s="53" t="s">
        <v>115</v>
      </c>
      <c r="BM16" s="53">
        <v>0</v>
      </c>
    </row>
    <row r="17" spans="1:65" ht="15" customHeight="1" x14ac:dyDescent="0.2">
      <c r="A17" s="53" t="s">
        <v>135</v>
      </c>
      <c r="B17" s="53" t="s">
        <v>115</v>
      </c>
      <c r="C17" s="53" t="s">
        <v>115</v>
      </c>
      <c r="D17" s="53" t="s">
        <v>115</v>
      </c>
      <c r="E17" s="53" t="s">
        <v>115</v>
      </c>
      <c r="F17" s="53" t="s">
        <v>115</v>
      </c>
      <c r="G17" s="53" t="s">
        <v>115</v>
      </c>
      <c r="H17" s="53" t="s">
        <v>115</v>
      </c>
      <c r="I17" s="53" t="s">
        <v>115</v>
      </c>
      <c r="J17" s="53" t="s">
        <v>115</v>
      </c>
      <c r="K17" s="53">
        <v>2</v>
      </c>
      <c r="L17" s="53" t="s">
        <v>115</v>
      </c>
      <c r="M17" s="53" t="s">
        <v>115</v>
      </c>
      <c r="N17" s="53" t="s">
        <v>115</v>
      </c>
      <c r="O17" s="53">
        <v>1</v>
      </c>
      <c r="P17" s="53" t="s">
        <v>115</v>
      </c>
      <c r="Q17" s="53">
        <v>0</v>
      </c>
      <c r="R17" s="53" t="s">
        <v>115</v>
      </c>
      <c r="S17" s="53" t="s">
        <v>115</v>
      </c>
      <c r="T17" s="53" t="s">
        <v>115</v>
      </c>
      <c r="U17" s="53" t="s">
        <v>115</v>
      </c>
      <c r="V17" s="53" t="s">
        <v>115</v>
      </c>
      <c r="W17" s="53" t="s">
        <v>115</v>
      </c>
      <c r="X17" s="53" t="s">
        <v>115</v>
      </c>
      <c r="Y17" s="53" t="s">
        <v>115</v>
      </c>
      <c r="Z17" s="53" t="s">
        <v>115</v>
      </c>
      <c r="AA17" s="53" t="s">
        <v>115</v>
      </c>
      <c r="AB17" s="53" t="s">
        <v>115</v>
      </c>
      <c r="AC17" s="53">
        <v>4</v>
      </c>
      <c r="AD17" s="53" t="s">
        <v>115</v>
      </c>
      <c r="AE17" s="53">
        <v>0</v>
      </c>
      <c r="AF17" s="53" t="s">
        <v>115</v>
      </c>
      <c r="AG17" s="53">
        <v>0</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v>0</v>
      </c>
      <c r="BH17" s="53" t="s">
        <v>115</v>
      </c>
      <c r="BI17" s="53">
        <v>1</v>
      </c>
      <c r="BJ17" s="53" t="s">
        <v>115</v>
      </c>
      <c r="BK17" s="53" t="s">
        <v>115</v>
      </c>
      <c r="BL17" s="53" t="s">
        <v>115</v>
      </c>
      <c r="BM17" s="53">
        <v>0</v>
      </c>
    </row>
    <row r="18" spans="1:65" ht="15" customHeight="1" x14ac:dyDescent="0.2">
      <c r="A18" s="53" t="s">
        <v>134</v>
      </c>
      <c r="B18" s="53" t="s">
        <v>115</v>
      </c>
      <c r="C18" s="53" t="s">
        <v>115</v>
      </c>
      <c r="D18" s="53" t="s">
        <v>115</v>
      </c>
      <c r="E18" s="53" t="s">
        <v>115</v>
      </c>
      <c r="F18" s="53" t="s">
        <v>115</v>
      </c>
      <c r="G18" s="53" t="s">
        <v>115</v>
      </c>
      <c r="H18" s="53" t="s">
        <v>115</v>
      </c>
      <c r="I18" s="53" t="s">
        <v>115</v>
      </c>
      <c r="J18" s="53" t="s">
        <v>115</v>
      </c>
      <c r="K18" s="53">
        <v>2</v>
      </c>
      <c r="L18" s="53" t="s">
        <v>115</v>
      </c>
      <c r="M18" s="53" t="s">
        <v>115</v>
      </c>
      <c r="N18" s="53" t="s">
        <v>115</v>
      </c>
      <c r="O18" s="53">
        <v>1</v>
      </c>
      <c r="P18" s="53" t="s">
        <v>115</v>
      </c>
      <c r="Q18" s="53">
        <v>0</v>
      </c>
      <c r="R18" s="53" t="s">
        <v>115</v>
      </c>
      <c r="S18" s="53" t="s">
        <v>115</v>
      </c>
      <c r="T18" s="53" t="s">
        <v>115</v>
      </c>
      <c r="U18" s="53" t="s">
        <v>115</v>
      </c>
      <c r="V18" s="53" t="s">
        <v>115</v>
      </c>
      <c r="W18" s="53" t="s">
        <v>115</v>
      </c>
      <c r="X18" s="53" t="s">
        <v>115</v>
      </c>
      <c r="Y18" s="53" t="s">
        <v>115</v>
      </c>
      <c r="Z18" s="53" t="s">
        <v>115</v>
      </c>
      <c r="AA18" s="53" t="s">
        <v>115</v>
      </c>
      <c r="AB18" s="53" t="s">
        <v>115</v>
      </c>
      <c r="AC18" s="53">
        <v>4</v>
      </c>
      <c r="AD18" s="53" t="s">
        <v>115</v>
      </c>
      <c r="AE18" s="53">
        <v>0</v>
      </c>
      <c r="AF18" s="53" t="s">
        <v>115</v>
      </c>
      <c r="AG18" s="53">
        <v>0</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v>0</v>
      </c>
      <c r="BH18" s="53" t="s">
        <v>115</v>
      </c>
      <c r="BI18" s="53">
        <v>2</v>
      </c>
      <c r="BJ18" s="53" t="s">
        <v>115</v>
      </c>
      <c r="BK18" s="53" t="s">
        <v>115</v>
      </c>
      <c r="BL18" s="53" t="s">
        <v>115</v>
      </c>
      <c r="BM18" s="53">
        <v>0</v>
      </c>
    </row>
    <row r="19" spans="1:65" ht="15" customHeight="1" x14ac:dyDescent="0.2">
      <c r="A19" s="53" t="s">
        <v>133</v>
      </c>
      <c r="B19" s="53" t="s">
        <v>115</v>
      </c>
      <c r="C19" s="53" t="s">
        <v>115</v>
      </c>
      <c r="D19" s="53" t="s">
        <v>115</v>
      </c>
      <c r="E19" s="53" t="s">
        <v>115</v>
      </c>
      <c r="F19" s="53" t="s">
        <v>115</v>
      </c>
      <c r="G19" s="53" t="s">
        <v>115</v>
      </c>
      <c r="H19" s="53" t="s">
        <v>115</v>
      </c>
      <c r="I19" s="53" t="s">
        <v>115</v>
      </c>
      <c r="J19" s="53" t="s">
        <v>115</v>
      </c>
      <c r="K19" s="53">
        <v>0</v>
      </c>
      <c r="L19" s="53" t="s">
        <v>115</v>
      </c>
      <c r="M19" s="53" t="s">
        <v>115</v>
      </c>
      <c r="N19" s="53" t="s">
        <v>115</v>
      </c>
      <c r="O19" s="53">
        <v>0</v>
      </c>
      <c r="P19" s="53" t="s">
        <v>115</v>
      </c>
      <c r="Q19" s="53">
        <v>0</v>
      </c>
      <c r="R19" s="53" t="s">
        <v>115</v>
      </c>
      <c r="S19" s="53" t="s">
        <v>115</v>
      </c>
      <c r="T19" s="53" t="s">
        <v>115</v>
      </c>
      <c r="U19" s="53" t="s">
        <v>115</v>
      </c>
      <c r="V19" s="53" t="s">
        <v>115</v>
      </c>
      <c r="W19" s="53" t="s">
        <v>115</v>
      </c>
      <c r="X19" s="53" t="s">
        <v>115</v>
      </c>
      <c r="Y19" s="53" t="s">
        <v>115</v>
      </c>
      <c r="Z19" s="53" t="s">
        <v>115</v>
      </c>
      <c r="AA19" s="53" t="s">
        <v>115</v>
      </c>
      <c r="AB19" s="53" t="s">
        <v>115</v>
      </c>
      <c r="AC19" s="53">
        <v>8</v>
      </c>
      <c r="AD19" s="53" t="s">
        <v>115</v>
      </c>
      <c r="AE19" s="53">
        <v>2</v>
      </c>
      <c r="AF19" s="53" t="s">
        <v>115</v>
      </c>
      <c r="AG19" s="53">
        <v>0</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v>0</v>
      </c>
      <c r="BH19" s="53" t="s">
        <v>115</v>
      </c>
      <c r="BI19" s="53">
        <v>1</v>
      </c>
      <c r="BJ19" s="53" t="s">
        <v>115</v>
      </c>
      <c r="BK19" s="53" t="s">
        <v>115</v>
      </c>
      <c r="BL19" s="53" t="s">
        <v>115</v>
      </c>
      <c r="BM19" s="53">
        <v>0</v>
      </c>
    </row>
    <row r="20" spans="1:65" ht="15" customHeight="1" x14ac:dyDescent="0.2">
      <c r="A20" s="53" t="s">
        <v>132</v>
      </c>
      <c r="B20" s="53" t="s">
        <v>115</v>
      </c>
      <c r="C20" s="53" t="s">
        <v>115</v>
      </c>
      <c r="D20" s="53" t="s">
        <v>115</v>
      </c>
      <c r="E20" s="53" t="s">
        <v>115</v>
      </c>
      <c r="F20" s="53" t="s">
        <v>115</v>
      </c>
      <c r="G20" s="53" t="s">
        <v>115</v>
      </c>
      <c r="H20" s="53" t="s">
        <v>115</v>
      </c>
      <c r="I20" s="53" t="s">
        <v>115</v>
      </c>
      <c r="J20" s="53" t="s">
        <v>115</v>
      </c>
      <c r="K20" s="53">
        <v>1</v>
      </c>
      <c r="L20" s="53" t="s">
        <v>115</v>
      </c>
      <c r="M20" s="53" t="s">
        <v>115</v>
      </c>
      <c r="N20" s="53" t="s">
        <v>115</v>
      </c>
      <c r="O20" s="53">
        <v>0</v>
      </c>
      <c r="P20" s="53" t="s">
        <v>115</v>
      </c>
      <c r="Q20" s="53">
        <v>0</v>
      </c>
      <c r="R20" s="53" t="s">
        <v>115</v>
      </c>
      <c r="S20" s="53" t="s">
        <v>115</v>
      </c>
      <c r="T20" s="53" t="s">
        <v>115</v>
      </c>
      <c r="U20" s="53" t="s">
        <v>115</v>
      </c>
      <c r="V20" s="53" t="s">
        <v>115</v>
      </c>
      <c r="W20" s="53" t="s">
        <v>115</v>
      </c>
      <c r="X20" s="53" t="s">
        <v>115</v>
      </c>
      <c r="Y20" s="53" t="s">
        <v>115</v>
      </c>
      <c r="Z20" s="53" t="s">
        <v>115</v>
      </c>
      <c r="AA20" s="53" t="s">
        <v>115</v>
      </c>
      <c r="AB20" s="53" t="s">
        <v>115</v>
      </c>
      <c r="AC20" s="53">
        <v>5</v>
      </c>
      <c r="AD20" s="53" t="s">
        <v>115</v>
      </c>
      <c r="AE20" s="53">
        <v>1</v>
      </c>
      <c r="AF20" s="53" t="s">
        <v>115</v>
      </c>
      <c r="AG20" s="53">
        <v>0</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v>0</v>
      </c>
      <c r="BH20" s="53" t="s">
        <v>115</v>
      </c>
      <c r="BI20" s="53">
        <v>2</v>
      </c>
      <c r="BJ20" s="53" t="s">
        <v>115</v>
      </c>
      <c r="BK20" s="53" t="s">
        <v>115</v>
      </c>
      <c r="BL20" s="53" t="s">
        <v>115</v>
      </c>
      <c r="BM20" s="53">
        <v>0</v>
      </c>
    </row>
    <row r="21" spans="1:65" ht="15" customHeight="1" x14ac:dyDescent="0.2">
      <c r="A21" s="53" t="s">
        <v>131</v>
      </c>
      <c r="B21" s="53" t="s">
        <v>115</v>
      </c>
      <c r="C21" s="53" t="s">
        <v>115</v>
      </c>
      <c r="D21" s="53" t="s">
        <v>115</v>
      </c>
      <c r="E21" s="53" t="s">
        <v>115</v>
      </c>
      <c r="F21" s="53" t="s">
        <v>115</v>
      </c>
      <c r="G21" s="53" t="s">
        <v>115</v>
      </c>
      <c r="H21" s="53" t="s">
        <v>115</v>
      </c>
      <c r="I21" s="53" t="s">
        <v>115</v>
      </c>
      <c r="J21" s="53" t="s">
        <v>115</v>
      </c>
      <c r="K21" s="53">
        <v>0</v>
      </c>
      <c r="L21" s="53" t="s">
        <v>115</v>
      </c>
      <c r="M21" s="53" t="s">
        <v>115</v>
      </c>
      <c r="N21" s="53" t="s">
        <v>115</v>
      </c>
      <c r="O21" s="53">
        <v>0</v>
      </c>
      <c r="P21" s="53" t="s">
        <v>115</v>
      </c>
      <c r="Q21" s="53">
        <v>0</v>
      </c>
      <c r="R21" s="53" t="s">
        <v>115</v>
      </c>
      <c r="S21" s="53" t="s">
        <v>115</v>
      </c>
      <c r="T21" s="53" t="s">
        <v>115</v>
      </c>
      <c r="U21" s="53" t="s">
        <v>115</v>
      </c>
      <c r="V21" s="53" t="s">
        <v>115</v>
      </c>
      <c r="W21" s="53" t="s">
        <v>115</v>
      </c>
      <c r="X21" s="53" t="s">
        <v>115</v>
      </c>
      <c r="Y21" s="53" t="s">
        <v>115</v>
      </c>
      <c r="Z21" s="53" t="s">
        <v>115</v>
      </c>
      <c r="AA21" s="53" t="s">
        <v>115</v>
      </c>
      <c r="AB21" s="53" t="s">
        <v>115</v>
      </c>
      <c r="AC21" s="53">
        <v>2</v>
      </c>
      <c r="AD21" s="53" t="s">
        <v>115</v>
      </c>
      <c r="AE21" s="53">
        <v>0</v>
      </c>
      <c r="AF21" s="53" t="s">
        <v>115</v>
      </c>
      <c r="AG21" s="53">
        <v>0</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v>0</v>
      </c>
      <c r="BH21" s="53" t="s">
        <v>115</v>
      </c>
      <c r="BI21" s="53">
        <v>1</v>
      </c>
      <c r="BJ21" s="53" t="s">
        <v>115</v>
      </c>
      <c r="BK21" s="53" t="s">
        <v>115</v>
      </c>
      <c r="BL21" s="53" t="s">
        <v>115</v>
      </c>
      <c r="BM21" s="53">
        <v>0</v>
      </c>
    </row>
    <row r="22" spans="1:65" ht="15" customHeight="1" x14ac:dyDescent="0.2">
      <c r="A22" s="53" t="s">
        <v>130</v>
      </c>
      <c r="B22" s="53" t="s">
        <v>115</v>
      </c>
      <c r="C22" s="53" t="s">
        <v>115</v>
      </c>
      <c r="D22" s="53" t="s">
        <v>115</v>
      </c>
      <c r="E22" s="53" t="s">
        <v>115</v>
      </c>
      <c r="F22" s="53" t="s">
        <v>115</v>
      </c>
      <c r="G22" s="53" t="s">
        <v>115</v>
      </c>
      <c r="H22" s="53" t="s">
        <v>115</v>
      </c>
      <c r="I22" s="53" t="s">
        <v>115</v>
      </c>
      <c r="J22" s="53" t="s">
        <v>115</v>
      </c>
      <c r="K22" s="53">
        <v>0</v>
      </c>
      <c r="L22" s="53" t="s">
        <v>115</v>
      </c>
      <c r="M22" s="53" t="s">
        <v>115</v>
      </c>
      <c r="N22" s="53" t="s">
        <v>115</v>
      </c>
      <c r="O22" s="53">
        <v>0</v>
      </c>
      <c r="P22" s="53" t="s">
        <v>115</v>
      </c>
      <c r="Q22" s="53">
        <v>0</v>
      </c>
      <c r="R22" s="53" t="s">
        <v>115</v>
      </c>
      <c r="S22" s="53" t="s">
        <v>115</v>
      </c>
      <c r="T22" s="53" t="s">
        <v>115</v>
      </c>
      <c r="U22" s="53" t="s">
        <v>115</v>
      </c>
      <c r="V22" s="53" t="s">
        <v>115</v>
      </c>
      <c r="W22" s="53" t="s">
        <v>115</v>
      </c>
      <c r="X22" s="53" t="s">
        <v>115</v>
      </c>
      <c r="Y22" s="53" t="s">
        <v>115</v>
      </c>
      <c r="Z22" s="53" t="s">
        <v>115</v>
      </c>
      <c r="AA22" s="53" t="s">
        <v>115</v>
      </c>
      <c r="AB22" s="53" t="s">
        <v>115</v>
      </c>
      <c r="AC22" s="53">
        <v>2</v>
      </c>
      <c r="AD22" s="53" t="s">
        <v>115</v>
      </c>
      <c r="AE22" s="53">
        <v>1</v>
      </c>
      <c r="AF22" s="53" t="s">
        <v>115</v>
      </c>
      <c r="AG22" s="53">
        <v>0</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v>2</v>
      </c>
      <c r="BH22" s="53" t="s">
        <v>115</v>
      </c>
      <c r="BI22" s="53">
        <v>0</v>
      </c>
      <c r="BJ22" s="53" t="s">
        <v>115</v>
      </c>
      <c r="BK22" s="53" t="s">
        <v>115</v>
      </c>
      <c r="BL22" s="53" t="s">
        <v>115</v>
      </c>
      <c r="BM22" s="53">
        <v>0</v>
      </c>
    </row>
    <row r="23" spans="1:65" ht="15" customHeight="1" x14ac:dyDescent="0.2">
      <c r="A23" s="53" t="s">
        <v>129</v>
      </c>
      <c r="B23" s="53" t="s">
        <v>115</v>
      </c>
      <c r="C23" s="53" t="s">
        <v>115</v>
      </c>
      <c r="D23" s="53" t="s">
        <v>115</v>
      </c>
      <c r="E23" s="53" t="s">
        <v>115</v>
      </c>
      <c r="F23" s="53" t="s">
        <v>115</v>
      </c>
      <c r="G23" s="53" t="s">
        <v>115</v>
      </c>
      <c r="H23" s="53" t="s">
        <v>115</v>
      </c>
      <c r="I23" s="53" t="s">
        <v>115</v>
      </c>
      <c r="J23" s="53" t="s">
        <v>115</v>
      </c>
      <c r="K23" s="53">
        <v>1</v>
      </c>
      <c r="L23" s="53" t="s">
        <v>115</v>
      </c>
      <c r="M23" s="53" t="s">
        <v>115</v>
      </c>
      <c r="N23" s="53" t="s">
        <v>115</v>
      </c>
      <c r="O23" s="53">
        <v>0</v>
      </c>
      <c r="P23" s="53" t="s">
        <v>115</v>
      </c>
      <c r="Q23" s="53">
        <v>0</v>
      </c>
      <c r="R23" s="53" t="s">
        <v>115</v>
      </c>
      <c r="S23" s="53" t="s">
        <v>115</v>
      </c>
      <c r="T23" s="53" t="s">
        <v>115</v>
      </c>
      <c r="U23" s="53" t="s">
        <v>115</v>
      </c>
      <c r="V23" s="53" t="s">
        <v>115</v>
      </c>
      <c r="W23" s="53" t="s">
        <v>115</v>
      </c>
      <c r="X23" s="53" t="s">
        <v>115</v>
      </c>
      <c r="Y23" s="53" t="s">
        <v>115</v>
      </c>
      <c r="Z23" s="53" t="s">
        <v>115</v>
      </c>
      <c r="AA23" s="53" t="s">
        <v>115</v>
      </c>
      <c r="AB23" s="53" t="s">
        <v>115</v>
      </c>
      <c r="AC23" s="53">
        <v>0</v>
      </c>
      <c r="AD23" s="53" t="s">
        <v>115</v>
      </c>
      <c r="AE23" s="53">
        <v>1</v>
      </c>
      <c r="AF23" s="53" t="s">
        <v>115</v>
      </c>
      <c r="AG23" s="53">
        <v>0</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v>1</v>
      </c>
      <c r="BH23" s="53" t="s">
        <v>115</v>
      </c>
      <c r="BI23" s="53">
        <v>0</v>
      </c>
      <c r="BJ23" s="53" t="s">
        <v>115</v>
      </c>
      <c r="BK23" s="53" t="s">
        <v>115</v>
      </c>
      <c r="BL23" s="53" t="s">
        <v>115</v>
      </c>
      <c r="BM23" s="53">
        <v>0</v>
      </c>
    </row>
    <row r="24" spans="1:65" ht="15" customHeight="1" x14ac:dyDescent="0.2">
      <c r="A24" s="53" t="s">
        <v>128</v>
      </c>
      <c r="B24" s="53" t="s">
        <v>115</v>
      </c>
      <c r="C24" s="53" t="s">
        <v>115</v>
      </c>
      <c r="D24" s="53" t="s">
        <v>115</v>
      </c>
      <c r="E24" s="53" t="s">
        <v>115</v>
      </c>
      <c r="F24" s="53" t="s">
        <v>115</v>
      </c>
      <c r="G24" s="53" t="s">
        <v>115</v>
      </c>
      <c r="H24" s="53" t="s">
        <v>115</v>
      </c>
      <c r="I24" s="53" t="s">
        <v>115</v>
      </c>
      <c r="J24" s="53" t="s">
        <v>115</v>
      </c>
      <c r="K24" s="53">
        <v>0</v>
      </c>
      <c r="L24" s="53" t="s">
        <v>115</v>
      </c>
      <c r="M24" s="53" t="s">
        <v>115</v>
      </c>
      <c r="N24" s="53" t="s">
        <v>115</v>
      </c>
      <c r="O24" s="53">
        <v>0</v>
      </c>
      <c r="P24" s="53" t="s">
        <v>115</v>
      </c>
      <c r="Q24" s="53">
        <v>0</v>
      </c>
      <c r="R24" s="53" t="s">
        <v>115</v>
      </c>
      <c r="S24" s="53" t="s">
        <v>115</v>
      </c>
      <c r="T24" s="53" t="s">
        <v>115</v>
      </c>
      <c r="U24" s="53" t="s">
        <v>115</v>
      </c>
      <c r="V24" s="53" t="s">
        <v>115</v>
      </c>
      <c r="W24" s="53" t="s">
        <v>115</v>
      </c>
      <c r="X24" s="53" t="s">
        <v>115</v>
      </c>
      <c r="Y24" s="53" t="s">
        <v>115</v>
      </c>
      <c r="Z24" s="53" t="s">
        <v>115</v>
      </c>
      <c r="AA24" s="53" t="s">
        <v>115</v>
      </c>
      <c r="AB24" s="53" t="s">
        <v>115</v>
      </c>
      <c r="AC24" s="53">
        <v>1</v>
      </c>
      <c r="AD24" s="53" t="s">
        <v>115</v>
      </c>
      <c r="AE24" s="53">
        <v>0</v>
      </c>
      <c r="AF24" s="53" t="s">
        <v>115</v>
      </c>
      <c r="AG24" s="53">
        <v>0</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v>0</v>
      </c>
      <c r="BH24" s="53" t="s">
        <v>115</v>
      </c>
      <c r="BI24" s="53">
        <v>1</v>
      </c>
      <c r="BJ24" s="53" t="s">
        <v>115</v>
      </c>
      <c r="BK24" s="53" t="s">
        <v>115</v>
      </c>
      <c r="BL24" s="53" t="s">
        <v>115</v>
      </c>
      <c r="BM24" s="53">
        <v>0</v>
      </c>
    </row>
    <row r="25" spans="1:65" ht="15" customHeight="1" x14ac:dyDescent="0.2">
      <c r="A25" s="53" t="s">
        <v>127</v>
      </c>
      <c r="B25" s="53" t="s">
        <v>115</v>
      </c>
      <c r="C25" s="53" t="s">
        <v>115</v>
      </c>
      <c r="D25" s="53" t="s">
        <v>115</v>
      </c>
      <c r="E25" s="53" t="s">
        <v>115</v>
      </c>
      <c r="F25" s="53" t="s">
        <v>115</v>
      </c>
      <c r="G25" s="53" t="s">
        <v>115</v>
      </c>
      <c r="H25" s="53" t="s">
        <v>115</v>
      </c>
      <c r="I25" s="53" t="s">
        <v>115</v>
      </c>
      <c r="J25" s="53" t="s">
        <v>115</v>
      </c>
      <c r="K25" s="53">
        <v>0</v>
      </c>
      <c r="L25" s="53" t="s">
        <v>115</v>
      </c>
      <c r="M25" s="53" t="s">
        <v>115</v>
      </c>
      <c r="N25" s="53" t="s">
        <v>115</v>
      </c>
      <c r="O25" s="53">
        <v>0</v>
      </c>
      <c r="P25" s="53" t="s">
        <v>115</v>
      </c>
      <c r="Q25" s="53">
        <v>0</v>
      </c>
      <c r="R25" s="53" t="s">
        <v>115</v>
      </c>
      <c r="S25" s="53" t="s">
        <v>115</v>
      </c>
      <c r="T25" s="53" t="s">
        <v>115</v>
      </c>
      <c r="U25" s="53" t="s">
        <v>115</v>
      </c>
      <c r="V25" s="53" t="s">
        <v>115</v>
      </c>
      <c r="W25" s="53" t="s">
        <v>115</v>
      </c>
      <c r="X25" s="53" t="s">
        <v>115</v>
      </c>
      <c r="Y25" s="53" t="s">
        <v>115</v>
      </c>
      <c r="Z25" s="53" t="s">
        <v>115</v>
      </c>
      <c r="AA25" s="53" t="s">
        <v>115</v>
      </c>
      <c r="AB25" s="53" t="s">
        <v>115</v>
      </c>
      <c r="AC25" s="53">
        <v>1</v>
      </c>
      <c r="AD25" s="53" t="s">
        <v>115</v>
      </c>
      <c r="AE25" s="53">
        <v>0</v>
      </c>
      <c r="AF25" s="53" t="s">
        <v>115</v>
      </c>
      <c r="AG25" s="53">
        <v>0</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v>0</v>
      </c>
      <c r="BH25" s="53" t="s">
        <v>115</v>
      </c>
      <c r="BI25" s="53">
        <v>0</v>
      </c>
      <c r="BJ25" s="53" t="s">
        <v>115</v>
      </c>
      <c r="BK25" s="53" t="s">
        <v>115</v>
      </c>
      <c r="BL25" s="53" t="s">
        <v>115</v>
      </c>
      <c r="BM25" s="53">
        <v>0</v>
      </c>
    </row>
    <row r="26" spans="1:65" ht="15" customHeight="1" x14ac:dyDescent="0.2">
      <c r="A26" s="53" t="s">
        <v>126</v>
      </c>
      <c r="B26" s="53" t="s">
        <v>115</v>
      </c>
      <c r="C26" s="53" t="s">
        <v>115</v>
      </c>
      <c r="D26" s="53" t="s">
        <v>115</v>
      </c>
      <c r="E26" s="53" t="s">
        <v>115</v>
      </c>
      <c r="F26" s="53" t="s">
        <v>115</v>
      </c>
      <c r="G26" s="53" t="s">
        <v>115</v>
      </c>
      <c r="H26" s="53" t="s">
        <v>115</v>
      </c>
      <c r="I26" s="53" t="s">
        <v>115</v>
      </c>
      <c r="J26" s="53" t="s">
        <v>115</v>
      </c>
      <c r="K26" s="53">
        <v>0</v>
      </c>
      <c r="L26" s="53" t="s">
        <v>115</v>
      </c>
      <c r="M26" s="53" t="s">
        <v>115</v>
      </c>
      <c r="N26" s="53" t="s">
        <v>115</v>
      </c>
      <c r="O26" s="53">
        <v>0</v>
      </c>
      <c r="P26" s="53" t="s">
        <v>115</v>
      </c>
      <c r="Q26" s="53">
        <v>0</v>
      </c>
      <c r="R26" s="53" t="s">
        <v>115</v>
      </c>
      <c r="S26" s="53" t="s">
        <v>115</v>
      </c>
      <c r="T26" s="53" t="s">
        <v>115</v>
      </c>
      <c r="U26" s="53" t="s">
        <v>115</v>
      </c>
      <c r="V26" s="53" t="s">
        <v>115</v>
      </c>
      <c r="W26" s="53" t="s">
        <v>115</v>
      </c>
      <c r="X26" s="53" t="s">
        <v>115</v>
      </c>
      <c r="Y26" s="53" t="s">
        <v>115</v>
      </c>
      <c r="Z26" s="53" t="s">
        <v>115</v>
      </c>
      <c r="AA26" s="53" t="s">
        <v>115</v>
      </c>
      <c r="AB26" s="53" t="s">
        <v>115</v>
      </c>
      <c r="AC26" s="53">
        <v>1</v>
      </c>
      <c r="AD26" s="53" t="s">
        <v>115</v>
      </c>
      <c r="AE26" s="53">
        <v>0</v>
      </c>
      <c r="AF26" s="53" t="s">
        <v>115</v>
      </c>
      <c r="AG26" s="53">
        <v>0</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v>0</v>
      </c>
      <c r="BH26" s="53" t="s">
        <v>115</v>
      </c>
      <c r="BI26" s="53">
        <v>1</v>
      </c>
      <c r="BJ26" s="53" t="s">
        <v>115</v>
      </c>
      <c r="BK26" s="53" t="s">
        <v>115</v>
      </c>
      <c r="BL26" s="53" t="s">
        <v>115</v>
      </c>
      <c r="BM26" s="53">
        <v>0</v>
      </c>
    </row>
    <row r="27" spans="1:65" ht="15" customHeight="1" x14ac:dyDescent="0.2">
      <c r="A27" s="53" t="s">
        <v>125</v>
      </c>
      <c r="B27" s="53" t="s">
        <v>115</v>
      </c>
      <c r="C27" s="53" t="s">
        <v>115</v>
      </c>
      <c r="D27" s="53" t="s">
        <v>115</v>
      </c>
      <c r="E27" s="53" t="s">
        <v>115</v>
      </c>
      <c r="F27" s="53" t="s">
        <v>115</v>
      </c>
      <c r="G27" s="53" t="s">
        <v>115</v>
      </c>
      <c r="H27" s="53" t="s">
        <v>115</v>
      </c>
      <c r="I27" s="53" t="s">
        <v>115</v>
      </c>
      <c r="J27" s="53" t="s">
        <v>115</v>
      </c>
      <c r="K27" s="53">
        <v>0</v>
      </c>
      <c r="L27" s="53" t="s">
        <v>115</v>
      </c>
      <c r="M27" s="53" t="s">
        <v>115</v>
      </c>
      <c r="N27" s="53" t="s">
        <v>115</v>
      </c>
      <c r="O27" s="53">
        <v>0</v>
      </c>
      <c r="P27" s="53" t="s">
        <v>115</v>
      </c>
      <c r="Q27" s="53">
        <v>0</v>
      </c>
      <c r="R27" s="53" t="s">
        <v>115</v>
      </c>
      <c r="S27" s="53" t="s">
        <v>115</v>
      </c>
      <c r="T27" s="53" t="s">
        <v>115</v>
      </c>
      <c r="U27" s="53" t="s">
        <v>115</v>
      </c>
      <c r="V27" s="53" t="s">
        <v>115</v>
      </c>
      <c r="W27" s="53" t="s">
        <v>115</v>
      </c>
      <c r="X27" s="53" t="s">
        <v>115</v>
      </c>
      <c r="Y27" s="53" t="s">
        <v>115</v>
      </c>
      <c r="Z27" s="53" t="s">
        <v>115</v>
      </c>
      <c r="AA27" s="53" t="s">
        <v>115</v>
      </c>
      <c r="AB27" s="53" t="s">
        <v>115</v>
      </c>
      <c r="AC27" s="53">
        <v>0</v>
      </c>
      <c r="AD27" s="53" t="s">
        <v>115</v>
      </c>
      <c r="AE27" s="53">
        <v>0</v>
      </c>
      <c r="AF27" s="53" t="s">
        <v>115</v>
      </c>
      <c r="AG27" s="53">
        <v>0</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v>0</v>
      </c>
      <c r="BH27" s="53" t="s">
        <v>115</v>
      </c>
      <c r="BI27" s="53">
        <v>0</v>
      </c>
      <c r="BJ27" s="53" t="s">
        <v>115</v>
      </c>
      <c r="BK27" s="53" t="s">
        <v>115</v>
      </c>
      <c r="BL27" s="53" t="s">
        <v>115</v>
      </c>
      <c r="BM27" s="53">
        <v>0</v>
      </c>
    </row>
    <row r="28" spans="1:65" ht="15" customHeight="1" x14ac:dyDescent="0.2">
      <c r="A28" s="53" t="s">
        <v>124</v>
      </c>
      <c r="B28" s="53" t="s">
        <v>115</v>
      </c>
      <c r="C28" s="53" t="s">
        <v>115</v>
      </c>
      <c r="D28" s="53" t="s">
        <v>115</v>
      </c>
      <c r="E28" s="53" t="s">
        <v>115</v>
      </c>
      <c r="F28" s="53" t="s">
        <v>115</v>
      </c>
      <c r="G28" s="53" t="s">
        <v>115</v>
      </c>
      <c r="H28" s="53" t="s">
        <v>115</v>
      </c>
      <c r="I28" s="53" t="s">
        <v>115</v>
      </c>
      <c r="J28" s="53" t="s">
        <v>115</v>
      </c>
      <c r="K28" s="53">
        <v>0</v>
      </c>
      <c r="L28" s="53" t="s">
        <v>115</v>
      </c>
      <c r="M28" s="53" t="s">
        <v>115</v>
      </c>
      <c r="N28" s="53" t="s">
        <v>115</v>
      </c>
      <c r="O28" s="53">
        <v>0</v>
      </c>
      <c r="P28" s="53" t="s">
        <v>115</v>
      </c>
      <c r="Q28" s="53">
        <v>0</v>
      </c>
      <c r="R28" s="53" t="s">
        <v>115</v>
      </c>
      <c r="S28" s="53" t="s">
        <v>115</v>
      </c>
      <c r="T28" s="53" t="s">
        <v>115</v>
      </c>
      <c r="U28" s="53" t="s">
        <v>115</v>
      </c>
      <c r="V28" s="53" t="s">
        <v>115</v>
      </c>
      <c r="W28" s="53" t="s">
        <v>115</v>
      </c>
      <c r="X28" s="53" t="s">
        <v>115</v>
      </c>
      <c r="Y28" s="53" t="s">
        <v>115</v>
      </c>
      <c r="Z28" s="53" t="s">
        <v>115</v>
      </c>
      <c r="AA28" s="53" t="s">
        <v>115</v>
      </c>
      <c r="AB28" s="53" t="s">
        <v>115</v>
      </c>
      <c r="AC28" s="53">
        <v>0</v>
      </c>
      <c r="AD28" s="53" t="s">
        <v>115</v>
      </c>
      <c r="AE28" s="53">
        <v>0</v>
      </c>
      <c r="AF28" s="53" t="s">
        <v>115</v>
      </c>
      <c r="AG28" s="53">
        <v>0</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v>0</v>
      </c>
      <c r="BH28" s="53" t="s">
        <v>115</v>
      </c>
      <c r="BI28" s="53">
        <v>1</v>
      </c>
      <c r="BJ28" s="53" t="s">
        <v>115</v>
      </c>
      <c r="BK28" s="53" t="s">
        <v>115</v>
      </c>
      <c r="BL28" s="53" t="s">
        <v>115</v>
      </c>
      <c r="BM28" s="53">
        <v>0</v>
      </c>
    </row>
    <row r="29" spans="1:65" ht="15" customHeight="1" x14ac:dyDescent="0.2">
      <c r="A29" s="53" t="s">
        <v>123</v>
      </c>
      <c r="B29" s="53" t="s">
        <v>115</v>
      </c>
      <c r="C29" s="53" t="s">
        <v>115</v>
      </c>
      <c r="D29" s="53" t="s">
        <v>115</v>
      </c>
      <c r="E29" s="53" t="s">
        <v>115</v>
      </c>
      <c r="F29" s="53" t="s">
        <v>115</v>
      </c>
      <c r="G29" s="53" t="s">
        <v>115</v>
      </c>
      <c r="H29" s="53" t="s">
        <v>115</v>
      </c>
      <c r="I29" s="53" t="s">
        <v>115</v>
      </c>
      <c r="J29" s="53" t="s">
        <v>115</v>
      </c>
      <c r="K29" s="53">
        <v>0</v>
      </c>
      <c r="L29" s="53" t="s">
        <v>115</v>
      </c>
      <c r="M29" s="53" t="s">
        <v>115</v>
      </c>
      <c r="N29" s="53" t="s">
        <v>115</v>
      </c>
      <c r="O29" s="53">
        <v>0</v>
      </c>
      <c r="P29" s="53" t="s">
        <v>115</v>
      </c>
      <c r="Q29" s="53">
        <v>0</v>
      </c>
      <c r="R29" s="53" t="s">
        <v>115</v>
      </c>
      <c r="S29" s="53" t="s">
        <v>115</v>
      </c>
      <c r="T29" s="53" t="s">
        <v>115</v>
      </c>
      <c r="U29" s="53" t="s">
        <v>115</v>
      </c>
      <c r="V29" s="53" t="s">
        <v>115</v>
      </c>
      <c r="W29" s="53" t="s">
        <v>115</v>
      </c>
      <c r="X29" s="53" t="s">
        <v>115</v>
      </c>
      <c r="Y29" s="53" t="s">
        <v>115</v>
      </c>
      <c r="Z29" s="53" t="s">
        <v>115</v>
      </c>
      <c r="AA29" s="53" t="s">
        <v>115</v>
      </c>
      <c r="AB29" s="53" t="s">
        <v>115</v>
      </c>
      <c r="AC29" s="53">
        <v>3</v>
      </c>
      <c r="AD29" s="53" t="s">
        <v>115</v>
      </c>
      <c r="AE29" s="53">
        <v>1</v>
      </c>
      <c r="AF29" s="53" t="s">
        <v>115</v>
      </c>
      <c r="AG29" s="53">
        <v>0</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v>0</v>
      </c>
      <c r="BH29" s="53" t="s">
        <v>115</v>
      </c>
      <c r="BI29" s="53">
        <v>5</v>
      </c>
      <c r="BJ29" s="53" t="s">
        <v>115</v>
      </c>
      <c r="BK29" s="53" t="s">
        <v>115</v>
      </c>
      <c r="BL29" s="53" t="s">
        <v>115</v>
      </c>
      <c r="BM29" s="53">
        <v>0</v>
      </c>
    </row>
    <row r="30" spans="1:65" ht="15" customHeight="1" x14ac:dyDescent="0.2">
      <c r="A30" s="53" t="s">
        <v>122</v>
      </c>
      <c r="B30" s="53" t="s">
        <v>115</v>
      </c>
      <c r="C30" s="53" t="s">
        <v>115</v>
      </c>
      <c r="D30" s="53" t="s">
        <v>115</v>
      </c>
      <c r="E30" s="53" t="s">
        <v>115</v>
      </c>
      <c r="F30" s="53" t="s">
        <v>115</v>
      </c>
      <c r="G30" s="53" t="s">
        <v>115</v>
      </c>
      <c r="H30" s="53" t="s">
        <v>115</v>
      </c>
      <c r="I30" s="53" t="s">
        <v>115</v>
      </c>
      <c r="J30" s="53" t="s">
        <v>115</v>
      </c>
      <c r="K30" s="53">
        <v>0</v>
      </c>
      <c r="L30" s="53" t="s">
        <v>115</v>
      </c>
      <c r="M30" s="53" t="s">
        <v>115</v>
      </c>
      <c r="N30" s="53" t="s">
        <v>115</v>
      </c>
      <c r="O30" s="53">
        <v>0</v>
      </c>
      <c r="P30" s="53" t="s">
        <v>115</v>
      </c>
      <c r="Q30" s="53">
        <v>0</v>
      </c>
      <c r="R30" s="53" t="s">
        <v>115</v>
      </c>
      <c r="S30" s="53" t="s">
        <v>115</v>
      </c>
      <c r="T30" s="53" t="s">
        <v>115</v>
      </c>
      <c r="U30" s="53" t="s">
        <v>115</v>
      </c>
      <c r="V30" s="53" t="s">
        <v>115</v>
      </c>
      <c r="W30" s="53" t="s">
        <v>115</v>
      </c>
      <c r="X30" s="53" t="s">
        <v>115</v>
      </c>
      <c r="Y30" s="53" t="s">
        <v>115</v>
      </c>
      <c r="Z30" s="53" t="s">
        <v>115</v>
      </c>
      <c r="AA30" s="53" t="s">
        <v>115</v>
      </c>
      <c r="AB30" s="53" t="s">
        <v>115</v>
      </c>
      <c r="AC30" s="53">
        <v>0</v>
      </c>
      <c r="AD30" s="53" t="s">
        <v>115</v>
      </c>
      <c r="AE30" s="53">
        <v>0</v>
      </c>
      <c r="AF30" s="53" t="s">
        <v>115</v>
      </c>
      <c r="AG30" s="53">
        <v>0</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v>0</v>
      </c>
      <c r="BH30" s="53" t="s">
        <v>115</v>
      </c>
      <c r="BI30" s="53">
        <v>11</v>
      </c>
      <c r="BJ30" s="53" t="s">
        <v>115</v>
      </c>
      <c r="BK30" s="53" t="s">
        <v>115</v>
      </c>
      <c r="BL30" s="53" t="s">
        <v>115</v>
      </c>
      <c r="BM30" s="53">
        <v>0</v>
      </c>
    </row>
    <row r="31" spans="1:65" ht="15" customHeight="1" x14ac:dyDescent="0.2">
      <c r="A31" s="53" t="s">
        <v>121</v>
      </c>
      <c r="B31" s="53" t="s">
        <v>115</v>
      </c>
      <c r="C31" s="53" t="s">
        <v>115</v>
      </c>
      <c r="D31" s="53" t="s">
        <v>115</v>
      </c>
      <c r="E31" s="53" t="s">
        <v>115</v>
      </c>
      <c r="F31" s="53" t="s">
        <v>115</v>
      </c>
      <c r="G31" s="53" t="s">
        <v>115</v>
      </c>
      <c r="H31" s="53" t="s">
        <v>115</v>
      </c>
      <c r="I31" s="53" t="s">
        <v>115</v>
      </c>
      <c r="J31" s="53" t="s">
        <v>115</v>
      </c>
      <c r="K31" s="53">
        <v>0</v>
      </c>
      <c r="L31" s="53" t="s">
        <v>115</v>
      </c>
      <c r="M31" s="53" t="s">
        <v>115</v>
      </c>
      <c r="N31" s="53" t="s">
        <v>115</v>
      </c>
      <c r="O31" s="53">
        <v>0</v>
      </c>
      <c r="P31" s="53" t="s">
        <v>115</v>
      </c>
      <c r="Q31" s="53">
        <v>0</v>
      </c>
      <c r="R31" s="53" t="s">
        <v>115</v>
      </c>
      <c r="S31" s="53" t="s">
        <v>115</v>
      </c>
      <c r="T31" s="53" t="s">
        <v>115</v>
      </c>
      <c r="U31" s="53" t="s">
        <v>115</v>
      </c>
      <c r="V31" s="53" t="s">
        <v>115</v>
      </c>
      <c r="W31" s="53" t="s">
        <v>115</v>
      </c>
      <c r="X31" s="53" t="s">
        <v>115</v>
      </c>
      <c r="Y31" s="53" t="s">
        <v>115</v>
      </c>
      <c r="Z31" s="53" t="s">
        <v>115</v>
      </c>
      <c r="AA31" s="53" t="s">
        <v>115</v>
      </c>
      <c r="AB31" s="53" t="s">
        <v>115</v>
      </c>
      <c r="AC31" s="53">
        <v>1</v>
      </c>
      <c r="AD31" s="53" t="s">
        <v>115</v>
      </c>
      <c r="AE31" s="53">
        <v>0</v>
      </c>
      <c r="AF31" s="53" t="s">
        <v>115</v>
      </c>
      <c r="AG31" s="53">
        <v>0</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v>0</v>
      </c>
      <c r="BH31" s="53" t="s">
        <v>115</v>
      </c>
      <c r="BI31" s="53">
        <v>5</v>
      </c>
      <c r="BJ31" s="53" t="s">
        <v>115</v>
      </c>
      <c r="BK31" s="53" t="s">
        <v>115</v>
      </c>
      <c r="BL31" s="53" t="s">
        <v>115</v>
      </c>
      <c r="BM31" s="53">
        <v>0</v>
      </c>
    </row>
    <row r="32" spans="1:65" ht="15" customHeight="1" x14ac:dyDescent="0.2">
      <c r="A32" s="53" t="s">
        <v>120</v>
      </c>
      <c r="B32" s="53" t="s">
        <v>115</v>
      </c>
      <c r="C32" s="53" t="s">
        <v>115</v>
      </c>
      <c r="D32" s="53" t="s">
        <v>115</v>
      </c>
      <c r="E32" s="53" t="s">
        <v>115</v>
      </c>
      <c r="F32" s="53" t="s">
        <v>115</v>
      </c>
      <c r="G32" s="53" t="s">
        <v>115</v>
      </c>
      <c r="H32" s="53" t="s">
        <v>115</v>
      </c>
      <c r="I32" s="53" t="s">
        <v>115</v>
      </c>
      <c r="J32" s="53" t="s">
        <v>115</v>
      </c>
      <c r="K32" s="53">
        <v>0</v>
      </c>
      <c r="L32" s="53" t="s">
        <v>115</v>
      </c>
      <c r="M32" s="53" t="s">
        <v>115</v>
      </c>
      <c r="N32" s="53" t="s">
        <v>115</v>
      </c>
      <c r="O32" s="53">
        <v>0</v>
      </c>
      <c r="P32" s="53" t="s">
        <v>115</v>
      </c>
      <c r="Q32" s="53">
        <v>0</v>
      </c>
      <c r="R32" s="53" t="s">
        <v>115</v>
      </c>
      <c r="S32" s="53" t="s">
        <v>115</v>
      </c>
      <c r="T32" s="53" t="s">
        <v>115</v>
      </c>
      <c r="U32" s="53" t="s">
        <v>115</v>
      </c>
      <c r="V32" s="53" t="s">
        <v>115</v>
      </c>
      <c r="W32" s="53" t="s">
        <v>115</v>
      </c>
      <c r="X32" s="53" t="s">
        <v>115</v>
      </c>
      <c r="Y32" s="53" t="s">
        <v>115</v>
      </c>
      <c r="Z32" s="53" t="s">
        <v>115</v>
      </c>
      <c r="AA32" s="53" t="s">
        <v>115</v>
      </c>
      <c r="AB32" s="53" t="s">
        <v>115</v>
      </c>
      <c r="AC32" s="53">
        <v>0</v>
      </c>
      <c r="AD32" s="53" t="s">
        <v>115</v>
      </c>
      <c r="AE32" s="53">
        <v>0</v>
      </c>
      <c r="AF32" s="53" t="s">
        <v>115</v>
      </c>
      <c r="AG32" s="53">
        <v>0</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v>1</v>
      </c>
      <c r="BH32" s="53" t="s">
        <v>115</v>
      </c>
      <c r="BI32" s="53">
        <v>5</v>
      </c>
      <c r="BJ32" s="53" t="s">
        <v>115</v>
      </c>
      <c r="BK32" s="53" t="s">
        <v>115</v>
      </c>
      <c r="BL32" s="53" t="s">
        <v>115</v>
      </c>
      <c r="BM32" s="53">
        <v>0</v>
      </c>
    </row>
    <row r="33" spans="1:65" ht="15" customHeight="1" x14ac:dyDescent="0.2">
      <c r="A33" s="53" t="s">
        <v>119</v>
      </c>
      <c r="B33" s="53" t="s">
        <v>115</v>
      </c>
      <c r="C33" s="53" t="s">
        <v>115</v>
      </c>
      <c r="D33" s="53" t="s">
        <v>115</v>
      </c>
      <c r="E33" s="53" t="s">
        <v>115</v>
      </c>
      <c r="F33" s="53" t="s">
        <v>115</v>
      </c>
      <c r="G33" s="53" t="s">
        <v>115</v>
      </c>
      <c r="H33" s="53" t="s">
        <v>115</v>
      </c>
      <c r="I33" s="53" t="s">
        <v>115</v>
      </c>
      <c r="J33" s="53" t="s">
        <v>115</v>
      </c>
      <c r="K33" s="53">
        <v>2</v>
      </c>
      <c r="L33" s="53" t="s">
        <v>115</v>
      </c>
      <c r="M33" s="53" t="s">
        <v>115</v>
      </c>
      <c r="N33" s="53" t="s">
        <v>115</v>
      </c>
      <c r="O33" s="53">
        <v>0</v>
      </c>
      <c r="P33" s="53" t="s">
        <v>115</v>
      </c>
      <c r="Q33" s="53">
        <v>0</v>
      </c>
      <c r="R33" s="53" t="s">
        <v>115</v>
      </c>
      <c r="S33" s="53" t="s">
        <v>115</v>
      </c>
      <c r="T33" s="53" t="s">
        <v>115</v>
      </c>
      <c r="U33" s="53" t="s">
        <v>115</v>
      </c>
      <c r="V33" s="53" t="s">
        <v>115</v>
      </c>
      <c r="W33" s="53" t="s">
        <v>115</v>
      </c>
      <c r="X33" s="53" t="s">
        <v>115</v>
      </c>
      <c r="Y33" s="53" t="s">
        <v>115</v>
      </c>
      <c r="Z33" s="53" t="s">
        <v>115</v>
      </c>
      <c r="AA33" s="53" t="s">
        <v>115</v>
      </c>
      <c r="AB33" s="53" t="s">
        <v>115</v>
      </c>
      <c r="AC33" s="53">
        <v>0</v>
      </c>
      <c r="AD33" s="53" t="s">
        <v>115</v>
      </c>
      <c r="AE33" s="53">
        <v>1</v>
      </c>
      <c r="AF33" s="53" t="s">
        <v>115</v>
      </c>
      <c r="AG33" s="53">
        <v>0</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v>0</v>
      </c>
      <c r="BH33" s="53" t="s">
        <v>115</v>
      </c>
      <c r="BI33" s="53">
        <v>10</v>
      </c>
      <c r="BJ33" s="53" t="s">
        <v>115</v>
      </c>
      <c r="BK33" s="53" t="s">
        <v>115</v>
      </c>
      <c r="BL33" s="53" t="s">
        <v>115</v>
      </c>
      <c r="BM33" s="53">
        <v>0</v>
      </c>
    </row>
    <row r="34" spans="1:65" ht="15" customHeight="1" x14ac:dyDescent="0.2">
      <c r="A34" s="53" t="s">
        <v>118</v>
      </c>
      <c r="B34" s="53" t="s">
        <v>115</v>
      </c>
      <c r="C34" s="53" t="s">
        <v>115</v>
      </c>
      <c r="D34" s="53" t="s">
        <v>115</v>
      </c>
      <c r="E34" s="53" t="s">
        <v>115</v>
      </c>
      <c r="F34" s="53" t="s">
        <v>115</v>
      </c>
      <c r="G34" s="53" t="s">
        <v>115</v>
      </c>
      <c r="H34" s="53" t="s">
        <v>115</v>
      </c>
      <c r="I34" s="53" t="s">
        <v>115</v>
      </c>
      <c r="J34" s="53" t="s">
        <v>115</v>
      </c>
      <c r="K34" s="53">
        <v>1</v>
      </c>
      <c r="L34" s="53" t="s">
        <v>115</v>
      </c>
      <c r="M34" s="53" t="s">
        <v>115</v>
      </c>
      <c r="N34" s="53" t="s">
        <v>115</v>
      </c>
      <c r="O34" s="53">
        <v>0</v>
      </c>
      <c r="P34" s="53" t="s">
        <v>115</v>
      </c>
      <c r="Q34" s="53">
        <v>0</v>
      </c>
      <c r="R34" s="53" t="s">
        <v>115</v>
      </c>
      <c r="S34" s="53" t="s">
        <v>115</v>
      </c>
      <c r="T34" s="53" t="s">
        <v>115</v>
      </c>
      <c r="U34" s="53" t="s">
        <v>115</v>
      </c>
      <c r="V34" s="53" t="s">
        <v>115</v>
      </c>
      <c r="W34" s="53" t="s">
        <v>115</v>
      </c>
      <c r="X34" s="53" t="s">
        <v>115</v>
      </c>
      <c r="Y34" s="53" t="s">
        <v>115</v>
      </c>
      <c r="Z34" s="53" t="s">
        <v>115</v>
      </c>
      <c r="AA34" s="53" t="s">
        <v>115</v>
      </c>
      <c r="AB34" s="53" t="s">
        <v>115</v>
      </c>
      <c r="AC34" s="53">
        <v>0</v>
      </c>
      <c r="AD34" s="53" t="s">
        <v>115</v>
      </c>
      <c r="AE34" s="53">
        <v>0</v>
      </c>
      <c r="AF34" s="53" t="s">
        <v>115</v>
      </c>
      <c r="AG34" s="53">
        <v>0</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v>0</v>
      </c>
      <c r="BH34" s="53" t="s">
        <v>115</v>
      </c>
      <c r="BI34" s="53">
        <v>4</v>
      </c>
      <c r="BJ34" s="53" t="s">
        <v>115</v>
      </c>
      <c r="BK34" s="53" t="s">
        <v>115</v>
      </c>
      <c r="BL34" s="53" t="s">
        <v>115</v>
      </c>
      <c r="BM34" s="53">
        <v>0</v>
      </c>
    </row>
    <row r="35" spans="1:65" ht="15" customHeight="1" x14ac:dyDescent="0.2">
      <c r="A35" s="53" t="s">
        <v>117</v>
      </c>
      <c r="B35" s="53" t="s">
        <v>115</v>
      </c>
      <c r="C35" s="53" t="s">
        <v>115</v>
      </c>
      <c r="D35" s="53" t="s">
        <v>115</v>
      </c>
      <c r="E35" s="53" t="s">
        <v>115</v>
      </c>
      <c r="F35" s="53" t="s">
        <v>115</v>
      </c>
      <c r="G35" s="53" t="s">
        <v>115</v>
      </c>
      <c r="H35" s="53" t="s">
        <v>115</v>
      </c>
      <c r="I35" s="53" t="s">
        <v>115</v>
      </c>
      <c r="J35" s="53" t="s">
        <v>115</v>
      </c>
      <c r="K35" s="53">
        <v>0</v>
      </c>
      <c r="L35" s="53" t="s">
        <v>115</v>
      </c>
      <c r="M35" s="53" t="s">
        <v>115</v>
      </c>
      <c r="N35" s="53" t="s">
        <v>115</v>
      </c>
      <c r="O35" s="53">
        <v>0</v>
      </c>
      <c r="P35" s="53" t="s">
        <v>115</v>
      </c>
      <c r="Q35" s="53">
        <v>0</v>
      </c>
      <c r="R35" s="53" t="s">
        <v>115</v>
      </c>
      <c r="S35" s="53" t="s">
        <v>115</v>
      </c>
      <c r="T35" s="53" t="s">
        <v>115</v>
      </c>
      <c r="U35" s="53" t="s">
        <v>115</v>
      </c>
      <c r="V35" s="53" t="s">
        <v>115</v>
      </c>
      <c r="W35" s="53" t="s">
        <v>115</v>
      </c>
      <c r="X35" s="53" t="s">
        <v>115</v>
      </c>
      <c r="Y35" s="53" t="s">
        <v>115</v>
      </c>
      <c r="Z35" s="53" t="s">
        <v>115</v>
      </c>
      <c r="AA35" s="53" t="s">
        <v>115</v>
      </c>
      <c r="AB35" s="53" t="s">
        <v>115</v>
      </c>
      <c r="AC35" s="53">
        <v>0</v>
      </c>
      <c r="AD35" s="53" t="s">
        <v>115</v>
      </c>
      <c r="AE35" s="53">
        <v>0</v>
      </c>
      <c r="AF35" s="53" t="s">
        <v>115</v>
      </c>
      <c r="AG35" s="53">
        <v>0</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v>0</v>
      </c>
      <c r="BH35" s="53" t="s">
        <v>115</v>
      </c>
      <c r="BI35" s="53">
        <v>2</v>
      </c>
      <c r="BJ35" s="53" t="s">
        <v>115</v>
      </c>
      <c r="BK35" s="53" t="s">
        <v>115</v>
      </c>
      <c r="BL35" s="53" t="s">
        <v>115</v>
      </c>
      <c r="BM35" s="53">
        <v>0</v>
      </c>
    </row>
    <row r="36" spans="1:65" ht="15" customHeight="1" x14ac:dyDescent="0.2">
      <c r="A36" s="53" t="s">
        <v>116</v>
      </c>
      <c r="B36" s="53" t="s">
        <v>115</v>
      </c>
      <c r="C36" s="53" t="s">
        <v>115</v>
      </c>
      <c r="D36" s="53" t="s">
        <v>115</v>
      </c>
      <c r="E36" s="53" t="s">
        <v>115</v>
      </c>
      <c r="F36" s="53" t="s">
        <v>115</v>
      </c>
      <c r="G36" s="53" t="s">
        <v>115</v>
      </c>
      <c r="H36" s="53" t="s">
        <v>115</v>
      </c>
      <c r="I36" s="53" t="s">
        <v>115</v>
      </c>
      <c r="J36" s="53" t="s">
        <v>115</v>
      </c>
      <c r="K36" s="53">
        <v>0</v>
      </c>
      <c r="L36" s="53" t="s">
        <v>115</v>
      </c>
      <c r="M36" s="53" t="s">
        <v>115</v>
      </c>
      <c r="N36" s="53" t="s">
        <v>115</v>
      </c>
      <c r="O36" s="53">
        <v>0</v>
      </c>
      <c r="P36" s="53" t="s">
        <v>115</v>
      </c>
      <c r="Q36" s="53">
        <v>0</v>
      </c>
      <c r="R36" s="53" t="s">
        <v>115</v>
      </c>
      <c r="S36" s="53" t="s">
        <v>115</v>
      </c>
      <c r="T36" s="53" t="s">
        <v>115</v>
      </c>
      <c r="U36" s="53" t="s">
        <v>115</v>
      </c>
      <c r="V36" s="53" t="s">
        <v>115</v>
      </c>
      <c r="W36" s="53" t="s">
        <v>115</v>
      </c>
      <c r="X36" s="53" t="s">
        <v>115</v>
      </c>
      <c r="Y36" s="53" t="s">
        <v>115</v>
      </c>
      <c r="Z36" s="53" t="s">
        <v>115</v>
      </c>
      <c r="AA36" s="53" t="s">
        <v>115</v>
      </c>
      <c r="AB36" s="53" t="s">
        <v>115</v>
      </c>
      <c r="AC36" s="53">
        <v>0</v>
      </c>
      <c r="AD36" s="53" t="s">
        <v>115</v>
      </c>
      <c r="AE36" s="53">
        <v>0</v>
      </c>
      <c r="AF36" s="53" t="s">
        <v>115</v>
      </c>
      <c r="AG36" s="53">
        <v>0</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v>0</v>
      </c>
      <c r="BH36" s="53" t="s">
        <v>115</v>
      </c>
      <c r="BI36" s="53">
        <v>0</v>
      </c>
      <c r="BJ36" s="53" t="s">
        <v>115</v>
      </c>
      <c r="BK36" s="53" t="s">
        <v>115</v>
      </c>
      <c r="BL36" s="53" t="s">
        <v>115</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D5591-233A-4B82-8DC1-DF14D700A8EB}">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156</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92</v>
      </c>
      <c r="J14" s="54" t="s">
        <v>144</v>
      </c>
      <c r="K14" s="54" t="s">
        <v>143</v>
      </c>
      <c r="L14" s="54" t="s">
        <v>142</v>
      </c>
      <c r="M14" s="54" t="s">
        <v>141</v>
      </c>
      <c r="N14" s="54" t="s">
        <v>140</v>
      </c>
      <c r="O14" s="54" t="s">
        <v>139</v>
      </c>
      <c r="P14" s="54" t="s">
        <v>138</v>
      </c>
      <c r="Q14" s="54" t="s">
        <v>92</v>
      </c>
      <c r="R14" s="54" t="s">
        <v>144</v>
      </c>
      <c r="S14" s="54" t="s">
        <v>143</v>
      </c>
      <c r="T14" s="54" t="s">
        <v>142</v>
      </c>
      <c r="U14" s="54" t="s">
        <v>141</v>
      </c>
      <c r="V14" s="54" t="s">
        <v>140</v>
      </c>
      <c r="W14" s="54" t="s">
        <v>139</v>
      </c>
      <c r="X14" s="54" t="s">
        <v>138</v>
      </c>
      <c r="Y14" s="54" t="s">
        <v>92</v>
      </c>
      <c r="Z14" s="54" t="s">
        <v>144</v>
      </c>
      <c r="AA14" s="54" t="s">
        <v>143</v>
      </c>
      <c r="AB14" s="54" t="s">
        <v>142</v>
      </c>
      <c r="AC14" s="54" t="s">
        <v>141</v>
      </c>
      <c r="AD14" s="54" t="s">
        <v>140</v>
      </c>
      <c r="AE14" s="54" t="s">
        <v>139</v>
      </c>
      <c r="AF14" s="54" t="s">
        <v>138</v>
      </c>
      <c r="AG14" s="54" t="s">
        <v>92</v>
      </c>
      <c r="AH14" s="54" t="s">
        <v>144</v>
      </c>
      <c r="AI14" s="54" t="s">
        <v>143</v>
      </c>
      <c r="AJ14" s="54" t="s">
        <v>142</v>
      </c>
      <c r="AK14" s="54" t="s">
        <v>141</v>
      </c>
      <c r="AL14" s="54" t="s">
        <v>140</v>
      </c>
      <c r="AM14" s="54" t="s">
        <v>139</v>
      </c>
      <c r="AN14" s="54" t="s">
        <v>138</v>
      </c>
      <c r="AO14" s="54" t="s">
        <v>92</v>
      </c>
      <c r="AP14" s="54" t="s">
        <v>144</v>
      </c>
      <c r="AQ14" s="54" t="s">
        <v>143</v>
      </c>
      <c r="AR14" s="54" t="s">
        <v>142</v>
      </c>
      <c r="AS14" s="54" t="s">
        <v>141</v>
      </c>
      <c r="AT14" s="54" t="s">
        <v>140</v>
      </c>
      <c r="AU14" s="54" t="s">
        <v>139</v>
      </c>
      <c r="AV14" s="54" t="s">
        <v>138</v>
      </c>
      <c r="AW14" s="54" t="s">
        <v>92</v>
      </c>
      <c r="AX14" s="54" t="s">
        <v>144</v>
      </c>
      <c r="AY14" s="54" t="s">
        <v>143</v>
      </c>
      <c r="AZ14" s="54" t="s">
        <v>142</v>
      </c>
      <c r="BA14" s="54" t="s">
        <v>141</v>
      </c>
      <c r="BB14" s="54" t="s">
        <v>140</v>
      </c>
      <c r="BC14" s="54" t="s">
        <v>139</v>
      </c>
      <c r="BD14" s="54" t="s">
        <v>138</v>
      </c>
      <c r="BE14" s="54" t="s">
        <v>92</v>
      </c>
      <c r="BF14" s="54" t="s">
        <v>144</v>
      </c>
      <c r="BG14" s="54" t="s">
        <v>143</v>
      </c>
      <c r="BH14" s="54" t="s">
        <v>142</v>
      </c>
      <c r="BI14" s="54" t="s">
        <v>141</v>
      </c>
      <c r="BJ14" s="54" t="s">
        <v>140</v>
      </c>
      <c r="BK14" s="54" t="s">
        <v>139</v>
      </c>
      <c r="BL14" s="54" t="s">
        <v>138</v>
      </c>
      <c r="BM14" s="54" t="s">
        <v>92</v>
      </c>
    </row>
    <row r="15" spans="1:65" ht="15" customHeight="1" x14ac:dyDescent="0.2">
      <c r="A15" s="53" t="s">
        <v>137</v>
      </c>
      <c r="B15" s="53" t="s">
        <v>115</v>
      </c>
      <c r="C15" s="53" t="s">
        <v>115</v>
      </c>
      <c r="D15" s="53" t="s">
        <v>115</v>
      </c>
      <c r="E15" s="53" t="s">
        <v>115</v>
      </c>
      <c r="F15" s="53" t="s">
        <v>115</v>
      </c>
      <c r="G15" s="53" t="s">
        <v>115</v>
      </c>
      <c r="H15" s="53" t="s">
        <v>115</v>
      </c>
      <c r="I15" s="53" t="s">
        <v>115</v>
      </c>
      <c r="J15" s="53" t="s">
        <v>115</v>
      </c>
      <c r="K15" s="53">
        <v>26</v>
      </c>
      <c r="L15" s="53" t="s">
        <v>115</v>
      </c>
      <c r="M15" s="53" t="s">
        <v>115</v>
      </c>
      <c r="N15" s="53" t="s">
        <v>115</v>
      </c>
      <c r="O15" s="53">
        <v>10</v>
      </c>
      <c r="P15" s="53" t="s">
        <v>115</v>
      </c>
      <c r="Q15" s="53">
        <v>0</v>
      </c>
      <c r="R15" s="53" t="s">
        <v>115</v>
      </c>
      <c r="S15" s="53" t="s">
        <v>115</v>
      </c>
      <c r="T15" s="53" t="s">
        <v>115</v>
      </c>
      <c r="U15" s="53" t="s">
        <v>115</v>
      </c>
      <c r="V15" s="53" t="s">
        <v>115</v>
      </c>
      <c r="W15" s="53" t="s">
        <v>115</v>
      </c>
      <c r="X15" s="53" t="s">
        <v>115</v>
      </c>
      <c r="Y15" s="53" t="s">
        <v>115</v>
      </c>
      <c r="Z15" s="53" t="s">
        <v>115</v>
      </c>
      <c r="AA15" s="53" t="s">
        <v>115</v>
      </c>
      <c r="AB15" s="53" t="s">
        <v>115</v>
      </c>
      <c r="AC15" s="53">
        <v>175</v>
      </c>
      <c r="AD15" s="53" t="s">
        <v>115</v>
      </c>
      <c r="AE15" s="53">
        <v>2</v>
      </c>
      <c r="AF15" s="53" t="s">
        <v>115</v>
      </c>
      <c r="AG15" s="53">
        <v>0</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v>4</v>
      </c>
      <c r="BH15" s="53" t="s">
        <v>115</v>
      </c>
      <c r="BI15" s="53">
        <v>106</v>
      </c>
      <c r="BJ15" s="53" t="s">
        <v>115</v>
      </c>
      <c r="BK15" s="53" t="s">
        <v>115</v>
      </c>
      <c r="BL15" s="53" t="s">
        <v>115</v>
      </c>
      <c r="BM15" s="53">
        <v>0</v>
      </c>
    </row>
    <row r="16" spans="1:65" ht="15" customHeight="1" x14ac:dyDescent="0.2">
      <c r="A16" s="53" t="s">
        <v>136</v>
      </c>
      <c r="B16" s="53" t="s">
        <v>115</v>
      </c>
      <c r="C16" s="53" t="s">
        <v>115</v>
      </c>
      <c r="D16" s="53" t="s">
        <v>115</v>
      </c>
      <c r="E16" s="53" t="s">
        <v>115</v>
      </c>
      <c r="F16" s="53" t="s">
        <v>115</v>
      </c>
      <c r="G16" s="53" t="s">
        <v>115</v>
      </c>
      <c r="H16" s="53" t="s">
        <v>115</v>
      </c>
      <c r="I16" s="53" t="s">
        <v>115</v>
      </c>
      <c r="J16" s="53" t="s">
        <v>115</v>
      </c>
      <c r="K16" s="53">
        <v>23</v>
      </c>
      <c r="L16" s="53" t="s">
        <v>115</v>
      </c>
      <c r="M16" s="53" t="s">
        <v>115</v>
      </c>
      <c r="N16" s="53" t="s">
        <v>115</v>
      </c>
      <c r="O16" s="53">
        <v>18</v>
      </c>
      <c r="P16" s="53" t="s">
        <v>115</v>
      </c>
      <c r="Q16" s="53">
        <v>0</v>
      </c>
      <c r="R16" s="53" t="s">
        <v>115</v>
      </c>
      <c r="S16" s="53" t="s">
        <v>115</v>
      </c>
      <c r="T16" s="53" t="s">
        <v>115</v>
      </c>
      <c r="U16" s="53" t="s">
        <v>115</v>
      </c>
      <c r="V16" s="53" t="s">
        <v>115</v>
      </c>
      <c r="W16" s="53" t="s">
        <v>115</v>
      </c>
      <c r="X16" s="53" t="s">
        <v>115</v>
      </c>
      <c r="Y16" s="53" t="s">
        <v>115</v>
      </c>
      <c r="Z16" s="53" t="s">
        <v>115</v>
      </c>
      <c r="AA16" s="53" t="s">
        <v>115</v>
      </c>
      <c r="AB16" s="53" t="s">
        <v>115</v>
      </c>
      <c r="AC16" s="53">
        <v>187</v>
      </c>
      <c r="AD16" s="53" t="s">
        <v>115</v>
      </c>
      <c r="AE16" s="53">
        <v>9</v>
      </c>
      <c r="AF16" s="53" t="s">
        <v>115</v>
      </c>
      <c r="AG16" s="53">
        <v>0</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v>5</v>
      </c>
      <c r="BH16" s="53" t="s">
        <v>115</v>
      </c>
      <c r="BI16" s="53">
        <v>140</v>
      </c>
      <c r="BJ16" s="53" t="s">
        <v>115</v>
      </c>
      <c r="BK16" s="53" t="s">
        <v>115</v>
      </c>
      <c r="BL16" s="53" t="s">
        <v>115</v>
      </c>
      <c r="BM16" s="53">
        <v>1</v>
      </c>
    </row>
    <row r="17" spans="1:65" ht="15" customHeight="1" x14ac:dyDescent="0.2">
      <c r="A17" s="53" t="s">
        <v>135</v>
      </c>
      <c r="B17" s="53" t="s">
        <v>115</v>
      </c>
      <c r="C17" s="53" t="s">
        <v>115</v>
      </c>
      <c r="D17" s="53" t="s">
        <v>115</v>
      </c>
      <c r="E17" s="53" t="s">
        <v>115</v>
      </c>
      <c r="F17" s="53" t="s">
        <v>115</v>
      </c>
      <c r="G17" s="53" t="s">
        <v>115</v>
      </c>
      <c r="H17" s="53" t="s">
        <v>115</v>
      </c>
      <c r="I17" s="53" t="s">
        <v>115</v>
      </c>
      <c r="J17" s="53" t="s">
        <v>115</v>
      </c>
      <c r="K17" s="53">
        <v>49</v>
      </c>
      <c r="L17" s="53" t="s">
        <v>115</v>
      </c>
      <c r="M17" s="53" t="s">
        <v>115</v>
      </c>
      <c r="N17" s="53" t="s">
        <v>115</v>
      </c>
      <c r="O17" s="53">
        <v>18</v>
      </c>
      <c r="P17" s="53" t="s">
        <v>115</v>
      </c>
      <c r="Q17" s="53">
        <v>0</v>
      </c>
      <c r="R17" s="53" t="s">
        <v>115</v>
      </c>
      <c r="S17" s="53" t="s">
        <v>115</v>
      </c>
      <c r="T17" s="53" t="s">
        <v>115</v>
      </c>
      <c r="U17" s="53" t="s">
        <v>115</v>
      </c>
      <c r="V17" s="53" t="s">
        <v>115</v>
      </c>
      <c r="W17" s="53" t="s">
        <v>115</v>
      </c>
      <c r="X17" s="53" t="s">
        <v>115</v>
      </c>
      <c r="Y17" s="53" t="s">
        <v>115</v>
      </c>
      <c r="Z17" s="53" t="s">
        <v>115</v>
      </c>
      <c r="AA17" s="53" t="s">
        <v>115</v>
      </c>
      <c r="AB17" s="53" t="s">
        <v>115</v>
      </c>
      <c r="AC17" s="53">
        <v>212</v>
      </c>
      <c r="AD17" s="53" t="s">
        <v>115</v>
      </c>
      <c r="AE17" s="53">
        <v>5</v>
      </c>
      <c r="AF17" s="53" t="s">
        <v>115</v>
      </c>
      <c r="AG17" s="53">
        <v>0</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v>11</v>
      </c>
      <c r="BH17" s="53" t="s">
        <v>115</v>
      </c>
      <c r="BI17" s="53">
        <v>189</v>
      </c>
      <c r="BJ17" s="53" t="s">
        <v>115</v>
      </c>
      <c r="BK17" s="53" t="s">
        <v>115</v>
      </c>
      <c r="BL17" s="53" t="s">
        <v>115</v>
      </c>
      <c r="BM17" s="53">
        <v>0</v>
      </c>
    </row>
    <row r="18" spans="1:65" ht="15" customHeight="1" x14ac:dyDescent="0.2">
      <c r="A18" s="53" t="s">
        <v>134</v>
      </c>
      <c r="B18" s="53" t="s">
        <v>115</v>
      </c>
      <c r="C18" s="53" t="s">
        <v>115</v>
      </c>
      <c r="D18" s="53" t="s">
        <v>115</v>
      </c>
      <c r="E18" s="53" t="s">
        <v>115</v>
      </c>
      <c r="F18" s="53" t="s">
        <v>115</v>
      </c>
      <c r="G18" s="53" t="s">
        <v>115</v>
      </c>
      <c r="H18" s="53" t="s">
        <v>115</v>
      </c>
      <c r="I18" s="53" t="s">
        <v>115</v>
      </c>
      <c r="J18" s="53" t="s">
        <v>115</v>
      </c>
      <c r="K18" s="53">
        <v>67</v>
      </c>
      <c r="L18" s="53" t="s">
        <v>115</v>
      </c>
      <c r="M18" s="53" t="s">
        <v>115</v>
      </c>
      <c r="N18" s="53" t="s">
        <v>115</v>
      </c>
      <c r="O18" s="53">
        <v>12</v>
      </c>
      <c r="P18" s="53" t="s">
        <v>115</v>
      </c>
      <c r="Q18" s="53">
        <v>0</v>
      </c>
      <c r="R18" s="53" t="s">
        <v>115</v>
      </c>
      <c r="S18" s="53" t="s">
        <v>115</v>
      </c>
      <c r="T18" s="53" t="s">
        <v>115</v>
      </c>
      <c r="U18" s="53" t="s">
        <v>115</v>
      </c>
      <c r="V18" s="53" t="s">
        <v>115</v>
      </c>
      <c r="W18" s="53" t="s">
        <v>115</v>
      </c>
      <c r="X18" s="53" t="s">
        <v>115</v>
      </c>
      <c r="Y18" s="53" t="s">
        <v>115</v>
      </c>
      <c r="Z18" s="53" t="s">
        <v>115</v>
      </c>
      <c r="AA18" s="53" t="s">
        <v>115</v>
      </c>
      <c r="AB18" s="53" t="s">
        <v>115</v>
      </c>
      <c r="AC18" s="53">
        <v>262</v>
      </c>
      <c r="AD18" s="53" t="s">
        <v>115</v>
      </c>
      <c r="AE18" s="53">
        <v>8</v>
      </c>
      <c r="AF18" s="53" t="s">
        <v>115</v>
      </c>
      <c r="AG18" s="53">
        <v>0</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v>14</v>
      </c>
      <c r="BH18" s="53" t="s">
        <v>115</v>
      </c>
      <c r="BI18" s="53">
        <v>262</v>
      </c>
      <c r="BJ18" s="53" t="s">
        <v>115</v>
      </c>
      <c r="BK18" s="53" t="s">
        <v>115</v>
      </c>
      <c r="BL18" s="53" t="s">
        <v>115</v>
      </c>
      <c r="BM18" s="53">
        <v>1</v>
      </c>
    </row>
    <row r="19" spans="1:65" ht="15" customHeight="1" x14ac:dyDescent="0.2">
      <c r="A19" s="53" t="s">
        <v>133</v>
      </c>
      <c r="B19" s="53" t="s">
        <v>115</v>
      </c>
      <c r="C19" s="53" t="s">
        <v>115</v>
      </c>
      <c r="D19" s="53" t="s">
        <v>115</v>
      </c>
      <c r="E19" s="53" t="s">
        <v>115</v>
      </c>
      <c r="F19" s="53" t="s">
        <v>115</v>
      </c>
      <c r="G19" s="53" t="s">
        <v>115</v>
      </c>
      <c r="H19" s="53" t="s">
        <v>115</v>
      </c>
      <c r="I19" s="53" t="s">
        <v>115</v>
      </c>
      <c r="J19" s="53" t="s">
        <v>115</v>
      </c>
      <c r="K19" s="53">
        <v>36</v>
      </c>
      <c r="L19" s="53" t="s">
        <v>115</v>
      </c>
      <c r="M19" s="53" t="s">
        <v>115</v>
      </c>
      <c r="N19" s="53" t="s">
        <v>115</v>
      </c>
      <c r="O19" s="53">
        <v>19</v>
      </c>
      <c r="P19" s="53" t="s">
        <v>115</v>
      </c>
      <c r="Q19" s="53">
        <v>0</v>
      </c>
      <c r="R19" s="53" t="s">
        <v>115</v>
      </c>
      <c r="S19" s="53" t="s">
        <v>115</v>
      </c>
      <c r="T19" s="53" t="s">
        <v>115</v>
      </c>
      <c r="U19" s="53" t="s">
        <v>115</v>
      </c>
      <c r="V19" s="53" t="s">
        <v>115</v>
      </c>
      <c r="W19" s="53" t="s">
        <v>115</v>
      </c>
      <c r="X19" s="53" t="s">
        <v>115</v>
      </c>
      <c r="Y19" s="53" t="s">
        <v>115</v>
      </c>
      <c r="Z19" s="53" t="s">
        <v>115</v>
      </c>
      <c r="AA19" s="53" t="s">
        <v>115</v>
      </c>
      <c r="AB19" s="53" t="s">
        <v>115</v>
      </c>
      <c r="AC19" s="53">
        <v>252</v>
      </c>
      <c r="AD19" s="53" t="s">
        <v>115</v>
      </c>
      <c r="AE19" s="53">
        <v>18</v>
      </c>
      <c r="AF19" s="53" t="s">
        <v>115</v>
      </c>
      <c r="AG19" s="53">
        <v>0</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v>14</v>
      </c>
      <c r="BH19" s="53" t="s">
        <v>115</v>
      </c>
      <c r="BI19" s="53">
        <v>228</v>
      </c>
      <c r="BJ19" s="53" t="s">
        <v>115</v>
      </c>
      <c r="BK19" s="53" t="s">
        <v>115</v>
      </c>
      <c r="BL19" s="53" t="s">
        <v>115</v>
      </c>
      <c r="BM19" s="53">
        <v>0</v>
      </c>
    </row>
    <row r="20" spans="1:65" ht="15" customHeight="1" x14ac:dyDescent="0.2">
      <c r="A20" s="53" t="s">
        <v>132</v>
      </c>
      <c r="B20" s="53" t="s">
        <v>115</v>
      </c>
      <c r="C20" s="53" t="s">
        <v>115</v>
      </c>
      <c r="D20" s="53" t="s">
        <v>115</v>
      </c>
      <c r="E20" s="53" t="s">
        <v>115</v>
      </c>
      <c r="F20" s="53" t="s">
        <v>115</v>
      </c>
      <c r="G20" s="53" t="s">
        <v>115</v>
      </c>
      <c r="H20" s="53" t="s">
        <v>115</v>
      </c>
      <c r="I20" s="53" t="s">
        <v>115</v>
      </c>
      <c r="J20" s="53" t="s">
        <v>115</v>
      </c>
      <c r="K20" s="53">
        <v>38</v>
      </c>
      <c r="L20" s="53" t="s">
        <v>115</v>
      </c>
      <c r="M20" s="53" t="s">
        <v>115</v>
      </c>
      <c r="N20" s="53" t="s">
        <v>115</v>
      </c>
      <c r="O20" s="53">
        <v>18</v>
      </c>
      <c r="P20" s="53" t="s">
        <v>115</v>
      </c>
      <c r="Q20" s="53">
        <v>0</v>
      </c>
      <c r="R20" s="53" t="s">
        <v>115</v>
      </c>
      <c r="S20" s="53" t="s">
        <v>115</v>
      </c>
      <c r="T20" s="53" t="s">
        <v>115</v>
      </c>
      <c r="U20" s="53" t="s">
        <v>115</v>
      </c>
      <c r="V20" s="53" t="s">
        <v>115</v>
      </c>
      <c r="W20" s="53" t="s">
        <v>115</v>
      </c>
      <c r="X20" s="53" t="s">
        <v>115</v>
      </c>
      <c r="Y20" s="53" t="s">
        <v>115</v>
      </c>
      <c r="Z20" s="53" t="s">
        <v>115</v>
      </c>
      <c r="AA20" s="53" t="s">
        <v>115</v>
      </c>
      <c r="AB20" s="53" t="s">
        <v>115</v>
      </c>
      <c r="AC20" s="53">
        <v>224</v>
      </c>
      <c r="AD20" s="53" t="s">
        <v>115</v>
      </c>
      <c r="AE20" s="53">
        <v>10</v>
      </c>
      <c r="AF20" s="53" t="s">
        <v>115</v>
      </c>
      <c r="AG20" s="53">
        <v>0</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v>33</v>
      </c>
      <c r="BH20" s="53" t="s">
        <v>115</v>
      </c>
      <c r="BI20" s="53">
        <v>215</v>
      </c>
      <c r="BJ20" s="53" t="s">
        <v>115</v>
      </c>
      <c r="BK20" s="53" t="s">
        <v>115</v>
      </c>
      <c r="BL20" s="53" t="s">
        <v>115</v>
      </c>
      <c r="BM20" s="53">
        <v>0</v>
      </c>
    </row>
    <row r="21" spans="1:65" ht="15" customHeight="1" x14ac:dyDescent="0.2">
      <c r="A21" s="53" t="s">
        <v>131</v>
      </c>
      <c r="B21" s="53" t="s">
        <v>115</v>
      </c>
      <c r="C21" s="53" t="s">
        <v>115</v>
      </c>
      <c r="D21" s="53" t="s">
        <v>115</v>
      </c>
      <c r="E21" s="53" t="s">
        <v>115</v>
      </c>
      <c r="F21" s="53" t="s">
        <v>115</v>
      </c>
      <c r="G21" s="53" t="s">
        <v>115</v>
      </c>
      <c r="H21" s="53" t="s">
        <v>115</v>
      </c>
      <c r="I21" s="53" t="s">
        <v>115</v>
      </c>
      <c r="J21" s="53" t="s">
        <v>115</v>
      </c>
      <c r="K21" s="53">
        <v>29</v>
      </c>
      <c r="L21" s="53" t="s">
        <v>115</v>
      </c>
      <c r="M21" s="53" t="s">
        <v>115</v>
      </c>
      <c r="N21" s="53" t="s">
        <v>115</v>
      </c>
      <c r="O21" s="53">
        <v>16</v>
      </c>
      <c r="P21" s="53" t="s">
        <v>115</v>
      </c>
      <c r="Q21" s="53">
        <v>0</v>
      </c>
      <c r="R21" s="53" t="s">
        <v>115</v>
      </c>
      <c r="S21" s="53" t="s">
        <v>115</v>
      </c>
      <c r="T21" s="53" t="s">
        <v>115</v>
      </c>
      <c r="U21" s="53" t="s">
        <v>115</v>
      </c>
      <c r="V21" s="53" t="s">
        <v>115</v>
      </c>
      <c r="W21" s="53" t="s">
        <v>115</v>
      </c>
      <c r="X21" s="53" t="s">
        <v>115</v>
      </c>
      <c r="Y21" s="53" t="s">
        <v>115</v>
      </c>
      <c r="Z21" s="53" t="s">
        <v>115</v>
      </c>
      <c r="AA21" s="53" t="s">
        <v>115</v>
      </c>
      <c r="AB21" s="53" t="s">
        <v>115</v>
      </c>
      <c r="AC21" s="53">
        <v>228</v>
      </c>
      <c r="AD21" s="53" t="s">
        <v>115</v>
      </c>
      <c r="AE21" s="53">
        <v>14</v>
      </c>
      <c r="AF21" s="53" t="s">
        <v>115</v>
      </c>
      <c r="AG21" s="53">
        <v>1</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v>25</v>
      </c>
      <c r="BH21" s="53" t="s">
        <v>115</v>
      </c>
      <c r="BI21" s="53">
        <v>149</v>
      </c>
      <c r="BJ21" s="53" t="s">
        <v>115</v>
      </c>
      <c r="BK21" s="53" t="s">
        <v>115</v>
      </c>
      <c r="BL21" s="53" t="s">
        <v>115</v>
      </c>
      <c r="BM21" s="53">
        <v>0</v>
      </c>
    </row>
    <row r="22" spans="1:65" ht="15" customHeight="1" x14ac:dyDescent="0.2">
      <c r="A22" s="53" t="s">
        <v>130</v>
      </c>
      <c r="B22" s="53" t="s">
        <v>115</v>
      </c>
      <c r="C22" s="53" t="s">
        <v>115</v>
      </c>
      <c r="D22" s="53" t="s">
        <v>115</v>
      </c>
      <c r="E22" s="53" t="s">
        <v>115</v>
      </c>
      <c r="F22" s="53" t="s">
        <v>115</v>
      </c>
      <c r="G22" s="53" t="s">
        <v>115</v>
      </c>
      <c r="H22" s="53" t="s">
        <v>115</v>
      </c>
      <c r="I22" s="53" t="s">
        <v>115</v>
      </c>
      <c r="J22" s="53" t="s">
        <v>115</v>
      </c>
      <c r="K22" s="53">
        <v>44</v>
      </c>
      <c r="L22" s="53" t="s">
        <v>115</v>
      </c>
      <c r="M22" s="53" t="s">
        <v>115</v>
      </c>
      <c r="N22" s="53" t="s">
        <v>115</v>
      </c>
      <c r="O22" s="53">
        <v>20</v>
      </c>
      <c r="P22" s="53" t="s">
        <v>115</v>
      </c>
      <c r="Q22" s="53">
        <v>0</v>
      </c>
      <c r="R22" s="53" t="s">
        <v>115</v>
      </c>
      <c r="S22" s="53" t="s">
        <v>115</v>
      </c>
      <c r="T22" s="53" t="s">
        <v>115</v>
      </c>
      <c r="U22" s="53" t="s">
        <v>115</v>
      </c>
      <c r="V22" s="53" t="s">
        <v>115</v>
      </c>
      <c r="W22" s="53" t="s">
        <v>115</v>
      </c>
      <c r="X22" s="53" t="s">
        <v>115</v>
      </c>
      <c r="Y22" s="53" t="s">
        <v>115</v>
      </c>
      <c r="Z22" s="53" t="s">
        <v>115</v>
      </c>
      <c r="AA22" s="53" t="s">
        <v>115</v>
      </c>
      <c r="AB22" s="53" t="s">
        <v>115</v>
      </c>
      <c r="AC22" s="53">
        <v>259</v>
      </c>
      <c r="AD22" s="53" t="s">
        <v>115</v>
      </c>
      <c r="AE22" s="53">
        <v>17</v>
      </c>
      <c r="AF22" s="53" t="s">
        <v>115</v>
      </c>
      <c r="AG22" s="53">
        <v>0</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v>24</v>
      </c>
      <c r="BH22" s="53" t="s">
        <v>115</v>
      </c>
      <c r="BI22" s="53">
        <v>156</v>
      </c>
      <c r="BJ22" s="53" t="s">
        <v>115</v>
      </c>
      <c r="BK22" s="53" t="s">
        <v>115</v>
      </c>
      <c r="BL22" s="53" t="s">
        <v>115</v>
      </c>
      <c r="BM22" s="53">
        <v>0</v>
      </c>
    </row>
    <row r="23" spans="1:65" ht="15" customHeight="1" x14ac:dyDescent="0.2">
      <c r="A23" s="53" t="s">
        <v>129</v>
      </c>
      <c r="B23" s="53" t="s">
        <v>115</v>
      </c>
      <c r="C23" s="53" t="s">
        <v>115</v>
      </c>
      <c r="D23" s="53" t="s">
        <v>115</v>
      </c>
      <c r="E23" s="53" t="s">
        <v>115</v>
      </c>
      <c r="F23" s="53" t="s">
        <v>115</v>
      </c>
      <c r="G23" s="53" t="s">
        <v>115</v>
      </c>
      <c r="H23" s="53" t="s">
        <v>115</v>
      </c>
      <c r="I23" s="53" t="s">
        <v>115</v>
      </c>
      <c r="J23" s="53" t="s">
        <v>115</v>
      </c>
      <c r="K23" s="53">
        <v>13</v>
      </c>
      <c r="L23" s="53" t="s">
        <v>115</v>
      </c>
      <c r="M23" s="53" t="s">
        <v>115</v>
      </c>
      <c r="N23" s="53" t="s">
        <v>115</v>
      </c>
      <c r="O23" s="53">
        <v>8</v>
      </c>
      <c r="P23" s="53" t="s">
        <v>115</v>
      </c>
      <c r="Q23" s="53">
        <v>0</v>
      </c>
      <c r="R23" s="53" t="s">
        <v>115</v>
      </c>
      <c r="S23" s="53" t="s">
        <v>115</v>
      </c>
      <c r="T23" s="53" t="s">
        <v>115</v>
      </c>
      <c r="U23" s="53" t="s">
        <v>115</v>
      </c>
      <c r="V23" s="53" t="s">
        <v>115</v>
      </c>
      <c r="W23" s="53" t="s">
        <v>115</v>
      </c>
      <c r="X23" s="53" t="s">
        <v>115</v>
      </c>
      <c r="Y23" s="53" t="s">
        <v>115</v>
      </c>
      <c r="Z23" s="53" t="s">
        <v>115</v>
      </c>
      <c r="AA23" s="53" t="s">
        <v>115</v>
      </c>
      <c r="AB23" s="53" t="s">
        <v>115</v>
      </c>
      <c r="AC23" s="53">
        <v>167</v>
      </c>
      <c r="AD23" s="53" t="s">
        <v>115</v>
      </c>
      <c r="AE23" s="53">
        <v>21</v>
      </c>
      <c r="AF23" s="53" t="s">
        <v>115</v>
      </c>
      <c r="AG23" s="53">
        <v>0</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v>25</v>
      </c>
      <c r="BH23" s="53" t="s">
        <v>115</v>
      </c>
      <c r="BI23" s="53">
        <v>162</v>
      </c>
      <c r="BJ23" s="53" t="s">
        <v>115</v>
      </c>
      <c r="BK23" s="53" t="s">
        <v>115</v>
      </c>
      <c r="BL23" s="53" t="s">
        <v>115</v>
      </c>
      <c r="BM23" s="53">
        <v>0</v>
      </c>
    </row>
    <row r="24" spans="1:65" ht="15" customHeight="1" x14ac:dyDescent="0.2">
      <c r="A24" s="53" t="s">
        <v>128</v>
      </c>
      <c r="B24" s="53" t="s">
        <v>115</v>
      </c>
      <c r="C24" s="53" t="s">
        <v>115</v>
      </c>
      <c r="D24" s="53" t="s">
        <v>115</v>
      </c>
      <c r="E24" s="53" t="s">
        <v>115</v>
      </c>
      <c r="F24" s="53" t="s">
        <v>115</v>
      </c>
      <c r="G24" s="53" t="s">
        <v>115</v>
      </c>
      <c r="H24" s="53" t="s">
        <v>115</v>
      </c>
      <c r="I24" s="53" t="s">
        <v>115</v>
      </c>
      <c r="J24" s="53" t="s">
        <v>115</v>
      </c>
      <c r="K24" s="53">
        <v>16</v>
      </c>
      <c r="L24" s="53" t="s">
        <v>115</v>
      </c>
      <c r="M24" s="53" t="s">
        <v>115</v>
      </c>
      <c r="N24" s="53" t="s">
        <v>115</v>
      </c>
      <c r="O24" s="53">
        <v>11</v>
      </c>
      <c r="P24" s="53" t="s">
        <v>115</v>
      </c>
      <c r="Q24" s="53">
        <v>0</v>
      </c>
      <c r="R24" s="53" t="s">
        <v>115</v>
      </c>
      <c r="S24" s="53" t="s">
        <v>115</v>
      </c>
      <c r="T24" s="53" t="s">
        <v>115</v>
      </c>
      <c r="U24" s="53" t="s">
        <v>115</v>
      </c>
      <c r="V24" s="53" t="s">
        <v>115</v>
      </c>
      <c r="W24" s="53" t="s">
        <v>115</v>
      </c>
      <c r="X24" s="53" t="s">
        <v>115</v>
      </c>
      <c r="Y24" s="53" t="s">
        <v>115</v>
      </c>
      <c r="Z24" s="53" t="s">
        <v>115</v>
      </c>
      <c r="AA24" s="53" t="s">
        <v>115</v>
      </c>
      <c r="AB24" s="53" t="s">
        <v>115</v>
      </c>
      <c r="AC24" s="53">
        <v>159</v>
      </c>
      <c r="AD24" s="53" t="s">
        <v>115</v>
      </c>
      <c r="AE24" s="53">
        <v>12</v>
      </c>
      <c r="AF24" s="53" t="s">
        <v>115</v>
      </c>
      <c r="AG24" s="53">
        <v>0</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v>16</v>
      </c>
      <c r="BH24" s="53" t="s">
        <v>115</v>
      </c>
      <c r="BI24" s="53">
        <v>153</v>
      </c>
      <c r="BJ24" s="53" t="s">
        <v>115</v>
      </c>
      <c r="BK24" s="53" t="s">
        <v>115</v>
      </c>
      <c r="BL24" s="53" t="s">
        <v>115</v>
      </c>
      <c r="BM24" s="53">
        <v>0</v>
      </c>
    </row>
    <row r="25" spans="1:65" ht="15" customHeight="1" x14ac:dyDescent="0.2">
      <c r="A25" s="53" t="s">
        <v>127</v>
      </c>
      <c r="B25" s="53" t="s">
        <v>115</v>
      </c>
      <c r="C25" s="53" t="s">
        <v>115</v>
      </c>
      <c r="D25" s="53" t="s">
        <v>115</v>
      </c>
      <c r="E25" s="53" t="s">
        <v>115</v>
      </c>
      <c r="F25" s="53" t="s">
        <v>115</v>
      </c>
      <c r="G25" s="53" t="s">
        <v>115</v>
      </c>
      <c r="H25" s="53" t="s">
        <v>115</v>
      </c>
      <c r="I25" s="53" t="s">
        <v>115</v>
      </c>
      <c r="J25" s="53" t="s">
        <v>115</v>
      </c>
      <c r="K25" s="53">
        <v>13</v>
      </c>
      <c r="L25" s="53" t="s">
        <v>115</v>
      </c>
      <c r="M25" s="53" t="s">
        <v>115</v>
      </c>
      <c r="N25" s="53" t="s">
        <v>115</v>
      </c>
      <c r="O25" s="53">
        <v>12</v>
      </c>
      <c r="P25" s="53" t="s">
        <v>115</v>
      </c>
      <c r="Q25" s="53">
        <v>0</v>
      </c>
      <c r="R25" s="53" t="s">
        <v>115</v>
      </c>
      <c r="S25" s="53" t="s">
        <v>115</v>
      </c>
      <c r="T25" s="53" t="s">
        <v>115</v>
      </c>
      <c r="U25" s="53" t="s">
        <v>115</v>
      </c>
      <c r="V25" s="53" t="s">
        <v>115</v>
      </c>
      <c r="W25" s="53" t="s">
        <v>115</v>
      </c>
      <c r="X25" s="53" t="s">
        <v>115</v>
      </c>
      <c r="Y25" s="53" t="s">
        <v>115</v>
      </c>
      <c r="Z25" s="53" t="s">
        <v>115</v>
      </c>
      <c r="AA25" s="53" t="s">
        <v>115</v>
      </c>
      <c r="AB25" s="53" t="s">
        <v>115</v>
      </c>
      <c r="AC25" s="53">
        <v>153</v>
      </c>
      <c r="AD25" s="53" t="s">
        <v>115</v>
      </c>
      <c r="AE25" s="53">
        <v>15</v>
      </c>
      <c r="AF25" s="53" t="s">
        <v>115</v>
      </c>
      <c r="AG25" s="53">
        <v>0</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v>14</v>
      </c>
      <c r="BH25" s="53" t="s">
        <v>115</v>
      </c>
      <c r="BI25" s="53">
        <v>175</v>
      </c>
      <c r="BJ25" s="53" t="s">
        <v>115</v>
      </c>
      <c r="BK25" s="53" t="s">
        <v>115</v>
      </c>
      <c r="BL25" s="53" t="s">
        <v>115</v>
      </c>
      <c r="BM25" s="53">
        <v>0</v>
      </c>
    </row>
    <row r="26" spans="1:65" ht="15" customHeight="1" x14ac:dyDescent="0.2">
      <c r="A26" s="53" t="s">
        <v>126</v>
      </c>
      <c r="B26" s="53" t="s">
        <v>115</v>
      </c>
      <c r="C26" s="53" t="s">
        <v>115</v>
      </c>
      <c r="D26" s="53" t="s">
        <v>115</v>
      </c>
      <c r="E26" s="53" t="s">
        <v>115</v>
      </c>
      <c r="F26" s="53" t="s">
        <v>115</v>
      </c>
      <c r="G26" s="53" t="s">
        <v>115</v>
      </c>
      <c r="H26" s="53" t="s">
        <v>115</v>
      </c>
      <c r="I26" s="53" t="s">
        <v>115</v>
      </c>
      <c r="J26" s="53" t="s">
        <v>115</v>
      </c>
      <c r="K26" s="53">
        <v>14</v>
      </c>
      <c r="L26" s="53" t="s">
        <v>115</v>
      </c>
      <c r="M26" s="53" t="s">
        <v>115</v>
      </c>
      <c r="N26" s="53" t="s">
        <v>115</v>
      </c>
      <c r="O26" s="53">
        <v>15</v>
      </c>
      <c r="P26" s="53" t="s">
        <v>115</v>
      </c>
      <c r="Q26" s="53">
        <v>0</v>
      </c>
      <c r="R26" s="53" t="s">
        <v>115</v>
      </c>
      <c r="S26" s="53" t="s">
        <v>115</v>
      </c>
      <c r="T26" s="53" t="s">
        <v>115</v>
      </c>
      <c r="U26" s="53" t="s">
        <v>115</v>
      </c>
      <c r="V26" s="53" t="s">
        <v>115</v>
      </c>
      <c r="W26" s="53" t="s">
        <v>115</v>
      </c>
      <c r="X26" s="53" t="s">
        <v>115</v>
      </c>
      <c r="Y26" s="53" t="s">
        <v>115</v>
      </c>
      <c r="Z26" s="53" t="s">
        <v>115</v>
      </c>
      <c r="AA26" s="53" t="s">
        <v>115</v>
      </c>
      <c r="AB26" s="53" t="s">
        <v>115</v>
      </c>
      <c r="AC26" s="53">
        <v>177</v>
      </c>
      <c r="AD26" s="53" t="s">
        <v>115</v>
      </c>
      <c r="AE26" s="53">
        <v>15</v>
      </c>
      <c r="AF26" s="53" t="s">
        <v>115</v>
      </c>
      <c r="AG26" s="53">
        <v>0</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v>18</v>
      </c>
      <c r="BH26" s="53" t="s">
        <v>115</v>
      </c>
      <c r="BI26" s="53">
        <v>178</v>
      </c>
      <c r="BJ26" s="53" t="s">
        <v>115</v>
      </c>
      <c r="BK26" s="53" t="s">
        <v>115</v>
      </c>
      <c r="BL26" s="53" t="s">
        <v>115</v>
      </c>
      <c r="BM26" s="53">
        <v>1</v>
      </c>
    </row>
    <row r="27" spans="1:65" ht="15" customHeight="1" x14ac:dyDescent="0.2">
      <c r="A27" s="53" t="s">
        <v>125</v>
      </c>
      <c r="B27" s="53" t="s">
        <v>115</v>
      </c>
      <c r="C27" s="53" t="s">
        <v>115</v>
      </c>
      <c r="D27" s="53" t="s">
        <v>115</v>
      </c>
      <c r="E27" s="53" t="s">
        <v>115</v>
      </c>
      <c r="F27" s="53" t="s">
        <v>115</v>
      </c>
      <c r="G27" s="53" t="s">
        <v>115</v>
      </c>
      <c r="H27" s="53" t="s">
        <v>115</v>
      </c>
      <c r="I27" s="53" t="s">
        <v>115</v>
      </c>
      <c r="J27" s="53" t="s">
        <v>115</v>
      </c>
      <c r="K27" s="53">
        <v>0</v>
      </c>
      <c r="L27" s="53" t="s">
        <v>115</v>
      </c>
      <c r="M27" s="53" t="s">
        <v>115</v>
      </c>
      <c r="N27" s="53" t="s">
        <v>115</v>
      </c>
      <c r="O27" s="53">
        <v>0</v>
      </c>
      <c r="P27" s="53" t="s">
        <v>115</v>
      </c>
      <c r="Q27" s="53">
        <v>0</v>
      </c>
      <c r="R27" s="53" t="s">
        <v>115</v>
      </c>
      <c r="S27" s="53" t="s">
        <v>115</v>
      </c>
      <c r="T27" s="53" t="s">
        <v>115</v>
      </c>
      <c r="U27" s="53" t="s">
        <v>115</v>
      </c>
      <c r="V27" s="53" t="s">
        <v>115</v>
      </c>
      <c r="W27" s="53" t="s">
        <v>115</v>
      </c>
      <c r="X27" s="53" t="s">
        <v>115</v>
      </c>
      <c r="Y27" s="53" t="s">
        <v>115</v>
      </c>
      <c r="Z27" s="53" t="s">
        <v>115</v>
      </c>
      <c r="AA27" s="53" t="s">
        <v>115</v>
      </c>
      <c r="AB27" s="53" t="s">
        <v>115</v>
      </c>
      <c r="AC27" s="53">
        <v>0</v>
      </c>
      <c r="AD27" s="53" t="s">
        <v>115</v>
      </c>
      <c r="AE27" s="53">
        <v>0</v>
      </c>
      <c r="AF27" s="53" t="s">
        <v>115</v>
      </c>
      <c r="AG27" s="53">
        <v>0</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v>0</v>
      </c>
      <c r="BH27" s="53" t="s">
        <v>115</v>
      </c>
      <c r="BI27" s="53">
        <v>1</v>
      </c>
      <c r="BJ27" s="53" t="s">
        <v>115</v>
      </c>
      <c r="BK27" s="53" t="s">
        <v>115</v>
      </c>
      <c r="BL27" s="53" t="s">
        <v>115</v>
      </c>
      <c r="BM27" s="53">
        <v>0</v>
      </c>
    </row>
    <row r="28" spans="1:65" ht="15" customHeight="1" x14ac:dyDescent="0.2">
      <c r="A28" s="53" t="s">
        <v>124</v>
      </c>
      <c r="B28" s="53" t="s">
        <v>115</v>
      </c>
      <c r="C28" s="53" t="s">
        <v>115</v>
      </c>
      <c r="D28" s="53" t="s">
        <v>115</v>
      </c>
      <c r="E28" s="53" t="s">
        <v>115</v>
      </c>
      <c r="F28" s="53" t="s">
        <v>115</v>
      </c>
      <c r="G28" s="53" t="s">
        <v>115</v>
      </c>
      <c r="H28" s="53" t="s">
        <v>115</v>
      </c>
      <c r="I28" s="53" t="s">
        <v>115</v>
      </c>
      <c r="J28" s="53" t="s">
        <v>115</v>
      </c>
      <c r="K28" s="53">
        <v>18</v>
      </c>
      <c r="L28" s="53" t="s">
        <v>115</v>
      </c>
      <c r="M28" s="53" t="s">
        <v>115</v>
      </c>
      <c r="N28" s="53" t="s">
        <v>115</v>
      </c>
      <c r="O28" s="53">
        <v>11</v>
      </c>
      <c r="P28" s="53" t="s">
        <v>115</v>
      </c>
      <c r="Q28" s="53">
        <v>0</v>
      </c>
      <c r="R28" s="53" t="s">
        <v>115</v>
      </c>
      <c r="S28" s="53" t="s">
        <v>115</v>
      </c>
      <c r="T28" s="53" t="s">
        <v>115</v>
      </c>
      <c r="U28" s="53" t="s">
        <v>115</v>
      </c>
      <c r="V28" s="53" t="s">
        <v>115</v>
      </c>
      <c r="W28" s="53" t="s">
        <v>115</v>
      </c>
      <c r="X28" s="53" t="s">
        <v>115</v>
      </c>
      <c r="Y28" s="53" t="s">
        <v>115</v>
      </c>
      <c r="Z28" s="53" t="s">
        <v>115</v>
      </c>
      <c r="AA28" s="53" t="s">
        <v>115</v>
      </c>
      <c r="AB28" s="53" t="s">
        <v>115</v>
      </c>
      <c r="AC28" s="53">
        <v>245</v>
      </c>
      <c r="AD28" s="53" t="s">
        <v>115</v>
      </c>
      <c r="AE28" s="53">
        <v>24</v>
      </c>
      <c r="AF28" s="53" t="s">
        <v>115</v>
      </c>
      <c r="AG28" s="53">
        <v>1</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v>27</v>
      </c>
      <c r="BH28" s="53" t="s">
        <v>115</v>
      </c>
      <c r="BI28" s="53">
        <v>199</v>
      </c>
      <c r="BJ28" s="53" t="s">
        <v>115</v>
      </c>
      <c r="BK28" s="53" t="s">
        <v>115</v>
      </c>
      <c r="BL28" s="53" t="s">
        <v>115</v>
      </c>
      <c r="BM28" s="53">
        <v>0</v>
      </c>
    </row>
    <row r="29" spans="1:65" ht="15" customHeight="1" x14ac:dyDescent="0.2">
      <c r="A29" s="53" t="s">
        <v>123</v>
      </c>
      <c r="B29" s="53" t="s">
        <v>115</v>
      </c>
      <c r="C29" s="53" t="s">
        <v>115</v>
      </c>
      <c r="D29" s="53" t="s">
        <v>115</v>
      </c>
      <c r="E29" s="53" t="s">
        <v>115</v>
      </c>
      <c r="F29" s="53" t="s">
        <v>115</v>
      </c>
      <c r="G29" s="53" t="s">
        <v>115</v>
      </c>
      <c r="H29" s="53" t="s">
        <v>115</v>
      </c>
      <c r="I29" s="53" t="s">
        <v>115</v>
      </c>
      <c r="J29" s="53" t="s">
        <v>115</v>
      </c>
      <c r="K29" s="53">
        <v>17</v>
      </c>
      <c r="L29" s="53" t="s">
        <v>115</v>
      </c>
      <c r="M29" s="53" t="s">
        <v>115</v>
      </c>
      <c r="N29" s="53" t="s">
        <v>115</v>
      </c>
      <c r="O29" s="53">
        <v>17</v>
      </c>
      <c r="P29" s="53" t="s">
        <v>115</v>
      </c>
      <c r="Q29" s="53">
        <v>0</v>
      </c>
      <c r="R29" s="53" t="s">
        <v>115</v>
      </c>
      <c r="S29" s="53" t="s">
        <v>115</v>
      </c>
      <c r="T29" s="53" t="s">
        <v>115</v>
      </c>
      <c r="U29" s="53" t="s">
        <v>115</v>
      </c>
      <c r="V29" s="53" t="s">
        <v>115</v>
      </c>
      <c r="W29" s="53" t="s">
        <v>115</v>
      </c>
      <c r="X29" s="53" t="s">
        <v>115</v>
      </c>
      <c r="Y29" s="53" t="s">
        <v>115</v>
      </c>
      <c r="Z29" s="53" t="s">
        <v>115</v>
      </c>
      <c r="AA29" s="53" t="s">
        <v>115</v>
      </c>
      <c r="AB29" s="53" t="s">
        <v>115</v>
      </c>
      <c r="AC29" s="53">
        <v>214</v>
      </c>
      <c r="AD29" s="53" t="s">
        <v>115</v>
      </c>
      <c r="AE29" s="53">
        <v>26</v>
      </c>
      <c r="AF29" s="53" t="s">
        <v>115</v>
      </c>
      <c r="AG29" s="53">
        <v>1</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v>41</v>
      </c>
      <c r="BH29" s="53" t="s">
        <v>115</v>
      </c>
      <c r="BI29" s="53">
        <v>210</v>
      </c>
      <c r="BJ29" s="53" t="s">
        <v>115</v>
      </c>
      <c r="BK29" s="53" t="s">
        <v>115</v>
      </c>
      <c r="BL29" s="53" t="s">
        <v>115</v>
      </c>
      <c r="BM29" s="53">
        <v>0</v>
      </c>
    </row>
    <row r="30" spans="1:65" ht="15" customHeight="1" x14ac:dyDescent="0.2">
      <c r="A30" s="53" t="s">
        <v>122</v>
      </c>
      <c r="B30" s="53" t="s">
        <v>115</v>
      </c>
      <c r="C30" s="53" t="s">
        <v>115</v>
      </c>
      <c r="D30" s="53" t="s">
        <v>115</v>
      </c>
      <c r="E30" s="53" t="s">
        <v>115</v>
      </c>
      <c r="F30" s="53" t="s">
        <v>115</v>
      </c>
      <c r="G30" s="53" t="s">
        <v>115</v>
      </c>
      <c r="H30" s="53" t="s">
        <v>115</v>
      </c>
      <c r="I30" s="53" t="s">
        <v>115</v>
      </c>
      <c r="J30" s="53" t="s">
        <v>115</v>
      </c>
      <c r="K30" s="53">
        <v>13</v>
      </c>
      <c r="L30" s="53" t="s">
        <v>115</v>
      </c>
      <c r="M30" s="53" t="s">
        <v>115</v>
      </c>
      <c r="N30" s="53" t="s">
        <v>115</v>
      </c>
      <c r="O30" s="53">
        <v>6</v>
      </c>
      <c r="P30" s="53" t="s">
        <v>115</v>
      </c>
      <c r="Q30" s="53">
        <v>0</v>
      </c>
      <c r="R30" s="53" t="s">
        <v>115</v>
      </c>
      <c r="S30" s="53" t="s">
        <v>115</v>
      </c>
      <c r="T30" s="53" t="s">
        <v>115</v>
      </c>
      <c r="U30" s="53" t="s">
        <v>115</v>
      </c>
      <c r="V30" s="53" t="s">
        <v>115</v>
      </c>
      <c r="W30" s="53" t="s">
        <v>115</v>
      </c>
      <c r="X30" s="53" t="s">
        <v>115</v>
      </c>
      <c r="Y30" s="53" t="s">
        <v>115</v>
      </c>
      <c r="Z30" s="53" t="s">
        <v>115</v>
      </c>
      <c r="AA30" s="53" t="s">
        <v>115</v>
      </c>
      <c r="AB30" s="53" t="s">
        <v>115</v>
      </c>
      <c r="AC30" s="53">
        <v>205</v>
      </c>
      <c r="AD30" s="53" t="s">
        <v>115</v>
      </c>
      <c r="AE30" s="53">
        <v>24</v>
      </c>
      <c r="AF30" s="53" t="s">
        <v>115</v>
      </c>
      <c r="AG30" s="53">
        <v>1</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v>32</v>
      </c>
      <c r="BH30" s="53" t="s">
        <v>115</v>
      </c>
      <c r="BI30" s="53">
        <v>274</v>
      </c>
      <c r="BJ30" s="53" t="s">
        <v>115</v>
      </c>
      <c r="BK30" s="53" t="s">
        <v>115</v>
      </c>
      <c r="BL30" s="53" t="s">
        <v>115</v>
      </c>
      <c r="BM30" s="53">
        <v>0</v>
      </c>
    </row>
    <row r="31" spans="1:65" ht="15" customHeight="1" x14ac:dyDescent="0.2">
      <c r="A31" s="53" t="s">
        <v>121</v>
      </c>
      <c r="B31" s="53" t="s">
        <v>115</v>
      </c>
      <c r="C31" s="53" t="s">
        <v>115</v>
      </c>
      <c r="D31" s="53" t="s">
        <v>115</v>
      </c>
      <c r="E31" s="53" t="s">
        <v>115</v>
      </c>
      <c r="F31" s="53" t="s">
        <v>115</v>
      </c>
      <c r="G31" s="53" t="s">
        <v>115</v>
      </c>
      <c r="H31" s="53" t="s">
        <v>115</v>
      </c>
      <c r="I31" s="53" t="s">
        <v>115</v>
      </c>
      <c r="J31" s="53" t="s">
        <v>115</v>
      </c>
      <c r="K31" s="53">
        <v>25</v>
      </c>
      <c r="L31" s="53" t="s">
        <v>115</v>
      </c>
      <c r="M31" s="53" t="s">
        <v>115</v>
      </c>
      <c r="N31" s="53" t="s">
        <v>115</v>
      </c>
      <c r="O31" s="53">
        <v>11</v>
      </c>
      <c r="P31" s="53" t="s">
        <v>115</v>
      </c>
      <c r="Q31" s="53">
        <v>0</v>
      </c>
      <c r="R31" s="53" t="s">
        <v>115</v>
      </c>
      <c r="S31" s="53" t="s">
        <v>115</v>
      </c>
      <c r="T31" s="53" t="s">
        <v>115</v>
      </c>
      <c r="U31" s="53" t="s">
        <v>115</v>
      </c>
      <c r="V31" s="53" t="s">
        <v>115</v>
      </c>
      <c r="W31" s="53" t="s">
        <v>115</v>
      </c>
      <c r="X31" s="53" t="s">
        <v>115</v>
      </c>
      <c r="Y31" s="53" t="s">
        <v>115</v>
      </c>
      <c r="Z31" s="53" t="s">
        <v>115</v>
      </c>
      <c r="AA31" s="53" t="s">
        <v>115</v>
      </c>
      <c r="AB31" s="53" t="s">
        <v>115</v>
      </c>
      <c r="AC31" s="53">
        <v>207</v>
      </c>
      <c r="AD31" s="53" t="s">
        <v>115</v>
      </c>
      <c r="AE31" s="53">
        <v>31</v>
      </c>
      <c r="AF31" s="53" t="s">
        <v>115</v>
      </c>
      <c r="AG31" s="53">
        <v>1</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v>35</v>
      </c>
      <c r="BH31" s="53" t="s">
        <v>115</v>
      </c>
      <c r="BI31" s="53">
        <v>289</v>
      </c>
      <c r="BJ31" s="53" t="s">
        <v>115</v>
      </c>
      <c r="BK31" s="53" t="s">
        <v>115</v>
      </c>
      <c r="BL31" s="53" t="s">
        <v>115</v>
      </c>
      <c r="BM31" s="53">
        <v>0</v>
      </c>
    </row>
    <row r="32" spans="1:65" ht="15" customHeight="1" x14ac:dyDescent="0.2">
      <c r="A32" s="53" t="s">
        <v>120</v>
      </c>
      <c r="B32" s="53" t="s">
        <v>115</v>
      </c>
      <c r="C32" s="53" t="s">
        <v>115</v>
      </c>
      <c r="D32" s="53" t="s">
        <v>115</v>
      </c>
      <c r="E32" s="53" t="s">
        <v>115</v>
      </c>
      <c r="F32" s="53" t="s">
        <v>115</v>
      </c>
      <c r="G32" s="53" t="s">
        <v>115</v>
      </c>
      <c r="H32" s="53" t="s">
        <v>115</v>
      </c>
      <c r="I32" s="53" t="s">
        <v>115</v>
      </c>
      <c r="J32" s="53" t="s">
        <v>115</v>
      </c>
      <c r="K32" s="53">
        <v>19</v>
      </c>
      <c r="L32" s="53" t="s">
        <v>115</v>
      </c>
      <c r="M32" s="53" t="s">
        <v>115</v>
      </c>
      <c r="N32" s="53" t="s">
        <v>115</v>
      </c>
      <c r="O32" s="53">
        <v>4</v>
      </c>
      <c r="P32" s="53" t="s">
        <v>115</v>
      </c>
      <c r="Q32" s="53">
        <v>0</v>
      </c>
      <c r="R32" s="53" t="s">
        <v>115</v>
      </c>
      <c r="S32" s="53" t="s">
        <v>115</v>
      </c>
      <c r="T32" s="53" t="s">
        <v>115</v>
      </c>
      <c r="U32" s="53" t="s">
        <v>115</v>
      </c>
      <c r="V32" s="53" t="s">
        <v>115</v>
      </c>
      <c r="W32" s="53" t="s">
        <v>115</v>
      </c>
      <c r="X32" s="53" t="s">
        <v>115</v>
      </c>
      <c r="Y32" s="53" t="s">
        <v>115</v>
      </c>
      <c r="Z32" s="53" t="s">
        <v>115</v>
      </c>
      <c r="AA32" s="53" t="s">
        <v>115</v>
      </c>
      <c r="AB32" s="53" t="s">
        <v>115</v>
      </c>
      <c r="AC32" s="53">
        <v>239</v>
      </c>
      <c r="AD32" s="53" t="s">
        <v>115</v>
      </c>
      <c r="AE32" s="53">
        <v>26</v>
      </c>
      <c r="AF32" s="53" t="s">
        <v>115</v>
      </c>
      <c r="AG32" s="53">
        <v>0</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v>50</v>
      </c>
      <c r="BH32" s="53" t="s">
        <v>115</v>
      </c>
      <c r="BI32" s="53">
        <v>323</v>
      </c>
      <c r="BJ32" s="53" t="s">
        <v>115</v>
      </c>
      <c r="BK32" s="53" t="s">
        <v>115</v>
      </c>
      <c r="BL32" s="53" t="s">
        <v>115</v>
      </c>
      <c r="BM32" s="53">
        <v>0</v>
      </c>
    </row>
    <row r="33" spans="1:65" ht="15" customHeight="1" x14ac:dyDescent="0.2">
      <c r="A33" s="53" t="s">
        <v>119</v>
      </c>
      <c r="B33" s="53" t="s">
        <v>115</v>
      </c>
      <c r="C33" s="53" t="s">
        <v>115</v>
      </c>
      <c r="D33" s="53" t="s">
        <v>115</v>
      </c>
      <c r="E33" s="53" t="s">
        <v>115</v>
      </c>
      <c r="F33" s="53" t="s">
        <v>115</v>
      </c>
      <c r="G33" s="53" t="s">
        <v>115</v>
      </c>
      <c r="H33" s="53" t="s">
        <v>115</v>
      </c>
      <c r="I33" s="53" t="s">
        <v>115</v>
      </c>
      <c r="J33" s="53" t="s">
        <v>115</v>
      </c>
      <c r="K33" s="53">
        <v>21</v>
      </c>
      <c r="L33" s="53" t="s">
        <v>115</v>
      </c>
      <c r="M33" s="53" t="s">
        <v>115</v>
      </c>
      <c r="N33" s="53" t="s">
        <v>115</v>
      </c>
      <c r="O33" s="53">
        <v>7</v>
      </c>
      <c r="P33" s="53" t="s">
        <v>115</v>
      </c>
      <c r="Q33" s="53">
        <v>0</v>
      </c>
      <c r="R33" s="53" t="s">
        <v>115</v>
      </c>
      <c r="S33" s="53" t="s">
        <v>115</v>
      </c>
      <c r="T33" s="53" t="s">
        <v>115</v>
      </c>
      <c r="U33" s="53" t="s">
        <v>115</v>
      </c>
      <c r="V33" s="53" t="s">
        <v>115</v>
      </c>
      <c r="W33" s="53" t="s">
        <v>115</v>
      </c>
      <c r="X33" s="53" t="s">
        <v>115</v>
      </c>
      <c r="Y33" s="53" t="s">
        <v>115</v>
      </c>
      <c r="Z33" s="53" t="s">
        <v>115</v>
      </c>
      <c r="AA33" s="53" t="s">
        <v>115</v>
      </c>
      <c r="AB33" s="53" t="s">
        <v>115</v>
      </c>
      <c r="AC33" s="53">
        <v>177</v>
      </c>
      <c r="AD33" s="53" t="s">
        <v>115</v>
      </c>
      <c r="AE33" s="53">
        <v>39</v>
      </c>
      <c r="AF33" s="53" t="s">
        <v>115</v>
      </c>
      <c r="AG33" s="53">
        <v>1</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v>46</v>
      </c>
      <c r="BH33" s="53" t="s">
        <v>115</v>
      </c>
      <c r="BI33" s="53">
        <v>294</v>
      </c>
      <c r="BJ33" s="53" t="s">
        <v>115</v>
      </c>
      <c r="BK33" s="53" t="s">
        <v>115</v>
      </c>
      <c r="BL33" s="53" t="s">
        <v>115</v>
      </c>
      <c r="BM33" s="53">
        <v>0</v>
      </c>
    </row>
    <row r="34" spans="1:65" ht="15" customHeight="1" x14ac:dyDescent="0.2">
      <c r="A34" s="53" t="s">
        <v>118</v>
      </c>
      <c r="B34" s="53" t="s">
        <v>115</v>
      </c>
      <c r="C34" s="53" t="s">
        <v>115</v>
      </c>
      <c r="D34" s="53" t="s">
        <v>115</v>
      </c>
      <c r="E34" s="53" t="s">
        <v>115</v>
      </c>
      <c r="F34" s="53" t="s">
        <v>115</v>
      </c>
      <c r="G34" s="53" t="s">
        <v>115</v>
      </c>
      <c r="H34" s="53" t="s">
        <v>115</v>
      </c>
      <c r="I34" s="53" t="s">
        <v>115</v>
      </c>
      <c r="J34" s="53" t="s">
        <v>115</v>
      </c>
      <c r="K34" s="53">
        <v>29</v>
      </c>
      <c r="L34" s="53" t="s">
        <v>115</v>
      </c>
      <c r="M34" s="53" t="s">
        <v>115</v>
      </c>
      <c r="N34" s="53" t="s">
        <v>115</v>
      </c>
      <c r="O34" s="53">
        <v>13</v>
      </c>
      <c r="P34" s="53" t="s">
        <v>115</v>
      </c>
      <c r="Q34" s="53">
        <v>0</v>
      </c>
      <c r="R34" s="53" t="s">
        <v>115</v>
      </c>
      <c r="S34" s="53" t="s">
        <v>115</v>
      </c>
      <c r="T34" s="53" t="s">
        <v>115</v>
      </c>
      <c r="U34" s="53" t="s">
        <v>115</v>
      </c>
      <c r="V34" s="53" t="s">
        <v>115</v>
      </c>
      <c r="W34" s="53" t="s">
        <v>115</v>
      </c>
      <c r="X34" s="53" t="s">
        <v>115</v>
      </c>
      <c r="Y34" s="53" t="s">
        <v>115</v>
      </c>
      <c r="Z34" s="53" t="s">
        <v>115</v>
      </c>
      <c r="AA34" s="53" t="s">
        <v>115</v>
      </c>
      <c r="AB34" s="53" t="s">
        <v>115</v>
      </c>
      <c r="AC34" s="53">
        <v>204</v>
      </c>
      <c r="AD34" s="53" t="s">
        <v>115</v>
      </c>
      <c r="AE34" s="53">
        <v>38</v>
      </c>
      <c r="AF34" s="53" t="s">
        <v>115</v>
      </c>
      <c r="AG34" s="53">
        <v>1</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v>37</v>
      </c>
      <c r="BH34" s="53" t="s">
        <v>115</v>
      </c>
      <c r="BI34" s="53">
        <v>270</v>
      </c>
      <c r="BJ34" s="53" t="s">
        <v>115</v>
      </c>
      <c r="BK34" s="53" t="s">
        <v>115</v>
      </c>
      <c r="BL34" s="53" t="s">
        <v>115</v>
      </c>
      <c r="BM34" s="53">
        <v>0</v>
      </c>
    </row>
    <row r="35" spans="1:65" ht="15" customHeight="1" x14ac:dyDescent="0.2">
      <c r="A35" s="53" t="s">
        <v>117</v>
      </c>
      <c r="B35" s="53" t="s">
        <v>115</v>
      </c>
      <c r="C35" s="53" t="s">
        <v>115</v>
      </c>
      <c r="D35" s="53" t="s">
        <v>115</v>
      </c>
      <c r="E35" s="53" t="s">
        <v>115</v>
      </c>
      <c r="F35" s="53" t="s">
        <v>115</v>
      </c>
      <c r="G35" s="53" t="s">
        <v>115</v>
      </c>
      <c r="H35" s="53" t="s">
        <v>115</v>
      </c>
      <c r="I35" s="53" t="s">
        <v>115</v>
      </c>
      <c r="J35" s="53" t="s">
        <v>115</v>
      </c>
      <c r="K35" s="53">
        <v>21</v>
      </c>
      <c r="L35" s="53" t="s">
        <v>115</v>
      </c>
      <c r="M35" s="53" t="s">
        <v>115</v>
      </c>
      <c r="N35" s="53" t="s">
        <v>115</v>
      </c>
      <c r="O35" s="53">
        <v>14</v>
      </c>
      <c r="P35" s="53" t="s">
        <v>115</v>
      </c>
      <c r="Q35" s="53">
        <v>0</v>
      </c>
      <c r="R35" s="53" t="s">
        <v>115</v>
      </c>
      <c r="S35" s="53" t="s">
        <v>115</v>
      </c>
      <c r="T35" s="53" t="s">
        <v>115</v>
      </c>
      <c r="U35" s="53" t="s">
        <v>115</v>
      </c>
      <c r="V35" s="53" t="s">
        <v>115</v>
      </c>
      <c r="W35" s="53" t="s">
        <v>115</v>
      </c>
      <c r="X35" s="53" t="s">
        <v>115</v>
      </c>
      <c r="Y35" s="53" t="s">
        <v>115</v>
      </c>
      <c r="Z35" s="53" t="s">
        <v>115</v>
      </c>
      <c r="AA35" s="53" t="s">
        <v>115</v>
      </c>
      <c r="AB35" s="53" t="s">
        <v>115</v>
      </c>
      <c r="AC35" s="53">
        <v>166</v>
      </c>
      <c r="AD35" s="53" t="s">
        <v>115</v>
      </c>
      <c r="AE35" s="53">
        <v>29</v>
      </c>
      <c r="AF35" s="53" t="s">
        <v>115</v>
      </c>
      <c r="AG35" s="53">
        <v>0</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v>25</v>
      </c>
      <c r="BH35" s="53" t="s">
        <v>115</v>
      </c>
      <c r="BI35" s="53">
        <v>223</v>
      </c>
      <c r="BJ35" s="53" t="s">
        <v>115</v>
      </c>
      <c r="BK35" s="53" t="s">
        <v>115</v>
      </c>
      <c r="BL35" s="53" t="s">
        <v>115</v>
      </c>
      <c r="BM35" s="53">
        <v>0</v>
      </c>
    </row>
    <row r="36" spans="1:65" ht="15" customHeight="1" x14ac:dyDescent="0.2">
      <c r="A36" s="53" t="s">
        <v>116</v>
      </c>
      <c r="B36" s="53" t="s">
        <v>115</v>
      </c>
      <c r="C36" s="53" t="s">
        <v>115</v>
      </c>
      <c r="D36" s="53" t="s">
        <v>115</v>
      </c>
      <c r="E36" s="53" t="s">
        <v>115</v>
      </c>
      <c r="F36" s="53" t="s">
        <v>115</v>
      </c>
      <c r="G36" s="53" t="s">
        <v>115</v>
      </c>
      <c r="H36" s="53" t="s">
        <v>115</v>
      </c>
      <c r="I36" s="53" t="s">
        <v>115</v>
      </c>
      <c r="J36" s="53" t="s">
        <v>115</v>
      </c>
      <c r="K36" s="53">
        <v>0</v>
      </c>
      <c r="L36" s="53" t="s">
        <v>115</v>
      </c>
      <c r="M36" s="53" t="s">
        <v>115</v>
      </c>
      <c r="N36" s="53" t="s">
        <v>115</v>
      </c>
      <c r="O36" s="53">
        <v>0</v>
      </c>
      <c r="P36" s="53" t="s">
        <v>115</v>
      </c>
      <c r="Q36" s="53">
        <v>0</v>
      </c>
      <c r="R36" s="53" t="s">
        <v>115</v>
      </c>
      <c r="S36" s="53" t="s">
        <v>115</v>
      </c>
      <c r="T36" s="53" t="s">
        <v>115</v>
      </c>
      <c r="U36" s="53" t="s">
        <v>115</v>
      </c>
      <c r="V36" s="53" t="s">
        <v>115</v>
      </c>
      <c r="W36" s="53" t="s">
        <v>115</v>
      </c>
      <c r="X36" s="53" t="s">
        <v>115</v>
      </c>
      <c r="Y36" s="53" t="s">
        <v>115</v>
      </c>
      <c r="Z36" s="53" t="s">
        <v>115</v>
      </c>
      <c r="AA36" s="53" t="s">
        <v>115</v>
      </c>
      <c r="AB36" s="53" t="s">
        <v>115</v>
      </c>
      <c r="AC36" s="53">
        <v>0</v>
      </c>
      <c r="AD36" s="53" t="s">
        <v>115</v>
      </c>
      <c r="AE36" s="53">
        <v>0</v>
      </c>
      <c r="AF36" s="53" t="s">
        <v>115</v>
      </c>
      <c r="AG36" s="53">
        <v>0</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v>0</v>
      </c>
      <c r="BH36" s="53" t="s">
        <v>115</v>
      </c>
      <c r="BI36" s="53">
        <v>0</v>
      </c>
      <c r="BJ36" s="53" t="s">
        <v>115</v>
      </c>
      <c r="BK36" s="53" t="s">
        <v>115</v>
      </c>
      <c r="BL36" s="53" t="s">
        <v>115</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2023-03-29T22:17:46Z</dcterms:modified>
</cp:coreProperties>
</file>