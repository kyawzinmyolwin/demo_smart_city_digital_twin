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C102AFC-27A1-4276-82B1-9E8EE1B6DB70}"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346" i="4"/>
  <c r="I26" i="4"/>
  <c r="I106" i="4"/>
  <c r="I186" i="4"/>
  <c r="I266" i="4"/>
  <c r="I366" i="4"/>
  <c r="I406" i="4"/>
  <c r="I46" i="4"/>
  <c r="I126" i="4"/>
  <c r="I206" i="4"/>
  <c r="I286" i="4"/>
  <c r="I386" i="4"/>
  <c r="I18" i="4"/>
  <c r="I98" i="4"/>
  <c r="I178" i="4"/>
  <c r="I258" i="4"/>
  <c r="I338" i="4"/>
  <c r="I358" i="4"/>
  <c r="I398" i="4"/>
  <c r="I38" i="4"/>
  <c r="I118" i="4"/>
  <c r="I198" i="4"/>
  <c r="I278" i="4"/>
  <c r="I378" i="4"/>
  <c r="I58" i="4"/>
  <c r="I138" i="4"/>
  <c r="I218" i="4"/>
  <c r="I298" i="4"/>
  <c r="I78" i="4"/>
  <c r="I158" i="4"/>
  <c r="I238" i="4"/>
  <c r="I318" i="4"/>
  <c r="I418" i="4"/>
  <c r="I63" i="4"/>
  <c r="I143" i="4"/>
  <c r="I223" i="4"/>
  <c r="I303" i="4"/>
  <c r="I403" i="4"/>
  <c r="I3" i="4"/>
  <c r="I83" i="4"/>
  <c r="I163" i="4"/>
  <c r="I243" i="4"/>
  <c r="I323" i="4"/>
  <c r="I343" i="4"/>
  <c r="I23" i="4"/>
  <c r="I103" i="4"/>
  <c r="I183" i="4"/>
  <c r="I263" i="4"/>
  <c r="I363" i="4"/>
  <c r="I43" i="4"/>
  <c r="I123" i="4"/>
  <c r="I203" i="4"/>
  <c r="I283" i="4"/>
  <c r="I383" i="4"/>
  <c r="I25" i="4"/>
  <c r="I105" i="4"/>
  <c r="I185" i="4"/>
  <c r="I265" i="4"/>
  <c r="I345" i="4"/>
  <c r="I45" i="4"/>
  <c r="I125" i="4"/>
  <c r="I205" i="4"/>
  <c r="I285" i="4"/>
  <c r="I365" i="4"/>
  <c r="I65" i="4"/>
  <c r="I145" i="4"/>
  <c r="I225" i="4"/>
  <c r="I305" i="4"/>
  <c r="I385" i="4"/>
  <c r="I5" i="4"/>
  <c r="I85" i="4"/>
  <c r="I165" i="4"/>
  <c r="I245" i="4"/>
  <c r="I325" i="4"/>
  <c r="I405" i="4"/>
  <c r="I73" i="4"/>
  <c r="I153" i="4"/>
  <c r="I233" i="4"/>
  <c r="I313" i="4"/>
  <c r="I393" i="4"/>
  <c r="I13" i="4"/>
  <c r="I93" i="4"/>
  <c r="I173" i="4"/>
  <c r="I253" i="4"/>
  <c r="I333" i="4"/>
  <c r="I413" i="4"/>
  <c r="I33" i="4"/>
  <c r="I113" i="4"/>
  <c r="I193" i="4"/>
  <c r="I273" i="4"/>
  <c r="I353" i="4"/>
  <c r="I53" i="4"/>
  <c r="I133" i="4"/>
  <c r="I213" i="4"/>
  <c r="I293" i="4"/>
  <c r="I373" i="4"/>
  <c r="I50" i="4"/>
  <c r="I130" i="4"/>
  <c r="I210" i="4"/>
  <c r="I290" i="4"/>
  <c r="I390" i="4"/>
  <c r="I70" i="4"/>
  <c r="I150" i="4"/>
  <c r="I230" i="4"/>
  <c r="I310" i="4"/>
  <c r="I10" i="4"/>
  <c r="I90" i="4"/>
  <c r="I170" i="4"/>
  <c r="I250" i="4"/>
  <c r="I330" i="4"/>
  <c r="I350" i="4"/>
  <c r="I30" i="4"/>
  <c r="I110" i="4"/>
  <c r="I190" i="4"/>
  <c r="I270" i="4"/>
  <c r="I370" i="4"/>
  <c r="I410" i="4"/>
  <c r="I47" i="4"/>
  <c r="I127" i="4"/>
  <c r="I207" i="4"/>
  <c r="I287" i="4"/>
  <c r="I387" i="4"/>
  <c r="I67" i="4"/>
  <c r="I147" i="4"/>
  <c r="I227" i="4"/>
  <c r="I307" i="4"/>
  <c r="I7" i="4"/>
  <c r="I87" i="4"/>
  <c r="I167" i="4"/>
  <c r="I247" i="4"/>
  <c r="I327" i="4"/>
  <c r="I347" i="4"/>
  <c r="I407" i="4"/>
  <c r="I27" i="4"/>
  <c r="I107" i="4"/>
  <c r="I187" i="4"/>
  <c r="I267" i="4"/>
  <c r="I367" i="4"/>
  <c r="I60" i="4"/>
  <c r="I140" i="4"/>
  <c r="I220" i="4"/>
  <c r="I300" i="4"/>
  <c r="I400" i="4"/>
  <c r="I80" i="4"/>
  <c r="I160" i="4"/>
  <c r="I240" i="4"/>
  <c r="I320" i="4"/>
  <c r="I420" i="4"/>
  <c r="I20" i="4"/>
  <c r="I100" i="4"/>
  <c r="I180" i="4"/>
  <c r="I260" i="4"/>
  <c r="I340" i="4"/>
  <c r="I360" i="4"/>
  <c r="I40" i="4"/>
  <c r="I120" i="4"/>
  <c r="I200" i="4"/>
  <c r="I280" i="4"/>
  <c r="I380" i="4"/>
  <c r="I2" i="4"/>
  <c r="I82" i="4"/>
  <c r="I162" i="4"/>
  <c r="I242" i="4"/>
  <c r="I322" i="4"/>
  <c r="I342" i="4"/>
  <c r="I22" i="4"/>
  <c r="I102" i="4"/>
  <c r="I182" i="4"/>
  <c r="I262" i="4"/>
  <c r="I362" i="4"/>
  <c r="I42" i="4"/>
  <c r="I122" i="4"/>
  <c r="I202" i="4"/>
  <c r="I282" i="4"/>
  <c r="I382" i="4"/>
  <c r="I402" i="4"/>
  <c r="I62" i="4"/>
  <c r="I142" i="4"/>
  <c r="I222" i="4"/>
  <c r="I302" i="4"/>
  <c r="I34" i="4"/>
  <c r="I114" i="4"/>
  <c r="I194" i="4"/>
  <c r="I274" i="4"/>
  <c r="I374" i="4"/>
  <c r="I54" i="4"/>
  <c r="I134" i="4"/>
  <c r="I214" i="4"/>
  <c r="I294" i="4"/>
  <c r="I394" i="4"/>
  <c r="I414" i="4"/>
  <c r="I74" i="4"/>
  <c r="I154" i="4"/>
  <c r="I234" i="4"/>
  <c r="I314" i="4"/>
  <c r="I14" i="4"/>
  <c r="I94" i="4"/>
  <c r="I174" i="4"/>
  <c r="I254" i="4"/>
  <c r="I334" i="4"/>
  <c r="I354" i="4"/>
  <c r="I31" i="4"/>
  <c r="I111" i="4"/>
  <c r="I191" i="4"/>
  <c r="I271" i="4"/>
  <c r="I371" i="4"/>
  <c r="I51" i="4"/>
  <c r="I131" i="4"/>
  <c r="I211" i="4"/>
  <c r="I291" i="4"/>
  <c r="I391" i="4"/>
  <c r="I411" i="4"/>
  <c r="I71" i="4"/>
  <c r="I151" i="4"/>
  <c r="I231" i="4"/>
  <c r="I311" i="4"/>
  <c r="I11" i="4"/>
  <c r="I91" i="4"/>
  <c r="I171" i="4"/>
  <c r="I251" i="4"/>
  <c r="I331" i="4"/>
  <c r="I351" i="4"/>
  <c r="I28" i="4"/>
  <c r="I108" i="4"/>
  <c r="I188" i="4"/>
  <c r="I268" i="4"/>
  <c r="I368" i="4"/>
  <c r="I48" i="4"/>
  <c r="I128" i="4"/>
  <c r="I208" i="4"/>
  <c r="I288" i="4"/>
  <c r="I388" i="4"/>
  <c r="I68" i="4"/>
  <c r="I148" i="4"/>
  <c r="I228" i="4"/>
  <c r="I308" i="4"/>
  <c r="I408" i="4"/>
  <c r="I8" i="4"/>
  <c r="I88" i="4"/>
  <c r="I168" i="4"/>
  <c r="I248" i="4"/>
  <c r="I328" i="4"/>
  <c r="I348" i="4"/>
  <c r="I44" i="4"/>
  <c r="I124" i="4"/>
  <c r="I204" i="4"/>
  <c r="I284" i="4"/>
  <c r="I384" i="4"/>
  <c r="I64" i="4"/>
  <c r="I144" i="4"/>
  <c r="I224" i="4"/>
  <c r="I304" i="4"/>
  <c r="I404" i="4"/>
  <c r="I4" i="4"/>
  <c r="I84" i="4"/>
  <c r="I164" i="4"/>
  <c r="I244" i="4"/>
  <c r="I324" i="4"/>
  <c r="I344" i="4"/>
  <c r="I24" i="4"/>
  <c r="I104" i="4"/>
  <c r="I184" i="4"/>
  <c r="I264" i="4"/>
  <c r="I364" i="4"/>
  <c r="I12" i="4"/>
  <c r="I92" i="4"/>
  <c r="I172" i="4"/>
  <c r="I252" i="4"/>
  <c r="I332" i="4"/>
  <c r="I352" i="4"/>
  <c r="I32" i="4"/>
  <c r="I112" i="4"/>
  <c r="I192" i="4"/>
  <c r="I272" i="4"/>
  <c r="I372" i="4"/>
  <c r="I52" i="4"/>
  <c r="I132" i="4"/>
  <c r="I212" i="4"/>
  <c r="I292" i="4"/>
  <c r="I392" i="4"/>
  <c r="I72" i="4"/>
  <c r="I152" i="4"/>
  <c r="I232" i="4"/>
  <c r="I312" i="4"/>
  <c r="I412" i="4"/>
  <c r="I15" i="4"/>
  <c r="I95" i="4"/>
  <c r="I175" i="4"/>
  <c r="I255" i="4"/>
  <c r="I335" i="4"/>
  <c r="I415" i="4"/>
  <c r="I355" i="4"/>
  <c r="I35" i="4"/>
  <c r="I115" i="4"/>
  <c r="I195" i="4"/>
  <c r="I275" i="4"/>
  <c r="I375" i="4"/>
  <c r="I55" i="4"/>
  <c r="I135" i="4"/>
  <c r="I215" i="4"/>
  <c r="I295" i="4"/>
  <c r="I395" i="4"/>
  <c r="I75" i="4"/>
  <c r="I155" i="4"/>
  <c r="I235" i="4"/>
  <c r="I315" i="4"/>
  <c r="I9" i="4"/>
  <c r="I89" i="4"/>
  <c r="I169" i="4"/>
  <c r="I249" i="4"/>
  <c r="I329" i="4"/>
  <c r="I409" i="4"/>
  <c r="I29" i="4"/>
  <c r="I109" i="4"/>
  <c r="I189" i="4"/>
  <c r="I269" i="4"/>
  <c r="I349" i="4"/>
  <c r="I49" i="4"/>
  <c r="I129" i="4"/>
  <c r="I209" i="4"/>
  <c r="I289" i="4"/>
  <c r="I369" i="4"/>
  <c r="I69" i="4"/>
  <c r="I149" i="4"/>
  <c r="I229" i="4"/>
  <c r="I309" i="4"/>
  <c r="I389" i="4"/>
  <c r="I41" i="4"/>
  <c r="I121" i="4"/>
  <c r="I201" i="4"/>
  <c r="I281" i="4"/>
  <c r="I361" i="4"/>
  <c r="I61" i="4"/>
  <c r="I141" i="4"/>
  <c r="I221" i="4"/>
  <c r="I301" i="4"/>
  <c r="I381" i="4"/>
  <c r="I81" i="4"/>
  <c r="I161" i="4"/>
  <c r="I241" i="4"/>
  <c r="I321" i="4"/>
  <c r="I401" i="4"/>
  <c r="I21" i="4"/>
  <c r="I101" i="4"/>
  <c r="I181" i="4"/>
  <c r="I261" i="4"/>
  <c r="I341" i="4"/>
  <c r="I421" i="4"/>
  <c r="I57" i="4"/>
  <c r="I137" i="4"/>
  <c r="I217" i="4"/>
  <c r="I297" i="4"/>
  <c r="I377" i="4"/>
  <c r="I77" i="4"/>
  <c r="I157" i="4"/>
  <c r="I237" i="4"/>
  <c r="I317" i="4"/>
  <c r="I397" i="4"/>
  <c r="I17" i="4"/>
  <c r="I97" i="4"/>
  <c r="I177" i="4"/>
  <c r="I257" i="4"/>
  <c r="I337" i="4"/>
  <c r="I417" i="4"/>
  <c r="I37" i="4"/>
  <c r="I117" i="4"/>
  <c r="I197" i="4"/>
  <c r="I277" i="4"/>
  <c r="I357" i="4"/>
  <c r="I76" i="4"/>
  <c r="I156" i="4"/>
  <c r="I236" i="4"/>
  <c r="I316" i="4"/>
  <c r="I416" i="4"/>
  <c r="I16" i="4"/>
  <c r="I96" i="4"/>
  <c r="I176" i="4"/>
  <c r="I256" i="4"/>
  <c r="I336" i="4"/>
  <c r="I356" i="4"/>
  <c r="I36" i="4"/>
  <c r="I116" i="4"/>
  <c r="I196" i="4"/>
  <c r="I276" i="4"/>
  <c r="I376" i="4"/>
  <c r="I56" i="4"/>
  <c r="I136" i="4"/>
  <c r="I216" i="4"/>
  <c r="I296" i="4"/>
  <c r="I396" i="4"/>
  <c r="I79" i="4"/>
  <c r="I159" i="4"/>
  <c r="I239" i="4"/>
  <c r="I319" i="4"/>
  <c r="I19" i="4"/>
  <c r="I99" i="4"/>
  <c r="I179" i="4"/>
  <c r="I259" i="4"/>
  <c r="I339" i="4"/>
  <c r="I359" i="4"/>
  <c r="I39" i="4"/>
  <c r="I119" i="4"/>
  <c r="I199" i="4"/>
  <c r="I279" i="4"/>
  <c r="I379" i="4"/>
  <c r="I59" i="4"/>
  <c r="I139" i="4"/>
  <c r="I219" i="4"/>
  <c r="I299" i="4"/>
  <c r="I399" i="4"/>
  <c r="I4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<sst xmlns="http://schemas.openxmlformats.org/spreadsheetml/2006/main" count="7806" uniqueCount="168">
  <si>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</si>
  <si>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</si>
  <si>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</si>
  <si>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</si>
  <si>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</si>
  <si>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</si>
  <si>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</si>
  <si>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</si>
  <si>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</si>
  <si>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</si>
  <si>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</si>
  <si>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</si>
  <si>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</si>
  <si>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</si>
  <si>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</si>
  <si>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</si>
  <si>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</si>
  <si>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</si>
  <si>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</si>
  <si>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</si>
  <si>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</si>
  <si>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</si>
  <si>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</si>
  <si>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</si>
  <si>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</si>
  <si>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</si>
  <si>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</si>
  <si>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</si>
  <si>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</si>
  <si>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</si>
  <si>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</si>
  <si>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</si>
  <si>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</si>
  <si>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</si>
  <si>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</si>
  <si>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</si>
  <si>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</si>
  <si>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</si>
  <si>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</si>
  <si>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</si>
  <si>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</si>
  <si>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</si>
  <si>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</si>
  <si>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</si>
  <si>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</si>
  <si>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</si>
  <si>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</si>
  <si>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</si>
  <si>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</si>
  <si>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</si>
  <si>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</si>
  <si>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</si>
  <si>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</si>
  <si>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</si>
  <si>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</si>
  <si>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</si>
  <si>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</si>
  <si>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</si>
  <si>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</si>
  <si>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</si>
  <si>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</si>
  <si>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</si>
  <si>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</si>
  <si>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</si>
  <si>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</si>
  <si>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</si>
  <si>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</si>
  <si>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</si>
  <si>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</si>
  <si>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</si>
  <si>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</si>
  <si>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</si>
  <si>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</si>
  <si>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</si>
  <si>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</si>
  <si>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</si>
  <si>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</si>
  <si>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</si>
  <si>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</si>
  <si>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</si>
  <si>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</si>
  <si>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</si>
  <si>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</si>
  <si>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</si>
  <si>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</si>
  <si>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</si>
  <si>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</si>
  <si>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</si>
  <si>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</si>
  <si>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</si>
  <si>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</si>
  <si>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</si>
  <si>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Main North Road North</t>
  </si>
  <si>
    <t>Main North Road South</t>
  </si>
  <si>
    <t>Thru to Main North Road South</t>
  </si>
  <si>
    <t>Thru to Main North Road North</t>
  </si>
  <si>
    <t>Main North Road_Styx Mill Road_Intersection</t>
  </si>
  <si>
    <t>Styx Mill Road West</t>
  </si>
  <si>
    <t>Right into Styx Mill Road West</t>
  </si>
  <si>
    <t>Left into Styx Mill Road West</t>
  </si>
  <si>
    <t>Left into Main North Road North</t>
  </si>
  <si>
    <t>Right into Main North Road South</t>
  </si>
  <si>
    <t>Main North Road_Styx Mill Road_Intersection      Fine      12/09/2023</t>
  </si>
  <si>
    <t>Main North Road North Total</t>
  </si>
  <si>
    <t>Main North Road South Total</t>
  </si>
  <si>
    <t>Styx Mill Road West Total</t>
  </si>
  <si>
    <t>Thru to Main North Road South Total</t>
  </si>
  <si>
    <t>Right into Styx Mill Road West Total</t>
  </si>
  <si>
    <t>U-Turn Total</t>
  </si>
  <si>
    <t>Left into Styx Mill Road West Total</t>
  </si>
  <si>
    <t>Thru to Main North Road North Total</t>
  </si>
  <si>
    <t>Left into Main North Road North Total</t>
  </si>
  <si>
    <t>Right into Main North Road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</si>
  <si>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</si>
  <si>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</si>
  <si>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</si>
  <si>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</si>
  <si>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</si>
  <si>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</si>
  <si>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</si>
  <si>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</si>
  <si>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</si>
  <si>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</si>
  <si>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</si>
  <si>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</si>
  <si>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</si>
  <si>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</si>
  <si>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</si>
  <si>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</si>
  <si>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</si>
  <si>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</si>
  <si>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</si>
  <si>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</si>
  <si>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</si>
  <si>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</si>
  <si>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</si>
  <si>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</si>
  <si>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</si>
  <si>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</si>
  <si>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</si>
  <si>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</si>
  <si>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</si>
  <si>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</si>
  <si>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</si>
  <si>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</si>
  <si>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</si>
  <si>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</si>
  <si>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</si>
  <si>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</si>
  <si>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</si>
  <si>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</si>
  <si>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</si>
  <si>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</si>
  <si>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Styx Mills Rd</t>
  </si>
  <si>
    <t>Main North Rd Northbound</t>
  </si>
  <si>
    <t>Main North Rd Southbound</t>
  </si>
  <si>
    <t>Lights</t>
  </si>
  <si>
    <t>Classification</t>
  </si>
  <si>
    <t>Road</t>
  </si>
  <si>
    <t>Type</t>
  </si>
  <si>
    <t>Project</t>
  </si>
  <si>
    <t>Site Code</t>
  </si>
  <si>
    <t>09/12/2023</t>
  </si>
  <si>
    <t>Start Date</t>
  </si>
  <si>
    <t>CCC I2294 Main North Rd - Styx Mills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</si>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</sst>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7C7D5F9-C286-4CA8-8092-43100A5F2C1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[I2294_Main North Road_Styx Mill Road_Intersection_12-09-2023.xlsx]Graphs!pvtGraphApproach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162</c:v>
                </c:pt>
                <c:pt idx="1">
                  <c:v>218</c:v>
                </c:pt>
                <c:pt idx="2">
                  <c:v>245</c:v>
                </c:pt>
                <c:pt idx="3">
                  <c:v>268</c:v>
                </c:pt>
                <c:pt idx="4">
                  <c:v>250</c:v>
                </c:pt>
                <c:pt idx="5">
                  <c:v>216</c:v>
                </c:pt>
                <c:pt idx="6">
                  <c:v>200</c:v>
                </c:pt>
                <c:pt idx="7">
                  <c:v>155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116</c:v>
                </c:pt>
                <c:pt idx="1">
                  <c:v>120</c:v>
                </c:pt>
                <c:pt idx="2">
                  <c:v>89</c:v>
                </c:pt>
                <c:pt idx="3">
                  <c:v>121</c:v>
                </c:pt>
                <c:pt idx="4">
                  <c:v>128</c:v>
                </c:pt>
                <c:pt idx="5">
                  <c:v>135</c:v>
                </c:pt>
                <c:pt idx="6">
                  <c:v>145</c:v>
                </c:pt>
                <c:pt idx="7">
                  <c:v>107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Styx Mill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53</c:v>
                </c:pt>
                <c:pt idx="2">
                  <c:v>51</c:v>
                </c:pt>
                <c:pt idx="3">
                  <c:v>58</c:v>
                </c:pt>
                <c:pt idx="4">
                  <c:v>76</c:v>
                </c:pt>
                <c:pt idx="5">
                  <c:v>84</c:v>
                </c:pt>
                <c:pt idx="6">
                  <c:v>80</c:v>
                </c:pt>
                <c:pt idx="7">
                  <c:v>64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[I2294_Main North Road_Styx Mill Road_Intersection_12-09-2023.xlsx]Graphs!pvtGraphExit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99</c:v>
                </c:pt>
                <c:pt idx="1">
                  <c:v>119</c:v>
                </c:pt>
                <c:pt idx="2">
                  <c:v>85</c:v>
                </c:pt>
                <c:pt idx="3">
                  <c:v>119</c:v>
                </c:pt>
                <c:pt idx="4">
                  <c:v>137</c:v>
                </c:pt>
                <c:pt idx="5">
                  <c:v>162</c:v>
                </c:pt>
                <c:pt idx="6">
                  <c:v>176</c:v>
                </c:pt>
                <c:pt idx="7">
                  <c:v>134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151</c:v>
                </c:pt>
                <c:pt idx="1">
                  <c:v>199</c:v>
                </c:pt>
                <c:pt idx="2">
                  <c:v>230</c:v>
                </c:pt>
                <c:pt idx="3">
                  <c:v>226</c:v>
                </c:pt>
                <c:pt idx="4">
                  <c:v>230</c:v>
                </c:pt>
                <c:pt idx="5">
                  <c:v>182</c:v>
                </c:pt>
                <c:pt idx="6">
                  <c:v>178</c:v>
                </c:pt>
                <c:pt idx="7">
                  <c:v>147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Styx Mill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69</c:v>
                </c:pt>
                <c:pt idx="1">
                  <c:v>73</c:v>
                </c:pt>
                <c:pt idx="2">
                  <c:v>70</c:v>
                </c:pt>
                <c:pt idx="3">
                  <c:v>102</c:v>
                </c:pt>
                <c:pt idx="4">
                  <c:v>87</c:v>
                </c:pt>
                <c:pt idx="5">
                  <c:v>91</c:v>
                </c:pt>
                <c:pt idx="6">
                  <c:v>71</c:v>
                </c:pt>
                <c:pt idx="7">
                  <c:v>45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[I2294_Main North Road_Styx Mill Road_Intersection_12-09-2023.xlsx]GraphData!PivotTable2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319</c:v>
                </c:pt>
                <c:pt idx="1">
                  <c:v>391</c:v>
                </c:pt>
                <c:pt idx="2">
                  <c:v>385</c:v>
                </c:pt>
                <c:pt idx="3">
                  <c:v>447</c:v>
                </c:pt>
                <c:pt idx="4">
                  <c:v>454</c:v>
                </c:pt>
                <c:pt idx="5">
                  <c:v>435</c:v>
                </c:pt>
                <c:pt idx="6">
                  <c:v>425</c:v>
                </c:pt>
                <c:pt idx="7">
                  <c:v>326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[I2294_Main North Road_Styx Mill Road_Intersection_12-09-2023.xlsx]PeakCalc!pvtPeak2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319</c:v>
                </c:pt>
                <c:pt idx="1">
                  <c:v>391</c:v>
                </c:pt>
                <c:pt idx="2">
                  <c:v>385</c:v>
                </c:pt>
                <c:pt idx="3">
                  <c:v>447</c:v>
                </c:pt>
                <c:pt idx="4">
                  <c:v>454</c:v>
                </c:pt>
                <c:pt idx="5">
                  <c:v>435</c:v>
                </c:pt>
                <c:pt idx="6">
                  <c:v>425</c:v>
                </c:pt>
                <c:pt idx="7">
                  <c:v>326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447</c:v>
                </c:pt>
                <c:pt idx="4">
                  <c:v>454</c:v>
                </c:pt>
                <c:pt idx="5">
                  <c:v>435</c:v>
                </c:pt>
                <c:pt idx="6">
                  <c:v>425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912334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1027642</xdr:colOff>
      <xdr:row>5</xdr:row>
      <xdr:rowOff>3175</xdr:rowOff>
    </xdr:from>
    <xdr:to>
      <xdr:col>20</xdr:col>
      <xdr:colOff>640342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371474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96.46890902777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32"/>
    </cacheField>
    <cacheField name="Peak" numFmtId="0">
      <sharedItems containsSemiMixedTypes="0" containsString="0" containsNumber="1" containsInteger="1" minValue="0" maxValue="53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96.468980787038" createdVersion="5" refreshedVersion="8" minRefreshableVersion="3" recordCount="420" xr:uid="{00000000-000A-0000-FFFF-FFFF01000000}">
  <cacheSource type="worksheet">
    <worksheetSource name="tblPivotData"/>
  </cacheSource>
  <cacheFields count="9">
    <cacheField name="Approach" numFmtId="0">
      <sharedItems count="6">
        <s v="Main North Road North"/>
        <s v="Main North Road South"/>
        <s v="Styx Mill Road West"/>
        <s v="Great south Rd (North)" u="1"/>
        <s v="Great south Rd (South)" u="1"/>
        <s v="Grange Rd" u="1"/>
      </sharedItems>
    </cacheField>
    <cacheField name="Movement" numFmtId="0">
      <sharedItems count="15">
        <s v="Thru to Main North Road South"/>
        <s v="Right into Styx Mill Road West"/>
        <s v="U-Turn"/>
        <s v="Left into Styx Mill Road West"/>
        <s v="Thru to Main North Road North"/>
        <s v="Left into Main North Road North"/>
        <s v="Right into Main North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ain North Road South"/>
        <s v="Styx Mill Road West"/>
        <s v="Main North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19"/>
    <n v="0"/>
  </r>
  <r>
    <x v="0"/>
    <x v="1"/>
    <n v="391"/>
    <n v="0"/>
  </r>
  <r>
    <x v="0"/>
    <x v="2"/>
    <n v="385"/>
    <n v="0"/>
  </r>
  <r>
    <x v="0"/>
    <x v="3"/>
    <n v="447"/>
    <n v="447"/>
  </r>
  <r>
    <x v="0"/>
    <x v="4"/>
    <n v="454"/>
    <n v="454"/>
  </r>
  <r>
    <x v="0"/>
    <x v="5"/>
    <n v="435"/>
    <n v="435"/>
  </r>
  <r>
    <x v="0"/>
    <x v="6"/>
    <n v="425"/>
    <n v="425"/>
  </r>
  <r>
    <x v="0"/>
    <x v="7"/>
    <n v="326"/>
    <n v="0"/>
  </r>
  <r>
    <x v="1"/>
    <x v="8"/>
    <n v="406"/>
    <n v="406"/>
  </r>
  <r>
    <x v="1"/>
    <x v="9"/>
    <n v="377"/>
    <n v="377"/>
  </r>
  <r>
    <x v="1"/>
    <x v="10"/>
    <n v="389"/>
    <n v="389"/>
  </r>
  <r>
    <x v="1"/>
    <x v="11"/>
    <n v="386"/>
    <n v="386"/>
  </r>
  <r>
    <x v="2"/>
    <x v="12"/>
    <n v="518"/>
    <n v="0"/>
  </r>
  <r>
    <x v="2"/>
    <x v="13"/>
    <n v="493"/>
    <n v="493"/>
  </r>
  <r>
    <x v="2"/>
    <x v="14"/>
    <n v="508"/>
    <n v="508"/>
  </r>
  <r>
    <x v="2"/>
    <x v="15"/>
    <n v="532"/>
    <n v="532"/>
  </r>
  <r>
    <x v="2"/>
    <x v="16"/>
    <n v="525"/>
    <n v="525"/>
  </r>
  <r>
    <x v="2"/>
    <x v="17"/>
    <n v="492"/>
    <n v="0"/>
  </r>
  <r>
    <x v="2"/>
    <x v="18"/>
    <n v="414"/>
    <n v="0"/>
  </r>
  <r>
    <x v="2"/>
    <x v="19"/>
    <n v="39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118"/>
    <x v="0"/>
    <x v="0"/>
  </r>
  <r>
    <x v="0"/>
    <x v="0"/>
    <x v="0"/>
    <x v="0"/>
    <x v="0"/>
    <x v="1"/>
    <n v="163"/>
    <x v="1"/>
    <x v="0"/>
  </r>
  <r>
    <x v="0"/>
    <x v="0"/>
    <x v="0"/>
    <x v="0"/>
    <x v="0"/>
    <x v="2"/>
    <n v="188"/>
    <x v="2"/>
    <x v="0"/>
  </r>
  <r>
    <x v="0"/>
    <x v="0"/>
    <x v="0"/>
    <x v="0"/>
    <x v="0"/>
    <x v="3"/>
    <n v="185"/>
    <x v="3"/>
    <x v="1"/>
  </r>
  <r>
    <x v="0"/>
    <x v="0"/>
    <x v="0"/>
    <x v="0"/>
    <x v="0"/>
    <x v="4"/>
    <n v="193"/>
    <x v="4"/>
    <x v="1"/>
  </r>
  <r>
    <x v="0"/>
    <x v="0"/>
    <x v="0"/>
    <x v="0"/>
    <x v="0"/>
    <x v="5"/>
    <n v="148"/>
    <x v="5"/>
    <x v="1"/>
  </r>
  <r>
    <x v="0"/>
    <x v="0"/>
    <x v="0"/>
    <x v="0"/>
    <x v="0"/>
    <x v="6"/>
    <n v="149"/>
    <x v="6"/>
    <x v="1"/>
  </r>
  <r>
    <x v="0"/>
    <x v="0"/>
    <x v="0"/>
    <x v="0"/>
    <x v="0"/>
    <x v="7"/>
    <n v="123"/>
    <x v="7"/>
    <x v="0"/>
  </r>
  <r>
    <x v="0"/>
    <x v="0"/>
    <x v="0"/>
    <x v="0"/>
    <x v="1"/>
    <x v="8"/>
    <n v="127"/>
    <x v="8"/>
    <x v="1"/>
  </r>
  <r>
    <x v="0"/>
    <x v="0"/>
    <x v="0"/>
    <x v="0"/>
    <x v="1"/>
    <x v="9"/>
    <n v="119"/>
    <x v="9"/>
    <x v="1"/>
  </r>
  <r>
    <x v="0"/>
    <x v="0"/>
    <x v="0"/>
    <x v="0"/>
    <x v="1"/>
    <x v="10"/>
    <n v="124"/>
    <x v="10"/>
    <x v="1"/>
  </r>
  <r>
    <x v="0"/>
    <x v="0"/>
    <x v="0"/>
    <x v="0"/>
    <x v="1"/>
    <x v="11"/>
    <n v="120"/>
    <x v="11"/>
    <x v="1"/>
  </r>
  <r>
    <x v="0"/>
    <x v="0"/>
    <x v="0"/>
    <x v="0"/>
    <x v="2"/>
    <x v="12"/>
    <n v="147"/>
    <x v="12"/>
    <x v="0"/>
  </r>
  <r>
    <x v="0"/>
    <x v="0"/>
    <x v="0"/>
    <x v="0"/>
    <x v="2"/>
    <x v="13"/>
    <n v="164"/>
    <x v="13"/>
    <x v="1"/>
  </r>
  <r>
    <x v="0"/>
    <x v="0"/>
    <x v="0"/>
    <x v="0"/>
    <x v="2"/>
    <x v="14"/>
    <n v="139"/>
    <x v="14"/>
    <x v="1"/>
  </r>
  <r>
    <x v="0"/>
    <x v="0"/>
    <x v="0"/>
    <x v="0"/>
    <x v="2"/>
    <x v="15"/>
    <n v="133"/>
    <x v="15"/>
    <x v="1"/>
  </r>
  <r>
    <x v="0"/>
    <x v="0"/>
    <x v="0"/>
    <x v="0"/>
    <x v="2"/>
    <x v="16"/>
    <n v="169"/>
    <x v="16"/>
    <x v="1"/>
  </r>
  <r>
    <x v="0"/>
    <x v="0"/>
    <x v="0"/>
    <x v="0"/>
    <x v="2"/>
    <x v="17"/>
    <n v="131"/>
    <x v="17"/>
    <x v="0"/>
  </r>
  <r>
    <x v="0"/>
    <x v="0"/>
    <x v="0"/>
    <x v="0"/>
    <x v="2"/>
    <x v="18"/>
    <n v="114"/>
    <x v="18"/>
    <x v="0"/>
  </r>
  <r>
    <x v="0"/>
    <x v="0"/>
    <x v="0"/>
    <x v="0"/>
    <x v="2"/>
    <x v="19"/>
    <n v="114"/>
    <x v="19"/>
    <x v="0"/>
  </r>
  <r>
    <x v="0"/>
    <x v="0"/>
    <x v="0"/>
    <x v="1"/>
    <x v="0"/>
    <x v="0"/>
    <n v="15"/>
    <x v="0"/>
    <x v="0"/>
  </r>
  <r>
    <x v="0"/>
    <x v="0"/>
    <x v="0"/>
    <x v="1"/>
    <x v="0"/>
    <x v="1"/>
    <n v="19"/>
    <x v="1"/>
    <x v="0"/>
  </r>
  <r>
    <x v="0"/>
    <x v="0"/>
    <x v="0"/>
    <x v="1"/>
    <x v="0"/>
    <x v="2"/>
    <n v="16"/>
    <x v="2"/>
    <x v="0"/>
  </r>
  <r>
    <x v="0"/>
    <x v="0"/>
    <x v="0"/>
    <x v="1"/>
    <x v="0"/>
    <x v="3"/>
    <n v="9"/>
    <x v="3"/>
    <x v="1"/>
  </r>
  <r>
    <x v="0"/>
    <x v="0"/>
    <x v="0"/>
    <x v="1"/>
    <x v="0"/>
    <x v="4"/>
    <n v="5"/>
    <x v="4"/>
    <x v="1"/>
  </r>
  <r>
    <x v="0"/>
    <x v="0"/>
    <x v="0"/>
    <x v="1"/>
    <x v="0"/>
    <x v="5"/>
    <n v="10"/>
    <x v="5"/>
    <x v="1"/>
  </r>
  <r>
    <x v="0"/>
    <x v="0"/>
    <x v="0"/>
    <x v="1"/>
    <x v="0"/>
    <x v="6"/>
    <n v="4"/>
    <x v="6"/>
    <x v="1"/>
  </r>
  <r>
    <x v="0"/>
    <x v="0"/>
    <x v="0"/>
    <x v="1"/>
    <x v="0"/>
    <x v="7"/>
    <n v="4"/>
    <x v="7"/>
    <x v="0"/>
  </r>
  <r>
    <x v="0"/>
    <x v="0"/>
    <x v="0"/>
    <x v="1"/>
    <x v="1"/>
    <x v="8"/>
    <n v="2"/>
    <x v="8"/>
    <x v="1"/>
  </r>
  <r>
    <x v="0"/>
    <x v="0"/>
    <x v="0"/>
    <x v="1"/>
    <x v="1"/>
    <x v="9"/>
    <n v="6"/>
    <x v="9"/>
    <x v="1"/>
  </r>
  <r>
    <x v="0"/>
    <x v="0"/>
    <x v="0"/>
    <x v="1"/>
    <x v="1"/>
    <x v="10"/>
    <n v="5"/>
    <x v="10"/>
    <x v="1"/>
  </r>
  <r>
    <x v="0"/>
    <x v="0"/>
    <x v="0"/>
    <x v="1"/>
    <x v="1"/>
    <x v="11"/>
    <n v="4"/>
    <x v="11"/>
    <x v="1"/>
  </r>
  <r>
    <x v="0"/>
    <x v="0"/>
    <x v="0"/>
    <x v="1"/>
    <x v="2"/>
    <x v="12"/>
    <n v="5"/>
    <x v="12"/>
    <x v="0"/>
  </r>
  <r>
    <x v="0"/>
    <x v="0"/>
    <x v="0"/>
    <x v="1"/>
    <x v="2"/>
    <x v="13"/>
    <n v="3"/>
    <x v="13"/>
    <x v="1"/>
  </r>
  <r>
    <x v="0"/>
    <x v="0"/>
    <x v="0"/>
    <x v="1"/>
    <x v="2"/>
    <x v="14"/>
    <n v="2"/>
    <x v="14"/>
    <x v="1"/>
  </r>
  <r>
    <x v="0"/>
    <x v="0"/>
    <x v="0"/>
    <x v="1"/>
    <x v="2"/>
    <x v="15"/>
    <n v="1"/>
    <x v="15"/>
    <x v="1"/>
  </r>
  <r>
    <x v="0"/>
    <x v="0"/>
    <x v="0"/>
    <x v="1"/>
    <x v="2"/>
    <x v="16"/>
    <n v="3"/>
    <x v="16"/>
    <x v="1"/>
  </r>
  <r>
    <x v="0"/>
    <x v="0"/>
    <x v="0"/>
    <x v="1"/>
    <x v="2"/>
    <x v="17"/>
    <n v="1"/>
    <x v="17"/>
    <x v="0"/>
  </r>
  <r>
    <x v="0"/>
    <x v="0"/>
    <x v="0"/>
    <x v="1"/>
    <x v="2"/>
    <x v="18"/>
    <n v="2"/>
    <x v="18"/>
    <x v="0"/>
  </r>
  <r>
    <x v="0"/>
    <x v="0"/>
    <x v="0"/>
    <x v="1"/>
    <x v="2"/>
    <x v="19"/>
    <n v="1"/>
    <x v="19"/>
    <x v="0"/>
  </r>
  <r>
    <x v="0"/>
    <x v="0"/>
    <x v="0"/>
    <x v="2"/>
    <x v="0"/>
    <x v="0"/>
    <n v="1"/>
    <x v="0"/>
    <x v="0"/>
  </r>
  <r>
    <x v="0"/>
    <x v="0"/>
    <x v="0"/>
    <x v="2"/>
    <x v="0"/>
    <x v="1"/>
    <n v="2"/>
    <x v="1"/>
    <x v="0"/>
  </r>
  <r>
    <x v="0"/>
    <x v="0"/>
    <x v="0"/>
    <x v="2"/>
    <x v="0"/>
    <x v="2"/>
    <n v="5"/>
    <x v="2"/>
    <x v="0"/>
  </r>
  <r>
    <x v="0"/>
    <x v="0"/>
    <x v="0"/>
    <x v="2"/>
    <x v="0"/>
    <x v="3"/>
    <n v="10"/>
    <x v="3"/>
    <x v="1"/>
  </r>
  <r>
    <x v="0"/>
    <x v="0"/>
    <x v="0"/>
    <x v="2"/>
    <x v="0"/>
    <x v="4"/>
    <n v="3"/>
    <x v="4"/>
    <x v="1"/>
  </r>
  <r>
    <x v="0"/>
    <x v="0"/>
    <x v="0"/>
    <x v="2"/>
    <x v="0"/>
    <x v="5"/>
    <n v="2"/>
    <x v="5"/>
    <x v="1"/>
  </r>
  <r>
    <x v="0"/>
    <x v="0"/>
    <x v="0"/>
    <x v="2"/>
    <x v="0"/>
    <x v="6"/>
    <n v="1"/>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1"/>
  </r>
  <r>
    <x v="0"/>
    <x v="0"/>
    <x v="0"/>
    <x v="2"/>
    <x v="2"/>
    <x v="14"/>
    <n v="0"/>
    <x v="14"/>
    <x v="1"/>
  </r>
  <r>
    <x v="0"/>
    <x v="0"/>
    <x v="0"/>
    <x v="2"/>
    <x v="2"/>
    <x v="15"/>
    <n v="0"/>
    <x v="15"/>
    <x v="1"/>
  </r>
  <r>
    <x v="0"/>
    <x v="0"/>
    <x v="0"/>
    <x v="2"/>
    <x v="2"/>
    <x v="16"/>
    <n v="1"/>
    <x v="16"/>
    <x v="1"/>
  </r>
  <r>
    <x v="0"/>
    <x v="0"/>
    <x v="0"/>
    <x v="2"/>
    <x v="2"/>
    <x v="17"/>
    <n v="1"/>
    <x v="17"/>
    <x v="0"/>
  </r>
  <r>
    <x v="0"/>
    <x v="0"/>
    <x v="0"/>
    <x v="2"/>
    <x v="2"/>
    <x v="18"/>
    <n v="1"/>
    <x v="18"/>
    <x v="0"/>
  </r>
  <r>
    <x v="0"/>
    <x v="0"/>
    <x v="0"/>
    <x v="2"/>
    <x v="2"/>
    <x v="19"/>
    <n v="0"/>
    <x v="19"/>
    <x v="0"/>
  </r>
  <r>
    <x v="0"/>
    <x v="1"/>
    <x v="1"/>
    <x v="0"/>
    <x v="0"/>
    <x v="0"/>
    <n v="25"/>
    <x v="0"/>
    <x v="0"/>
  </r>
  <r>
    <x v="0"/>
    <x v="1"/>
    <x v="1"/>
    <x v="0"/>
    <x v="0"/>
    <x v="1"/>
    <n v="29"/>
    <x v="1"/>
    <x v="0"/>
  </r>
  <r>
    <x v="0"/>
    <x v="1"/>
    <x v="1"/>
    <x v="0"/>
    <x v="0"/>
    <x v="2"/>
    <n v="31"/>
    <x v="2"/>
    <x v="0"/>
  </r>
  <r>
    <x v="0"/>
    <x v="1"/>
    <x v="1"/>
    <x v="0"/>
    <x v="0"/>
    <x v="3"/>
    <n v="63"/>
    <x v="3"/>
    <x v="1"/>
  </r>
  <r>
    <x v="0"/>
    <x v="1"/>
    <x v="1"/>
    <x v="0"/>
    <x v="0"/>
    <x v="4"/>
    <n v="45"/>
    <x v="4"/>
    <x v="1"/>
  </r>
  <r>
    <x v="0"/>
    <x v="1"/>
    <x v="1"/>
    <x v="0"/>
    <x v="0"/>
    <x v="5"/>
    <n v="53"/>
    <x v="5"/>
    <x v="1"/>
  </r>
  <r>
    <x v="0"/>
    <x v="1"/>
    <x v="1"/>
    <x v="0"/>
    <x v="0"/>
    <x v="6"/>
    <n v="43"/>
    <x v="6"/>
    <x v="1"/>
  </r>
  <r>
    <x v="0"/>
    <x v="1"/>
    <x v="1"/>
    <x v="0"/>
    <x v="0"/>
    <x v="7"/>
    <n v="25"/>
    <x v="7"/>
    <x v="0"/>
  </r>
  <r>
    <x v="0"/>
    <x v="1"/>
    <x v="1"/>
    <x v="0"/>
    <x v="1"/>
    <x v="8"/>
    <n v="27"/>
    <x v="8"/>
    <x v="1"/>
  </r>
  <r>
    <x v="0"/>
    <x v="1"/>
    <x v="1"/>
    <x v="0"/>
    <x v="1"/>
    <x v="9"/>
    <n v="28"/>
    <x v="9"/>
    <x v="1"/>
  </r>
  <r>
    <x v="0"/>
    <x v="1"/>
    <x v="1"/>
    <x v="0"/>
    <x v="1"/>
    <x v="10"/>
    <n v="33"/>
    <x v="10"/>
    <x v="1"/>
  </r>
  <r>
    <x v="0"/>
    <x v="1"/>
    <x v="1"/>
    <x v="0"/>
    <x v="1"/>
    <x v="11"/>
    <n v="30"/>
    <x v="11"/>
    <x v="1"/>
  </r>
  <r>
    <x v="0"/>
    <x v="1"/>
    <x v="1"/>
    <x v="0"/>
    <x v="2"/>
    <x v="12"/>
    <n v="38"/>
    <x v="12"/>
    <x v="0"/>
  </r>
  <r>
    <x v="0"/>
    <x v="1"/>
    <x v="1"/>
    <x v="0"/>
    <x v="2"/>
    <x v="13"/>
    <n v="24"/>
    <x v="13"/>
    <x v="1"/>
  </r>
  <r>
    <x v="0"/>
    <x v="1"/>
    <x v="1"/>
    <x v="0"/>
    <x v="2"/>
    <x v="14"/>
    <n v="33"/>
    <x v="14"/>
    <x v="1"/>
  </r>
  <r>
    <x v="0"/>
    <x v="1"/>
    <x v="1"/>
    <x v="0"/>
    <x v="2"/>
    <x v="15"/>
    <n v="48"/>
    <x v="15"/>
    <x v="1"/>
  </r>
  <r>
    <x v="0"/>
    <x v="1"/>
    <x v="1"/>
    <x v="0"/>
    <x v="2"/>
    <x v="16"/>
    <n v="55"/>
    <x v="16"/>
    <x v="1"/>
  </r>
  <r>
    <x v="0"/>
    <x v="1"/>
    <x v="1"/>
    <x v="0"/>
    <x v="2"/>
    <x v="17"/>
    <n v="39"/>
    <x v="17"/>
    <x v="0"/>
  </r>
  <r>
    <x v="0"/>
    <x v="1"/>
    <x v="1"/>
    <x v="0"/>
    <x v="2"/>
    <x v="18"/>
    <n v="39"/>
    <x v="18"/>
    <x v="0"/>
  </r>
  <r>
    <x v="0"/>
    <x v="1"/>
    <x v="1"/>
    <x v="0"/>
    <x v="2"/>
    <x v="19"/>
    <n v="30"/>
    <x v="19"/>
    <x v="0"/>
  </r>
  <r>
    <x v="0"/>
    <x v="1"/>
    <x v="1"/>
    <x v="1"/>
    <x v="0"/>
    <x v="0"/>
    <n v="2"/>
    <x v="0"/>
    <x v="0"/>
  </r>
  <r>
    <x v="0"/>
    <x v="1"/>
    <x v="1"/>
    <x v="1"/>
    <x v="0"/>
    <x v="1"/>
    <n v="5"/>
    <x v="1"/>
    <x v="0"/>
  </r>
  <r>
    <x v="0"/>
    <x v="1"/>
    <x v="1"/>
    <x v="1"/>
    <x v="0"/>
    <x v="2"/>
    <n v="5"/>
    <x v="2"/>
    <x v="0"/>
  </r>
  <r>
    <x v="0"/>
    <x v="1"/>
    <x v="1"/>
    <x v="1"/>
    <x v="0"/>
    <x v="3"/>
    <n v="1"/>
    <x v="3"/>
    <x v="1"/>
  </r>
  <r>
    <x v="0"/>
    <x v="1"/>
    <x v="1"/>
    <x v="1"/>
    <x v="0"/>
    <x v="4"/>
    <n v="4"/>
    <x v="4"/>
    <x v="1"/>
  </r>
  <r>
    <x v="0"/>
    <x v="1"/>
    <x v="1"/>
    <x v="1"/>
    <x v="0"/>
    <x v="5"/>
    <n v="3"/>
    <x v="5"/>
    <x v="1"/>
  </r>
  <r>
    <x v="0"/>
    <x v="1"/>
    <x v="1"/>
    <x v="1"/>
    <x v="0"/>
    <x v="6"/>
    <n v="3"/>
    <x v="6"/>
    <x v="1"/>
  </r>
  <r>
    <x v="0"/>
    <x v="1"/>
    <x v="1"/>
    <x v="1"/>
    <x v="0"/>
    <x v="7"/>
    <n v="3"/>
    <x v="7"/>
    <x v="0"/>
  </r>
  <r>
    <x v="0"/>
    <x v="1"/>
    <x v="1"/>
    <x v="1"/>
    <x v="1"/>
    <x v="8"/>
    <n v="1"/>
    <x v="8"/>
    <x v="1"/>
  </r>
  <r>
    <x v="0"/>
    <x v="1"/>
    <x v="1"/>
    <x v="1"/>
    <x v="1"/>
    <x v="9"/>
    <n v="4"/>
    <x v="9"/>
    <x v="1"/>
  </r>
  <r>
    <x v="0"/>
    <x v="1"/>
    <x v="1"/>
    <x v="1"/>
    <x v="1"/>
    <x v="10"/>
    <n v="1"/>
    <x v="10"/>
    <x v="1"/>
  </r>
  <r>
    <x v="0"/>
    <x v="1"/>
    <x v="1"/>
    <x v="1"/>
    <x v="1"/>
    <x v="11"/>
    <n v="0"/>
    <x v="11"/>
    <x v="1"/>
  </r>
  <r>
    <x v="0"/>
    <x v="1"/>
    <x v="1"/>
    <x v="1"/>
    <x v="2"/>
    <x v="12"/>
    <n v="2"/>
    <x v="12"/>
    <x v="0"/>
  </r>
  <r>
    <x v="0"/>
    <x v="1"/>
    <x v="1"/>
    <x v="1"/>
    <x v="2"/>
    <x v="13"/>
    <n v="3"/>
    <x v="13"/>
    <x v="1"/>
  </r>
  <r>
    <x v="0"/>
    <x v="1"/>
    <x v="1"/>
    <x v="1"/>
    <x v="2"/>
    <x v="14"/>
    <n v="0"/>
    <x v="14"/>
    <x v="1"/>
  </r>
  <r>
    <x v="0"/>
    <x v="1"/>
    <x v="1"/>
    <x v="1"/>
    <x v="2"/>
    <x v="15"/>
    <n v="1"/>
    <x v="15"/>
    <x v="1"/>
  </r>
  <r>
    <x v="0"/>
    <x v="1"/>
    <x v="1"/>
    <x v="1"/>
    <x v="2"/>
    <x v="16"/>
    <n v="1"/>
    <x v="16"/>
    <x v="1"/>
  </r>
  <r>
    <x v="0"/>
    <x v="1"/>
    <x v="1"/>
    <x v="1"/>
    <x v="2"/>
    <x v="17"/>
    <n v="0"/>
    <x v="17"/>
    <x v="0"/>
  </r>
  <r>
    <x v="0"/>
    <x v="1"/>
    <x v="1"/>
    <x v="1"/>
    <x v="2"/>
    <x v="18"/>
    <n v="1"/>
    <x v="18"/>
    <x v="0"/>
  </r>
  <r>
    <x v="0"/>
    <x v="1"/>
    <x v="1"/>
    <x v="1"/>
    <x v="2"/>
    <x v="19"/>
    <n v="1"/>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0"/>
    <x v="3"/>
    <x v="1"/>
  </r>
  <r>
    <x v="0"/>
    <x v="2"/>
    <x v="2"/>
    <x v="0"/>
    <x v="0"/>
    <x v="4"/>
    <n v="0"/>
    <x v="4"/>
    <x v="1"/>
  </r>
  <r>
    <x v="0"/>
    <x v="2"/>
    <x v="2"/>
    <x v="0"/>
    <x v="0"/>
    <x v="5"/>
    <n v="0"/>
    <x v="5"/>
    <x v="1"/>
  </r>
  <r>
    <x v="0"/>
    <x v="2"/>
    <x v="2"/>
    <x v="0"/>
    <x v="0"/>
    <x v="6"/>
    <n v="0"/>
    <x v="6"/>
    <x v="1"/>
  </r>
  <r>
    <x v="0"/>
    <x v="2"/>
    <x v="2"/>
    <x v="0"/>
    <x v="0"/>
    <x v="7"/>
    <n v="0"/>
    <x v="7"/>
    <x v="0"/>
  </r>
  <r>
    <x v="0"/>
    <x v="2"/>
    <x v="2"/>
    <x v="0"/>
    <x v="1"/>
    <x v="8"/>
    <n v="0"/>
    <x v="8"/>
    <x v="1"/>
  </r>
  <r>
    <x v="0"/>
    <x v="2"/>
    <x v="2"/>
    <x v="0"/>
    <x v="1"/>
    <x v="9"/>
    <n v="1"/>
    <x v="9"/>
    <x v="1"/>
  </r>
  <r>
    <x v="0"/>
    <x v="2"/>
    <x v="2"/>
    <x v="0"/>
    <x v="1"/>
    <x v="10"/>
    <n v="0"/>
    <x v="10"/>
    <x v="1"/>
  </r>
  <r>
    <x v="0"/>
    <x v="2"/>
    <x v="2"/>
    <x v="0"/>
    <x v="1"/>
    <x v="11"/>
    <n v="0"/>
    <x v="11"/>
    <x v="1"/>
  </r>
  <r>
    <x v="0"/>
    <x v="2"/>
    <x v="2"/>
    <x v="0"/>
    <x v="2"/>
    <x v="12"/>
    <n v="1"/>
    <x v="12"/>
    <x v="0"/>
  </r>
  <r>
    <x v="0"/>
    <x v="2"/>
    <x v="2"/>
    <x v="0"/>
    <x v="2"/>
    <x v="13"/>
    <n v="0"/>
    <x v="13"/>
    <x v="1"/>
  </r>
  <r>
    <x v="0"/>
    <x v="2"/>
    <x v="2"/>
    <x v="0"/>
    <x v="2"/>
    <x v="14"/>
    <n v="0"/>
    <x v="14"/>
    <x v="1"/>
  </r>
  <r>
    <x v="0"/>
    <x v="2"/>
    <x v="2"/>
    <x v="0"/>
    <x v="2"/>
    <x v="15"/>
    <n v="0"/>
    <x v="15"/>
    <x v="1"/>
  </r>
  <r>
    <x v="0"/>
    <x v="2"/>
    <x v="2"/>
    <x v="0"/>
    <x v="2"/>
    <x v="16"/>
    <n v="1"/>
    <x v="16"/>
    <x v="1"/>
  </r>
  <r>
    <x v="0"/>
    <x v="2"/>
    <x v="2"/>
    <x v="0"/>
    <x v="2"/>
    <x v="17"/>
    <n v="0"/>
    <x v="17"/>
    <x v="0"/>
  </r>
  <r>
    <x v="0"/>
    <x v="2"/>
    <x v="2"/>
    <x v="0"/>
    <x v="2"/>
    <x v="18"/>
    <n v="0"/>
    <x v="18"/>
    <x v="0"/>
  </r>
  <r>
    <x v="0"/>
    <x v="2"/>
    <x v="2"/>
    <x v="0"/>
    <x v="2"/>
    <x v="19"/>
    <n v="0"/>
    <x v="19"/>
    <x v="0"/>
  </r>
  <r>
    <x v="0"/>
    <x v="2"/>
    <x v="2"/>
    <x v="1"/>
    <x v="0"/>
    <x v="0"/>
    <n v="1"/>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41"/>
    <x v="0"/>
    <x v="0"/>
  </r>
  <r>
    <x v="1"/>
    <x v="3"/>
    <x v="1"/>
    <x v="0"/>
    <x v="0"/>
    <x v="1"/>
    <n v="35"/>
    <x v="1"/>
    <x v="0"/>
  </r>
  <r>
    <x v="1"/>
    <x v="3"/>
    <x v="1"/>
    <x v="0"/>
    <x v="0"/>
    <x v="2"/>
    <n v="33"/>
    <x v="2"/>
    <x v="0"/>
  </r>
  <r>
    <x v="1"/>
    <x v="3"/>
    <x v="1"/>
    <x v="0"/>
    <x v="0"/>
    <x v="3"/>
    <n v="34"/>
    <x v="3"/>
    <x v="1"/>
  </r>
  <r>
    <x v="1"/>
    <x v="3"/>
    <x v="1"/>
    <x v="0"/>
    <x v="0"/>
    <x v="4"/>
    <n v="38"/>
    <x v="4"/>
    <x v="1"/>
  </r>
  <r>
    <x v="1"/>
    <x v="3"/>
    <x v="1"/>
    <x v="0"/>
    <x v="0"/>
    <x v="5"/>
    <n v="29"/>
    <x v="5"/>
    <x v="1"/>
  </r>
  <r>
    <x v="1"/>
    <x v="3"/>
    <x v="1"/>
    <x v="0"/>
    <x v="0"/>
    <x v="6"/>
    <n v="23"/>
    <x v="6"/>
    <x v="1"/>
  </r>
  <r>
    <x v="1"/>
    <x v="3"/>
    <x v="1"/>
    <x v="0"/>
    <x v="0"/>
    <x v="7"/>
    <n v="16"/>
    <x v="7"/>
    <x v="0"/>
  </r>
  <r>
    <x v="1"/>
    <x v="3"/>
    <x v="1"/>
    <x v="0"/>
    <x v="1"/>
    <x v="8"/>
    <n v="22"/>
    <x v="8"/>
    <x v="1"/>
  </r>
  <r>
    <x v="1"/>
    <x v="3"/>
    <x v="1"/>
    <x v="0"/>
    <x v="1"/>
    <x v="9"/>
    <n v="17"/>
    <x v="9"/>
    <x v="1"/>
  </r>
  <r>
    <x v="1"/>
    <x v="3"/>
    <x v="1"/>
    <x v="0"/>
    <x v="1"/>
    <x v="10"/>
    <n v="21"/>
    <x v="10"/>
    <x v="1"/>
  </r>
  <r>
    <x v="1"/>
    <x v="3"/>
    <x v="1"/>
    <x v="0"/>
    <x v="1"/>
    <x v="11"/>
    <n v="22"/>
    <x v="11"/>
    <x v="1"/>
  </r>
  <r>
    <x v="1"/>
    <x v="3"/>
    <x v="1"/>
    <x v="0"/>
    <x v="2"/>
    <x v="12"/>
    <n v="30"/>
    <x v="12"/>
    <x v="0"/>
  </r>
  <r>
    <x v="1"/>
    <x v="3"/>
    <x v="1"/>
    <x v="0"/>
    <x v="2"/>
    <x v="13"/>
    <n v="21"/>
    <x v="13"/>
    <x v="1"/>
  </r>
  <r>
    <x v="1"/>
    <x v="3"/>
    <x v="1"/>
    <x v="0"/>
    <x v="2"/>
    <x v="14"/>
    <n v="32"/>
    <x v="14"/>
    <x v="1"/>
  </r>
  <r>
    <x v="1"/>
    <x v="3"/>
    <x v="1"/>
    <x v="0"/>
    <x v="2"/>
    <x v="15"/>
    <n v="21"/>
    <x v="15"/>
    <x v="1"/>
  </r>
  <r>
    <x v="1"/>
    <x v="3"/>
    <x v="1"/>
    <x v="0"/>
    <x v="2"/>
    <x v="16"/>
    <n v="20"/>
    <x v="16"/>
    <x v="1"/>
  </r>
  <r>
    <x v="1"/>
    <x v="3"/>
    <x v="1"/>
    <x v="0"/>
    <x v="2"/>
    <x v="17"/>
    <n v="33"/>
    <x v="17"/>
    <x v="0"/>
  </r>
  <r>
    <x v="1"/>
    <x v="3"/>
    <x v="1"/>
    <x v="0"/>
    <x v="2"/>
    <x v="18"/>
    <n v="15"/>
    <x v="18"/>
    <x v="0"/>
  </r>
  <r>
    <x v="1"/>
    <x v="3"/>
    <x v="1"/>
    <x v="0"/>
    <x v="2"/>
    <x v="19"/>
    <n v="20"/>
    <x v="19"/>
    <x v="0"/>
  </r>
  <r>
    <x v="1"/>
    <x v="3"/>
    <x v="1"/>
    <x v="1"/>
    <x v="0"/>
    <x v="0"/>
    <n v="1"/>
    <x v="0"/>
    <x v="0"/>
  </r>
  <r>
    <x v="1"/>
    <x v="3"/>
    <x v="1"/>
    <x v="1"/>
    <x v="0"/>
    <x v="1"/>
    <n v="4"/>
    <x v="1"/>
    <x v="0"/>
  </r>
  <r>
    <x v="1"/>
    <x v="3"/>
    <x v="1"/>
    <x v="1"/>
    <x v="0"/>
    <x v="2"/>
    <n v="1"/>
    <x v="2"/>
    <x v="0"/>
  </r>
  <r>
    <x v="1"/>
    <x v="3"/>
    <x v="1"/>
    <x v="1"/>
    <x v="0"/>
    <x v="3"/>
    <n v="3"/>
    <x v="3"/>
    <x v="1"/>
  </r>
  <r>
    <x v="1"/>
    <x v="3"/>
    <x v="1"/>
    <x v="1"/>
    <x v="0"/>
    <x v="4"/>
    <n v="0"/>
    <x v="4"/>
    <x v="1"/>
  </r>
  <r>
    <x v="1"/>
    <x v="3"/>
    <x v="1"/>
    <x v="1"/>
    <x v="0"/>
    <x v="5"/>
    <n v="6"/>
    <x v="5"/>
    <x v="1"/>
  </r>
  <r>
    <x v="1"/>
    <x v="3"/>
    <x v="1"/>
    <x v="1"/>
    <x v="0"/>
    <x v="6"/>
    <n v="2"/>
    <x v="6"/>
    <x v="1"/>
  </r>
  <r>
    <x v="1"/>
    <x v="3"/>
    <x v="1"/>
    <x v="1"/>
    <x v="0"/>
    <x v="7"/>
    <n v="1"/>
    <x v="7"/>
    <x v="0"/>
  </r>
  <r>
    <x v="1"/>
    <x v="3"/>
    <x v="1"/>
    <x v="1"/>
    <x v="1"/>
    <x v="8"/>
    <n v="2"/>
    <x v="8"/>
    <x v="1"/>
  </r>
  <r>
    <x v="1"/>
    <x v="3"/>
    <x v="1"/>
    <x v="1"/>
    <x v="1"/>
    <x v="9"/>
    <n v="2"/>
    <x v="9"/>
    <x v="1"/>
  </r>
  <r>
    <x v="1"/>
    <x v="3"/>
    <x v="1"/>
    <x v="1"/>
    <x v="1"/>
    <x v="10"/>
    <n v="2"/>
    <x v="10"/>
    <x v="1"/>
  </r>
  <r>
    <x v="1"/>
    <x v="3"/>
    <x v="1"/>
    <x v="1"/>
    <x v="1"/>
    <x v="11"/>
    <n v="3"/>
    <x v="11"/>
    <x v="1"/>
  </r>
  <r>
    <x v="1"/>
    <x v="3"/>
    <x v="1"/>
    <x v="1"/>
    <x v="2"/>
    <x v="12"/>
    <n v="1"/>
    <x v="12"/>
    <x v="0"/>
  </r>
  <r>
    <x v="1"/>
    <x v="3"/>
    <x v="1"/>
    <x v="1"/>
    <x v="2"/>
    <x v="13"/>
    <n v="3"/>
    <x v="13"/>
    <x v="1"/>
  </r>
  <r>
    <x v="1"/>
    <x v="3"/>
    <x v="1"/>
    <x v="1"/>
    <x v="2"/>
    <x v="14"/>
    <n v="3"/>
    <x v="14"/>
    <x v="1"/>
  </r>
  <r>
    <x v="1"/>
    <x v="3"/>
    <x v="1"/>
    <x v="1"/>
    <x v="2"/>
    <x v="15"/>
    <n v="3"/>
    <x v="15"/>
    <x v="1"/>
  </r>
  <r>
    <x v="1"/>
    <x v="3"/>
    <x v="1"/>
    <x v="1"/>
    <x v="2"/>
    <x v="16"/>
    <n v="0"/>
    <x v="16"/>
    <x v="1"/>
  </r>
  <r>
    <x v="1"/>
    <x v="3"/>
    <x v="1"/>
    <x v="1"/>
    <x v="2"/>
    <x v="17"/>
    <n v="4"/>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1"/>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1"/>
    <x v="12"/>
    <x v="0"/>
  </r>
  <r>
    <x v="1"/>
    <x v="3"/>
    <x v="1"/>
    <x v="2"/>
    <x v="2"/>
    <x v="13"/>
    <n v="0"/>
    <x v="13"/>
    <x v="1"/>
  </r>
  <r>
    <x v="1"/>
    <x v="3"/>
    <x v="1"/>
    <x v="2"/>
    <x v="2"/>
    <x v="14"/>
    <n v="0"/>
    <x v="14"/>
    <x v="1"/>
  </r>
  <r>
    <x v="1"/>
    <x v="3"/>
    <x v="1"/>
    <x v="2"/>
    <x v="2"/>
    <x v="15"/>
    <n v="2"/>
    <x v="15"/>
    <x v="1"/>
  </r>
  <r>
    <x v="1"/>
    <x v="3"/>
    <x v="1"/>
    <x v="2"/>
    <x v="2"/>
    <x v="16"/>
    <n v="0"/>
    <x v="16"/>
    <x v="1"/>
  </r>
  <r>
    <x v="1"/>
    <x v="3"/>
    <x v="1"/>
    <x v="2"/>
    <x v="2"/>
    <x v="17"/>
    <n v="0"/>
    <x v="17"/>
    <x v="0"/>
  </r>
  <r>
    <x v="1"/>
    <x v="3"/>
    <x v="1"/>
    <x v="2"/>
    <x v="2"/>
    <x v="18"/>
    <n v="0"/>
    <x v="18"/>
    <x v="0"/>
  </r>
  <r>
    <x v="1"/>
    <x v="3"/>
    <x v="1"/>
    <x v="2"/>
    <x v="2"/>
    <x v="19"/>
    <n v="0"/>
    <x v="19"/>
    <x v="0"/>
  </r>
  <r>
    <x v="1"/>
    <x v="4"/>
    <x v="2"/>
    <x v="0"/>
    <x v="0"/>
    <x v="0"/>
    <n v="70"/>
    <x v="0"/>
    <x v="0"/>
  </r>
  <r>
    <x v="1"/>
    <x v="4"/>
    <x v="2"/>
    <x v="0"/>
    <x v="0"/>
    <x v="1"/>
    <n v="75"/>
    <x v="1"/>
    <x v="0"/>
  </r>
  <r>
    <x v="1"/>
    <x v="4"/>
    <x v="2"/>
    <x v="0"/>
    <x v="0"/>
    <x v="2"/>
    <n v="49"/>
    <x v="2"/>
    <x v="0"/>
  </r>
  <r>
    <x v="1"/>
    <x v="4"/>
    <x v="2"/>
    <x v="0"/>
    <x v="0"/>
    <x v="3"/>
    <n v="76"/>
    <x v="3"/>
    <x v="1"/>
  </r>
  <r>
    <x v="1"/>
    <x v="4"/>
    <x v="2"/>
    <x v="0"/>
    <x v="0"/>
    <x v="4"/>
    <n v="81"/>
    <x v="4"/>
    <x v="1"/>
  </r>
  <r>
    <x v="1"/>
    <x v="4"/>
    <x v="2"/>
    <x v="0"/>
    <x v="0"/>
    <x v="5"/>
    <n v="96"/>
    <x v="5"/>
    <x v="1"/>
  </r>
  <r>
    <x v="1"/>
    <x v="4"/>
    <x v="2"/>
    <x v="0"/>
    <x v="0"/>
    <x v="6"/>
    <n v="116"/>
    <x v="6"/>
    <x v="1"/>
  </r>
  <r>
    <x v="1"/>
    <x v="4"/>
    <x v="2"/>
    <x v="0"/>
    <x v="0"/>
    <x v="7"/>
    <n v="85"/>
    <x v="7"/>
    <x v="0"/>
  </r>
  <r>
    <x v="1"/>
    <x v="4"/>
    <x v="2"/>
    <x v="0"/>
    <x v="1"/>
    <x v="8"/>
    <n v="152"/>
    <x v="8"/>
    <x v="1"/>
  </r>
  <r>
    <x v="1"/>
    <x v="4"/>
    <x v="2"/>
    <x v="0"/>
    <x v="1"/>
    <x v="9"/>
    <n v="139"/>
    <x v="9"/>
    <x v="1"/>
  </r>
  <r>
    <x v="1"/>
    <x v="4"/>
    <x v="2"/>
    <x v="0"/>
    <x v="1"/>
    <x v="10"/>
    <n v="140"/>
    <x v="10"/>
    <x v="1"/>
  </r>
  <r>
    <x v="1"/>
    <x v="4"/>
    <x v="2"/>
    <x v="0"/>
    <x v="1"/>
    <x v="11"/>
    <n v="143"/>
    <x v="11"/>
    <x v="1"/>
  </r>
  <r>
    <x v="1"/>
    <x v="4"/>
    <x v="2"/>
    <x v="0"/>
    <x v="2"/>
    <x v="12"/>
    <n v="174"/>
    <x v="12"/>
    <x v="0"/>
  </r>
  <r>
    <x v="1"/>
    <x v="4"/>
    <x v="2"/>
    <x v="0"/>
    <x v="2"/>
    <x v="13"/>
    <n v="162"/>
    <x v="13"/>
    <x v="1"/>
  </r>
  <r>
    <x v="1"/>
    <x v="4"/>
    <x v="2"/>
    <x v="0"/>
    <x v="2"/>
    <x v="14"/>
    <n v="177"/>
    <x v="14"/>
    <x v="1"/>
  </r>
  <r>
    <x v="1"/>
    <x v="4"/>
    <x v="2"/>
    <x v="0"/>
    <x v="2"/>
    <x v="15"/>
    <n v="188"/>
    <x v="15"/>
    <x v="1"/>
  </r>
  <r>
    <x v="1"/>
    <x v="4"/>
    <x v="2"/>
    <x v="0"/>
    <x v="2"/>
    <x v="16"/>
    <n v="149"/>
    <x v="16"/>
    <x v="1"/>
  </r>
  <r>
    <x v="1"/>
    <x v="4"/>
    <x v="2"/>
    <x v="0"/>
    <x v="2"/>
    <x v="17"/>
    <n v="161"/>
    <x v="17"/>
    <x v="0"/>
  </r>
  <r>
    <x v="1"/>
    <x v="4"/>
    <x v="2"/>
    <x v="0"/>
    <x v="2"/>
    <x v="18"/>
    <n v="162"/>
    <x v="18"/>
    <x v="0"/>
  </r>
  <r>
    <x v="1"/>
    <x v="4"/>
    <x v="2"/>
    <x v="0"/>
    <x v="2"/>
    <x v="19"/>
    <n v="138"/>
    <x v="19"/>
    <x v="0"/>
  </r>
  <r>
    <x v="1"/>
    <x v="4"/>
    <x v="2"/>
    <x v="1"/>
    <x v="0"/>
    <x v="0"/>
    <n v="1"/>
    <x v="0"/>
    <x v="0"/>
  </r>
  <r>
    <x v="1"/>
    <x v="4"/>
    <x v="2"/>
    <x v="1"/>
    <x v="0"/>
    <x v="1"/>
    <n v="5"/>
    <x v="1"/>
    <x v="0"/>
  </r>
  <r>
    <x v="1"/>
    <x v="4"/>
    <x v="2"/>
    <x v="1"/>
    <x v="0"/>
    <x v="2"/>
    <n v="6"/>
    <x v="2"/>
    <x v="0"/>
  </r>
  <r>
    <x v="1"/>
    <x v="4"/>
    <x v="2"/>
    <x v="1"/>
    <x v="0"/>
    <x v="3"/>
    <n v="6"/>
    <x v="3"/>
    <x v="1"/>
  </r>
  <r>
    <x v="1"/>
    <x v="4"/>
    <x v="2"/>
    <x v="1"/>
    <x v="0"/>
    <x v="4"/>
    <n v="9"/>
    <x v="4"/>
    <x v="1"/>
  </r>
  <r>
    <x v="1"/>
    <x v="4"/>
    <x v="2"/>
    <x v="1"/>
    <x v="0"/>
    <x v="5"/>
    <n v="4"/>
    <x v="5"/>
    <x v="1"/>
  </r>
  <r>
    <x v="1"/>
    <x v="4"/>
    <x v="2"/>
    <x v="1"/>
    <x v="0"/>
    <x v="6"/>
    <n v="4"/>
    <x v="6"/>
    <x v="1"/>
  </r>
  <r>
    <x v="1"/>
    <x v="4"/>
    <x v="2"/>
    <x v="1"/>
    <x v="0"/>
    <x v="7"/>
    <n v="5"/>
    <x v="7"/>
    <x v="0"/>
  </r>
  <r>
    <x v="1"/>
    <x v="4"/>
    <x v="2"/>
    <x v="1"/>
    <x v="1"/>
    <x v="8"/>
    <n v="6"/>
    <x v="8"/>
    <x v="1"/>
  </r>
  <r>
    <x v="1"/>
    <x v="4"/>
    <x v="2"/>
    <x v="1"/>
    <x v="1"/>
    <x v="9"/>
    <n v="3"/>
    <x v="9"/>
    <x v="1"/>
  </r>
  <r>
    <x v="1"/>
    <x v="4"/>
    <x v="2"/>
    <x v="1"/>
    <x v="1"/>
    <x v="10"/>
    <n v="8"/>
    <x v="10"/>
    <x v="1"/>
  </r>
  <r>
    <x v="1"/>
    <x v="4"/>
    <x v="2"/>
    <x v="1"/>
    <x v="1"/>
    <x v="11"/>
    <n v="3"/>
    <x v="11"/>
    <x v="1"/>
  </r>
  <r>
    <x v="1"/>
    <x v="4"/>
    <x v="2"/>
    <x v="1"/>
    <x v="2"/>
    <x v="12"/>
    <n v="6"/>
    <x v="12"/>
    <x v="0"/>
  </r>
  <r>
    <x v="1"/>
    <x v="4"/>
    <x v="2"/>
    <x v="1"/>
    <x v="2"/>
    <x v="13"/>
    <n v="6"/>
    <x v="13"/>
    <x v="1"/>
  </r>
  <r>
    <x v="1"/>
    <x v="4"/>
    <x v="2"/>
    <x v="1"/>
    <x v="2"/>
    <x v="14"/>
    <n v="6"/>
    <x v="14"/>
    <x v="1"/>
  </r>
  <r>
    <x v="1"/>
    <x v="4"/>
    <x v="2"/>
    <x v="1"/>
    <x v="2"/>
    <x v="15"/>
    <n v="5"/>
    <x v="15"/>
    <x v="1"/>
  </r>
  <r>
    <x v="1"/>
    <x v="4"/>
    <x v="2"/>
    <x v="1"/>
    <x v="2"/>
    <x v="16"/>
    <n v="4"/>
    <x v="16"/>
    <x v="1"/>
  </r>
  <r>
    <x v="1"/>
    <x v="4"/>
    <x v="2"/>
    <x v="1"/>
    <x v="2"/>
    <x v="17"/>
    <n v="4"/>
    <x v="17"/>
    <x v="0"/>
  </r>
  <r>
    <x v="1"/>
    <x v="4"/>
    <x v="2"/>
    <x v="1"/>
    <x v="2"/>
    <x v="18"/>
    <n v="2"/>
    <x v="18"/>
    <x v="0"/>
  </r>
  <r>
    <x v="1"/>
    <x v="4"/>
    <x v="2"/>
    <x v="1"/>
    <x v="2"/>
    <x v="19"/>
    <n v="1"/>
    <x v="19"/>
    <x v="0"/>
  </r>
  <r>
    <x v="1"/>
    <x v="4"/>
    <x v="2"/>
    <x v="2"/>
    <x v="0"/>
    <x v="0"/>
    <n v="3"/>
    <x v="0"/>
    <x v="0"/>
  </r>
  <r>
    <x v="1"/>
    <x v="4"/>
    <x v="2"/>
    <x v="2"/>
    <x v="0"/>
    <x v="1"/>
    <n v="1"/>
    <x v="1"/>
    <x v="0"/>
  </r>
  <r>
    <x v="1"/>
    <x v="4"/>
    <x v="2"/>
    <x v="2"/>
    <x v="0"/>
    <x v="2"/>
    <n v="0"/>
    <x v="2"/>
    <x v="0"/>
  </r>
  <r>
    <x v="1"/>
    <x v="4"/>
    <x v="2"/>
    <x v="2"/>
    <x v="0"/>
    <x v="3"/>
    <n v="1"/>
    <x v="3"/>
    <x v="1"/>
  </r>
  <r>
    <x v="1"/>
    <x v="4"/>
    <x v="2"/>
    <x v="2"/>
    <x v="0"/>
    <x v="4"/>
    <n v="0"/>
    <x v="4"/>
    <x v="1"/>
  </r>
  <r>
    <x v="1"/>
    <x v="4"/>
    <x v="2"/>
    <x v="2"/>
    <x v="0"/>
    <x v="5"/>
    <n v="0"/>
    <x v="5"/>
    <x v="1"/>
  </r>
  <r>
    <x v="1"/>
    <x v="4"/>
    <x v="2"/>
    <x v="2"/>
    <x v="0"/>
    <x v="6"/>
    <n v="0"/>
    <x v="6"/>
    <x v="1"/>
  </r>
  <r>
    <x v="1"/>
    <x v="4"/>
    <x v="2"/>
    <x v="2"/>
    <x v="0"/>
    <x v="7"/>
    <n v="0"/>
    <x v="7"/>
    <x v="0"/>
  </r>
  <r>
    <x v="1"/>
    <x v="4"/>
    <x v="2"/>
    <x v="2"/>
    <x v="1"/>
    <x v="8"/>
    <n v="2"/>
    <x v="8"/>
    <x v="1"/>
  </r>
  <r>
    <x v="1"/>
    <x v="4"/>
    <x v="2"/>
    <x v="2"/>
    <x v="1"/>
    <x v="9"/>
    <n v="0"/>
    <x v="9"/>
    <x v="1"/>
  </r>
  <r>
    <x v="1"/>
    <x v="4"/>
    <x v="2"/>
    <x v="2"/>
    <x v="1"/>
    <x v="10"/>
    <n v="0"/>
    <x v="10"/>
    <x v="1"/>
  </r>
  <r>
    <x v="1"/>
    <x v="4"/>
    <x v="2"/>
    <x v="2"/>
    <x v="1"/>
    <x v="11"/>
    <n v="1"/>
    <x v="11"/>
    <x v="1"/>
  </r>
  <r>
    <x v="1"/>
    <x v="4"/>
    <x v="2"/>
    <x v="2"/>
    <x v="2"/>
    <x v="12"/>
    <n v="0"/>
    <x v="12"/>
    <x v="0"/>
  </r>
  <r>
    <x v="1"/>
    <x v="4"/>
    <x v="2"/>
    <x v="2"/>
    <x v="2"/>
    <x v="13"/>
    <n v="0"/>
    <x v="13"/>
    <x v="1"/>
  </r>
  <r>
    <x v="1"/>
    <x v="4"/>
    <x v="2"/>
    <x v="2"/>
    <x v="2"/>
    <x v="14"/>
    <n v="4"/>
    <x v="14"/>
    <x v="1"/>
  </r>
  <r>
    <x v="1"/>
    <x v="4"/>
    <x v="2"/>
    <x v="2"/>
    <x v="2"/>
    <x v="15"/>
    <n v="2"/>
    <x v="15"/>
    <x v="1"/>
  </r>
  <r>
    <x v="1"/>
    <x v="4"/>
    <x v="2"/>
    <x v="2"/>
    <x v="2"/>
    <x v="16"/>
    <n v="3"/>
    <x v="16"/>
    <x v="1"/>
  </r>
  <r>
    <x v="1"/>
    <x v="4"/>
    <x v="2"/>
    <x v="2"/>
    <x v="2"/>
    <x v="17"/>
    <n v="2"/>
    <x v="17"/>
    <x v="0"/>
  </r>
  <r>
    <x v="1"/>
    <x v="4"/>
    <x v="2"/>
    <x v="2"/>
    <x v="2"/>
    <x v="18"/>
    <n v="1"/>
    <x v="18"/>
    <x v="0"/>
  </r>
  <r>
    <x v="1"/>
    <x v="4"/>
    <x v="2"/>
    <x v="2"/>
    <x v="2"/>
    <x v="19"/>
    <n v="0"/>
    <x v="19"/>
    <x v="0"/>
  </r>
  <r>
    <x v="2"/>
    <x v="5"/>
    <x v="2"/>
    <x v="0"/>
    <x v="0"/>
    <x v="0"/>
    <n v="20"/>
    <x v="0"/>
    <x v="0"/>
  </r>
  <r>
    <x v="2"/>
    <x v="5"/>
    <x v="2"/>
    <x v="0"/>
    <x v="0"/>
    <x v="1"/>
    <n v="34"/>
    <x v="1"/>
    <x v="0"/>
  </r>
  <r>
    <x v="2"/>
    <x v="5"/>
    <x v="2"/>
    <x v="0"/>
    <x v="0"/>
    <x v="2"/>
    <n v="28"/>
    <x v="2"/>
    <x v="0"/>
  </r>
  <r>
    <x v="2"/>
    <x v="5"/>
    <x v="2"/>
    <x v="0"/>
    <x v="0"/>
    <x v="3"/>
    <n v="33"/>
    <x v="3"/>
    <x v="1"/>
  </r>
  <r>
    <x v="2"/>
    <x v="5"/>
    <x v="2"/>
    <x v="0"/>
    <x v="0"/>
    <x v="4"/>
    <n v="45"/>
    <x v="4"/>
    <x v="1"/>
  </r>
  <r>
    <x v="2"/>
    <x v="5"/>
    <x v="2"/>
    <x v="0"/>
    <x v="0"/>
    <x v="5"/>
    <n v="58"/>
    <x v="5"/>
    <x v="1"/>
  </r>
  <r>
    <x v="2"/>
    <x v="5"/>
    <x v="2"/>
    <x v="0"/>
    <x v="0"/>
    <x v="6"/>
    <n v="54"/>
    <x v="6"/>
    <x v="1"/>
  </r>
  <r>
    <x v="2"/>
    <x v="5"/>
    <x v="2"/>
    <x v="0"/>
    <x v="0"/>
    <x v="7"/>
    <n v="40"/>
    <x v="7"/>
    <x v="0"/>
  </r>
  <r>
    <x v="2"/>
    <x v="5"/>
    <x v="2"/>
    <x v="0"/>
    <x v="1"/>
    <x v="8"/>
    <n v="36"/>
    <x v="8"/>
    <x v="1"/>
  </r>
  <r>
    <x v="2"/>
    <x v="5"/>
    <x v="2"/>
    <x v="0"/>
    <x v="1"/>
    <x v="9"/>
    <n v="33"/>
    <x v="9"/>
    <x v="1"/>
  </r>
  <r>
    <x v="2"/>
    <x v="5"/>
    <x v="2"/>
    <x v="0"/>
    <x v="1"/>
    <x v="10"/>
    <n v="34"/>
    <x v="10"/>
    <x v="1"/>
  </r>
  <r>
    <x v="2"/>
    <x v="5"/>
    <x v="2"/>
    <x v="0"/>
    <x v="1"/>
    <x v="11"/>
    <n v="41"/>
    <x v="11"/>
    <x v="1"/>
  </r>
  <r>
    <x v="2"/>
    <x v="5"/>
    <x v="2"/>
    <x v="0"/>
    <x v="2"/>
    <x v="12"/>
    <n v="68"/>
    <x v="12"/>
    <x v="0"/>
  </r>
  <r>
    <x v="2"/>
    <x v="5"/>
    <x v="2"/>
    <x v="0"/>
    <x v="2"/>
    <x v="13"/>
    <n v="64"/>
    <x v="13"/>
    <x v="1"/>
  </r>
  <r>
    <x v="2"/>
    <x v="5"/>
    <x v="2"/>
    <x v="0"/>
    <x v="2"/>
    <x v="14"/>
    <n v="66"/>
    <x v="14"/>
    <x v="1"/>
  </r>
  <r>
    <x v="2"/>
    <x v="5"/>
    <x v="2"/>
    <x v="0"/>
    <x v="2"/>
    <x v="15"/>
    <n v="72"/>
    <x v="15"/>
    <x v="1"/>
  </r>
  <r>
    <x v="2"/>
    <x v="5"/>
    <x v="2"/>
    <x v="0"/>
    <x v="2"/>
    <x v="16"/>
    <n v="78"/>
    <x v="16"/>
    <x v="1"/>
  </r>
  <r>
    <x v="2"/>
    <x v="5"/>
    <x v="2"/>
    <x v="0"/>
    <x v="2"/>
    <x v="17"/>
    <n v="62"/>
    <x v="17"/>
    <x v="0"/>
  </r>
  <r>
    <x v="2"/>
    <x v="5"/>
    <x v="2"/>
    <x v="0"/>
    <x v="2"/>
    <x v="18"/>
    <n v="55"/>
    <x v="18"/>
    <x v="0"/>
  </r>
  <r>
    <x v="2"/>
    <x v="5"/>
    <x v="2"/>
    <x v="0"/>
    <x v="2"/>
    <x v="19"/>
    <n v="51"/>
    <x v="19"/>
    <x v="0"/>
  </r>
  <r>
    <x v="2"/>
    <x v="5"/>
    <x v="2"/>
    <x v="1"/>
    <x v="0"/>
    <x v="0"/>
    <n v="4"/>
    <x v="0"/>
    <x v="0"/>
  </r>
  <r>
    <x v="2"/>
    <x v="5"/>
    <x v="2"/>
    <x v="1"/>
    <x v="0"/>
    <x v="1"/>
    <n v="4"/>
    <x v="1"/>
    <x v="0"/>
  </r>
  <r>
    <x v="2"/>
    <x v="5"/>
    <x v="2"/>
    <x v="1"/>
    <x v="0"/>
    <x v="2"/>
    <n v="2"/>
    <x v="2"/>
    <x v="0"/>
  </r>
  <r>
    <x v="2"/>
    <x v="5"/>
    <x v="2"/>
    <x v="1"/>
    <x v="0"/>
    <x v="3"/>
    <n v="3"/>
    <x v="3"/>
    <x v="1"/>
  </r>
  <r>
    <x v="2"/>
    <x v="5"/>
    <x v="2"/>
    <x v="1"/>
    <x v="0"/>
    <x v="4"/>
    <n v="2"/>
    <x v="4"/>
    <x v="1"/>
  </r>
  <r>
    <x v="2"/>
    <x v="5"/>
    <x v="2"/>
    <x v="1"/>
    <x v="0"/>
    <x v="5"/>
    <n v="4"/>
    <x v="5"/>
    <x v="1"/>
  </r>
  <r>
    <x v="2"/>
    <x v="5"/>
    <x v="2"/>
    <x v="1"/>
    <x v="0"/>
    <x v="6"/>
    <n v="2"/>
    <x v="6"/>
    <x v="1"/>
  </r>
  <r>
    <x v="2"/>
    <x v="5"/>
    <x v="2"/>
    <x v="1"/>
    <x v="0"/>
    <x v="7"/>
    <n v="4"/>
    <x v="7"/>
    <x v="0"/>
  </r>
  <r>
    <x v="2"/>
    <x v="5"/>
    <x v="2"/>
    <x v="1"/>
    <x v="1"/>
    <x v="8"/>
    <n v="5"/>
    <x v="8"/>
    <x v="1"/>
  </r>
  <r>
    <x v="2"/>
    <x v="5"/>
    <x v="2"/>
    <x v="1"/>
    <x v="1"/>
    <x v="9"/>
    <n v="1"/>
    <x v="9"/>
    <x v="1"/>
  </r>
  <r>
    <x v="2"/>
    <x v="5"/>
    <x v="2"/>
    <x v="1"/>
    <x v="1"/>
    <x v="10"/>
    <n v="2"/>
    <x v="10"/>
    <x v="1"/>
  </r>
  <r>
    <x v="2"/>
    <x v="5"/>
    <x v="2"/>
    <x v="1"/>
    <x v="1"/>
    <x v="11"/>
    <n v="2"/>
    <x v="11"/>
    <x v="1"/>
  </r>
  <r>
    <x v="2"/>
    <x v="5"/>
    <x v="2"/>
    <x v="1"/>
    <x v="2"/>
    <x v="12"/>
    <n v="2"/>
    <x v="12"/>
    <x v="0"/>
  </r>
  <r>
    <x v="2"/>
    <x v="5"/>
    <x v="2"/>
    <x v="1"/>
    <x v="2"/>
    <x v="13"/>
    <n v="6"/>
    <x v="13"/>
    <x v="1"/>
  </r>
  <r>
    <x v="2"/>
    <x v="5"/>
    <x v="2"/>
    <x v="1"/>
    <x v="2"/>
    <x v="14"/>
    <n v="2"/>
    <x v="14"/>
    <x v="1"/>
  </r>
  <r>
    <x v="2"/>
    <x v="5"/>
    <x v="2"/>
    <x v="1"/>
    <x v="2"/>
    <x v="15"/>
    <n v="1"/>
    <x v="15"/>
    <x v="1"/>
  </r>
  <r>
    <x v="2"/>
    <x v="5"/>
    <x v="2"/>
    <x v="1"/>
    <x v="2"/>
    <x v="16"/>
    <n v="0"/>
    <x v="16"/>
    <x v="1"/>
  </r>
  <r>
    <x v="2"/>
    <x v="5"/>
    <x v="2"/>
    <x v="1"/>
    <x v="2"/>
    <x v="17"/>
    <n v="1"/>
    <x v="17"/>
    <x v="0"/>
  </r>
  <r>
    <x v="2"/>
    <x v="5"/>
    <x v="2"/>
    <x v="1"/>
    <x v="2"/>
    <x v="18"/>
    <n v="1"/>
    <x v="18"/>
    <x v="0"/>
  </r>
  <r>
    <x v="2"/>
    <x v="5"/>
    <x v="2"/>
    <x v="1"/>
    <x v="2"/>
    <x v="19"/>
    <n v="2"/>
    <x v="19"/>
    <x v="0"/>
  </r>
  <r>
    <x v="2"/>
    <x v="5"/>
    <x v="2"/>
    <x v="2"/>
    <x v="0"/>
    <x v="0"/>
    <n v="0"/>
    <x v="0"/>
    <x v="0"/>
  </r>
  <r>
    <x v="2"/>
    <x v="5"/>
    <x v="2"/>
    <x v="2"/>
    <x v="0"/>
    <x v="1"/>
    <n v="0"/>
    <x v="1"/>
    <x v="0"/>
  </r>
  <r>
    <x v="2"/>
    <x v="5"/>
    <x v="2"/>
    <x v="2"/>
    <x v="0"/>
    <x v="2"/>
    <n v="0"/>
    <x v="2"/>
    <x v="0"/>
  </r>
  <r>
    <x v="2"/>
    <x v="5"/>
    <x v="2"/>
    <x v="2"/>
    <x v="0"/>
    <x v="3"/>
    <n v="0"/>
    <x v="3"/>
    <x v="1"/>
  </r>
  <r>
    <x v="2"/>
    <x v="5"/>
    <x v="2"/>
    <x v="2"/>
    <x v="0"/>
    <x v="4"/>
    <n v="0"/>
    <x v="4"/>
    <x v="1"/>
  </r>
  <r>
    <x v="2"/>
    <x v="5"/>
    <x v="2"/>
    <x v="2"/>
    <x v="0"/>
    <x v="5"/>
    <n v="0"/>
    <x v="5"/>
    <x v="1"/>
  </r>
  <r>
    <x v="2"/>
    <x v="5"/>
    <x v="2"/>
    <x v="2"/>
    <x v="0"/>
    <x v="6"/>
    <n v="0"/>
    <x v="6"/>
    <x v="1"/>
  </r>
  <r>
    <x v="2"/>
    <x v="5"/>
    <x v="2"/>
    <x v="2"/>
    <x v="0"/>
    <x v="7"/>
    <n v="0"/>
    <x v="7"/>
    <x v="0"/>
  </r>
  <r>
    <x v="2"/>
    <x v="5"/>
    <x v="2"/>
    <x v="2"/>
    <x v="1"/>
    <x v="8"/>
    <n v="0"/>
    <x v="8"/>
    <x v="1"/>
  </r>
  <r>
    <x v="2"/>
    <x v="5"/>
    <x v="2"/>
    <x v="2"/>
    <x v="1"/>
    <x v="9"/>
    <n v="0"/>
    <x v="9"/>
    <x v="1"/>
  </r>
  <r>
    <x v="2"/>
    <x v="5"/>
    <x v="2"/>
    <x v="2"/>
    <x v="1"/>
    <x v="10"/>
    <n v="0"/>
    <x v="10"/>
    <x v="1"/>
  </r>
  <r>
    <x v="2"/>
    <x v="5"/>
    <x v="2"/>
    <x v="2"/>
    <x v="1"/>
    <x v="11"/>
    <n v="0"/>
    <x v="11"/>
    <x v="1"/>
  </r>
  <r>
    <x v="2"/>
    <x v="5"/>
    <x v="2"/>
    <x v="2"/>
    <x v="2"/>
    <x v="12"/>
    <n v="0"/>
    <x v="12"/>
    <x v="0"/>
  </r>
  <r>
    <x v="2"/>
    <x v="5"/>
    <x v="2"/>
    <x v="2"/>
    <x v="2"/>
    <x v="13"/>
    <n v="0"/>
    <x v="13"/>
    <x v="1"/>
  </r>
  <r>
    <x v="2"/>
    <x v="5"/>
    <x v="2"/>
    <x v="2"/>
    <x v="2"/>
    <x v="14"/>
    <n v="0"/>
    <x v="14"/>
    <x v="1"/>
  </r>
  <r>
    <x v="2"/>
    <x v="5"/>
    <x v="2"/>
    <x v="2"/>
    <x v="2"/>
    <x v="15"/>
    <n v="0"/>
    <x v="15"/>
    <x v="1"/>
  </r>
  <r>
    <x v="2"/>
    <x v="5"/>
    <x v="2"/>
    <x v="2"/>
    <x v="2"/>
    <x v="16"/>
    <n v="0"/>
    <x v="16"/>
    <x v="1"/>
  </r>
  <r>
    <x v="2"/>
    <x v="5"/>
    <x v="2"/>
    <x v="2"/>
    <x v="2"/>
    <x v="17"/>
    <n v="0"/>
    <x v="17"/>
    <x v="0"/>
  </r>
  <r>
    <x v="2"/>
    <x v="5"/>
    <x v="2"/>
    <x v="2"/>
    <x v="2"/>
    <x v="18"/>
    <n v="0"/>
    <x v="18"/>
    <x v="0"/>
  </r>
  <r>
    <x v="2"/>
    <x v="5"/>
    <x v="2"/>
    <x v="2"/>
    <x v="2"/>
    <x v="19"/>
    <n v="0"/>
    <x v="19"/>
    <x v="0"/>
  </r>
  <r>
    <x v="2"/>
    <x v="6"/>
    <x v="0"/>
    <x v="0"/>
    <x v="0"/>
    <x v="0"/>
    <n v="13"/>
    <x v="0"/>
    <x v="0"/>
  </r>
  <r>
    <x v="2"/>
    <x v="6"/>
    <x v="0"/>
    <x v="0"/>
    <x v="0"/>
    <x v="1"/>
    <n v="13"/>
    <x v="1"/>
    <x v="0"/>
  </r>
  <r>
    <x v="2"/>
    <x v="6"/>
    <x v="0"/>
    <x v="0"/>
    <x v="0"/>
    <x v="2"/>
    <n v="15"/>
    <x v="2"/>
    <x v="0"/>
  </r>
  <r>
    <x v="2"/>
    <x v="6"/>
    <x v="0"/>
    <x v="0"/>
    <x v="0"/>
    <x v="3"/>
    <n v="19"/>
    <x v="3"/>
    <x v="1"/>
  </r>
  <r>
    <x v="2"/>
    <x v="6"/>
    <x v="0"/>
    <x v="0"/>
    <x v="0"/>
    <x v="4"/>
    <n v="26"/>
    <x v="4"/>
    <x v="1"/>
  </r>
  <r>
    <x v="2"/>
    <x v="6"/>
    <x v="0"/>
    <x v="0"/>
    <x v="0"/>
    <x v="5"/>
    <n v="19"/>
    <x v="5"/>
    <x v="1"/>
  </r>
  <r>
    <x v="2"/>
    <x v="6"/>
    <x v="0"/>
    <x v="0"/>
    <x v="0"/>
    <x v="6"/>
    <n v="23"/>
    <x v="6"/>
    <x v="1"/>
  </r>
  <r>
    <x v="2"/>
    <x v="6"/>
    <x v="0"/>
    <x v="0"/>
    <x v="0"/>
    <x v="7"/>
    <n v="19"/>
    <x v="7"/>
    <x v="0"/>
  </r>
  <r>
    <x v="2"/>
    <x v="6"/>
    <x v="0"/>
    <x v="0"/>
    <x v="1"/>
    <x v="8"/>
    <n v="23"/>
    <x v="8"/>
    <x v="1"/>
  </r>
  <r>
    <x v="2"/>
    <x v="6"/>
    <x v="0"/>
    <x v="0"/>
    <x v="1"/>
    <x v="9"/>
    <n v="21"/>
    <x v="9"/>
    <x v="1"/>
  </r>
  <r>
    <x v="2"/>
    <x v="6"/>
    <x v="0"/>
    <x v="0"/>
    <x v="1"/>
    <x v="10"/>
    <n v="16"/>
    <x v="10"/>
    <x v="1"/>
  </r>
  <r>
    <x v="2"/>
    <x v="6"/>
    <x v="0"/>
    <x v="0"/>
    <x v="1"/>
    <x v="11"/>
    <n v="16"/>
    <x v="11"/>
    <x v="1"/>
  </r>
  <r>
    <x v="2"/>
    <x v="6"/>
    <x v="0"/>
    <x v="0"/>
    <x v="2"/>
    <x v="12"/>
    <n v="40"/>
    <x v="12"/>
    <x v="0"/>
  </r>
  <r>
    <x v="2"/>
    <x v="6"/>
    <x v="0"/>
    <x v="0"/>
    <x v="2"/>
    <x v="13"/>
    <n v="36"/>
    <x v="13"/>
    <x v="1"/>
  </r>
  <r>
    <x v="2"/>
    <x v="6"/>
    <x v="0"/>
    <x v="0"/>
    <x v="2"/>
    <x v="14"/>
    <n v="43"/>
    <x v="14"/>
    <x v="1"/>
  </r>
  <r>
    <x v="2"/>
    <x v="6"/>
    <x v="0"/>
    <x v="0"/>
    <x v="2"/>
    <x v="15"/>
    <n v="54"/>
    <x v="15"/>
    <x v="1"/>
  </r>
  <r>
    <x v="2"/>
    <x v="6"/>
    <x v="0"/>
    <x v="0"/>
    <x v="2"/>
    <x v="16"/>
    <n v="38"/>
    <x v="16"/>
    <x v="1"/>
  </r>
  <r>
    <x v="2"/>
    <x v="6"/>
    <x v="0"/>
    <x v="0"/>
    <x v="2"/>
    <x v="17"/>
    <n v="53"/>
    <x v="17"/>
    <x v="0"/>
  </r>
  <r>
    <x v="2"/>
    <x v="6"/>
    <x v="0"/>
    <x v="0"/>
    <x v="2"/>
    <x v="18"/>
    <n v="21"/>
    <x v="18"/>
    <x v="0"/>
  </r>
  <r>
    <x v="2"/>
    <x v="6"/>
    <x v="0"/>
    <x v="0"/>
    <x v="2"/>
    <x v="19"/>
    <n v="33"/>
    <x v="19"/>
    <x v="0"/>
  </r>
  <r>
    <x v="2"/>
    <x v="6"/>
    <x v="0"/>
    <x v="1"/>
    <x v="0"/>
    <x v="0"/>
    <n v="4"/>
    <x v="0"/>
    <x v="0"/>
  </r>
  <r>
    <x v="2"/>
    <x v="6"/>
    <x v="0"/>
    <x v="1"/>
    <x v="0"/>
    <x v="1"/>
    <n v="2"/>
    <x v="1"/>
    <x v="0"/>
  </r>
  <r>
    <x v="2"/>
    <x v="6"/>
    <x v="0"/>
    <x v="1"/>
    <x v="0"/>
    <x v="2"/>
    <n v="5"/>
    <x v="2"/>
    <x v="0"/>
  </r>
  <r>
    <x v="2"/>
    <x v="6"/>
    <x v="0"/>
    <x v="1"/>
    <x v="0"/>
    <x v="3"/>
    <n v="3"/>
    <x v="3"/>
    <x v="1"/>
  </r>
  <r>
    <x v="2"/>
    <x v="6"/>
    <x v="0"/>
    <x v="1"/>
    <x v="0"/>
    <x v="4"/>
    <n v="3"/>
    <x v="4"/>
    <x v="1"/>
  </r>
  <r>
    <x v="2"/>
    <x v="6"/>
    <x v="0"/>
    <x v="1"/>
    <x v="0"/>
    <x v="5"/>
    <n v="3"/>
    <x v="5"/>
    <x v="1"/>
  </r>
  <r>
    <x v="2"/>
    <x v="6"/>
    <x v="0"/>
    <x v="1"/>
    <x v="0"/>
    <x v="6"/>
    <n v="1"/>
    <x v="6"/>
    <x v="1"/>
  </r>
  <r>
    <x v="2"/>
    <x v="6"/>
    <x v="0"/>
    <x v="1"/>
    <x v="0"/>
    <x v="7"/>
    <n v="1"/>
    <x v="7"/>
    <x v="0"/>
  </r>
  <r>
    <x v="2"/>
    <x v="6"/>
    <x v="0"/>
    <x v="1"/>
    <x v="1"/>
    <x v="8"/>
    <n v="1"/>
    <x v="8"/>
    <x v="1"/>
  </r>
  <r>
    <x v="2"/>
    <x v="6"/>
    <x v="0"/>
    <x v="1"/>
    <x v="1"/>
    <x v="9"/>
    <n v="3"/>
    <x v="9"/>
    <x v="1"/>
  </r>
  <r>
    <x v="2"/>
    <x v="6"/>
    <x v="0"/>
    <x v="1"/>
    <x v="1"/>
    <x v="10"/>
    <n v="3"/>
    <x v="10"/>
    <x v="1"/>
  </r>
  <r>
    <x v="2"/>
    <x v="6"/>
    <x v="0"/>
    <x v="1"/>
    <x v="1"/>
    <x v="11"/>
    <n v="1"/>
    <x v="11"/>
    <x v="1"/>
  </r>
  <r>
    <x v="2"/>
    <x v="6"/>
    <x v="0"/>
    <x v="1"/>
    <x v="2"/>
    <x v="12"/>
    <n v="3"/>
    <x v="12"/>
    <x v="0"/>
  </r>
  <r>
    <x v="2"/>
    <x v="6"/>
    <x v="0"/>
    <x v="1"/>
    <x v="2"/>
    <x v="13"/>
    <n v="0"/>
    <x v="13"/>
    <x v="1"/>
  </r>
  <r>
    <x v="2"/>
    <x v="6"/>
    <x v="0"/>
    <x v="1"/>
    <x v="2"/>
    <x v="14"/>
    <n v="1"/>
    <x v="14"/>
    <x v="1"/>
  </r>
  <r>
    <x v="2"/>
    <x v="6"/>
    <x v="0"/>
    <x v="1"/>
    <x v="2"/>
    <x v="15"/>
    <n v="1"/>
    <x v="15"/>
    <x v="1"/>
  </r>
  <r>
    <x v="2"/>
    <x v="6"/>
    <x v="0"/>
    <x v="1"/>
    <x v="2"/>
    <x v="16"/>
    <n v="2"/>
    <x v="16"/>
    <x v="1"/>
  </r>
  <r>
    <x v="2"/>
    <x v="6"/>
    <x v="0"/>
    <x v="1"/>
    <x v="2"/>
    <x v="17"/>
    <n v="0"/>
    <x v="17"/>
    <x v="0"/>
  </r>
  <r>
    <x v="2"/>
    <x v="6"/>
    <x v="0"/>
    <x v="1"/>
    <x v="2"/>
    <x v="18"/>
    <n v="0"/>
    <x v="18"/>
    <x v="0"/>
  </r>
  <r>
    <x v="2"/>
    <x v="6"/>
    <x v="0"/>
    <x v="1"/>
    <x v="2"/>
    <x v="19"/>
    <n v="0"/>
    <x v="19"/>
    <x v="0"/>
  </r>
  <r>
    <x v="2"/>
    <x v="6"/>
    <x v="0"/>
    <x v="2"/>
    <x v="0"/>
    <x v="0"/>
    <n v="0"/>
    <x v="0"/>
    <x v="0"/>
  </r>
  <r>
    <x v="2"/>
    <x v="6"/>
    <x v="0"/>
    <x v="2"/>
    <x v="0"/>
    <x v="1"/>
    <n v="0"/>
    <x v="1"/>
    <x v="0"/>
  </r>
  <r>
    <x v="2"/>
    <x v="6"/>
    <x v="0"/>
    <x v="2"/>
    <x v="0"/>
    <x v="2"/>
    <n v="1"/>
    <x v="2"/>
    <x v="0"/>
  </r>
  <r>
    <x v="2"/>
    <x v="6"/>
    <x v="0"/>
    <x v="2"/>
    <x v="0"/>
    <x v="3"/>
    <n v="0"/>
    <x v="3"/>
    <x v="1"/>
  </r>
  <r>
    <x v="2"/>
    <x v="6"/>
    <x v="0"/>
    <x v="2"/>
    <x v="0"/>
    <x v="4"/>
    <n v="0"/>
    <x v="4"/>
    <x v="1"/>
  </r>
  <r>
    <x v="2"/>
    <x v="6"/>
    <x v="0"/>
    <x v="2"/>
    <x v="0"/>
    <x v="5"/>
    <n v="0"/>
    <x v="5"/>
    <x v="1"/>
  </r>
  <r>
    <x v="2"/>
    <x v="6"/>
    <x v="0"/>
    <x v="2"/>
    <x v="0"/>
    <x v="6"/>
    <n v="0"/>
    <x v="6"/>
    <x v="1"/>
  </r>
  <r>
    <x v="2"/>
    <x v="6"/>
    <x v="0"/>
    <x v="2"/>
    <x v="0"/>
    <x v="7"/>
    <n v="0"/>
    <x v="7"/>
    <x v="0"/>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1"/>
  </r>
  <r>
    <x v="2"/>
    <x v="6"/>
    <x v="0"/>
    <x v="2"/>
    <x v="2"/>
    <x v="14"/>
    <n v="0"/>
    <x v="14"/>
    <x v="1"/>
  </r>
  <r>
    <x v="2"/>
    <x v="6"/>
    <x v="0"/>
    <x v="2"/>
    <x v="2"/>
    <x v="15"/>
    <n v="0"/>
    <x v="15"/>
    <x v="1"/>
  </r>
  <r>
    <x v="2"/>
    <x v="6"/>
    <x v="0"/>
    <x v="2"/>
    <x v="2"/>
    <x v="16"/>
    <n v="1"/>
    <x v="16"/>
    <x v="1"/>
  </r>
  <r>
    <x v="2"/>
    <x v="6"/>
    <x v="0"/>
    <x v="2"/>
    <x v="2"/>
    <x v="17"/>
    <n v="0"/>
    <x v="17"/>
    <x v="0"/>
  </r>
  <r>
    <x v="2"/>
    <x v="6"/>
    <x v="0"/>
    <x v="2"/>
    <x v="2"/>
    <x v="18"/>
    <n v="0"/>
    <x v="18"/>
    <x v="0"/>
  </r>
  <r>
    <x v="2"/>
    <x v="6"/>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0"/>
        <item m="1" x="6"/>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r="1">
      <x v="10"/>
    </i>
    <i>
      <x v="4"/>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1" sqref="E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87</v>
      </c>
      <c r="D10">
        <v>1</v>
      </c>
      <c r="E10" s="1" t="s">
        <v>79</v>
      </c>
      <c r="F10" s="1"/>
    </row>
    <row r="11" spans="2:12" x14ac:dyDescent="0.25">
      <c r="B11" t="s">
        <v>2</v>
      </c>
      <c r="C11" s="25">
        <v>45181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94</v>
      </c>
      <c r="D22" t="s">
        <v>27</v>
      </c>
      <c r="E22" s="1" t="s">
        <v>93</v>
      </c>
    </row>
    <row r="23" spans="2:10" x14ac:dyDescent="0.25">
      <c r="B23" t="s">
        <v>21</v>
      </c>
      <c r="C23" s="1" t="s">
        <v>98</v>
      </c>
      <c r="D23" t="s">
        <v>27</v>
      </c>
      <c r="E23" s="1" t="s">
        <v>97</v>
      </c>
    </row>
    <row r="24" spans="2:10" x14ac:dyDescent="0.25">
      <c r="B24" t="s">
        <v>22</v>
      </c>
      <c r="C24" s="1" t="s">
        <v>91</v>
      </c>
      <c r="D24" t="s">
        <v>27</v>
      </c>
      <c r="E24" s="1" t="s">
        <v>92</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97</v>
      </c>
    </row>
    <row r="34" spans="2:5" x14ac:dyDescent="0.25">
      <c r="B34" t="s">
        <v>21</v>
      </c>
      <c r="C34" s="1" t="s">
        <v>95</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100</v>
      </c>
      <c r="D44" t="s">
        <v>27</v>
      </c>
      <c r="E44" s="1" t="s">
        <v>92</v>
      </c>
    </row>
    <row r="45" spans="2:5" x14ac:dyDescent="0.25">
      <c r="B45" t="s">
        <v>21</v>
      </c>
      <c r="C45" s="1" t="s">
        <v>101</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North Road North</v>
      </c>
      <c r="C4" s="1" t="str">
        <f>Input!C31</f>
        <v>Main North Road South</v>
      </c>
      <c r="D4" s="1" t="str">
        <f>Input!C42</f>
        <v>Styx Mill Road West</v>
      </c>
      <c r="E4" s="1">
        <f>Input!C53</f>
        <v>0</v>
      </c>
      <c r="F4" s="1">
        <f>Input!C64</f>
        <v>0</v>
      </c>
      <c r="G4" s="1">
        <f>Input!C75</f>
        <v>0</v>
      </c>
      <c r="H4" s="1">
        <f>Input!C86</f>
        <v>0</v>
      </c>
    </row>
    <row r="6" spans="2:8" x14ac:dyDescent="0.25">
      <c r="B6" t="s">
        <v>18</v>
      </c>
    </row>
    <row r="8" spans="2:8" x14ac:dyDescent="0.25">
      <c r="B8" s="1" t="str">
        <f>Input!C22</f>
        <v>Thru to Main North Road South</v>
      </c>
      <c r="C8" s="1" t="str">
        <f>Input!C33</f>
        <v>Left into Styx Mill Road West</v>
      </c>
      <c r="D8" s="1" t="str">
        <f>Input!C44</f>
        <v>Left into Main North Road North</v>
      </c>
      <c r="E8" s="1">
        <f>Input!C55</f>
        <v>0</v>
      </c>
      <c r="F8" s="1">
        <f>Input!C66</f>
        <v>0</v>
      </c>
      <c r="G8" s="1">
        <f>Input!C77</f>
        <v>0</v>
      </c>
      <c r="H8" s="1">
        <f>Input!C88</f>
        <v>0</v>
      </c>
    </row>
    <row r="9" spans="2:8" x14ac:dyDescent="0.25">
      <c r="B9" s="1" t="str">
        <f>Input!C23</f>
        <v>Right into Styx Mill Road West</v>
      </c>
      <c r="C9" s="1" t="str">
        <f>Input!C34</f>
        <v>Thru to Main North Road North</v>
      </c>
      <c r="D9" s="1" t="str">
        <f>Input!C45</f>
        <v>Right into Main North Road South</v>
      </c>
      <c r="E9" s="1">
        <f>Input!C56</f>
        <v>0</v>
      </c>
      <c r="F9" s="1">
        <f>Input!C67</f>
        <v>0</v>
      </c>
      <c r="G9" s="1">
        <f>Input!C78</f>
        <v>0</v>
      </c>
      <c r="H9" s="1">
        <f>Input!C89</f>
        <v>0</v>
      </c>
    </row>
    <row r="10" spans="2:8" x14ac:dyDescent="0.25">
      <c r="B10" s="1" t="str">
        <f>Input!C24</f>
        <v>U-Turn</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Main North Road South</v>
      </c>
      <c r="C18" s="1" t="str">
        <f>Input!E33</f>
        <v>Styx Mill Road West</v>
      </c>
      <c r="D18" s="1" t="str">
        <f>Input!E44</f>
        <v>Main North Road North</v>
      </c>
      <c r="E18" s="1">
        <f>Input!E55</f>
        <v>0</v>
      </c>
      <c r="F18" s="1">
        <f>Input!E66</f>
        <v>0</v>
      </c>
      <c r="G18" s="1">
        <f>Input!E77</f>
        <v>0</v>
      </c>
      <c r="H18" s="1">
        <f>Input!E88</f>
        <v>0</v>
      </c>
    </row>
    <row r="19" spans="2:8" x14ac:dyDescent="0.25">
      <c r="B19" s="1" t="str">
        <f>Input!E23</f>
        <v>Styx Mill Road West</v>
      </c>
      <c r="C19" s="1" t="str">
        <f>Input!E34</f>
        <v>Main North Road North</v>
      </c>
      <c r="D19" s="1" t="str">
        <f>Input!E45</f>
        <v>Main North Road South</v>
      </c>
      <c r="E19" s="1">
        <f>Input!E56</f>
        <v>0</v>
      </c>
      <c r="F19" s="1">
        <f>Input!E67</f>
        <v>0</v>
      </c>
      <c r="G19" s="1">
        <f>Input!E78</f>
        <v>0</v>
      </c>
      <c r="H19" s="1">
        <f>Input!E89</f>
        <v>0</v>
      </c>
    </row>
    <row r="20" spans="2:8" x14ac:dyDescent="0.25">
      <c r="B20" s="1" t="str">
        <f>Input!E24</f>
        <v>Main North Road North</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102</v>
      </c>
    </row>
    <row r="4" spans="1:23" ht="15.75" thickBot="1" x14ac:dyDescent="0.3"/>
    <row r="5" spans="1:23" x14ac:dyDescent="0.25">
      <c r="C5" s="29" t="s">
        <v>92</v>
      </c>
      <c r="D5" s="18"/>
      <c r="E5" s="20"/>
      <c r="F5" s="26"/>
      <c r="G5" s="18"/>
      <c r="H5" s="20"/>
      <c r="I5" s="26"/>
      <c r="J5" s="18"/>
      <c r="K5" s="20"/>
      <c r="L5" s="29" t="s">
        <v>93</v>
      </c>
      <c r="M5" s="18"/>
      <c r="N5" s="20"/>
      <c r="O5" s="26"/>
      <c r="P5" s="18"/>
      <c r="Q5" s="20"/>
      <c r="R5" s="29" t="s">
        <v>97</v>
      </c>
      <c r="S5" s="18"/>
      <c r="T5" s="20"/>
      <c r="U5" s="26"/>
      <c r="V5" s="18"/>
      <c r="W5" s="32"/>
    </row>
    <row r="6" spans="1:23" x14ac:dyDescent="0.25">
      <c r="C6" s="30" t="s">
        <v>94</v>
      </c>
      <c r="D6" s="19"/>
      <c r="E6" s="21"/>
      <c r="F6" s="27" t="s">
        <v>98</v>
      </c>
      <c r="G6" s="19"/>
      <c r="H6" s="21"/>
      <c r="I6" s="27" t="s">
        <v>91</v>
      </c>
      <c r="J6" s="19"/>
      <c r="K6" s="21"/>
      <c r="L6" s="30" t="s">
        <v>99</v>
      </c>
      <c r="M6" s="19"/>
      <c r="N6" s="21"/>
      <c r="O6" s="27" t="s">
        <v>95</v>
      </c>
      <c r="P6" s="19"/>
      <c r="Q6" s="21"/>
      <c r="R6" s="30" t="s">
        <v>100</v>
      </c>
      <c r="S6" s="19"/>
      <c r="T6" s="21"/>
      <c r="U6" s="27" t="s">
        <v>101</v>
      </c>
      <c r="V6" s="19"/>
      <c r="W6" s="33"/>
    </row>
    <row r="7" spans="1:23"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2" t="s">
        <v>79</v>
      </c>
      <c r="S7" s="43" t="s">
        <v>88</v>
      </c>
      <c r="T7" s="44" t="s">
        <v>89</v>
      </c>
      <c r="U7" s="45" t="s">
        <v>79</v>
      </c>
      <c r="V7" s="43" t="s">
        <v>88</v>
      </c>
      <c r="W7" s="46" t="s">
        <v>89</v>
      </c>
    </row>
    <row r="8" spans="1:23" x14ac:dyDescent="0.25">
      <c r="A8" s="2" t="s">
        <v>43</v>
      </c>
      <c r="B8" s="7">
        <v>0.29166666666666669</v>
      </c>
      <c r="C8" s="31">
        <v>118</v>
      </c>
      <c r="D8">
        <v>15</v>
      </c>
      <c r="E8">
        <v>1</v>
      </c>
      <c r="F8" s="28">
        <v>25</v>
      </c>
      <c r="G8">
        <v>2</v>
      </c>
      <c r="H8">
        <v>0</v>
      </c>
      <c r="I8" s="28">
        <v>0</v>
      </c>
      <c r="J8">
        <v>1</v>
      </c>
      <c r="K8">
        <v>0</v>
      </c>
      <c r="L8" s="31">
        <v>41</v>
      </c>
      <c r="M8">
        <v>1</v>
      </c>
      <c r="N8">
        <v>0</v>
      </c>
      <c r="O8" s="28">
        <v>70</v>
      </c>
      <c r="P8">
        <v>1</v>
      </c>
      <c r="Q8">
        <v>3</v>
      </c>
      <c r="R8" s="31">
        <v>20</v>
      </c>
      <c r="S8">
        <v>4</v>
      </c>
      <c r="T8">
        <v>0</v>
      </c>
      <c r="U8" s="28">
        <v>13</v>
      </c>
      <c r="V8">
        <v>4</v>
      </c>
      <c r="W8" s="34">
        <v>0</v>
      </c>
    </row>
    <row r="9" spans="1:23" x14ac:dyDescent="0.25">
      <c r="A9" s="2" t="s">
        <v>43</v>
      </c>
      <c r="B9" s="7">
        <v>0.30208333333333331</v>
      </c>
      <c r="C9" s="31">
        <v>163</v>
      </c>
      <c r="D9">
        <v>19</v>
      </c>
      <c r="E9">
        <v>2</v>
      </c>
      <c r="F9" s="28">
        <v>29</v>
      </c>
      <c r="G9">
        <v>5</v>
      </c>
      <c r="H9">
        <v>0</v>
      </c>
      <c r="I9" s="28">
        <v>0</v>
      </c>
      <c r="J9">
        <v>0</v>
      </c>
      <c r="K9">
        <v>0</v>
      </c>
      <c r="L9" s="31">
        <v>35</v>
      </c>
      <c r="M9">
        <v>4</v>
      </c>
      <c r="N9">
        <v>0</v>
      </c>
      <c r="O9" s="28">
        <v>75</v>
      </c>
      <c r="P9">
        <v>5</v>
      </c>
      <c r="Q9">
        <v>1</v>
      </c>
      <c r="R9" s="31">
        <v>34</v>
      </c>
      <c r="S9">
        <v>4</v>
      </c>
      <c r="T9">
        <v>0</v>
      </c>
      <c r="U9" s="28">
        <v>13</v>
      </c>
      <c r="V9">
        <v>2</v>
      </c>
      <c r="W9" s="34">
        <v>0</v>
      </c>
    </row>
    <row r="10" spans="1:23" x14ac:dyDescent="0.25">
      <c r="A10" s="2" t="s">
        <v>43</v>
      </c>
      <c r="B10" s="7">
        <v>0.3125</v>
      </c>
      <c r="C10" s="31">
        <v>188</v>
      </c>
      <c r="D10">
        <v>16</v>
      </c>
      <c r="E10">
        <v>5</v>
      </c>
      <c r="F10" s="28">
        <v>31</v>
      </c>
      <c r="G10">
        <v>5</v>
      </c>
      <c r="H10">
        <v>0</v>
      </c>
      <c r="I10" s="28">
        <v>0</v>
      </c>
      <c r="J10">
        <v>0</v>
      </c>
      <c r="K10">
        <v>0</v>
      </c>
      <c r="L10" s="31">
        <v>33</v>
      </c>
      <c r="M10">
        <v>1</v>
      </c>
      <c r="N10">
        <v>0</v>
      </c>
      <c r="O10" s="28">
        <v>49</v>
      </c>
      <c r="P10">
        <v>6</v>
      </c>
      <c r="Q10">
        <v>0</v>
      </c>
      <c r="R10" s="31">
        <v>28</v>
      </c>
      <c r="S10">
        <v>2</v>
      </c>
      <c r="T10">
        <v>0</v>
      </c>
      <c r="U10" s="28">
        <v>15</v>
      </c>
      <c r="V10">
        <v>5</v>
      </c>
      <c r="W10" s="34">
        <v>1</v>
      </c>
    </row>
    <row r="11" spans="1:23" x14ac:dyDescent="0.25">
      <c r="A11" s="2" t="s">
        <v>43</v>
      </c>
      <c r="B11" s="7">
        <v>0.32291666666666669</v>
      </c>
      <c r="C11" s="31">
        <v>185</v>
      </c>
      <c r="D11">
        <v>9</v>
      </c>
      <c r="E11">
        <v>10</v>
      </c>
      <c r="F11" s="28">
        <v>63</v>
      </c>
      <c r="G11">
        <v>1</v>
      </c>
      <c r="H11">
        <v>0</v>
      </c>
      <c r="I11" s="28">
        <v>0</v>
      </c>
      <c r="J11">
        <v>0</v>
      </c>
      <c r="K11">
        <v>0</v>
      </c>
      <c r="L11" s="31">
        <v>34</v>
      </c>
      <c r="M11">
        <v>3</v>
      </c>
      <c r="N11">
        <v>1</v>
      </c>
      <c r="O11" s="28">
        <v>76</v>
      </c>
      <c r="P11">
        <v>6</v>
      </c>
      <c r="Q11">
        <v>1</v>
      </c>
      <c r="R11" s="31">
        <v>33</v>
      </c>
      <c r="S11">
        <v>3</v>
      </c>
      <c r="T11">
        <v>0</v>
      </c>
      <c r="U11" s="28">
        <v>19</v>
      </c>
      <c r="V11">
        <v>3</v>
      </c>
      <c r="W11" s="34">
        <v>0</v>
      </c>
    </row>
    <row r="12" spans="1:23" x14ac:dyDescent="0.25">
      <c r="A12" s="2" t="s">
        <v>43</v>
      </c>
      <c r="B12" s="7">
        <v>0.33333333333333331</v>
      </c>
      <c r="C12" s="31">
        <v>193</v>
      </c>
      <c r="D12">
        <v>5</v>
      </c>
      <c r="E12">
        <v>3</v>
      </c>
      <c r="F12" s="28">
        <v>45</v>
      </c>
      <c r="G12">
        <v>4</v>
      </c>
      <c r="H12">
        <v>0</v>
      </c>
      <c r="I12" s="28">
        <v>0</v>
      </c>
      <c r="J12">
        <v>0</v>
      </c>
      <c r="K12">
        <v>0</v>
      </c>
      <c r="L12" s="31">
        <v>38</v>
      </c>
      <c r="M12">
        <v>0</v>
      </c>
      <c r="N12">
        <v>0</v>
      </c>
      <c r="O12" s="28">
        <v>81</v>
      </c>
      <c r="P12">
        <v>9</v>
      </c>
      <c r="Q12">
        <v>0</v>
      </c>
      <c r="R12" s="31">
        <v>45</v>
      </c>
      <c r="S12">
        <v>2</v>
      </c>
      <c r="T12">
        <v>0</v>
      </c>
      <c r="U12" s="28">
        <v>26</v>
      </c>
      <c r="V12">
        <v>3</v>
      </c>
      <c r="W12" s="34">
        <v>0</v>
      </c>
    </row>
    <row r="13" spans="1:23" x14ac:dyDescent="0.25">
      <c r="A13" s="2" t="s">
        <v>43</v>
      </c>
      <c r="B13" s="7">
        <v>0.34375</v>
      </c>
      <c r="C13" s="31">
        <v>148</v>
      </c>
      <c r="D13">
        <v>10</v>
      </c>
      <c r="E13">
        <v>2</v>
      </c>
      <c r="F13" s="28">
        <v>53</v>
      </c>
      <c r="G13">
        <v>3</v>
      </c>
      <c r="H13">
        <v>0</v>
      </c>
      <c r="I13" s="28">
        <v>0</v>
      </c>
      <c r="J13">
        <v>0</v>
      </c>
      <c r="K13">
        <v>0</v>
      </c>
      <c r="L13" s="31">
        <v>29</v>
      </c>
      <c r="M13">
        <v>6</v>
      </c>
      <c r="N13">
        <v>0</v>
      </c>
      <c r="O13" s="28">
        <v>96</v>
      </c>
      <c r="P13">
        <v>4</v>
      </c>
      <c r="Q13">
        <v>0</v>
      </c>
      <c r="R13" s="31">
        <v>58</v>
      </c>
      <c r="S13">
        <v>4</v>
      </c>
      <c r="T13">
        <v>0</v>
      </c>
      <c r="U13" s="28">
        <v>19</v>
      </c>
      <c r="V13">
        <v>3</v>
      </c>
      <c r="W13" s="34">
        <v>0</v>
      </c>
    </row>
    <row r="14" spans="1:23" x14ac:dyDescent="0.25">
      <c r="A14" s="2" t="s">
        <v>43</v>
      </c>
      <c r="B14" s="7">
        <v>0.35416666666666669</v>
      </c>
      <c r="C14" s="31">
        <v>149</v>
      </c>
      <c r="D14">
        <v>4</v>
      </c>
      <c r="E14">
        <v>1</v>
      </c>
      <c r="F14" s="28">
        <v>43</v>
      </c>
      <c r="G14">
        <v>3</v>
      </c>
      <c r="H14">
        <v>0</v>
      </c>
      <c r="I14" s="28">
        <v>0</v>
      </c>
      <c r="J14">
        <v>0</v>
      </c>
      <c r="K14">
        <v>0</v>
      </c>
      <c r="L14" s="31">
        <v>23</v>
      </c>
      <c r="M14">
        <v>2</v>
      </c>
      <c r="N14">
        <v>0</v>
      </c>
      <c r="O14" s="28">
        <v>116</v>
      </c>
      <c r="P14">
        <v>4</v>
      </c>
      <c r="Q14">
        <v>0</v>
      </c>
      <c r="R14" s="31">
        <v>54</v>
      </c>
      <c r="S14">
        <v>2</v>
      </c>
      <c r="T14">
        <v>0</v>
      </c>
      <c r="U14" s="28">
        <v>23</v>
      </c>
      <c r="V14">
        <v>1</v>
      </c>
      <c r="W14" s="34">
        <v>0</v>
      </c>
    </row>
    <row r="15" spans="1:23" ht="15.75" thickBot="1" x14ac:dyDescent="0.3">
      <c r="A15" s="2" t="s">
        <v>43</v>
      </c>
      <c r="B15" s="7">
        <v>0.36458333333333331</v>
      </c>
      <c r="C15" s="31">
        <v>123</v>
      </c>
      <c r="D15">
        <v>4</v>
      </c>
      <c r="E15">
        <v>0</v>
      </c>
      <c r="F15" s="28">
        <v>25</v>
      </c>
      <c r="G15">
        <v>3</v>
      </c>
      <c r="H15">
        <v>0</v>
      </c>
      <c r="I15" s="28">
        <v>0</v>
      </c>
      <c r="J15">
        <v>0</v>
      </c>
      <c r="K15">
        <v>0</v>
      </c>
      <c r="L15" s="31">
        <v>16</v>
      </c>
      <c r="M15">
        <v>1</v>
      </c>
      <c r="N15">
        <v>0</v>
      </c>
      <c r="O15" s="28">
        <v>85</v>
      </c>
      <c r="P15">
        <v>5</v>
      </c>
      <c r="Q15">
        <v>0</v>
      </c>
      <c r="R15" s="31">
        <v>40</v>
      </c>
      <c r="S15">
        <v>4</v>
      </c>
      <c r="T15">
        <v>0</v>
      </c>
      <c r="U15" s="28">
        <v>19</v>
      </c>
      <c r="V15">
        <v>1</v>
      </c>
      <c r="W15" s="34">
        <v>0</v>
      </c>
    </row>
    <row r="16" spans="1:23" ht="15.75" thickBot="1" x14ac:dyDescent="0.3">
      <c r="A16" s="24"/>
      <c r="B16" s="24"/>
      <c r="C16" s="35"/>
      <c r="D16" s="22"/>
      <c r="E16" s="22"/>
      <c r="F16" s="36"/>
      <c r="G16" s="22"/>
      <c r="H16" s="22"/>
      <c r="I16" s="36"/>
      <c r="J16" s="22"/>
      <c r="K16" s="22"/>
      <c r="L16" s="35"/>
      <c r="M16" s="22"/>
      <c r="N16" s="22"/>
      <c r="O16" s="36"/>
      <c r="P16" s="22"/>
      <c r="Q16" s="22"/>
      <c r="R16" s="35"/>
      <c r="S16" s="22"/>
      <c r="T16" s="22"/>
      <c r="U16" s="36"/>
      <c r="V16" s="22"/>
      <c r="W16" s="37"/>
    </row>
    <row r="17" spans="1:23" x14ac:dyDescent="0.25">
      <c r="A17" s="2" t="s">
        <v>90</v>
      </c>
      <c r="B17" s="7">
        <v>0.54166666666666663</v>
      </c>
      <c r="C17" s="31">
        <v>127</v>
      </c>
      <c r="D17">
        <v>2</v>
      </c>
      <c r="E17">
        <v>0</v>
      </c>
      <c r="F17" s="28">
        <v>27</v>
      </c>
      <c r="G17">
        <v>1</v>
      </c>
      <c r="H17">
        <v>0</v>
      </c>
      <c r="I17" s="28">
        <v>0</v>
      </c>
      <c r="J17">
        <v>0</v>
      </c>
      <c r="K17">
        <v>0</v>
      </c>
      <c r="L17" s="31">
        <v>22</v>
      </c>
      <c r="M17">
        <v>2</v>
      </c>
      <c r="N17">
        <v>0</v>
      </c>
      <c r="O17" s="28">
        <v>152</v>
      </c>
      <c r="P17">
        <v>6</v>
      </c>
      <c r="Q17">
        <v>2</v>
      </c>
      <c r="R17" s="31">
        <v>36</v>
      </c>
      <c r="S17">
        <v>5</v>
      </c>
      <c r="T17">
        <v>0</v>
      </c>
      <c r="U17" s="28">
        <v>23</v>
      </c>
      <c r="V17">
        <v>1</v>
      </c>
      <c r="W17" s="34">
        <v>0</v>
      </c>
    </row>
    <row r="18" spans="1:23" x14ac:dyDescent="0.25">
      <c r="A18" s="2" t="s">
        <v>90</v>
      </c>
      <c r="B18" s="7">
        <v>0.55208333333333337</v>
      </c>
      <c r="C18" s="31">
        <v>119</v>
      </c>
      <c r="D18">
        <v>6</v>
      </c>
      <c r="E18">
        <v>0</v>
      </c>
      <c r="F18" s="28">
        <v>28</v>
      </c>
      <c r="G18">
        <v>4</v>
      </c>
      <c r="H18">
        <v>0</v>
      </c>
      <c r="I18" s="28">
        <v>1</v>
      </c>
      <c r="J18">
        <v>0</v>
      </c>
      <c r="K18">
        <v>0</v>
      </c>
      <c r="L18" s="31">
        <v>17</v>
      </c>
      <c r="M18">
        <v>2</v>
      </c>
      <c r="N18">
        <v>0</v>
      </c>
      <c r="O18" s="28">
        <v>139</v>
      </c>
      <c r="P18">
        <v>3</v>
      </c>
      <c r="Q18">
        <v>0</v>
      </c>
      <c r="R18" s="31">
        <v>33</v>
      </c>
      <c r="S18">
        <v>1</v>
      </c>
      <c r="T18">
        <v>0</v>
      </c>
      <c r="U18" s="28">
        <v>21</v>
      </c>
      <c r="V18">
        <v>3</v>
      </c>
      <c r="W18" s="34">
        <v>0</v>
      </c>
    </row>
    <row r="19" spans="1:23" x14ac:dyDescent="0.25">
      <c r="A19" s="2" t="s">
        <v>90</v>
      </c>
      <c r="B19" s="7">
        <v>0.5625</v>
      </c>
      <c r="C19" s="31">
        <v>124</v>
      </c>
      <c r="D19">
        <v>5</v>
      </c>
      <c r="E19">
        <v>0</v>
      </c>
      <c r="F19" s="28">
        <v>33</v>
      </c>
      <c r="G19">
        <v>1</v>
      </c>
      <c r="H19">
        <v>0</v>
      </c>
      <c r="I19" s="28">
        <v>0</v>
      </c>
      <c r="J19">
        <v>0</v>
      </c>
      <c r="K19">
        <v>0</v>
      </c>
      <c r="L19" s="31">
        <v>21</v>
      </c>
      <c r="M19">
        <v>2</v>
      </c>
      <c r="N19">
        <v>0</v>
      </c>
      <c r="O19" s="28">
        <v>140</v>
      </c>
      <c r="P19">
        <v>8</v>
      </c>
      <c r="Q19">
        <v>0</v>
      </c>
      <c r="R19" s="31">
        <v>34</v>
      </c>
      <c r="S19">
        <v>2</v>
      </c>
      <c r="T19">
        <v>0</v>
      </c>
      <c r="U19" s="28">
        <v>16</v>
      </c>
      <c r="V19">
        <v>3</v>
      </c>
      <c r="W19" s="34">
        <v>0</v>
      </c>
    </row>
    <row r="20" spans="1:23" ht="15.75" thickBot="1" x14ac:dyDescent="0.3">
      <c r="A20" s="2" t="s">
        <v>90</v>
      </c>
      <c r="B20" s="7">
        <v>0.57291666666666663</v>
      </c>
      <c r="C20" s="31">
        <v>120</v>
      </c>
      <c r="D20">
        <v>4</v>
      </c>
      <c r="E20">
        <v>0</v>
      </c>
      <c r="F20" s="28">
        <v>30</v>
      </c>
      <c r="G20">
        <v>0</v>
      </c>
      <c r="H20">
        <v>0</v>
      </c>
      <c r="I20" s="28">
        <v>0</v>
      </c>
      <c r="J20">
        <v>0</v>
      </c>
      <c r="K20">
        <v>0</v>
      </c>
      <c r="L20" s="31">
        <v>22</v>
      </c>
      <c r="M20">
        <v>3</v>
      </c>
      <c r="N20">
        <v>0</v>
      </c>
      <c r="O20" s="28">
        <v>143</v>
      </c>
      <c r="P20">
        <v>3</v>
      </c>
      <c r="Q20">
        <v>1</v>
      </c>
      <c r="R20" s="31">
        <v>41</v>
      </c>
      <c r="S20">
        <v>2</v>
      </c>
      <c r="T20">
        <v>0</v>
      </c>
      <c r="U20" s="28">
        <v>16</v>
      </c>
      <c r="V20">
        <v>1</v>
      </c>
      <c r="W20" s="34">
        <v>0</v>
      </c>
    </row>
    <row r="21" spans="1:23" ht="15.75" thickBot="1" x14ac:dyDescent="0.3">
      <c r="A21" s="24"/>
      <c r="B21" s="24"/>
      <c r="C21" s="35"/>
      <c r="D21" s="22"/>
      <c r="E21" s="22"/>
      <c r="F21" s="36"/>
      <c r="G21" s="22"/>
      <c r="H21" s="22"/>
      <c r="I21" s="36"/>
      <c r="J21" s="22"/>
      <c r="K21" s="22"/>
      <c r="L21" s="35"/>
      <c r="M21" s="22"/>
      <c r="N21" s="22"/>
      <c r="O21" s="36"/>
      <c r="P21" s="22"/>
      <c r="Q21" s="22"/>
      <c r="R21" s="35"/>
      <c r="S21" s="22"/>
      <c r="T21" s="22"/>
      <c r="U21" s="36"/>
      <c r="V21" s="22"/>
      <c r="W21" s="37"/>
    </row>
    <row r="22" spans="1:23" x14ac:dyDescent="0.25">
      <c r="A22" s="2" t="s">
        <v>44</v>
      </c>
      <c r="B22" s="7">
        <v>0.66666666666666663</v>
      </c>
      <c r="C22" s="31">
        <v>147</v>
      </c>
      <c r="D22">
        <v>5</v>
      </c>
      <c r="E22">
        <v>0</v>
      </c>
      <c r="F22" s="28">
        <v>38</v>
      </c>
      <c r="G22">
        <v>2</v>
      </c>
      <c r="H22">
        <v>0</v>
      </c>
      <c r="I22" s="28">
        <v>1</v>
      </c>
      <c r="J22">
        <v>0</v>
      </c>
      <c r="K22">
        <v>0</v>
      </c>
      <c r="L22" s="31">
        <v>30</v>
      </c>
      <c r="M22">
        <v>1</v>
      </c>
      <c r="N22">
        <v>1</v>
      </c>
      <c r="O22" s="28">
        <v>174</v>
      </c>
      <c r="P22">
        <v>6</v>
      </c>
      <c r="Q22">
        <v>0</v>
      </c>
      <c r="R22" s="31">
        <v>68</v>
      </c>
      <c r="S22">
        <v>2</v>
      </c>
      <c r="T22">
        <v>0</v>
      </c>
      <c r="U22" s="28">
        <v>40</v>
      </c>
      <c r="V22">
        <v>3</v>
      </c>
      <c r="W22" s="34">
        <v>0</v>
      </c>
    </row>
    <row r="23" spans="1:23" x14ac:dyDescent="0.25">
      <c r="A23" s="2" t="s">
        <v>44</v>
      </c>
      <c r="B23" s="7">
        <v>0.67708333333333337</v>
      </c>
      <c r="C23" s="31">
        <v>164</v>
      </c>
      <c r="D23">
        <v>3</v>
      </c>
      <c r="E23">
        <v>1</v>
      </c>
      <c r="F23" s="28">
        <v>24</v>
      </c>
      <c r="G23">
        <v>3</v>
      </c>
      <c r="H23">
        <v>0</v>
      </c>
      <c r="I23" s="28">
        <v>0</v>
      </c>
      <c r="J23">
        <v>0</v>
      </c>
      <c r="K23">
        <v>0</v>
      </c>
      <c r="L23" s="31">
        <v>21</v>
      </c>
      <c r="M23">
        <v>3</v>
      </c>
      <c r="N23">
        <v>0</v>
      </c>
      <c r="O23" s="28">
        <v>162</v>
      </c>
      <c r="P23">
        <v>6</v>
      </c>
      <c r="Q23">
        <v>0</v>
      </c>
      <c r="R23" s="31">
        <v>64</v>
      </c>
      <c r="S23">
        <v>6</v>
      </c>
      <c r="T23">
        <v>0</v>
      </c>
      <c r="U23" s="28">
        <v>36</v>
      </c>
      <c r="V23">
        <v>0</v>
      </c>
      <c r="W23" s="34">
        <v>0</v>
      </c>
    </row>
    <row r="24" spans="1:23" x14ac:dyDescent="0.25">
      <c r="A24" s="2" t="s">
        <v>44</v>
      </c>
      <c r="B24" s="7">
        <v>0.6875</v>
      </c>
      <c r="C24" s="31">
        <v>139</v>
      </c>
      <c r="D24">
        <v>2</v>
      </c>
      <c r="E24">
        <v>0</v>
      </c>
      <c r="F24" s="28">
        <v>33</v>
      </c>
      <c r="G24">
        <v>0</v>
      </c>
      <c r="H24">
        <v>0</v>
      </c>
      <c r="I24" s="28">
        <v>0</v>
      </c>
      <c r="J24">
        <v>0</v>
      </c>
      <c r="K24">
        <v>0</v>
      </c>
      <c r="L24" s="31">
        <v>32</v>
      </c>
      <c r="M24">
        <v>3</v>
      </c>
      <c r="N24">
        <v>0</v>
      </c>
      <c r="O24" s="28">
        <v>177</v>
      </c>
      <c r="P24">
        <v>6</v>
      </c>
      <c r="Q24">
        <v>4</v>
      </c>
      <c r="R24" s="31">
        <v>66</v>
      </c>
      <c r="S24">
        <v>2</v>
      </c>
      <c r="T24">
        <v>0</v>
      </c>
      <c r="U24" s="28">
        <v>43</v>
      </c>
      <c r="V24">
        <v>1</v>
      </c>
      <c r="W24" s="34">
        <v>0</v>
      </c>
    </row>
    <row r="25" spans="1:23" x14ac:dyDescent="0.25">
      <c r="A25" s="2" t="s">
        <v>44</v>
      </c>
      <c r="B25" s="7">
        <v>0.69791666666666663</v>
      </c>
      <c r="C25" s="31">
        <v>133</v>
      </c>
      <c r="D25">
        <v>1</v>
      </c>
      <c r="E25">
        <v>0</v>
      </c>
      <c r="F25" s="28">
        <v>48</v>
      </c>
      <c r="G25">
        <v>1</v>
      </c>
      <c r="H25">
        <v>0</v>
      </c>
      <c r="I25" s="28">
        <v>0</v>
      </c>
      <c r="J25">
        <v>0</v>
      </c>
      <c r="K25">
        <v>0</v>
      </c>
      <c r="L25" s="31">
        <v>21</v>
      </c>
      <c r="M25">
        <v>3</v>
      </c>
      <c r="N25">
        <v>2</v>
      </c>
      <c r="O25" s="28">
        <v>188</v>
      </c>
      <c r="P25">
        <v>5</v>
      </c>
      <c r="Q25">
        <v>2</v>
      </c>
      <c r="R25" s="31">
        <v>72</v>
      </c>
      <c r="S25">
        <v>1</v>
      </c>
      <c r="T25">
        <v>0</v>
      </c>
      <c r="U25" s="28">
        <v>54</v>
      </c>
      <c r="V25">
        <v>1</v>
      </c>
      <c r="W25" s="34">
        <v>0</v>
      </c>
    </row>
    <row r="26" spans="1:23" x14ac:dyDescent="0.25">
      <c r="A26" s="2" t="s">
        <v>44</v>
      </c>
      <c r="B26" s="7">
        <v>0.70833333333333337</v>
      </c>
      <c r="C26" s="31">
        <v>169</v>
      </c>
      <c r="D26">
        <v>3</v>
      </c>
      <c r="E26">
        <v>1</v>
      </c>
      <c r="F26" s="28">
        <v>55</v>
      </c>
      <c r="G26">
        <v>1</v>
      </c>
      <c r="H26">
        <v>0</v>
      </c>
      <c r="I26" s="28">
        <v>1</v>
      </c>
      <c r="J26">
        <v>0</v>
      </c>
      <c r="K26">
        <v>0</v>
      </c>
      <c r="L26" s="31">
        <v>20</v>
      </c>
      <c r="M26">
        <v>0</v>
      </c>
      <c r="N26">
        <v>0</v>
      </c>
      <c r="O26" s="28">
        <v>149</v>
      </c>
      <c r="P26">
        <v>4</v>
      </c>
      <c r="Q26">
        <v>3</v>
      </c>
      <c r="R26" s="31">
        <v>78</v>
      </c>
      <c r="S26">
        <v>0</v>
      </c>
      <c r="T26">
        <v>0</v>
      </c>
      <c r="U26" s="28">
        <v>38</v>
      </c>
      <c r="V26">
        <v>2</v>
      </c>
      <c r="W26" s="34">
        <v>1</v>
      </c>
    </row>
    <row r="27" spans="1:23" x14ac:dyDescent="0.25">
      <c r="A27" s="2" t="s">
        <v>44</v>
      </c>
      <c r="B27" s="7">
        <v>0.71875</v>
      </c>
      <c r="C27" s="31">
        <v>131</v>
      </c>
      <c r="D27">
        <v>1</v>
      </c>
      <c r="E27">
        <v>1</v>
      </c>
      <c r="F27" s="28">
        <v>39</v>
      </c>
      <c r="G27">
        <v>0</v>
      </c>
      <c r="H27">
        <v>0</v>
      </c>
      <c r="I27" s="28">
        <v>0</v>
      </c>
      <c r="J27">
        <v>0</v>
      </c>
      <c r="K27">
        <v>0</v>
      </c>
      <c r="L27" s="31">
        <v>33</v>
      </c>
      <c r="M27">
        <v>4</v>
      </c>
      <c r="N27">
        <v>0</v>
      </c>
      <c r="O27" s="28">
        <v>161</v>
      </c>
      <c r="P27">
        <v>4</v>
      </c>
      <c r="Q27">
        <v>2</v>
      </c>
      <c r="R27" s="31">
        <v>62</v>
      </c>
      <c r="S27">
        <v>1</v>
      </c>
      <c r="T27">
        <v>0</v>
      </c>
      <c r="U27" s="28">
        <v>53</v>
      </c>
      <c r="V27">
        <v>0</v>
      </c>
      <c r="W27" s="34">
        <v>0</v>
      </c>
    </row>
    <row r="28" spans="1:23" x14ac:dyDescent="0.25">
      <c r="A28" s="2" t="s">
        <v>44</v>
      </c>
      <c r="B28" s="7">
        <v>0.72916666666666663</v>
      </c>
      <c r="C28" s="31">
        <v>114</v>
      </c>
      <c r="D28">
        <v>2</v>
      </c>
      <c r="E28">
        <v>1</v>
      </c>
      <c r="F28" s="28">
        <v>39</v>
      </c>
      <c r="G28">
        <v>1</v>
      </c>
      <c r="H28">
        <v>0</v>
      </c>
      <c r="I28" s="28">
        <v>0</v>
      </c>
      <c r="J28">
        <v>0</v>
      </c>
      <c r="K28">
        <v>0</v>
      </c>
      <c r="L28" s="31">
        <v>15</v>
      </c>
      <c r="M28">
        <v>0</v>
      </c>
      <c r="N28">
        <v>0</v>
      </c>
      <c r="O28" s="28">
        <v>162</v>
      </c>
      <c r="P28">
        <v>2</v>
      </c>
      <c r="Q28">
        <v>1</v>
      </c>
      <c r="R28" s="31">
        <v>55</v>
      </c>
      <c r="S28">
        <v>1</v>
      </c>
      <c r="T28">
        <v>0</v>
      </c>
      <c r="U28" s="28">
        <v>21</v>
      </c>
      <c r="V28">
        <v>0</v>
      </c>
      <c r="W28" s="34">
        <v>0</v>
      </c>
    </row>
    <row r="29" spans="1:23" ht="15.75" thickBot="1" x14ac:dyDescent="0.3">
      <c r="A29" s="23" t="s">
        <v>44</v>
      </c>
      <c r="B29" s="48">
        <v>0.73958333333333337</v>
      </c>
      <c r="C29" s="39">
        <v>114</v>
      </c>
      <c r="D29" s="38">
        <v>1</v>
      </c>
      <c r="E29" s="38">
        <v>0</v>
      </c>
      <c r="F29" s="40">
        <v>30</v>
      </c>
      <c r="G29" s="38">
        <v>1</v>
      </c>
      <c r="H29" s="38">
        <v>0</v>
      </c>
      <c r="I29" s="40">
        <v>0</v>
      </c>
      <c r="J29" s="38">
        <v>0</v>
      </c>
      <c r="K29" s="38">
        <v>0</v>
      </c>
      <c r="L29" s="39">
        <v>20</v>
      </c>
      <c r="M29" s="38">
        <v>0</v>
      </c>
      <c r="N29" s="38">
        <v>0</v>
      </c>
      <c r="O29" s="40">
        <v>138</v>
      </c>
      <c r="P29" s="38">
        <v>1</v>
      </c>
      <c r="Q29" s="38">
        <v>0</v>
      </c>
      <c r="R29" s="39">
        <v>51</v>
      </c>
      <c r="S29" s="38">
        <v>2</v>
      </c>
      <c r="T29" s="38">
        <v>0</v>
      </c>
      <c r="U29" s="40">
        <v>33</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94</v>
      </c>
      <c r="C2" t="s">
        <v>93</v>
      </c>
      <c r="D2" t="s">
        <v>79</v>
      </c>
      <c r="E2" t="s">
        <v>43</v>
      </c>
      <c r="F2" s="6">
        <v>0.29166666666666669</v>
      </c>
      <c r="G2">
        <v>118</v>
      </c>
      <c r="H2" s="6">
        <f>FLOOR(tblPivotData[[#This Row],[Time]],Summary!$B$6/1440)</f>
        <v>0.29166666666666663</v>
      </c>
      <c r="I2">
        <f>INDEX(PeakCalc!$L$10:$L$303,MATCH(tblPivotData[[#This Row],[Time]],PeakCalc!$G$10:$G$303,0))</f>
        <v>0</v>
      </c>
    </row>
    <row r="3" spans="1:9" x14ac:dyDescent="0.25">
      <c r="A3" t="s">
        <v>92</v>
      </c>
      <c r="B3" t="s">
        <v>94</v>
      </c>
      <c r="C3" t="s">
        <v>93</v>
      </c>
      <c r="D3" t="s">
        <v>79</v>
      </c>
      <c r="E3" t="s">
        <v>43</v>
      </c>
      <c r="F3" s="6">
        <v>0.30208333333333331</v>
      </c>
      <c r="G3">
        <v>163</v>
      </c>
      <c r="H3" s="6">
        <f>FLOOR(tblPivotData[[#This Row],[Time]],Summary!$B$6/1440)</f>
        <v>0.30208333333333331</v>
      </c>
      <c r="I3">
        <f>INDEX(PeakCalc!$L$10:$L$303,MATCH(tblPivotData[[#This Row],[Time]],PeakCalc!$G$10:$G$303,0))</f>
        <v>0</v>
      </c>
    </row>
    <row r="4" spans="1:9" x14ac:dyDescent="0.25">
      <c r="A4" t="s">
        <v>92</v>
      </c>
      <c r="B4" t="s">
        <v>94</v>
      </c>
      <c r="C4" t="s">
        <v>93</v>
      </c>
      <c r="D4" t="s">
        <v>79</v>
      </c>
      <c r="E4" t="s">
        <v>43</v>
      </c>
      <c r="F4" s="6">
        <v>0.3125</v>
      </c>
      <c r="G4">
        <v>188</v>
      </c>
      <c r="H4" s="6">
        <f>FLOOR(tblPivotData[[#This Row],[Time]],Summary!$B$6/1440)</f>
        <v>0.3125</v>
      </c>
      <c r="I4">
        <f>INDEX(PeakCalc!$L$10:$L$303,MATCH(tblPivotData[[#This Row],[Time]],PeakCalc!$G$10:$G$303,0))</f>
        <v>0</v>
      </c>
    </row>
    <row r="5" spans="1:9" x14ac:dyDescent="0.25">
      <c r="A5" t="s">
        <v>92</v>
      </c>
      <c r="B5" t="s">
        <v>94</v>
      </c>
      <c r="C5" t="s">
        <v>93</v>
      </c>
      <c r="D5" t="s">
        <v>79</v>
      </c>
      <c r="E5" t="s">
        <v>43</v>
      </c>
      <c r="F5" s="6">
        <v>0.32291666666666669</v>
      </c>
      <c r="G5">
        <v>185</v>
      </c>
      <c r="H5" s="6">
        <f>FLOOR(tblPivotData[[#This Row],[Time]],Summary!$B$6/1440)</f>
        <v>0.32291666666666663</v>
      </c>
      <c r="I5">
        <f>INDEX(PeakCalc!$L$10:$L$303,MATCH(tblPivotData[[#This Row],[Time]],PeakCalc!$G$10:$G$303,0))</f>
        <v>1</v>
      </c>
    </row>
    <row r="6" spans="1:9" x14ac:dyDescent="0.25">
      <c r="A6" t="s">
        <v>92</v>
      </c>
      <c r="B6" t="s">
        <v>94</v>
      </c>
      <c r="C6" t="s">
        <v>93</v>
      </c>
      <c r="D6" t="s">
        <v>79</v>
      </c>
      <c r="E6" t="s">
        <v>43</v>
      </c>
      <c r="F6" s="6">
        <v>0.33333333333333331</v>
      </c>
      <c r="G6">
        <v>193</v>
      </c>
      <c r="H6" s="6">
        <f>FLOOR(tblPivotData[[#This Row],[Time]],Summary!$B$6/1440)</f>
        <v>0.33333333333333331</v>
      </c>
      <c r="I6">
        <f>INDEX(PeakCalc!$L$10:$L$303,MATCH(tblPivotData[[#This Row],[Time]],PeakCalc!$G$10:$G$303,0))</f>
        <v>1</v>
      </c>
    </row>
    <row r="7" spans="1:9" x14ac:dyDescent="0.25">
      <c r="A7" t="s">
        <v>92</v>
      </c>
      <c r="B7" t="s">
        <v>94</v>
      </c>
      <c r="C7" t="s">
        <v>93</v>
      </c>
      <c r="D7" t="s">
        <v>79</v>
      </c>
      <c r="E7" t="s">
        <v>43</v>
      </c>
      <c r="F7" s="6">
        <v>0.34375</v>
      </c>
      <c r="G7">
        <v>148</v>
      </c>
      <c r="H7" s="6">
        <f>FLOOR(tblPivotData[[#This Row],[Time]],Summary!$B$6/1440)</f>
        <v>0.34375</v>
      </c>
      <c r="I7">
        <f>INDEX(PeakCalc!$L$10:$L$303,MATCH(tblPivotData[[#This Row],[Time]],PeakCalc!$G$10:$G$303,0))</f>
        <v>1</v>
      </c>
    </row>
    <row r="8" spans="1:9" x14ac:dyDescent="0.25">
      <c r="A8" t="s">
        <v>92</v>
      </c>
      <c r="B8" t="s">
        <v>94</v>
      </c>
      <c r="C8" t="s">
        <v>93</v>
      </c>
      <c r="D8" t="s">
        <v>79</v>
      </c>
      <c r="E8" t="s">
        <v>43</v>
      </c>
      <c r="F8" s="6">
        <v>0.35416666666666669</v>
      </c>
      <c r="G8">
        <v>149</v>
      </c>
      <c r="H8" s="6">
        <f>FLOOR(tblPivotData[[#This Row],[Time]],Summary!$B$6/1440)</f>
        <v>0.35416666666666663</v>
      </c>
      <c r="I8">
        <f>INDEX(PeakCalc!$L$10:$L$303,MATCH(tblPivotData[[#This Row],[Time]],PeakCalc!$G$10:$G$303,0))</f>
        <v>1</v>
      </c>
    </row>
    <row r="9" spans="1:9" x14ac:dyDescent="0.25">
      <c r="A9" t="s">
        <v>92</v>
      </c>
      <c r="B9" t="s">
        <v>94</v>
      </c>
      <c r="C9" t="s">
        <v>93</v>
      </c>
      <c r="D9" t="s">
        <v>79</v>
      </c>
      <c r="E9" t="s">
        <v>43</v>
      </c>
      <c r="F9" s="6">
        <v>0.36458333333333331</v>
      </c>
      <c r="G9">
        <v>123</v>
      </c>
      <c r="H9" s="6">
        <f>FLOOR(tblPivotData[[#This Row],[Time]],Summary!$B$6/1440)</f>
        <v>0.36458333333333331</v>
      </c>
      <c r="I9">
        <f>INDEX(PeakCalc!$L$10:$L$303,MATCH(tblPivotData[[#This Row],[Time]],PeakCalc!$G$10:$G$303,0))</f>
        <v>0</v>
      </c>
    </row>
    <row r="10" spans="1:9" x14ac:dyDescent="0.25">
      <c r="A10" t="s">
        <v>92</v>
      </c>
      <c r="B10" t="s">
        <v>94</v>
      </c>
      <c r="C10" t="s">
        <v>93</v>
      </c>
      <c r="D10" t="s">
        <v>79</v>
      </c>
      <c r="E10" t="s">
        <v>90</v>
      </c>
      <c r="F10" s="6">
        <v>0.54166666666666663</v>
      </c>
      <c r="G10">
        <v>127</v>
      </c>
      <c r="H10" s="6">
        <f>FLOOR(tblPivotData[[#This Row],[Time]],Summary!$B$6/1440)</f>
        <v>0.54166666666666663</v>
      </c>
      <c r="I10">
        <f>INDEX(PeakCalc!$L$10:$L$303,MATCH(tblPivotData[[#This Row],[Time]],PeakCalc!$G$10:$G$303,0))</f>
        <v>1</v>
      </c>
    </row>
    <row r="11" spans="1:9" x14ac:dyDescent="0.25">
      <c r="A11" t="s">
        <v>92</v>
      </c>
      <c r="B11" t="s">
        <v>94</v>
      </c>
      <c r="C11" t="s">
        <v>93</v>
      </c>
      <c r="D11" t="s">
        <v>79</v>
      </c>
      <c r="E11" t="s">
        <v>90</v>
      </c>
      <c r="F11" s="6">
        <v>0.55208333333333337</v>
      </c>
      <c r="G11">
        <v>119</v>
      </c>
      <c r="H11" s="6">
        <f>FLOOR(tblPivotData[[#This Row],[Time]],Summary!$B$6/1440)</f>
        <v>0.55208333333333326</v>
      </c>
      <c r="I11">
        <f>INDEX(PeakCalc!$L$10:$L$303,MATCH(tblPivotData[[#This Row],[Time]],PeakCalc!$G$10:$G$303,0))</f>
        <v>1</v>
      </c>
    </row>
    <row r="12" spans="1:9" x14ac:dyDescent="0.25">
      <c r="A12" t="s">
        <v>92</v>
      </c>
      <c r="B12" t="s">
        <v>94</v>
      </c>
      <c r="C12" t="s">
        <v>93</v>
      </c>
      <c r="D12" t="s">
        <v>79</v>
      </c>
      <c r="E12" t="s">
        <v>90</v>
      </c>
      <c r="F12" s="6">
        <v>0.5625</v>
      </c>
      <c r="G12">
        <v>124</v>
      </c>
      <c r="H12" s="6">
        <f>FLOOR(tblPivotData[[#This Row],[Time]],Summary!$B$6/1440)</f>
        <v>0.5625</v>
      </c>
      <c r="I12">
        <f>INDEX(PeakCalc!$L$10:$L$303,MATCH(tblPivotData[[#This Row],[Time]],PeakCalc!$G$10:$G$303,0))</f>
        <v>1</v>
      </c>
    </row>
    <row r="13" spans="1:9" x14ac:dyDescent="0.25">
      <c r="A13" t="s">
        <v>92</v>
      </c>
      <c r="B13" t="s">
        <v>94</v>
      </c>
      <c r="C13" t="s">
        <v>93</v>
      </c>
      <c r="D13" t="s">
        <v>79</v>
      </c>
      <c r="E13" t="s">
        <v>90</v>
      </c>
      <c r="F13" s="6">
        <v>0.57291666666666663</v>
      </c>
      <c r="G13">
        <v>120</v>
      </c>
      <c r="H13" s="6">
        <f>FLOOR(tblPivotData[[#This Row],[Time]],Summary!$B$6/1440)</f>
        <v>0.57291666666666663</v>
      </c>
      <c r="I13">
        <f>INDEX(PeakCalc!$L$10:$L$303,MATCH(tblPivotData[[#This Row],[Time]],PeakCalc!$G$10:$G$303,0))</f>
        <v>1</v>
      </c>
    </row>
    <row r="14" spans="1:9" x14ac:dyDescent="0.25">
      <c r="A14" t="s">
        <v>92</v>
      </c>
      <c r="B14" t="s">
        <v>94</v>
      </c>
      <c r="C14" t="s">
        <v>93</v>
      </c>
      <c r="D14" t="s">
        <v>79</v>
      </c>
      <c r="E14" t="s">
        <v>44</v>
      </c>
      <c r="F14" s="6">
        <v>0.66666666666666663</v>
      </c>
      <c r="G14">
        <v>147</v>
      </c>
      <c r="H14" s="6">
        <f>FLOOR(tblPivotData[[#This Row],[Time]],Summary!$B$6/1440)</f>
        <v>0.66666666666666663</v>
      </c>
      <c r="I14">
        <f>INDEX(PeakCalc!$L$10:$L$303,MATCH(tblPivotData[[#This Row],[Time]],PeakCalc!$G$10:$G$303,0))</f>
        <v>0</v>
      </c>
    </row>
    <row r="15" spans="1:9" x14ac:dyDescent="0.25">
      <c r="A15" t="s">
        <v>92</v>
      </c>
      <c r="B15" t="s">
        <v>94</v>
      </c>
      <c r="C15" t="s">
        <v>93</v>
      </c>
      <c r="D15" t="s">
        <v>79</v>
      </c>
      <c r="E15" t="s">
        <v>44</v>
      </c>
      <c r="F15" s="6">
        <v>0.67708333333333337</v>
      </c>
      <c r="G15">
        <v>164</v>
      </c>
      <c r="H15" s="6">
        <f>FLOOR(tblPivotData[[#This Row],[Time]],Summary!$B$6/1440)</f>
        <v>0.67708333333333326</v>
      </c>
      <c r="I15">
        <f>INDEX(PeakCalc!$L$10:$L$303,MATCH(tblPivotData[[#This Row],[Time]],PeakCalc!$G$10:$G$303,0))</f>
        <v>1</v>
      </c>
    </row>
    <row r="16" spans="1:9" x14ac:dyDescent="0.25">
      <c r="A16" t="s">
        <v>92</v>
      </c>
      <c r="B16" t="s">
        <v>94</v>
      </c>
      <c r="C16" t="s">
        <v>93</v>
      </c>
      <c r="D16" t="s">
        <v>79</v>
      </c>
      <c r="E16" t="s">
        <v>44</v>
      </c>
      <c r="F16" s="6">
        <v>0.6875</v>
      </c>
      <c r="G16">
        <v>139</v>
      </c>
      <c r="H16" s="6">
        <f>FLOOR(tblPivotData[[#This Row],[Time]],Summary!$B$6/1440)</f>
        <v>0.6875</v>
      </c>
      <c r="I16">
        <f>INDEX(PeakCalc!$L$10:$L$303,MATCH(tblPivotData[[#This Row],[Time]],PeakCalc!$G$10:$G$303,0))</f>
        <v>1</v>
      </c>
    </row>
    <row r="17" spans="1:9" x14ac:dyDescent="0.25">
      <c r="A17" t="s">
        <v>92</v>
      </c>
      <c r="B17" t="s">
        <v>94</v>
      </c>
      <c r="C17" t="s">
        <v>93</v>
      </c>
      <c r="D17" t="s">
        <v>79</v>
      </c>
      <c r="E17" t="s">
        <v>44</v>
      </c>
      <c r="F17" s="6">
        <v>0.69791666666666663</v>
      </c>
      <c r="G17">
        <v>133</v>
      </c>
      <c r="H17" s="6">
        <f>FLOOR(tblPivotData[[#This Row],[Time]],Summary!$B$6/1440)</f>
        <v>0.69791666666666663</v>
      </c>
      <c r="I17">
        <f>INDEX(PeakCalc!$L$10:$L$303,MATCH(tblPivotData[[#This Row],[Time]],PeakCalc!$G$10:$G$303,0))</f>
        <v>1</v>
      </c>
    </row>
    <row r="18" spans="1:9" x14ac:dyDescent="0.25">
      <c r="A18" t="s">
        <v>92</v>
      </c>
      <c r="B18" t="s">
        <v>94</v>
      </c>
      <c r="C18" t="s">
        <v>93</v>
      </c>
      <c r="D18" t="s">
        <v>79</v>
      </c>
      <c r="E18" t="s">
        <v>44</v>
      </c>
      <c r="F18" s="6">
        <v>0.70833333333333337</v>
      </c>
      <c r="G18">
        <v>169</v>
      </c>
      <c r="H18" s="6">
        <f>FLOOR(tblPivotData[[#This Row],[Time]],Summary!$B$6/1440)</f>
        <v>0.70833333333333326</v>
      </c>
      <c r="I18">
        <f>INDEX(PeakCalc!$L$10:$L$303,MATCH(tblPivotData[[#This Row],[Time]],PeakCalc!$G$10:$G$303,0))</f>
        <v>1</v>
      </c>
    </row>
    <row r="19" spans="1:9" x14ac:dyDescent="0.25">
      <c r="A19" t="s">
        <v>92</v>
      </c>
      <c r="B19" t="s">
        <v>94</v>
      </c>
      <c r="C19" t="s">
        <v>93</v>
      </c>
      <c r="D19" t="s">
        <v>79</v>
      </c>
      <c r="E19" t="s">
        <v>44</v>
      </c>
      <c r="F19" s="6">
        <v>0.71875</v>
      </c>
      <c r="G19">
        <v>131</v>
      </c>
      <c r="H19" s="6">
        <f>FLOOR(tblPivotData[[#This Row],[Time]],Summary!$B$6/1440)</f>
        <v>0.71875</v>
      </c>
      <c r="I19">
        <f>INDEX(PeakCalc!$L$10:$L$303,MATCH(tblPivotData[[#This Row],[Time]],PeakCalc!$G$10:$G$303,0))</f>
        <v>0</v>
      </c>
    </row>
    <row r="20" spans="1:9" x14ac:dyDescent="0.25">
      <c r="A20" t="s">
        <v>92</v>
      </c>
      <c r="B20" t="s">
        <v>94</v>
      </c>
      <c r="C20" t="s">
        <v>93</v>
      </c>
      <c r="D20" t="s">
        <v>79</v>
      </c>
      <c r="E20" t="s">
        <v>44</v>
      </c>
      <c r="F20" s="6">
        <v>0.72916666666666663</v>
      </c>
      <c r="G20">
        <v>114</v>
      </c>
      <c r="H20" s="6">
        <f>FLOOR(tblPivotData[[#This Row],[Time]],Summary!$B$6/1440)</f>
        <v>0.72916666666666663</v>
      </c>
      <c r="I20">
        <f>INDEX(PeakCalc!$L$10:$L$303,MATCH(tblPivotData[[#This Row],[Time]],PeakCalc!$G$10:$G$303,0))</f>
        <v>0</v>
      </c>
    </row>
    <row r="21" spans="1:9" x14ac:dyDescent="0.25">
      <c r="A21" t="s">
        <v>92</v>
      </c>
      <c r="B21" t="s">
        <v>94</v>
      </c>
      <c r="C21" t="s">
        <v>93</v>
      </c>
      <c r="D21" t="s">
        <v>79</v>
      </c>
      <c r="E21" t="s">
        <v>44</v>
      </c>
      <c r="F21" s="6">
        <v>0.73958333333333337</v>
      </c>
      <c r="G21">
        <v>114</v>
      </c>
      <c r="H21" s="6">
        <f>FLOOR(tblPivotData[[#This Row],[Time]],Summary!$B$6/1440)</f>
        <v>0.73958333333333326</v>
      </c>
      <c r="I21">
        <f>INDEX(PeakCalc!$L$10:$L$303,MATCH(tblPivotData[[#This Row],[Time]],PeakCalc!$G$10:$G$303,0))</f>
        <v>0</v>
      </c>
    </row>
    <row r="22" spans="1:9" x14ac:dyDescent="0.25">
      <c r="A22" t="s">
        <v>92</v>
      </c>
      <c r="B22" t="s">
        <v>94</v>
      </c>
      <c r="C22" t="s">
        <v>93</v>
      </c>
      <c r="D22" t="s">
        <v>88</v>
      </c>
      <c r="E22" t="s">
        <v>43</v>
      </c>
      <c r="F22" s="6">
        <v>0.29166666666666669</v>
      </c>
      <c r="G22">
        <v>15</v>
      </c>
      <c r="H22" s="6">
        <f>FLOOR(tblPivotData[[#This Row],[Time]],Summary!$B$6/1440)</f>
        <v>0.29166666666666663</v>
      </c>
      <c r="I22">
        <f>INDEX(PeakCalc!$L$10:$L$303,MATCH(tblPivotData[[#This Row],[Time]],PeakCalc!$G$10:$G$303,0))</f>
        <v>0</v>
      </c>
    </row>
    <row r="23" spans="1:9" x14ac:dyDescent="0.25">
      <c r="A23" t="s">
        <v>92</v>
      </c>
      <c r="B23" t="s">
        <v>94</v>
      </c>
      <c r="C23" t="s">
        <v>93</v>
      </c>
      <c r="D23" t="s">
        <v>88</v>
      </c>
      <c r="E23" t="s">
        <v>43</v>
      </c>
      <c r="F23" s="6">
        <v>0.30208333333333331</v>
      </c>
      <c r="G23">
        <v>19</v>
      </c>
      <c r="H23" s="6">
        <f>FLOOR(tblPivotData[[#This Row],[Time]],Summary!$B$6/1440)</f>
        <v>0.30208333333333331</v>
      </c>
      <c r="I23">
        <f>INDEX(PeakCalc!$L$10:$L$303,MATCH(tblPivotData[[#This Row],[Time]],PeakCalc!$G$10:$G$303,0))</f>
        <v>0</v>
      </c>
    </row>
    <row r="24" spans="1:9" x14ac:dyDescent="0.25">
      <c r="A24" t="s">
        <v>92</v>
      </c>
      <c r="B24" t="s">
        <v>94</v>
      </c>
      <c r="C24" t="s">
        <v>93</v>
      </c>
      <c r="D24" t="s">
        <v>88</v>
      </c>
      <c r="E24" t="s">
        <v>43</v>
      </c>
      <c r="F24" s="6">
        <v>0.3125</v>
      </c>
      <c r="G24">
        <v>16</v>
      </c>
      <c r="H24" s="6">
        <f>FLOOR(tblPivotData[[#This Row],[Time]],Summary!$B$6/1440)</f>
        <v>0.3125</v>
      </c>
      <c r="I24">
        <f>INDEX(PeakCalc!$L$10:$L$303,MATCH(tblPivotData[[#This Row],[Time]],PeakCalc!$G$10:$G$303,0))</f>
        <v>0</v>
      </c>
    </row>
    <row r="25" spans="1:9" x14ac:dyDescent="0.25">
      <c r="A25" t="s">
        <v>92</v>
      </c>
      <c r="B25" t="s">
        <v>94</v>
      </c>
      <c r="C25" t="s">
        <v>93</v>
      </c>
      <c r="D25" t="s">
        <v>88</v>
      </c>
      <c r="E25" t="s">
        <v>43</v>
      </c>
      <c r="F25" s="6">
        <v>0.32291666666666669</v>
      </c>
      <c r="G25">
        <v>9</v>
      </c>
      <c r="H25" s="6">
        <f>FLOOR(tblPivotData[[#This Row],[Time]],Summary!$B$6/1440)</f>
        <v>0.32291666666666663</v>
      </c>
      <c r="I25">
        <f>INDEX(PeakCalc!$L$10:$L$303,MATCH(tblPivotData[[#This Row],[Time]],PeakCalc!$G$10:$G$303,0))</f>
        <v>1</v>
      </c>
    </row>
    <row r="26" spans="1:9" x14ac:dyDescent="0.25">
      <c r="A26" t="s">
        <v>92</v>
      </c>
      <c r="B26" t="s">
        <v>94</v>
      </c>
      <c r="C26" t="s">
        <v>93</v>
      </c>
      <c r="D26" t="s">
        <v>88</v>
      </c>
      <c r="E26" t="s">
        <v>43</v>
      </c>
      <c r="F26" s="6">
        <v>0.33333333333333331</v>
      </c>
      <c r="G26">
        <v>5</v>
      </c>
      <c r="H26" s="6">
        <f>FLOOR(tblPivotData[[#This Row],[Time]],Summary!$B$6/1440)</f>
        <v>0.33333333333333331</v>
      </c>
      <c r="I26">
        <f>INDEX(PeakCalc!$L$10:$L$303,MATCH(tblPivotData[[#This Row],[Time]],PeakCalc!$G$10:$G$303,0))</f>
        <v>1</v>
      </c>
    </row>
    <row r="27" spans="1:9" x14ac:dyDescent="0.25">
      <c r="A27" t="s">
        <v>92</v>
      </c>
      <c r="B27" t="s">
        <v>94</v>
      </c>
      <c r="C27" t="s">
        <v>93</v>
      </c>
      <c r="D27" t="s">
        <v>88</v>
      </c>
      <c r="E27" t="s">
        <v>43</v>
      </c>
      <c r="F27" s="6">
        <v>0.34375</v>
      </c>
      <c r="G27">
        <v>10</v>
      </c>
      <c r="H27" s="6">
        <f>FLOOR(tblPivotData[[#This Row],[Time]],Summary!$B$6/1440)</f>
        <v>0.34375</v>
      </c>
      <c r="I27">
        <f>INDEX(PeakCalc!$L$10:$L$303,MATCH(tblPivotData[[#This Row],[Time]],PeakCalc!$G$10:$G$303,0))</f>
        <v>1</v>
      </c>
    </row>
    <row r="28" spans="1:9" x14ac:dyDescent="0.25">
      <c r="A28" t="s">
        <v>92</v>
      </c>
      <c r="B28" t="s">
        <v>94</v>
      </c>
      <c r="C28" t="s">
        <v>93</v>
      </c>
      <c r="D28" t="s">
        <v>88</v>
      </c>
      <c r="E28" t="s">
        <v>43</v>
      </c>
      <c r="F28" s="6">
        <v>0.35416666666666669</v>
      </c>
      <c r="G28">
        <v>4</v>
      </c>
      <c r="H28" s="6">
        <f>FLOOR(tblPivotData[[#This Row],[Time]],Summary!$B$6/1440)</f>
        <v>0.35416666666666663</v>
      </c>
      <c r="I28">
        <f>INDEX(PeakCalc!$L$10:$L$303,MATCH(tblPivotData[[#This Row],[Time]],PeakCalc!$G$10:$G$303,0))</f>
        <v>1</v>
      </c>
    </row>
    <row r="29" spans="1:9" x14ac:dyDescent="0.25">
      <c r="A29" t="s">
        <v>92</v>
      </c>
      <c r="B29" t="s">
        <v>94</v>
      </c>
      <c r="C29" t="s">
        <v>93</v>
      </c>
      <c r="D29" t="s">
        <v>88</v>
      </c>
      <c r="E29" t="s">
        <v>43</v>
      </c>
      <c r="F29" s="6">
        <v>0.36458333333333331</v>
      </c>
      <c r="G29">
        <v>4</v>
      </c>
      <c r="H29" s="6">
        <f>FLOOR(tblPivotData[[#This Row],[Time]],Summary!$B$6/1440)</f>
        <v>0.36458333333333331</v>
      </c>
      <c r="I29">
        <f>INDEX(PeakCalc!$L$10:$L$303,MATCH(tblPivotData[[#This Row],[Time]],PeakCalc!$G$10:$G$303,0))</f>
        <v>0</v>
      </c>
    </row>
    <row r="30" spans="1:9" x14ac:dyDescent="0.25">
      <c r="A30" t="s">
        <v>92</v>
      </c>
      <c r="B30" t="s">
        <v>94</v>
      </c>
      <c r="C30" t="s">
        <v>93</v>
      </c>
      <c r="D30" t="s">
        <v>88</v>
      </c>
      <c r="E30" t="s">
        <v>90</v>
      </c>
      <c r="F30" s="6">
        <v>0.54166666666666663</v>
      </c>
      <c r="G30">
        <v>2</v>
      </c>
      <c r="H30" s="6">
        <f>FLOOR(tblPivotData[[#This Row],[Time]],Summary!$B$6/1440)</f>
        <v>0.54166666666666663</v>
      </c>
      <c r="I30">
        <f>INDEX(PeakCalc!$L$10:$L$303,MATCH(tblPivotData[[#This Row],[Time]],PeakCalc!$G$10:$G$303,0))</f>
        <v>1</v>
      </c>
    </row>
    <row r="31" spans="1:9" x14ac:dyDescent="0.25">
      <c r="A31" t="s">
        <v>92</v>
      </c>
      <c r="B31" t="s">
        <v>94</v>
      </c>
      <c r="C31" t="s">
        <v>93</v>
      </c>
      <c r="D31" t="s">
        <v>88</v>
      </c>
      <c r="E31" t="s">
        <v>90</v>
      </c>
      <c r="F31" s="6">
        <v>0.55208333333333337</v>
      </c>
      <c r="G31">
        <v>6</v>
      </c>
      <c r="H31" s="6">
        <f>FLOOR(tblPivotData[[#This Row],[Time]],Summary!$B$6/1440)</f>
        <v>0.55208333333333326</v>
      </c>
      <c r="I31">
        <f>INDEX(PeakCalc!$L$10:$L$303,MATCH(tblPivotData[[#This Row],[Time]],PeakCalc!$G$10:$G$303,0))</f>
        <v>1</v>
      </c>
    </row>
    <row r="32" spans="1:9" x14ac:dyDescent="0.25">
      <c r="A32" t="s">
        <v>92</v>
      </c>
      <c r="B32" t="s">
        <v>94</v>
      </c>
      <c r="C32" t="s">
        <v>93</v>
      </c>
      <c r="D32" t="s">
        <v>88</v>
      </c>
      <c r="E32" t="s">
        <v>90</v>
      </c>
      <c r="F32" s="6">
        <v>0.5625</v>
      </c>
      <c r="G32">
        <v>5</v>
      </c>
      <c r="H32" s="6">
        <f>FLOOR(tblPivotData[[#This Row],[Time]],Summary!$B$6/1440)</f>
        <v>0.5625</v>
      </c>
      <c r="I32">
        <f>INDEX(PeakCalc!$L$10:$L$303,MATCH(tblPivotData[[#This Row],[Time]],PeakCalc!$G$10:$G$303,0))</f>
        <v>1</v>
      </c>
    </row>
    <row r="33" spans="1:9" x14ac:dyDescent="0.25">
      <c r="A33" t="s">
        <v>92</v>
      </c>
      <c r="B33" t="s">
        <v>94</v>
      </c>
      <c r="C33" t="s">
        <v>93</v>
      </c>
      <c r="D33" t="s">
        <v>88</v>
      </c>
      <c r="E33" t="s">
        <v>90</v>
      </c>
      <c r="F33" s="6">
        <v>0.57291666666666663</v>
      </c>
      <c r="G33">
        <v>4</v>
      </c>
      <c r="H33" s="6">
        <f>FLOOR(tblPivotData[[#This Row],[Time]],Summary!$B$6/1440)</f>
        <v>0.57291666666666663</v>
      </c>
      <c r="I33">
        <f>INDEX(PeakCalc!$L$10:$L$303,MATCH(tblPivotData[[#This Row],[Time]],PeakCalc!$G$10:$G$303,0))</f>
        <v>1</v>
      </c>
    </row>
    <row r="34" spans="1:9" x14ac:dyDescent="0.25">
      <c r="A34" t="s">
        <v>92</v>
      </c>
      <c r="B34" t="s">
        <v>94</v>
      </c>
      <c r="C34" t="s">
        <v>93</v>
      </c>
      <c r="D34" t="s">
        <v>88</v>
      </c>
      <c r="E34" t="s">
        <v>44</v>
      </c>
      <c r="F34" s="6">
        <v>0.66666666666666663</v>
      </c>
      <c r="G34">
        <v>5</v>
      </c>
      <c r="H34" s="6">
        <f>FLOOR(tblPivotData[[#This Row],[Time]],Summary!$B$6/1440)</f>
        <v>0.66666666666666663</v>
      </c>
      <c r="I34">
        <f>INDEX(PeakCalc!$L$10:$L$303,MATCH(tblPivotData[[#This Row],[Time]],PeakCalc!$G$10:$G$303,0))</f>
        <v>0</v>
      </c>
    </row>
    <row r="35" spans="1:9" x14ac:dyDescent="0.25">
      <c r="A35" t="s">
        <v>92</v>
      </c>
      <c r="B35" t="s">
        <v>94</v>
      </c>
      <c r="C35" t="s">
        <v>93</v>
      </c>
      <c r="D35" t="s">
        <v>88</v>
      </c>
      <c r="E35" t="s">
        <v>44</v>
      </c>
      <c r="F35" s="6">
        <v>0.67708333333333337</v>
      </c>
      <c r="G35">
        <v>3</v>
      </c>
      <c r="H35" s="6">
        <f>FLOOR(tblPivotData[[#This Row],[Time]],Summary!$B$6/1440)</f>
        <v>0.67708333333333326</v>
      </c>
      <c r="I35">
        <f>INDEX(PeakCalc!$L$10:$L$303,MATCH(tblPivotData[[#This Row],[Time]],PeakCalc!$G$10:$G$303,0))</f>
        <v>1</v>
      </c>
    </row>
    <row r="36" spans="1:9" x14ac:dyDescent="0.25">
      <c r="A36" t="s">
        <v>92</v>
      </c>
      <c r="B36" t="s">
        <v>94</v>
      </c>
      <c r="C36" t="s">
        <v>93</v>
      </c>
      <c r="D36" t="s">
        <v>88</v>
      </c>
      <c r="E36" t="s">
        <v>44</v>
      </c>
      <c r="F36" s="6">
        <v>0.6875</v>
      </c>
      <c r="G36">
        <v>2</v>
      </c>
      <c r="H36" s="6">
        <f>FLOOR(tblPivotData[[#This Row],[Time]],Summary!$B$6/1440)</f>
        <v>0.6875</v>
      </c>
      <c r="I36">
        <f>INDEX(PeakCalc!$L$10:$L$303,MATCH(tblPivotData[[#This Row],[Time]],PeakCalc!$G$10:$G$303,0))</f>
        <v>1</v>
      </c>
    </row>
    <row r="37" spans="1:9" x14ac:dyDescent="0.25">
      <c r="A37" t="s">
        <v>92</v>
      </c>
      <c r="B37" t="s">
        <v>94</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94</v>
      </c>
      <c r="C38" t="s">
        <v>93</v>
      </c>
      <c r="D38" t="s">
        <v>88</v>
      </c>
      <c r="E38" t="s">
        <v>44</v>
      </c>
      <c r="F38" s="6">
        <v>0.70833333333333337</v>
      </c>
      <c r="G38">
        <v>3</v>
      </c>
      <c r="H38" s="6">
        <f>FLOOR(tblPivotData[[#This Row],[Time]],Summary!$B$6/1440)</f>
        <v>0.70833333333333326</v>
      </c>
      <c r="I38">
        <f>INDEX(PeakCalc!$L$10:$L$303,MATCH(tblPivotData[[#This Row],[Time]],PeakCalc!$G$10:$G$303,0))</f>
        <v>1</v>
      </c>
    </row>
    <row r="39" spans="1:9" x14ac:dyDescent="0.25">
      <c r="A39" t="s">
        <v>92</v>
      </c>
      <c r="B39" t="s">
        <v>94</v>
      </c>
      <c r="C39" t="s">
        <v>93</v>
      </c>
      <c r="D39" t="s">
        <v>88</v>
      </c>
      <c r="E39" t="s">
        <v>44</v>
      </c>
      <c r="F39" s="6">
        <v>0.71875</v>
      </c>
      <c r="G39">
        <v>1</v>
      </c>
      <c r="H39" s="6">
        <f>FLOOR(tblPivotData[[#This Row],[Time]],Summary!$B$6/1440)</f>
        <v>0.71875</v>
      </c>
      <c r="I39">
        <f>INDEX(PeakCalc!$L$10:$L$303,MATCH(tblPivotData[[#This Row],[Time]],PeakCalc!$G$10:$G$303,0))</f>
        <v>0</v>
      </c>
    </row>
    <row r="40" spans="1:9" x14ac:dyDescent="0.25">
      <c r="A40" t="s">
        <v>92</v>
      </c>
      <c r="B40" t="s">
        <v>94</v>
      </c>
      <c r="C40" t="s">
        <v>93</v>
      </c>
      <c r="D40" t="s">
        <v>88</v>
      </c>
      <c r="E40" t="s">
        <v>44</v>
      </c>
      <c r="F40" s="6">
        <v>0.72916666666666663</v>
      </c>
      <c r="G40">
        <v>2</v>
      </c>
      <c r="H40" s="6">
        <f>FLOOR(tblPivotData[[#This Row],[Time]],Summary!$B$6/1440)</f>
        <v>0.72916666666666663</v>
      </c>
      <c r="I40">
        <f>INDEX(PeakCalc!$L$10:$L$303,MATCH(tblPivotData[[#This Row],[Time]],PeakCalc!$G$10:$G$303,0))</f>
        <v>0</v>
      </c>
    </row>
    <row r="41" spans="1:9" x14ac:dyDescent="0.25">
      <c r="A41" t="s">
        <v>92</v>
      </c>
      <c r="B41" t="s">
        <v>94</v>
      </c>
      <c r="C41" t="s">
        <v>93</v>
      </c>
      <c r="D41" t="s">
        <v>88</v>
      </c>
      <c r="E41" t="s">
        <v>44</v>
      </c>
      <c r="F41" s="6">
        <v>0.73958333333333337</v>
      </c>
      <c r="G41">
        <v>1</v>
      </c>
      <c r="H41" s="6">
        <f>FLOOR(tblPivotData[[#This Row],[Time]],Summary!$B$6/1440)</f>
        <v>0.73958333333333326</v>
      </c>
      <c r="I41">
        <f>INDEX(PeakCalc!$L$10:$L$303,MATCH(tblPivotData[[#This Row],[Time]],PeakCalc!$G$10:$G$303,0))</f>
        <v>0</v>
      </c>
    </row>
    <row r="42" spans="1:9" x14ac:dyDescent="0.25">
      <c r="A42" t="s">
        <v>92</v>
      </c>
      <c r="B42" t="s">
        <v>94</v>
      </c>
      <c r="C42" t="s">
        <v>93</v>
      </c>
      <c r="D42" t="s">
        <v>89</v>
      </c>
      <c r="E42" t="s">
        <v>43</v>
      </c>
      <c r="F42" s="6">
        <v>0.29166666666666669</v>
      </c>
      <c r="G42">
        <v>1</v>
      </c>
      <c r="H42" s="6">
        <f>FLOOR(tblPivotData[[#This Row],[Time]],Summary!$B$6/1440)</f>
        <v>0.29166666666666663</v>
      </c>
      <c r="I42">
        <f>INDEX(PeakCalc!$L$10:$L$303,MATCH(tblPivotData[[#This Row],[Time]],PeakCalc!$G$10:$G$303,0))</f>
        <v>0</v>
      </c>
    </row>
    <row r="43" spans="1:9" x14ac:dyDescent="0.25">
      <c r="A43" t="s">
        <v>92</v>
      </c>
      <c r="B43" t="s">
        <v>94</v>
      </c>
      <c r="C43" t="s">
        <v>93</v>
      </c>
      <c r="D43" t="s">
        <v>89</v>
      </c>
      <c r="E43" t="s">
        <v>43</v>
      </c>
      <c r="F43" s="6">
        <v>0.30208333333333331</v>
      </c>
      <c r="G43">
        <v>2</v>
      </c>
      <c r="H43" s="6">
        <f>FLOOR(tblPivotData[[#This Row],[Time]],Summary!$B$6/1440)</f>
        <v>0.30208333333333331</v>
      </c>
      <c r="I43">
        <f>INDEX(PeakCalc!$L$10:$L$303,MATCH(tblPivotData[[#This Row],[Time]],PeakCalc!$G$10:$G$303,0))</f>
        <v>0</v>
      </c>
    </row>
    <row r="44" spans="1:9" x14ac:dyDescent="0.25">
      <c r="A44" t="s">
        <v>92</v>
      </c>
      <c r="B44" t="s">
        <v>94</v>
      </c>
      <c r="C44" t="s">
        <v>93</v>
      </c>
      <c r="D44" t="s">
        <v>89</v>
      </c>
      <c r="E44" t="s">
        <v>43</v>
      </c>
      <c r="F44" s="6">
        <v>0.3125</v>
      </c>
      <c r="G44">
        <v>5</v>
      </c>
      <c r="H44" s="6">
        <f>FLOOR(tblPivotData[[#This Row],[Time]],Summary!$B$6/1440)</f>
        <v>0.3125</v>
      </c>
      <c r="I44">
        <f>INDEX(PeakCalc!$L$10:$L$303,MATCH(tblPivotData[[#This Row],[Time]],PeakCalc!$G$10:$G$303,0))</f>
        <v>0</v>
      </c>
    </row>
    <row r="45" spans="1:9" x14ac:dyDescent="0.25">
      <c r="A45" t="s">
        <v>92</v>
      </c>
      <c r="B45" t="s">
        <v>94</v>
      </c>
      <c r="C45" t="s">
        <v>93</v>
      </c>
      <c r="D45" t="s">
        <v>89</v>
      </c>
      <c r="E45" t="s">
        <v>43</v>
      </c>
      <c r="F45" s="6">
        <v>0.32291666666666669</v>
      </c>
      <c r="G45">
        <v>10</v>
      </c>
      <c r="H45" s="6">
        <f>FLOOR(tblPivotData[[#This Row],[Time]],Summary!$B$6/1440)</f>
        <v>0.32291666666666663</v>
      </c>
      <c r="I45">
        <f>INDEX(PeakCalc!$L$10:$L$303,MATCH(tblPivotData[[#This Row],[Time]],PeakCalc!$G$10:$G$303,0))</f>
        <v>1</v>
      </c>
    </row>
    <row r="46" spans="1:9" x14ac:dyDescent="0.25">
      <c r="A46" t="s">
        <v>92</v>
      </c>
      <c r="B46" t="s">
        <v>94</v>
      </c>
      <c r="C46" t="s">
        <v>93</v>
      </c>
      <c r="D46" t="s">
        <v>89</v>
      </c>
      <c r="E46" t="s">
        <v>43</v>
      </c>
      <c r="F46" s="6">
        <v>0.33333333333333331</v>
      </c>
      <c r="G46">
        <v>3</v>
      </c>
      <c r="H46" s="6">
        <f>FLOOR(tblPivotData[[#This Row],[Time]],Summary!$B$6/1440)</f>
        <v>0.33333333333333331</v>
      </c>
      <c r="I46">
        <f>INDEX(PeakCalc!$L$10:$L$303,MATCH(tblPivotData[[#This Row],[Time]],PeakCalc!$G$10:$G$303,0))</f>
        <v>1</v>
      </c>
    </row>
    <row r="47" spans="1:9" x14ac:dyDescent="0.25">
      <c r="A47" t="s">
        <v>92</v>
      </c>
      <c r="B47" t="s">
        <v>94</v>
      </c>
      <c r="C47" t="s">
        <v>93</v>
      </c>
      <c r="D47" t="s">
        <v>89</v>
      </c>
      <c r="E47" t="s">
        <v>43</v>
      </c>
      <c r="F47" s="6">
        <v>0.34375</v>
      </c>
      <c r="G47">
        <v>2</v>
      </c>
      <c r="H47" s="6">
        <f>FLOOR(tblPivotData[[#This Row],[Time]],Summary!$B$6/1440)</f>
        <v>0.34375</v>
      </c>
      <c r="I47">
        <f>INDEX(PeakCalc!$L$10:$L$303,MATCH(tblPivotData[[#This Row],[Time]],PeakCalc!$G$10:$G$303,0))</f>
        <v>1</v>
      </c>
    </row>
    <row r="48" spans="1:9" x14ac:dyDescent="0.25">
      <c r="A48" t="s">
        <v>92</v>
      </c>
      <c r="B48" t="s">
        <v>94</v>
      </c>
      <c r="C48" t="s">
        <v>93</v>
      </c>
      <c r="D48" t="s">
        <v>89</v>
      </c>
      <c r="E48" t="s">
        <v>43</v>
      </c>
      <c r="F48" s="6">
        <v>0.35416666666666669</v>
      </c>
      <c r="G48">
        <v>1</v>
      </c>
      <c r="H48" s="6">
        <f>FLOOR(tblPivotData[[#This Row],[Time]],Summary!$B$6/1440)</f>
        <v>0.35416666666666663</v>
      </c>
      <c r="I48">
        <f>INDEX(PeakCalc!$L$10:$L$303,MATCH(tblPivotData[[#This Row],[Time]],PeakCalc!$G$10:$G$303,0))</f>
        <v>1</v>
      </c>
    </row>
    <row r="49" spans="1:9" x14ac:dyDescent="0.25">
      <c r="A49" t="s">
        <v>92</v>
      </c>
      <c r="B49" t="s">
        <v>94</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94</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94</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94</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94</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94</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94</v>
      </c>
      <c r="C55" t="s">
        <v>93</v>
      </c>
      <c r="D55" t="s">
        <v>89</v>
      </c>
      <c r="E55" t="s">
        <v>44</v>
      </c>
      <c r="F55" s="6">
        <v>0.67708333333333337</v>
      </c>
      <c r="G55">
        <v>1</v>
      </c>
      <c r="H55" s="6">
        <f>FLOOR(tblPivotData[[#This Row],[Time]],Summary!$B$6/1440)</f>
        <v>0.67708333333333326</v>
      </c>
      <c r="I55">
        <f>INDEX(PeakCalc!$L$10:$L$303,MATCH(tblPivotData[[#This Row],[Time]],PeakCalc!$G$10:$G$303,0))</f>
        <v>1</v>
      </c>
    </row>
    <row r="56" spans="1:9" x14ac:dyDescent="0.25">
      <c r="A56" t="s">
        <v>92</v>
      </c>
      <c r="B56" t="s">
        <v>94</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94</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94</v>
      </c>
      <c r="C58" t="s">
        <v>93</v>
      </c>
      <c r="D58" t="s">
        <v>89</v>
      </c>
      <c r="E58" t="s">
        <v>44</v>
      </c>
      <c r="F58" s="6">
        <v>0.70833333333333337</v>
      </c>
      <c r="G58">
        <v>1</v>
      </c>
      <c r="H58" s="6">
        <f>FLOOR(tblPivotData[[#This Row],[Time]],Summary!$B$6/1440)</f>
        <v>0.70833333333333326</v>
      </c>
      <c r="I58">
        <f>INDEX(PeakCalc!$L$10:$L$303,MATCH(tblPivotData[[#This Row],[Time]],PeakCalc!$G$10:$G$303,0))</f>
        <v>1</v>
      </c>
    </row>
    <row r="59" spans="1:9" x14ac:dyDescent="0.25">
      <c r="A59" t="s">
        <v>92</v>
      </c>
      <c r="B59" t="s">
        <v>94</v>
      </c>
      <c r="C59" t="s">
        <v>93</v>
      </c>
      <c r="D59" t="s">
        <v>89</v>
      </c>
      <c r="E59" t="s">
        <v>44</v>
      </c>
      <c r="F59" s="6">
        <v>0.71875</v>
      </c>
      <c r="G59">
        <v>1</v>
      </c>
      <c r="H59" s="6">
        <f>FLOOR(tblPivotData[[#This Row],[Time]],Summary!$B$6/1440)</f>
        <v>0.71875</v>
      </c>
      <c r="I59">
        <f>INDEX(PeakCalc!$L$10:$L$303,MATCH(tblPivotData[[#This Row],[Time]],PeakCalc!$G$10:$G$303,0))</f>
        <v>0</v>
      </c>
    </row>
    <row r="60" spans="1:9" x14ac:dyDescent="0.25">
      <c r="A60" t="s">
        <v>92</v>
      </c>
      <c r="B60" t="s">
        <v>94</v>
      </c>
      <c r="C60" t="s">
        <v>93</v>
      </c>
      <c r="D60" t="s">
        <v>89</v>
      </c>
      <c r="E60" t="s">
        <v>44</v>
      </c>
      <c r="F60" s="6">
        <v>0.72916666666666663</v>
      </c>
      <c r="G60">
        <v>1</v>
      </c>
      <c r="H60" s="6">
        <f>FLOOR(tblPivotData[[#This Row],[Time]],Summary!$B$6/1440)</f>
        <v>0.72916666666666663</v>
      </c>
      <c r="I60">
        <f>INDEX(PeakCalc!$L$10:$L$303,MATCH(tblPivotData[[#This Row],[Time]],PeakCalc!$G$10:$G$303,0))</f>
        <v>0</v>
      </c>
    </row>
    <row r="61" spans="1:9" x14ac:dyDescent="0.25">
      <c r="A61" t="s">
        <v>92</v>
      </c>
      <c r="B61" t="s">
        <v>94</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98</v>
      </c>
      <c r="C62" t="s">
        <v>97</v>
      </c>
      <c r="D62" t="s">
        <v>79</v>
      </c>
      <c r="E62" t="s">
        <v>43</v>
      </c>
      <c r="F62" s="6">
        <v>0.29166666666666669</v>
      </c>
      <c r="G62">
        <v>25</v>
      </c>
      <c r="H62" s="6">
        <f>FLOOR(tblPivotData[[#This Row],[Time]],Summary!$B$6/1440)</f>
        <v>0.29166666666666663</v>
      </c>
      <c r="I62">
        <f>INDEX(PeakCalc!$L$10:$L$303,MATCH(tblPivotData[[#This Row],[Time]],PeakCalc!$G$10:$G$303,0))</f>
        <v>0</v>
      </c>
    </row>
    <row r="63" spans="1:9" x14ac:dyDescent="0.25">
      <c r="A63" t="s">
        <v>92</v>
      </c>
      <c r="B63" t="s">
        <v>98</v>
      </c>
      <c r="C63" t="s">
        <v>97</v>
      </c>
      <c r="D63" t="s">
        <v>79</v>
      </c>
      <c r="E63" t="s">
        <v>43</v>
      </c>
      <c r="F63" s="6">
        <v>0.30208333333333331</v>
      </c>
      <c r="G63">
        <v>29</v>
      </c>
      <c r="H63" s="6">
        <f>FLOOR(tblPivotData[[#This Row],[Time]],Summary!$B$6/1440)</f>
        <v>0.30208333333333331</v>
      </c>
      <c r="I63">
        <f>INDEX(PeakCalc!$L$10:$L$303,MATCH(tblPivotData[[#This Row],[Time]],PeakCalc!$G$10:$G$303,0))</f>
        <v>0</v>
      </c>
    </row>
    <row r="64" spans="1:9" x14ac:dyDescent="0.25">
      <c r="A64" t="s">
        <v>92</v>
      </c>
      <c r="B64" t="s">
        <v>98</v>
      </c>
      <c r="C64" t="s">
        <v>97</v>
      </c>
      <c r="D64" t="s">
        <v>79</v>
      </c>
      <c r="E64" t="s">
        <v>43</v>
      </c>
      <c r="F64" s="6">
        <v>0.3125</v>
      </c>
      <c r="G64">
        <v>31</v>
      </c>
      <c r="H64" s="6">
        <f>FLOOR(tblPivotData[[#This Row],[Time]],Summary!$B$6/1440)</f>
        <v>0.3125</v>
      </c>
      <c r="I64">
        <f>INDEX(PeakCalc!$L$10:$L$303,MATCH(tblPivotData[[#This Row],[Time]],PeakCalc!$G$10:$G$303,0))</f>
        <v>0</v>
      </c>
    </row>
    <row r="65" spans="1:9" x14ac:dyDescent="0.25">
      <c r="A65" t="s">
        <v>92</v>
      </c>
      <c r="B65" t="s">
        <v>98</v>
      </c>
      <c r="C65" t="s">
        <v>97</v>
      </c>
      <c r="D65" t="s">
        <v>79</v>
      </c>
      <c r="E65" t="s">
        <v>43</v>
      </c>
      <c r="F65" s="6">
        <v>0.32291666666666669</v>
      </c>
      <c r="G65">
        <v>63</v>
      </c>
      <c r="H65" s="6">
        <f>FLOOR(tblPivotData[[#This Row],[Time]],Summary!$B$6/1440)</f>
        <v>0.32291666666666663</v>
      </c>
      <c r="I65">
        <f>INDEX(PeakCalc!$L$10:$L$303,MATCH(tblPivotData[[#This Row],[Time]],PeakCalc!$G$10:$G$303,0))</f>
        <v>1</v>
      </c>
    </row>
    <row r="66" spans="1:9" x14ac:dyDescent="0.25">
      <c r="A66" t="s">
        <v>92</v>
      </c>
      <c r="B66" t="s">
        <v>98</v>
      </c>
      <c r="C66" t="s">
        <v>97</v>
      </c>
      <c r="D66" t="s">
        <v>79</v>
      </c>
      <c r="E66" t="s">
        <v>43</v>
      </c>
      <c r="F66" s="6">
        <v>0.33333333333333331</v>
      </c>
      <c r="G66">
        <v>45</v>
      </c>
      <c r="H66" s="6">
        <f>FLOOR(tblPivotData[[#This Row],[Time]],Summary!$B$6/1440)</f>
        <v>0.33333333333333331</v>
      </c>
      <c r="I66">
        <f>INDEX(PeakCalc!$L$10:$L$303,MATCH(tblPivotData[[#This Row],[Time]],PeakCalc!$G$10:$G$303,0))</f>
        <v>1</v>
      </c>
    </row>
    <row r="67" spans="1:9" x14ac:dyDescent="0.25">
      <c r="A67" t="s">
        <v>92</v>
      </c>
      <c r="B67" t="s">
        <v>98</v>
      </c>
      <c r="C67" t="s">
        <v>97</v>
      </c>
      <c r="D67" t="s">
        <v>79</v>
      </c>
      <c r="E67" t="s">
        <v>43</v>
      </c>
      <c r="F67" s="6">
        <v>0.34375</v>
      </c>
      <c r="G67">
        <v>53</v>
      </c>
      <c r="H67" s="6">
        <f>FLOOR(tblPivotData[[#This Row],[Time]],Summary!$B$6/1440)</f>
        <v>0.34375</v>
      </c>
      <c r="I67">
        <f>INDEX(PeakCalc!$L$10:$L$303,MATCH(tblPivotData[[#This Row],[Time]],PeakCalc!$G$10:$G$303,0))</f>
        <v>1</v>
      </c>
    </row>
    <row r="68" spans="1:9" x14ac:dyDescent="0.25">
      <c r="A68" t="s">
        <v>92</v>
      </c>
      <c r="B68" t="s">
        <v>98</v>
      </c>
      <c r="C68" t="s">
        <v>97</v>
      </c>
      <c r="D68" t="s">
        <v>79</v>
      </c>
      <c r="E68" t="s">
        <v>43</v>
      </c>
      <c r="F68" s="6">
        <v>0.35416666666666669</v>
      </c>
      <c r="G68">
        <v>43</v>
      </c>
      <c r="H68" s="6">
        <f>FLOOR(tblPivotData[[#This Row],[Time]],Summary!$B$6/1440)</f>
        <v>0.35416666666666663</v>
      </c>
      <c r="I68">
        <f>INDEX(PeakCalc!$L$10:$L$303,MATCH(tblPivotData[[#This Row],[Time]],PeakCalc!$G$10:$G$303,0))</f>
        <v>1</v>
      </c>
    </row>
    <row r="69" spans="1:9" x14ac:dyDescent="0.25">
      <c r="A69" t="s">
        <v>92</v>
      </c>
      <c r="B69" t="s">
        <v>98</v>
      </c>
      <c r="C69" t="s">
        <v>97</v>
      </c>
      <c r="D69" t="s">
        <v>79</v>
      </c>
      <c r="E69" t="s">
        <v>43</v>
      </c>
      <c r="F69" s="6">
        <v>0.36458333333333331</v>
      </c>
      <c r="G69">
        <v>25</v>
      </c>
      <c r="H69" s="6">
        <f>FLOOR(tblPivotData[[#This Row],[Time]],Summary!$B$6/1440)</f>
        <v>0.36458333333333331</v>
      </c>
      <c r="I69">
        <f>INDEX(PeakCalc!$L$10:$L$303,MATCH(tblPivotData[[#This Row],[Time]],PeakCalc!$G$10:$G$303,0))</f>
        <v>0</v>
      </c>
    </row>
    <row r="70" spans="1:9" x14ac:dyDescent="0.25">
      <c r="A70" t="s">
        <v>92</v>
      </c>
      <c r="B70" t="s">
        <v>98</v>
      </c>
      <c r="C70" t="s">
        <v>97</v>
      </c>
      <c r="D70" t="s">
        <v>79</v>
      </c>
      <c r="E70" t="s">
        <v>90</v>
      </c>
      <c r="F70" s="6">
        <v>0.54166666666666663</v>
      </c>
      <c r="G70">
        <v>27</v>
      </c>
      <c r="H70" s="6">
        <f>FLOOR(tblPivotData[[#This Row],[Time]],Summary!$B$6/1440)</f>
        <v>0.54166666666666663</v>
      </c>
      <c r="I70">
        <f>INDEX(PeakCalc!$L$10:$L$303,MATCH(tblPivotData[[#This Row],[Time]],PeakCalc!$G$10:$G$303,0))</f>
        <v>1</v>
      </c>
    </row>
    <row r="71" spans="1:9" x14ac:dyDescent="0.25">
      <c r="A71" t="s">
        <v>92</v>
      </c>
      <c r="B71" t="s">
        <v>98</v>
      </c>
      <c r="C71" t="s">
        <v>97</v>
      </c>
      <c r="D71" t="s">
        <v>79</v>
      </c>
      <c r="E71" t="s">
        <v>90</v>
      </c>
      <c r="F71" s="6">
        <v>0.55208333333333337</v>
      </c>
      <c r="G71">
        <v>28</v>
      </c>
      <c r="H71" s="6">
        <f>FLOOR(tblPivotData[[#This Row],[Time]],Summary!$B$6/1440)</f>
        <v>0.55208333333333326</v>
      </c>
      <c r="I71">
        <f>INDEX(PeakCalc!$L$10:$L$303,MATCH(tblPivotData[[#This Row],[Time]],PeakCalc!$G$10:$G$303,0))</f>
        <v>1</v>
      </c>
    </row>
    <row r="72" spans="1:9" x14ac:dyDescent="0.25">
      <c r="A72" t="s">
        <v>92</v>
      </c>
      <c r="B72" t="s">
        <v>98</v>
      </c>
      <c r="C72" t="s">
        <v>97</v>
      </c>
      <c r="D72" t="s">
        <v>79</v>
      </c>
      <c r="E72" t="s">
        <v>90</v>
      </c>
      <c r="F72" s="6">
        <v>0.5625</v>
      </c>
      <c r="G72">
        <v>33</v>
      </c>
      <c r="H72" s="6">
        <f>FLOOR(tblPivotData[[#This Row],[Time]],Summary!$B$6/1440)</f>
        <v>0.5625</v>
      </c>
      <c r="I72">
        <f>INDEX(PeakCalc!$L$10:$L$303,MATCH(tblPivotData[[#This Row],[Time]],PeakCalc!$G$10:$G$303,0))</f>
        <v>1</v>
      </c>
    </row>
    <row r="73" spans="1:9" x14ac:dyDescent="0.25">
      <c r="A73" t="s">
        <v>92</v>
      </c>
      <c r="B73" t="s">
        <v>98</v>
      </c>
      <c r="C73" t="s">
        <v>97</v>
      </c>
      <c r="D73" t="s">
        <v>79</v>
      </c>
      <c r="E73" t="s">
        <v>90</v>
      </c>
      <c r="F73" s="6">
        <v>0.57291666666666663</v>
      </c>
      <c r="G73">
        <v>30</v>
      </c>
      <c r="H73" s="6">
        <f>FLOOR(tblPivotData[[#This Row],[Time]],Summary!$B$6/1440)</f>
        <v>0.57291666666666663</v>
      </c>
      <c r="I73">
        <f>INDEX(PeakCalc!$L$10:$L$303,MATCH(tblPivotData[[#This Row],[Time]],PeakCalc!$G$10:$G$303,0))</f>
        <v>1</v>
      </c>
    </row>
    <row r="74" spans="1:9" x14ac:dyDescent="0.25">
      <c r="A74" t="s">
        <v>92</v>
      </c>
      <c r="B74" t="s">
        <v>98</v>
      </c>
      <c r="C74" t="s">
        <v>97</v>
      </c>
      <c r="D74" t="s">
        <v>79</v>
      </c>
      <c r="E74" t="s">
        <v>44</v>
      </c>
      <c r="F74" s="6">
        <v>0.66666666666666663</v>
      </c>
      <c r="G74">
        <v>38</v>
      </c>
      <c r="H74" s="6">
        <f>FLOOR(tblPivotData[[#This Row],[Time]],Summary!$B$6/1440)</f>
        <v>0.66666666666666663</v>
      </c>
      <c r="I74">
        <f>INDEX(PeakCalc!$L$10:$L$303,MATCH(tblPivotData[[#This Row],[Time]],PeakCalc!$G$10:$G$303,0))</f>
        <v>0</v>
      </c>
    </row>
    <row r="75" spans="1:9" x14ac:dyDescent="0.25">
      <c r="A75" t="s">
        <v>92</v>
      </c>
      <c r="B75" t="s">
        <v>98</v>
      </c>
      <c r="C75" t="s">
        <v>97</v>
      </c>
      <c r="D75" t="s">
        <v>79</v>
      </c>
      <c r="E75" t="s">
        <v>44</v>
      </c>
      <c r="F75" s="6">
        <v>0.67708333333333337</v>
      </c>
      <c r="G75">
        <v>24</v>
      </c>
      <c r="H75" s="6">
        <f>FLOOR(tblPivotData[[#This Row],[Time]],Summary!$B$6/1440)</f>
        <v>0.67708333333333326</v>
      </c>
      <c r="I75">
        <f>INDEX(PeakCalc!$L$10:$L$303,MATCH(tblPivotData[[#This Row],[Time]],PeakCalc!$G$10:$G$303,0))</f>
        <v>1</v>
      </c>
    </row>
    <row r="76" spans="1:9" x14ac:dyDescent="0.25">
      <c r="A76" t="s">
        <v>92</v>
      </c>
      <c r="B76" t="s">
        <v>98</v>
      </c>
      <c r="C76" t="s">
        <v>97</v>
      </c>
      <c r="D76" t="s">
        <v>79</v>
      </c>
      <c r="E76" t="s">
        <v>44</v>
      </c>
      <c r="F76" s="6">
        <v>0.6875</v>
      </c>
      <c r="G76">
        <v>33</v>
      </c>
      <c r="H76" s="6">
        <f>FLOOR(tblPivotData[[#This Row],[Time]],Summary!$B$6/1440)</f>
        <v>0.6875</v>
      </c>
      <c r="I76">
        <f>INDEX(PeakCalc!$L$10:$L$303,MATCH(tblPivotData[[#This Row],[Time]],PeakCalc!$G$10:$G$303,0))</f>
        <v>1</v>
      </c>
    </row>
    <row r="77" spans="1:9" x14ac:dyDescent="0.25">
      <c r="A77" t="s">
        <v>92</v>
      </c>
      <c r="B77" t="s">
        <v>98</v>
      </c>
      <c r="C77" t="s">
        <v>97</v>
      </c>
      <c r="D77" t="s">
        <v>79</v>
      </c>
      <c r="E77" t="s">
        <v>44</v>
      </c>
      <c r="F77" s="6">
        <v>0.69791666666666663</v>
      </c>
      <c r="G77">
        <v>48</v>
      </c>
      <c r="H77" s="6">
        <f>FLOOR(tblPivotData[[#This Row],[Time]],Summary!$B$6/1440)</f>
        <v>0.69791666666666663</v>
      </c>
      <c r="I77">
        <f>INDEX(PeakCalc!$L$10:$L$303,MATCH(tblPivotData[[#This Row],[Time]],PeakCalc!$G$10:$G$303,0))</f>
        <v>1</v>
      </c>
    </row>
    <row r="78" spans="1:9" x14ac:dyDescent="0.25">
      <c r="A78" t="s">
        <v>92</v>
      </c>
      <c r="B78" t="s">
        <v>98</v>
      </c>
      <c r="C78" t="s">
        <v>97</v>
      </c>
      <c r="D78" t="s">
        <v>79</v>
      </c>
      <c r="E78" t="s">
        <v>44</v>
      </c>
      <c r="F78" s="6">
        <v>0.70833333333333337</v>
      </c>
      <c r="G78">
        <v>55</v>
      </c>
      <c r="H78" s="6">
        <f>FLOOR(tblPivotData[[#This Row],[Time]],Summary!$B$6/1440)</f>
        <v>0.70833333333333326</v>
      </c>
      <c r="I78">
        <f>INDEX(PeakCalc!$L$10:$L$303,MATCH(tblPivotData[[#This Row],[Time]],PeakCalc!$G$10:$G$303,0))</f>
        <v>1</v>
      </c>
    </row>
    <row r="79" spans="1:9" x14ac:dyDescent="0.25">
      <c r="A79" t="s">
        <v>92</v>
      </c>
      <c r="B79" t="s">
        <v>98</v>
      </c>
      <c r="C79" t="s">
        <v>97</v>
      </c>
      <c r="D79" t="s">
        <v>79</v>
      </c>
      <c r="E79" t="s">
        <v>44</v>
      </c>
      <c r="F79" s="6">
        <v>0.71875</v>
      </c>
      <c r="G79">
        <v>39</v>
      </c>
      <c r="H79" s="6">
        <f>FLOOR(tblPivotData[[#This Row],[Time]],Summary!$B$6/1440)</f>
        <v>0.71875</v>
      </c>
      <c r="I79">
        <f>INDEX(PeakCalc!$L$10:$L$303,MATCH(tblPivotData[[#This Row],[Time]],PeakCalc!$G$10:$G$303,0))</f>
        <v>0</v>
      </c>
    </row>
    <row r="80" spans="1:9" x14ac:dyDescent="0.25">
      <c r="A80" t="s">
        <v>92</v>
      </c>
      <c r="B80" t="s">
        <v>98</v>
      </c>
      <c r="C80" t="s">
        <v>97</v>
      </c>
      <c r="D80" t="s">
        <v>79</v>
      </c>
      <c r="E80" t="s">
        <v>44</v>
      </c>
      <c r="F80" s="6">
        <v>0.72916666666666663</v>
      </c>
      <c r="G80">
        <v>39</v>
      </c>
      <c r="H80" s="6">
        <f>FLOOR(tblPivotData[[#This Row],[Time]],Summary!$B$6/1440)</f>
        <v>0.72916666666666663</v>
      </c>
      <c r="I80">
        <f>INDEX(PeakCalc!$L$10:$L$303,MATCH(tblPivotData[[#This Row],[Time]],PeakCalc!$G$10:$G$303,0))</f>
        <v>0</v>
      </c>
    </row>
    <row r="81" spans="1:9" x14ac:dyDescent="0.25">
      <c r="A81" t="s">
        <v>92</v>
      </c>
      <c r="B81" t="s">
        <v>98</v>
      </c>
      <c r="C81" t="s">
        <v>97</v>
      </c>
      <c r="D81" t="s">
        <v>79</v>
      </c>
      <c r="E81" t="s">
        <v>44</v>
      </c>
      <c r="F81" s="6">
        <v>0.73958333333333337</v>
      </c>
      <c r="G81">
        <v>30</v>
      </c>
      <c r="H81" s="6">
        <f>FLOOR(tblPivotData[[#This Row],[Time]],Summary!$B$6/1440)</f>
        <v>0.73958333333333326</v>
      </c>
      <c r="I81">
        <f>INDEX(PeakCalc!$L$10:$L$303,MATCH(tblPivotData[[#This Row],[Time]],PeakCalc!$G$10:$G$303,0))</f>
        <v>0</v>
      </c>
    </row>
    <row r="82" spans="1:9" x14ac:dyDescent="0.25">
      <c r="A82" t="s">
        <v>92</v>
      </c>
      <c r="B82" t="s">
        <v>98</v>
      </c>
      <c r="C82" t="s">
        <v>97</v>
      </c>
      <c r="D82" t="s">
        <v>88</v>
      </c>
      <c r="E82" t="s">
        <v>43</v>
      </c>
      <c r="F82" s="6">
        <v>0.29166666666666669</v>
      </c>
      <c r="G82">
        <v>2</v>
      </c>
      <c r="H82" s="6">
        <f>FLOOR(tblPivotData[[#This Row],[Time]],Summary!$B$6/1440)</f>
        <v>0.29166666666666663</v>
      </c>
      <c r="I82">
        <f>INDEX(PeakCalc!$L$10:$L$303,MATCH(tblPivotData[[#This Row],[Time]],PeakCalc!$G$10:$G$303,0))</f>
        <v>0</v>
      </c>
    </row>
    <row r="83" spans="1:9" x14ac:dyDescent="0.25">
      <c r="A83" t="s">
        <v>92</v>
      </c>
      <c r="B83" t="s">
        <v>98</v>
      </c>
      <c r="C83" t="s">
        <v>97</v>
      </c>
      <c r="D83" t="s">
        <v>88</v>
      </c>
      <c r="E83" t="s">
        <v>43</v>
      </c>
      <c r="F83" s="6">
        <v>0.30208333333333331</v>
      </c>
      <c r="G83">
        <v>5</v>
      </c>
      <c r="H83" s="6">
        <f>FLOOR(tblPivotData[[#This Row],[Time]],Summary!$B$6/1440)</f>
        <v>0.30208333333333331</v>
      </c>
      <c r="I83">
        <f>INDEX(PeakCalc!$L$10:$L$303,MATCH(tblPivotData[[#This Row],[Time]],PeakCalc!$G$10:$G$303,0))</f>
        <v>0</v>
      </c>
    </row>
    <row r="84" spans="1:9" x14ac:dyDescent="0.25">
      <c r="A84" t="s">
        <v>92</v>
      </c>
      <c r="B84" t="s">
        <v>98</v>
      </c>
      <c r="C84" t="s">
        <v>97</v>
      </c>
      <c r="D84" t="s">
        <v>88</v>
      </c>
      <c r="E84" t="s">
        <v>43</v>
      </c>
      <c r="F84" s="6">
        <v>0.3125</v>
      </c>
      <c r="G84">
        <v>5</v>
      </c>
      <c r="H84" s="6">
        <f>FLOOR(tblPivotData[[#This Row],[Time]],Summary!$B$6/1440)</f>
        <v>0.3125</v>
      </c>
      <c r="I84">
        <f>INDEX(PeakCalc!$L$10:$L$303,MATCH(tblPivotData[[#This Row],[Time]],PeakCalc!$G$10:$G$303,0))</f>
        <v>0</v>
      </c>
    </row>
    <row r="85" spans="1:9" x14ac:dyDescent="0.25">
      <c r="A85" t="s">
        <v>92</v>
      </c>
      <c r="B85" t="s">
        <v>98</v>
      </c>
      <c r="C85" t="s">
        <v>97</v>
      </c>
      <c r="D85" t="s">
        <v>88</v>
      </c>
      <c r="E85" t="s">
        <v>43</v>
      </c>
      <c r="F85" s="6">
        <v>0.32291666666666669</v>
      </c>
      <c r="G85">
        <v>1</v>
      </c>
      <c r="H85" s="6">
        <f>FLOOR(tblPivotData[[#This Row],[Time]],Summary!$B$6/1440)</f>
        <v>0.32291666666666663</v>
      </c>
      <c r="I85">
        <f>INDEX(PeakCalc!$L$10:$L$303,MATCH(tblPivotData[[#This Row],[Time]],PeakCalc!$G$10:$G$303,0))</f>
        <v>1</v>
      </c>
    </row>
    <row r="86" spans="1:9" x14ac:dyDescent="0.25">
      <c r="A86" t="s">
        <v>92</v>
      </c>
      <c r="B86" t="s">
        <v>98</v>
      </c>
      <c r="C86" t="s">
        <v>97</v>
      </c>
      <c r="D86" t="s">
        <v>88</v>
      </c>
      <c r="E86" t="s">
        <v>43</v>
      </c>
      <c r="F86" s="6">
        <v>0.33333333333333331</v>
      </c>
      <c r="G86">
        <v>4</v>
      </c>
      <c r="H86" s="6">
        <f>FLOOR(tblPivotData[[#This Row],[Time]],Summary!$B$6/1440)</f>
        <v>0.33333333333333331</v>
      </c>
      <c r="I86">
        <f>INDEX(PeakCalc!$L$10:$L$303,MATCH(tblPivotData[[#This Row],[Time]],PeakCalc!$G$10:$G$303,0))</f>
        <v>1</v>
      </c>
    </row>
    <row r="87" spans="1:9" x14ac:dyDescent="0.25">
      <c r="A87" t="s">
        <v>92</v>
      </c>
      <c r="B87" t="s">
        <v>98</v>
      </c>
      <c r="C87" t="s">
        <v>97</v>
      </c>
      <c r="D87" t="s">
        <v>88</v>
      </c>
      <c r="E87" t="s">
        <v>43</v>
      </c>
      <c r="F87" s="6">
        <v>0.34375</v>
      </c>
      <c r="G87">
        <v>3</v>
      </c>
      <c r="H87" s="6">
        <f>FLOOR(tblPivotData[[#This Row],[Time]],Summary!$B$6/1440)</f>
        <v>0.34375</v>
      </c>
      <c r="I87">
        <f>INDEX(PeakCalc!$L$10:$L$303,MATCH(tblPivotData[[#This Row],[Time]],PeakCalc!$G$10:$G$303,0))</f>
        <v>1</v>
      </c>
    </row>
    <row r="88" spans="1:9" x14ac:dyDescent="0.25">
      <c r="A88" t="s">
        <v>92</v>
      </c>
      <c r="B88" t="s">
        <v>98</v>
      </c>
      <c r="C88" t="s">
        <v>97</v>
      </c>
      <c r="D88" t="s">
        <v>88</v>
      </c>
      <c r="E88" t="s">
        <v>43</v>
      </c>
      <c r="F88" s="6">
        <v>0.35416666666666669</v>
      </c>
      <c r="G88">
        <v>3</v>
      </c>
      <c r="H88" s="6">
        <f>FLOOR(tblPivotData[[#This Row],[Time]],Summary!$B$6/1440)</f>
        <v>0.35416666666666663</v>
      </c>
      <c r="I88">
        <f>INDEX(PeakCalc!$L$10:$L$303,MATCH(tblPivotData[[#This Row],[Time]],PeakCalc!$G$10:$G$303,0))</f>
        <v>1</v>
      </c>
    </row>
    <row r="89" spans="1:9" x14ac:dyDescent="0.25">
      <c r="A89" t="s">
        <v>92</v>
      </c>
      <c r="B89" t="s">
        <v>98</v>
      </c>
      <c r="C89" t="s">
        <v>97</v>
      </c>
      <c r="D89" t="s">
        <v>88</v>
      </c>
      <c r="E89" t="s">
        <v>43</v>
      </c>
      <c r="F89" s="6">
        <v>0.36458333333333331</v>
      </c>
      <c r="G89">
        <v>3</v>
      </c>
      <c r="H89" s="6">
        <f>FLOOR(tblPivotData[[#This Row],[Time]],Summary!$B$6/1440)</f>
        <v>0.36458333333333331</v>
      </c>
      <c r="I89">
        <f>INDEX(PeakCalc!$L$10:$L$303,MATCH(tblPivotData[[#This Row],[Time]],PeakCalc!$G$10:$G$303,0))</f>
        <v>0</v>
      </c>
    </row>
    <row r="90" spans="1:9" x14ac:dyDescent="0.25">
      <c r="A90" t="s">
        <v>92</v>
      </c>
      <c r="B90" t="s">
        <v>98</v>
      </c>
      <c r="C90" t="s">
        <v>97</v>
      </c>
      <c r="D90" t="s">
        <v>88</v>
      </c>
      <c r="E90" t="s">
        <v>90</v>
      </c>
      <c r="F90" s="6">
        <v>0.54166666666666663</v>
      </c>
      <c r="G90">
        <v>1</v>
      </c>
      <c r="H90" s="6">
        <f>FLOOR(tblPivotData[[#This Row],[Time]],Summary!$B$6/1440)</f>
        <v>0.54166666666666663</v>
      </c>
      <c r="I90">
        <f>INDEX(PeakCalc!$L$10:$L$303,MATCH(tblPivotData[[#This Row],[Time]],PeakCalc!$G$10:$G$303,0))</f>
        <v>1</v>
      </c>
    </row>
    <row r="91" spans="1:9" x14ac:dyDescent="0.25">
      <c r="A91" t="s">
        <v>92</v>
      </c>
      <c r="B91" t="s">
        <v>98</v>
      </c>
      <c r="C91" t="s">
        <v>97</v>
      </c>
      <c r="D91" t="s">
        <v>88</v>
      </c>
      <c r="E91" t="s">
        <v>90</v>
      </c>
      <c r="F91" s="6">
        <v>0.55208333333333337</v>
      </c>
      <c r="G91">
        <v>4</v>
      </c>
      <c r="H91" s="6">
        <f>FLOOR(tblPivotData[[#This Row],[Time]],Summary!$B$6/1440)</f>
        <v>0.55208333333333326</v>
      </c>
      <c r="I91">
        <f>INDEX(PeakCalc!$L$10:$L$303,MATCH(tblPivotData[[#This Row],[Time]],PeakCalc!$G$10:$G$303,0))</f>
        <v>1</v>
      </c>
    </row>
    <row r="92" spans="1:9" x14ac:dyDescent="0.25">
      <c r="A92" t="s">
        <v>92</v>
      </c>
      <c r="B92" t="s">
        <v>98</v>
      </c>
      <c r="C92" t="s">
        <v>97</v>
      </c>
      <c r="D92" t="s">
        <v>88</v>
      </c>
      <c r="E92" t="s">
        <v>90</v>
      </c>
      <c r="F92" s="6">
        <v>0.5625</v>
      </c>
      <c r="G92">
        <v>1</v>
      </c>
      <c r="H92" s="6">
        <f>FLOOR(tblPivotData[[#This Row],[Time]],Summary!$B$6/1440)</f>
        <v>0.5625</v>
      </c>
      <c r="I92">
        <f>INDEX(PeakCalc!$L$10:$L$303,MATCH(tblPivotData[[#This Row],[Time]],PeakCalc!$G$10:$G$303,0))</f>
        <v>1</v>
      </c>
    </row>
    <row r="93" spans="1:9" x14ac:dyDescent="0.25">
      <c r="A93" t="s">
        <v>92</v>
      </c>
      <c r="B93" t="s">
        <v>98</v>
      </c>
      <c r="C93" t="s">
        <v>97</v>
      </c>
      <c r="D93" t="s">
        <v>88</v>
      </c>
      <c r="E93" t="s">
        <v>90</v>
      </c>
      <c r="F93" s="6">
        <v>0.57291666666666663</v>
      </c>
      <c r="G93">
        <v>0</v>
      </c>
      <c r="H93" s="6">
        <f>FLOOR(tblPivotData[[#This Row],[Time]],Summary!$B$6/1440)</f>
        <v>0.57291666666666663</v>
      </c>
      <c r="I93">
        <f>INDEX(PeakCalc!$L$10:$L$303,MATCH(tblPivotData[[#This Row],[Time]],PeakCalc!$G$10:$G$303,0))</f>
        <v>1</v>
      </c>
    </row>
    <row r="94" spans="1:9" x14ac:dyDescent="0.25">
      <c r="A94" t="s">
        <v>92</v>
      </c>
      <c r="B94" t="s">
        <v>98</v>
      </c>
      <c r="C94" t="s">
        <v>97</v>
      </c>
      <c r="D94" t="s">
        <v>88</v>
      </c>
      <c r="E94" t="s">
        <v>44</v>
      </c>
      <c r="F94" s="6">
        <v>0.66666666666666663</v>
      </c>
      <c r="G94">
        <v>2</v>
      </c>
      <c r="H94" s="6">
        <f>FLOOR(tblPivotData[[#This Row],[Time]],Summary!$B$6/1440)</f>
        <v>0.66666666666666663</v>
      </c>
      <c r="I94">
        <f>INDEX(PeakCalc!$L$10:$L$303,MATCH(tblPivotData[[#This Row],[Time]],PeakCalc!$G$10:$G$303,0))</f>
        <v>0</v>
      </c>
    </row>
    <row r="95" spans="1:9" x14ac:dyDescent="0.25">
      <c r="A95" t="s">
        <v>92</v>
      </c>
      <c r="B95" t="s">
        <v>98</v>
      </c>
      <c r="C95" t="s">
        <v>97</v>
      </c>
      <c r="D95" t="s">
        <v>88</v>
      </c>
      <c r="E95" t="s">
        <v>44</v>
      </c>
      <c r="F95" s="6">
        <v>0.67708333333333337</v>
      </c>
      <c r="G95">
        <v>3</v>
      </c>
      <c r="H95" s="6">
        <f>FLOOR(tblPivotData[[#This Row],[Time]],Summary!$B$6/1440)</f>
        <v>0.67708333333333326</v>
      </c>
      <c r="I95">
        <f>INDEX(PeakCalc!$L$10:$L$303,MATCH(tblPivotData[[#This Row],[Time]],PeakCalc!$G$10:$G$303,0))</f>
        <v>1</v>
      </c>
    </row>
    <row r="96" spans="1:9" x14ac:dyDescent="0.25">
      <c r="A96" t="s">
        <v>92</v>
      </c>
      <c r="B96" t="s">
        <v>98</v>
      </c>
      <c r="C96" t="s">
        <v>97</v>
      </c>
      <c r="D96" t="s">
        <v>88</v>
      </c>
      <c r="E96" t="s">
        <v>44</v>
      </c>
      <c r="F96" s="6">
        <v>0.6875</v>
      </c>
      <c r="G96">
        <v>0</v>
      </c>
      <c r="H96" s="6">
        <f>FLOOR(tblPivotData[[#This Row],[Time]],Summary!$B$6/1440)</f>
        <v>0.6875</v>
      </c>
      <c r="I96">
        <f>INDEX(PeakCalc!$L$10:$L$303,MATCH(tblPivotData[[#This Row],[Time]],PeakCalc!$G$10:$G$303,0))</f>
        <v>1</v>
      </c>
    </row>
    <row r="97" spans="1:9" x14ac:dyDescent="0.25">
      <c r="A97" t="s">
        <v>92</v>
      </c>
      <c r="B97" t="s">
        <v>98</v>
      </c>
      <c r="C97" t="s">
        <v>97</v>
      </c>
      <c r="D97" t="s">
        <v>88</v>
      </c>
      <c r="E97" t="s">
        <v>44</v>
      </c>
      <c r="F97" s="6">
        <v>0.69791666666666663</v>
      </c>
      <c r="G97">
        <v>1</v>
      </c>
      <c r="H97" s="6">
        <f>FLOOR(tblPivotData[[#This Row],[Time]],Summary!$B$6/1440)</f>
        <v>0.69791666666666663</v>
      </c>
      <c r="I97">
        <f>INDEX(PeakCalc!$L$10:$L$303,MATCH(tblPivotData[[#This Row],[Time]],PeakCalc!$G$10:$G$303,0))</f>
        <v>1</v>
      </c>
    </row>
    <row r="98" spans="1:9" x14ac:dyDescent="0.25">
      <c r="A98" t="s">
        <v>92</v>
      </c>
      <c r="B98" t="s">
        <v>98</v>
      </c>
      <c r="C98" t="s">
        <v>97</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92</v>
      </c>
      <c r="B99" t="s">
        <v>98</v>
      </c>
      <c r="C99" t="s">
        <v>97</v>
      </c>
      <c r="D99" t="s">
        <v>88</v>
      </c>
      <c r="E99" t="s">
        <v>44</v>
      </c>
      <c r="F99" s="6">
        <v>0.71875</v>
      </c>
      <c r="G99">
        <v>0</v>
      </c>
      <c r="H99" s="6">
        <f>FLOOR(tblPivotData[[#This Row],[Time]],Summary!$B$6/1440)</f>
        <v>0.71875</v>
      </c>
      <c r="I99">
        <f>INDEX(PeakCalc!$L$10:$L$303,MATCH(tblPivotData[[#This Row],[Time]],PeakCalc!$G$10:$G$303,0))</f>
        <v>0</v>
      </c>
    </row>
    <row r="100" spans="1:9" x14ac:dyDescent="0.25">
      <c r="A100" t="s">
        <v>92</v>
      </c>
      <c r="B100" t="s">
        <v>98</v>
      </c>
      <c r="C100" t="s">
        <v>97</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98</v>
      </c>
      <c r="C101" t="s">
        <v>97</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98</v>
      </c>
      <c r="C102" t="s">
        <v>97</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98</v>
      </c>
      <c r="C103" t="s">
        <v>97</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98</v>
      </c>
      <c r="C104" t="s">
        <v>97</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98</v>
      </c>
      <c r="C105" t="s">
        <v>97</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98</v>
      </c>
      <c r="C106" t="s">
        <v>97</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98</v>
      </c>
      <c r="C107" t="s">
        <v>97</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98</v>
      </c>
      <c r="C108" t="s">
        <v>97</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98</v>
      </c>
      <c r="C109" t="s">
        <v>97</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98</v>
      </c>
      <c r="C110" t="s">
        <v>97</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98</v>
      </c>
      <c r="C111" t="s">
        <v>97</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98</v>
      </c>
      <c r="C112" t="s">
        <v>97</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98</v>
      </c>
      <c r="C113" t="s">
        <v>97</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98</v>
      </c>
      <c r="C114" t="s">
        <v>97</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98</v>
      </c>
      <c r="C115" t="s">
        <v>97</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98</v>
      </c>
      <c r="C116" t="s">
        <v>97</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98</v>
      </c>
      <c r="C117" t="s">
        <v>97</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98</v>
      </c>
      <c r="C118" t="s">
        <v>97</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98</v>
      </c>
      <c r="C119" t="s">
        <v>97</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98</v>
      </c>
      <c r="C120" t="s">
        <v>97</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98</v>
      </c>
      <c r="C121" t="s">
        <v>97</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91</v>
      </c>
      <c r="C122" t="s">
        <v>92</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25">
      <c r="A123" t="s">
        <v>92</v>
      </c>
      <c r="B123" t="s">
        <v>91</v>
      </c>
      <c r="C123" t="s">
        <v>92</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25">
      <c r="A124" t="s">
        <v>92</v>
      </c>
      <c r="B124" t="s">
        <v>91</v>
      </c>
      <c r="C124" t="s">
        <v>92</v>
      </c>
      <c r="D124" t="s">
        <v>79</v>
      </c>
      <c r="E124" t="s">
        <v>43</v>
      </c>
      <c r="F124" s="6">
        <v>0.3125</v>
      </c>
      <c r="G124">
        <v>0</v>
      </c>
      <c r="H124" s="6">
        <f>FLOOR(tblPivotData[[#This Row],[Time]],Summary!$B$6/1440)</f>
        <v>0.3125</v>
      </c>
      <c r="I124">
        <f>INDEX(PeakCalc!$L$10:$L$303,MATCH(tblPivotData[[#This Row],[Time]],PeakCalc!$G$10:$G$303,0))</f>
        <v>0</v>
      </c>
    </row>
    <row r="125" spans="1:9" x14ac:dyDescent="0.25">
      <c r="A125" t="s">
        <v>92</v>
      </c>
      <c r="B125" t="s">
        <v>91</v>
      </c>
      <c r="C125" t="s">
        <v>92</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25">
      <c r="A126" t="s">
        <v>92</v>
      </c>
      <c r="B126" t="s">
        <v>91</v>
      </c>
      <c r="C126" t="s">
        <v>92</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25">
      <c r="A127" t="s">
        <v>92</v>
      </c>
      <c r="B127" t="s">
        <v>91</v>
      </c>
      <c r="C127" t="s">
        <v>92</v>
      </c>
      <c r="D127" t="s">
        <v>79</v>
      </c>
      <c r="E127" t="s">
        <v>43</v>
      </c>
      <c r="F127" s="6">
        <v>0.34375</v>
      </c>
      <c r="G127">
        <v>0</v>
      </c>
      <c r="H127" s="6">
        <f>FLOOR(tblPivotData[[#This Row],[Time]],Summary!$B$6/1440)</f>
        <v>0.34375</v>
      </c>
      <c r="I127">
        <f>INDEX(PeakCalc!$L$10:$L$303,MATCH(tblPivotData[[#This Row],[Time]],PeakCalc!$G$10:$G$303,0))</f>
        <v>1</v>
      </c>
    </row>
    <row r="128" spans="1:9" x14ac:dyDescent="0.25">
      <c r="A128" t="s">
        <v>92</v>
      </c>
      <c r="B128" t="s">
        <v>91</v>
      </c>
      <c r="C128" t="s">
        <v>92</v>
      </c>
      <c r="D128" t="s">
        <v>79</v>
      </c>
      <c r="E128" t="s">
        <v>43</v>
      </c>
      <c r="F128" s="6">
        <v>0.35416666666666669</v>
      </c>
      <c r="G128">
        <v>0</v>
      </c>
      <c r="H128" s="6">
        <f>FLOOR(tblPivotData[[#This Row],[Time]],Summary!$B$6/1440)</f>
        <v>0.35416666666666663</v>
      </c>
      <c r="I128">
        <f>INDEX(PeakCalc!$L$10:$L$303,MATCH(tblPivotData[[#This Row],[Time]],PeakCalc!$G$10:$G$303,0))</f>
        <v>1</v>
      </c>
    </row>
    <row r="129" spans="1:9" x14ac:dyDescent="0.25">
      <c r="A129" t="s">
        <v>92</v>
      </c>
      <c r="B129" t="s">
        <v>91</v>
      </c>
      <c r="C129" t="s">
        <v>92</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25">
      <c r="A130" t="s">
        <v>92</v>
      </c>
      <c r="B130" t="s">
        <v>91</v>
      </c>
      <c r="C130" t="s">
        <v>92</v>
      </c>
      <c r="D130" t="s">
        <v>79</v>
      </c>
      <c r="E130" t="s">
        <v>90</v>
      </c>
      <c r="F130" s="6">
        <v>0.54166666666666663</v>
      </c>
      <c r="G130">
        <v>0</v>
      </c>
      <c r="H130" s="6">
        <f>FLOOR(tblPivotData[[#This Row],[Time]],Summary!$B$6/1440)</f>
        <v>0.54166666666666663</v>
      </c>
      <c r="I130">
        <f>INDEX(PeakCalc!$L$10:$L$303,MATCH(tblPivotData[[#This Row],[Time]],PeakCalc!$G$10:$G$303,0))</f>
        <v>1</v>
      </c>
    </row>
    <row r="131" spans="1:9" x14ac:dyDescent="0.25">
      <c r="A131" t="s">
        <v>92</v>
      </c>
      <c r="B131" t="s">
        <v>91</v>
      </c>
      <c r="C131" t="s">
        <v>92</v>
      </c>
      <c r="D131" t="s">
        <v>79</v>
      </c>
      <c r="E131" t="s">
        <v>90</v>
      </c>
      <c r="F131" s="6">
        <v>0.55208333333333337</v>
      </c>
      <c r="G131">
        <v>1</v>
      </c>
      <c r="H131" s="6">
        <f>FLOOR(tblPivotData[[#This Row],[Time]],Summary!$B$6/1440)</f>
        <v>0.55208333333333326</v>
      </c>
      <c r="I131">
        <f>INDEX(PeakCalc!$L$10:$L$303,MATCH(tblPivotData[[#This Row],[Time]],PeakCalc!$G$10:$G$303,0))</f>
        <v>1</v>
      </c>
    </row>
    <row r="132" spans="1:9" x14ac:dyDescent="0.25">
      <c r="A132" t="s">
        <v>92</v>
      </c>
      <c r="B132" t="s">
        <v>91</v>
      </c>
      <c r="C132" t="s">
        <v>92</v>
      </c>
      <c r="D132" t="s">
        <v>79</v>
      </c>
      <c r="E132" t="s">
        <v>90</v>
      </c>
      <c r="F132" s="6">
        <v>0.5625</v>
      </c>
      <c r="G132">
        <v>0</v>
      </c>
      <c r="H132" s="6">
        <f>FLOOR(tblPivotData[[#This Row],[Time]],Summary!$B$6/1440)</f>
        <v>0.5625</v>
      </c>
      <c r="I132">
        <f>INDEX(PeakCalc!$L$10:$L$303,MATCH(tblPivotData[[#This Row],[Time]],PeakCalc!$G$10:$G$303,0))</f>
        <v>1</v>
      </c>
    </row>
    <row r="133" spans="1:9" x14ac:dyDescent="0.25">
      <c r="A133" t="s">
        <v>92</v>
      </c>
      <c r="B133" t="s">
        <v>91</v>
      </c>
      <c r="C133" t="s">
        <v>92</v>
      </c>
      <c r="D133" t="s">
        <v>79</v>
      </c>
      <c r="E133" t="s">
        <v>90</v>
      </c>
      <c r="F133" s="6">
        <v>0.57291666666666663</v>
      </c>
      <c r="G133">
        <v>0</v>
      </c>
      <c r="H133" s="6">
        <f>FLOOR(tblPivotData[[#This Row],[Time]],Summary!$B$6/1440)</f>
        <v>0.57291666666666663</v>
      </c>
      <c r="I133">
        <f>INDEX(PeakCalc!$L$10:$L$303,MATCH(tblPivotData[[#This Row],[Time]],PeakCalc!$G$10:$G$303,0))</f>
        <v>1</v>
      </c>
    </row>
    <row r="134" spans="1:9" x14ac:dyDescent="0.25">
      <c r="A134" t="s">
        <v>92</v>
      </c>
      <c r="B134" t="s">
        <v>91</v>
      </c>
      <c r="C134" t="s">
        <v>92</v>
      </c>
      <c r="D134" t="s">
        <v>79</v>
      </c>
      <c r="E134" t="s">
        <v>44</v>
      </c>
      <c r="F134" s="6">
        <v>0.66666666666666663</v>
      </c>
      <c r="G134">
        <v>1</v>
      </c>
      <c r="H134" s="6">
        <f>FLOOR(tblPivotData[[#This Row],[Time]],Summary!$B$6/1440)</f>
        <v>0.66666666666666663</v>
      </c>
      <c r="I134">
        <f>INDEX(PeakCalc!$L$10:$L$303,MATCH(tblPivotData[[#This Row],[Time]],PeakCalc!$G$10:$G$303,0))</f>
        <v>0</v>
      </c>
    </row>
    <row r="135" spans="1:9" x14ac:dyDescent="0.25">
      <c r="A135" t="s">
        <v>92</v>
      </c>
      <c r="B135" t="s">
        <v>91</v>
      </c>
      <c r="C135" t="s">
        <v>92</v>
      </c>
      <c r="D135" t="s">
        <v>79</v>
      </c>
      <c r="E135" t="s">
        <v>44</v>
      </c>
      <c r="F135" s="6">
        <v>0.67708333333333337</v>
      </c>
      <c r="G135">
        <v>0</v>
      </c>
      <c r="H135" s="6">
        <f>FLOOR(tblPivotData[[#This Row],[Time]],Summary!$B$6/1440)</f>
        <v>0.67708333333333326</v>
      </c>
      <c r="I135">
        <f>INDEX(PeakCalc!$L$10:$L$303,MATCH(tblPivotData[[#This Row],[Time]],PeakCalc!$G$10:$G$303,0))</f>
        <v>1</v>
      </c>
    </row>
    <row r="136" spans="1:9" x14ac:dyDescent="0.25">
      <c r="A136" t="s">
        <v>92</v>
      </c>
      <c r="B136" t="s">
        <v>91</v>
      </c>
      <c r="C136" t="s">
        <v>92</v>
      </c>
      <c r="D136" t="s">
        <v>79</v>
      </c>
      <c r="E136" t="s">
        <v>44</v>
      </c>
      <c r="F136" s="6">
        <v>0.6875</v>
      </c>
      <c r="G136">
        <v>0</v>
      </c>
      <c r="H136" s="6">
        <f>FLOOR(tblPivotData[[#This Row],[Time]],Summary!$B$6/1440)</f>
        <v>0.6875</v>
      </c>
      <c r="I136">
        <f>INDEX(PeakCalc!$L$10:$L$303,MATCH(tblPivotData[[#This Row],[Time]],PeakCalc!$G$10:$G$303,0))</f>
        <v>1</v>
      </c>
    </row>
    <row r="137" spans="1:9" x14ac:dyDescent="0.25">
      <c r="A137" t="s">
        <v>92</v>
      </c>
      <c r="B137" t="s">
        <v>91</v>
      </c>
      <c r="C137" t="s">
        <v>92</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25">
      <c r="A138" t="s">
        <v>92</v>
      </c>
      <c r="B138" t="s">
        <v>91</v>
      </c>
      <c r="C138" t="s">
        <v>92</v>
      </c>
      <c r="D138" t="s">
        <v>79</v>
      </c>
      <c r="E138" t="s">
        <v>44</v>
      </c>
      <c r="F138" s="6">
        <v>0.70833333333333337</v>
      </c>
      <c r="G138">
        <v>1</v>
      </c>
      <c r="H138" s="6">
        <f>FLOOR(tblPivotData[[#This Row],[Time]],Summary!$B$6/1440)</f>
        <v>0.70833333333333326</v>
      </c>
      <c r="I138">
        <f>INDEX(PeakCalc!$L$10:$L$303,MATCH(tblPivotData[[#This Row],[Time]],PeakCalc!$G$10:$G$303,0))</f>
        <v>1</v>
      </c>
    </row>
    <row r="139" spans="1:9" x14ac:dyDescent="0.25">
      <c r="A139" t="s">
        <v>92</v>
      </c>
      <c r="B139" t="s">
        <v>91</v>
      </c>
      <c r="C139" t="s">
        <v>92</v>
      </c>
      <c r="D139" t="s">
        <v>79</v>
      </c>
      <c r="E139" t="s">
        <v>44</v>
      </c>
      <c r="F139" s="6">
        <v>0.71875</v>
      </c>
      <c r="G139">
        <v>0</v>
      </c>
      <c r="H139" s="6">
        <f>FLOOR(tblPivotData[[#This Row],[Time]],Summary!$B$6/1440)</f>
        <v>0.71875</v>
      </c>
      <c r="I139">
        <f>INDEX(PeakCalc!$L$10:$L$303,MATCH(tblPivotData[[#This Row],[Time]],PeakCalc!$G$10:$G$303,0))</f>
        <v>0</v>
      </c>
    </row>
    <row r="140" spans="1:9" x14ac:dyDescent="0.25">
      <c r="A140" t="s">
        <v>92</v>
      </c>
      <c r="B140" t="s">
        <v>91</v>
      </c>
      <c r="C140" t="s">
        <v>92</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25">
      <c r="A141" t="s">
        <v>92</v>
      </c>
      <c r="B141" t="s">
        <v>91</v>
      </c>
      <c r="C141" t="s">
        <v>92</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25">
      <c r="A142" t="s">
        <v>92</v>
      </c>
      <c r="B142" t="s">
        <v>91</v>
      </c>
      <c r="C142" t="s">
        <v>92</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92</v>
      </c>
      <c r="B143" t="s">
        <v>91</v>
      </c>
      <c r="C143" t="s">
        <v>92</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91</v>
      </c>
      <c r="C144" t="s">
        <v>92</v>
      </c>
      <c r="D144" t="s">
        <v>88</v>
      </c>
      <c r="E144" t="s">
        <v>43</v>
      </c>
      <c r="F144" s="6">
        <v>0.3125</v>
      </c>
      <c r="G144">
        <v>0</v>
      </c>
      <c r="H144" s="6">
        <f>FLOOR(tblPivotData[[#This Row],[Time]],Summary!$B$6/1440)</f>
        <v>0.3125</v>
      </c>
      <c r="I144">
        <f>INDEX(PeakCalc!$L$10:$L$303,MATCH(tblPivotData[[#This Row],[Time]],PeakCalc!$G$10:$G$303,0))</f>
        <v>0</v>
      </c>
    </row>
    <row r="145" spans="1:9" x14ac:dyDescent="0.25">
      <c r="A145" t="s">
        <v>92</v>
      </c>
      <c r="B145" t="s">
        <v>91</v>
      </c>
      <c r="C145" t="s">
        <v>92</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92</v>
      </c>
      <c r="B146" t="s">
        <v>91</v>
      </c>
      <c r="C146" t="s">
        <v>92</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91</v>
      </c>
      <c r="C147" t="s">
        <v>92</v>
      </c>
      <c r="D147" t="s">
        <v>88</v>
      </c>
      <c r="E147" t="s">
        <v>43</v>
      </c>
      <c r="F147" s="6">
        <v>0.34375</v>
      </c>
      <c r="G147">
        <v>0</v>
      </c>
      <c r="H147" s="6">
        <f>FLOOR(tblPivotData[[#This Row],[Time]],Summary!$B$6/1440)</f>
        <v>0.34375</v>
      </c>
      <c r="I147">
        <f>INDEX(PeakCalc!$L$10:$L$303,MATCH(tblPivotData[[#This Row],[Time]],PeakCalc!$G$10:$G$303,0))</f>
        <v>1</v>
      </c>
    </row>
    <row r="148" spans="1:9" x14ac:dyDescent="0.25">
      <c r="A148" t="s">
        <v>92</v>
      </c>
      <c r="B148" t="s">
        <v>91</v>
      </c>
      <c r="C148" t="s">
        <v>92</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92</v>
      </c>
      <c r="B149" t="s">
        <v>91</v>
      </c>
      <c r="C149" t="s">
        <v>92</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92</v>
      </c>
      <c r="B150" t="s">
        <v>91</v>
      </c>
      <c r="C150" t="s">
        <v>92</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91</v>
      </c>
      <c r="C151" t="s">
        <v>92</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91</v>
      </c>
      <c r="C152" t="s">
        <v>92</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91</v>
      </c>
      <c r="C153" t="s">
        <v>92</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91</v>
      </c>
      <c r="C154" t="s">
        <v>92</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91</v>
      </c>
      <c r="C155" t="s">
        <v>92</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92</v>
      </c>
      <c r="B156" t="s">
        <v>91</v>
      </c>
      <c r="C156" t="s">
        <v>92</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91</v>
      </c>
      <c r="C157" t="s">
        <v>92</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91</v>
      </c>
      <c r="C158" t="s">
        <v>92</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91</v>
      </c>
      <c r="C159" t="s">
        <v>92</v>
      </c>
      <c r="D159" t="s">
        <v>88</v>
      </c>
      <c r="E159" t="s">
        <v>44</v>
      </c>
      <c r="F159" s="6">
        <v>0.71875</v>
      </c>
      <c r="G159">
        <v>0</v>
      </c>
      <c r="H159" s="6">
        <f>FLOOR(tblPivotData[[#This Row],[Time]],Summary!$B$6/1440)</f>
        <v>0.71875</v>
      </c>
      <c r="I159">
        <f>INDEX(PeakCalc!$L$10:$L$303,MATCH(tblPivotData[[#This Row],[Time]],PeakCalc!$G$10:$G$303,0))</f>
        <v>0</v>
      </c>
    </row>
    <row r="160" spans="1:9" x14ac:dyDescent="0.25">
      <c r="A160" t="s">
        <v>92</v>
      </c>
      <c r="B160" t="s">
        <v>91</v>
      </c>
      <c r="C160" t="s">
        <v>92</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91</v>
      </c>
      <c r="C161" t="s">
        <v>92</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91</v>
      </c>
      <c r="C162" t="s">
        <v>92</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91</v>
      </c>
      <c r="C163" t="s">
        <v>92</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91</v>
      </c>
      <c r="C164" t="s">
        <v>92</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91</v>
      </c>
      <c r="C165" t="s">
        <v>92</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91</v>
      </c>
      <c r="C166" t="s">
        <v>92</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91</v>
      </c>
      <c r="C167" t="s">
        <v>92</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91</v>
      </c>
      <c r="C168" t="s">
        <v>92</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91</v>
      </c>
      <c r="C169" t="s">
        <v>92</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91</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91</v>
      </c>
      <c r="C171" t="s">
        <v>92</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91</v>
      </c>
      <c r="C172" t="s">
        <v>92</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91</v>
      </c>
      <c r="C173" t="s">
        <v>92</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91</v>
      </c>
      <c r="C174" t="s">
        <v>92</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91</v>
      </c>
      <c r="C175" t="s">
        <v>92</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92</v>
      </c>
      <c r="B176" t="s">
        <v>91</v>
      </c>
      <c r="C176" t="s">
        <v>92</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91</v>
      </c>
      <c r="C177" t="s">
        <v>92</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91</v>
      </c>
      <c r="C178" t="s">
        <v>92</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91</v>
      </c>
      <c r="C179" t="s">
        <v>92</v>
      </c>
      <c r="D179" t="s">
        <v>89</v>
      </c>
      <c r="E179" t="s">
        <v>44</v>
      </c>
      <c r="F179" s="6">
        <v>0.71875</v>
      </c>
      <c r="G179">
        <v>0</v>
      </c>
      <c r="H179" s="6">
        <f>FLOOR(tblPivotData[[#This Row],[Time]],Summary!$B$6/1440)</f>
        <v>0.71875</v>
      </c>
      <c r="I179">
        <f>INDEX(PeakCalc!$L$10:$L$303,MATCH(tblPivotData[[#This Row],[Time]],PeakCalc!$G$10:$G$303,0))</f>
        <v>0</v>
      </c>
    </row>
    <row r="180" spans="1:9" x14ac:dyDescent="0.25">
      <c r="A180" t="s">
        <v>92</v>
      </c>
      <c r="B180" t="s">
        <v>91</v>
      </c>
      <c r="C180" t="s">
        <v>92</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91</v>
      </c>
      <c r="C181" t="s">
        <v>92</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97</v>
      </c>
      <c r="D182" t="s">
        <v>79</v>
      </c>
      <c r="E182" t="s">
        <v>43</v>
      </c>
      <c r="F182" s="6">
        <v>0.29166666666666669</v>
      </c>
      <c r="G182">
        <v>41</v>
      </c>
      <c r="H182" s="6">
        <f>FLOOR(tblPivotData[[#This Row],[Time]],Summary!$B$6/1440)</f>
        <v>0.29166666666666663</v>
      </c>
      <c r="I182">
        <f>INDEX(PeakCalc!$L$10:$L$303,MATCH(tblPivotData[[#This Row],[Time]],PeakCalc!$G$10:$G$303,0))</f>
        <v>0</v>
      </c>
    </row>
    <row r="183" spans="1:9" x14ac:dyDescent="0.25">
      <c r="A183" t="s">
        <v>93</v>
      </c>
      <c r="B183" t="s">
        <v>99</v>
      </c>
      <c r="C183" t="s">
        <v>97</v>
      </c>
      <c r="D183" t="s">
        <v>79</v>
      </c>
      <c r="E183" t="s">
        <v>43</v>
      </c>
      <c r="F183" s="6">
        <v>0.30208333333333331</v>
      </c>
      <c r="G183">
        <v>35</v>
      </c>
      <c r="H183" s="6">
        <f>FLOOR(tblPivotData[[#This Row],[Time]],Summary!$B$6/1440)</f>
        <v>0.30208333333333331</v>
      </c>
      <c r="I183">
        <f>INDEX(PeakCalc!$L$10:$L$303,MATCH(tblPivotData[[#This Row],[Time]],PeakCalc!$G$10:$G$303,0))</f>
        <v>0</v>
      </c>
    </row>
    <row r="184" spans="1:9" x14ac:dyDescent="0.25">
      <c r="A184" t="s">
        <v>93</v>
      </c>
      <c r="B184" t="s">
        <v>99</v>
      </c>
      <c r="C184" t="s">
        <v>97</v>
      </c>
      <c r="D184" t="s">
        <v>79</v>
      </c>
      <c r="E184" t="s">
        <v>43</v>
      </c>
      <c r="F184" s="6">
        <v>0.3125</v>
      </c>
      <c r="G184">
        <v>33</v>
      </c>
      <c r="H184" s="6">
        <f>FLOOR(tblPivotData[[#This Row],[Time]],Summary!$B$6/1440)</f>
        <v>0.3125</v>
      </c>
      <c r="I184">
        <f>INDEX(PeakCalc!$L$10:$L$303,MATCH(tblPivotData[[#This Row],[Time]],PeakCalc!$G$10:$G$303,0))</f>
        <v>0</v>
      </c>
    </row>
    <row r="185" spans="1:9" x14ac:dyDescent="0.25">
      <c r="A185" t="s">
        <v>93</v>
      </c>
      <c r="B185" t="s">
        <v>99</v>
      </c>
      <c r="C185" t="s">
        <v>97</v>
      </c>
      <c r="D185" t="s">
        <v>79</v>
      </c>
      <c r="E185" t="s">
        <v>43</v>
      </c>
      <c r="F185" s="6">
        <v>0.32291666666666669</v>
      </c>
      <c r="G185">
        <v>34</v>
      </c>
      <c r="H185" s="6">
        <f>FLOOR(tblPivotData[[#This Row],[Time]],Summary!$B$6/1440)</f>
        <v>0.32291666666666663</v>
      </c>
      <c r="I185">
        <f>INDEX(PeakCalc!$L$10:$L$303,MATCH(tblPivotData[[#This Row],[Time]],PeakCalc!$G$10:$G$303,0))</f>
        <v>1</v>
      </c>
    </row>
    <row r="186" spans="1:9" x14ac:dyDescent="0.25">
      <c r="A186" t="s">
        <v>93</v>
      </c>
      <c r="B186" t="s">
        <v>99</v>
      </c>
      <c r="C186" t="s">
        <v>97</v>
      </c>
      <c r="D186" t="s">
        <v>79</v>
      </c>
      <c r="E186" t="s">
        <v>43</v>
      </c>
      <c r="F186" s="6">
        <v>0.33333333333333331</v>
      </c>
      <c r="G186">
        <v>38</v>
      </c>
      <c r="H186" s="6">
        <f>FLOOR(tblPivotData[[#This Row],[Time]],Summary!$B$6/1440)</f>
        <v>0.33333333333333331</v>
      </c>
      <c r="I186">
        <f>INDEX(PeakCalc!$L$10:$L$303,MATCH(tblPivotData[[#This Row],[Time]],PeakCalc!$G$10:$G$303,0))</f>
        <v>1</v>
      </c>
    </row>
    <row r="187" spans="1:9" x14ac:dyDescent="0.25">
      <c r="A187" t="s">
        <v>93</v>
      </c>
      <c r="B187" t="s">
        <v>99</v>
      </c>
      <c r="C187" t="s">
        <v>97</v>
      </c>
      <c r="D187" t="s">
        <v>79</v>
      </c>
      <c r="E187" t="s">
        <v>43</v>
      </c>
      <c r="F187" s="6">
        <v>0.34375</v>
      </c>
      <c r="G187">
        <v>29</v>
      </c>
      <c r="H187" s="6">
        <f>FLOOR(tblPivotData[[#This Row],[Time]],Summary!$B$6/1440)</f>
        <v>0.34375</v>
      </c>
      <c r="I187">
        <f>INDEX(PeakCalc!$L$10:$L$303,MATCH(tblPivotData[[#This Row],[Time]],PeakCalc!$G$10:$G$303,0))</f>
        <v>1</v>
      </c>
    </row>
    <row r="188" spans="1:9" x14ac:dyDescent="0.25">
      <c r="A188" t="s">
        <v>93</v>
      </c>
      <c r="B188" t="s">
        <v>99</v>
      </c>
      <c r="C188" t="s">
        <v>97</v>
      </c>
      <c r="D188" t="s">
        <v>79</v>
      </c>
      <c r="E188" t="s">
        <v>43</v>
      </c>
      <c r="F188" s="6">
        <v>0.35416666666666669</v>
      </c>
      <c r="G188">
        <v>23</v>
      </c>
      <c r="H188" s="6">
        <f>FLOOR(tblPivotData[[#This Row],[Time]],Summary!$B$6/1440)</f>
        <v>0.35416666666666663</v>
      </c>
      <c r="I188">
        <f>INDEX(PeakCalc!$L$10:$L$303,MATCH(tblPivotData[[#This Row],[Time]],PeakCalc!$G$10:$G$303,0))</f>
        <v>1</v>
      </c>
    </row>
    <row r="189" spans="1:9" x14ac:dyDescent="0.25">
      <c r="A189" t="s">
        <v>93</v>
      </c>
      <c r="B189" t="s">
        <v>99</v>
      </c>
      <c r="C189" t="s">
        <v>97</v>
      </c>
      <c r="D189" t="s">
        <v>79</v>
      </c>
      <c r="E189" t="s">
        <v>43</v>
      </c>
      <c r="F189" s="6">
        <v>0.36458333333333331</v>
      </c>
      <c r="G189">
        <v>16</v>
      </c>
      <c r="H189" s="6">
        <f>FLOOR(tblPivotData[[#This Row],[Time]],Summary!$B$6/1440)</f>
        <v>0.36458333333333331</v>
      </c>
      <c r="I189">
        <f>INDEX(PeakCalc!$L$10:$L$303,MATCH(tblPivotData[[#This Row],[Time]],PeakCalc!$G$10:$G$303,0))</f>
        <v>0</v>
      </c>
    </row>
    <row r="190" spans="1:9" x14ac:dyDescent="0.25">
      <c r="A190" t="s">
        <v>93</v>
      </c>
      <c r="B190" t="s">
        <v>99</v>
      </c>
      <c r="C190" t="s">
        <v>97</v>
      </c>
      <c r="D190" t="s">
        <v>79</v>
      </c>
      <c r="E190" t="s">
        <v>90</v>
      </c>
      <c r="F190" s="6">
        <v>0.54166666666666663</v>
      </c>
      <c r="G190">
        <v>22</v>
      </c>
      <c r="H190" s="6">
        <f>FLOOR(tblPivotData[[#This Row],[Time]],Summary!$B$6/1440)</f>
        <v>0.54166666666666663</v>
      </c>
      <c r="I190">
        <f>INDEX(PeakCalc!$L$10:$L$303,MATCH(tblPivotData[[#This Row],[Time]],PeakCalc!$G$10:$G$303,0))</f>
        <v>1</v>
      </c>
    </row>
    <row r="191" spans="1:9" x14ac:dyDescent="0.25">
      <c r="A191" t="s">
        <v>93</v>
      </c>
      <c r="B191" t="s">
        <v>99</v>
      </c>
      <c r="C191" t="s">
        <v>97</v>
      </c>
      <c r="D191" t="s">
        <v>79</v>
      </c>
      <c r="E191" t="s">
        <v>90</v>
      </c>
      <c r="F191" s="6">
        <v>0.55208333333333337</v>
      </c>
      <c r="G191">
        <v>17</v>
      </c>
      <c r="H191" s="6">
        <f>FLOOR(tblPivotData[[#This Row],[Time]],Summary!$B$6/1440)</f>
        <v>0.55208333333333326</v>
      </c>
      <c r="I191">
        <f>INDEX(PeakCalc!$L$10:$L$303,MATCH(tblPivotData[[#This Row],[Time]],PeakCalc!$G$10:$G$303,0))</f>
        <v>1</v>
      </c>
    </row>
    <row r="192" spans="1:9" x14ac:dyDescent="0.25">
      <c r="A192" t="s">
        <v>93</v>
      </c>
      <c r="B192" t="s">
        <v>99</v>
      </c>
      <c r="C192" t="s">
        <v>97</v>
      </c>
      <c r="D192" t="s">
        <v>79</v>
      </c>
      <c r="E192" t="s">
        <v>90</v>
      </c>
      <c r="F192" s="6">
        <v>0.5625</v>
      </c>
      <c r="G192">
        <v>21</v>
      </c>
      <c r="H192" s="6">
        <f>FLOOR(tblPivotData[[#This Row],[Time]],Summary!$B$6/1440)</f>
        <v>0.5625</v>
      </c>
      <c r="I192">
        <f>INDEX(PeakCalc!$L$10:$L$303,MATCH(tblPivotData[[#This Row],[Time]],PeakCalc!$G$10:$G$303,0))</f>
        <v>1</v>
      </c>
    </row>
    <row r="193" spans="1:9" x14ac:dyDescent="0.25">
      <c r="A193" t="s">
        <v>93</v>
      </c>
      <c r="B193" t="s">
        <v>99</v>
      </c>
      <c r="C193" t="s">
        <v>97</v>
      </c>
      <c r="D193" t="s">
        <v>79</v>
      </c>
      <c r="E193" t="s">
        <v>90</v>
      </c>
      <c r="F193" s="6">
        <v>0.57291666666666663</v>
      </c>
      <c r="G193">
        <v>22</v>
      </c>
      <c r="H193" s="6">
        <f>FLOOR(tblPivotData[[#This Row],[Time]],Summary!$B$6/1440)</f>
        <v>0.57291666666666663</v>
      </c>
      <c r="I193">
        <f>INDEX(PeakCalc!$L$10:$L$303,MATCH(tblPivotData[[#This Row],[Time]],PeakCalc!$G$10:$G$303,0))</f>
        <v>1</v>
      </c>
    </row>
    <row r="194" spans="1:9" x14ac:dyDescent="0.25">
      <c r="A194" t="s">
        <v>93</v>
      </c>
      <c r="B194" t="s">
        <v>99</v>
      </c>
      <c r="C194" t="s">
        <v>97</v>
      </c>
      <c r="D194" t="s">
        <v>79</v>
      </c>
      <c r="E194" t="s">
        <v>44</v>
      </c>
      <c r="F194" s="6">
        <v>0.66666666666666663</v>
      </c>
      <c r="G194">
        <v>30</v>
      </c>
      <c r="H194" s="6">
        <f>FLOOR(tblPivotData[[#This Row],[Time]],Summary!$B$6/1440)</f>
        <v>0.66666666666666663</v>
      </c>
      <c r="I194">
        <f>INDEX(PeakCalc!$L$10:$L$303,MATCH(tblPivotData[[#This Row],[Time]],PeakCalc!$G$10:$G$303,0))</f>
        <v>0</v>
      </c>
    </row>
    <row r="195" spans="1:9" x14ac:dyDescent="0.25">
      <c r="A195" t="s">
        <v>93</v>
      </c>
      <c r="B195" t="s">
        <v>99</v>
      </c>
      <c r="C195" t="s">
        <v>97</v>
      </c>
      <c r="D195" t="s">
        <v>79</v>
      </c>
      <c r="E195" t="s">
        <v>44</v>
      </c>
      <c r="F195" s="6">
        <v>0.67708333333333337</v>
      </c>
      <c r="G195">
        <v>21</v>
      </c>
      <c r="H195" s="6">
        <f>FLOOR(tblPivotData[[#This Row],[Time]],Summary!$B$6/1440)</f>
        <v>0.67708333333333326</v>
      </c>
      <c r="I195">
        <f>INDEX(PeakCalc!$L$10:$L$303,MATCH(tblPivotData[[#This Row],[Time]],PeakCalc!$G$10:$G$303,0))</f>
        <v>1</v>
      </c>
    </row>
    <row r="196" spans="1:9" x14ac:dyDescent="0.25">
      <c r="A196" t="s">
        <v>93</v>
      </c>
      <c r="B196" t="s">
        <v>99</v>
      </c>
      <c r="C196" t="s">
        <v>97</v>
      </c>
      <c r="D196" t="s">
        <v>79</v>
      </c>
      <c r="E196" t="s">
        <v>44</v>
      </c>
      <c r="F196" s="6">
        <v>0.6875</v>
      </c>
      <c r="G196">
        <v>32</v>
      </c>
      <c r="H196" s="6">
        <f>FLOOR(tblPivotData[[#This Row],[Time]],Summary!$B$6/1440)</f>
        <v>0.6875</v>
      </c>
      <c r="I196">
        <f>INDEX(PeakCalc!$L$10:$L$303,MATCH(tblPivotData[[#This Row],[Time]],PeakCalc!$G$10:$G$303,0))</f>
        <v>1</v>
      </c>
    </row>
    <row r="197" spans="1:9" x14ac:dyDescent="0.25">
      <c r="A197" t="s">
        <v>93</v>
      </c>
      <c r="B197" t="s">
        <v>99</v>
      </c>
      <c r="C197" t="s">
        <v>97</v>
      </c>
      <c r="D197" t="s">
        <v>79</v>
      </c>
      <c r="E197" t="s">
        <v>44</v>
      </c>
      <c r="F197" s="6">
        <v>0.69791666666666663</v>
      </c>
      <c r="G197">
        <v>21</v>
      </c>
      <c r="H197" s="6">
        <f>FLOOR(tblPivotData[[#This Row],[Time]],Summary!$B$6/1440)</f>
        <v>0.69791666666666663</v>
      </c>
      <c r="I197">
        <f>INDEX(PeakCalc!$L$10:$L$303,MATCH(tblPivotData[[#This Row],[Time]],PeakCalc!$G$10:$G$303,0))</f>
        <v>1</v>
      </c>
    </row>
    <row r="198" spans="1:9" x14ac:dyDescent="0.25">
      <c r="A198" t="s">
        <v>93</v>
      </c>
      <c r="B198" t="s">
        <v>99</v>
      </c>
      <c r="C198" t="s">
        <v>97</v>
      </c>
      <c r="D198" t="s">
        <v>79</v>
      </c>
      <c r="E198" t="s">
        <v>44</v>
      </c>
      <c r="F198" s="6">
        <v>0.70833333333333337</v>
      </c>
      <c r="G198">
        <v>20</v>
      </c>
      <c r="H198" s="6">
        <f>FLOOR(tblPivotData[[#This Row],[Time]],Summary!$B$6/1440)</f>
        <v>0.70833333333333326</v>
      </c>
      <c r="I198">
        <f>INDEX(PeakCalc!$L$10:$L$303,MATCH(tblPivotData[[#This Row],[Time]],PeakCalc!$G$10:$G$303,0))</f>
        <v>1</v>
      </c>
    </row>
    <row r="199" spans="1:9" x14ac:dyDescent="0.25">
      <c r="A199" t="s">
        <v>93</v>
      </c>
      <c r="B199" t="s">
        <v>99</v>
      </c>
      <c r="C199" t="s">
        <v>97</v>
      </c>
      <c r="D199" t="s">
        <v>79</v>
      </c>
      <c r="E199" t="s">
        <v>44</v>
      </c>
      <c r="F199" s="6">
        <v>0.71875</v>
      </c>
      <c r="G199">
        <v>33</v>
      </c>
      <c r="H199" s="6">
        <f>FLOOR(tblPivotData[[#This Row],[Time]],Summary!$B$6/1440)</f>
        <v>0.71875</v>
      </c>
      <c r="I199">
        <f>INDEX(PeakCalc!$L$10:$L$303,MATCH(tblPivotData[[#This Row],[Time]],PeakCalc!$G$10:$G$303,0))</f>
        <v>0</v>
      </c>
    </row>
    <row r="200" spans="1:9" x14ac:dyDescent="0.25">
      <c r="A200" t="s">
        <v>93</v>
      </c>
      <c r="B200" t="s">
        <v>99</v>
      </c>
      <c r="C200" t="s">
        <v>97</v>
      </c>
      <c r="D200" t="s">
        <v>79</v>
      </c>
      <c r="E200" t="s">
        <v>44</v>
      </c>
      <c r="F200" s="6">
        <v>0.72916666666666663</v>
      </c>
      <c r="G200">
        <v>15</v>
      </c>
      <c r="H200" s="6">
        <f>FLOOR(tblPivotData[[#This Row],[Time]],Summary!$B$6/1440)</f>
        <v>0.72916666666666663</v>
      </c>
      <c r="I200">
        <f>INDEX(PeakCalc!$L$10:$L$303,MATCH(tblPivotData[[#This Row],[Time]],PeakCalc!$G$10:$G$303,0))</f>
        <v>0</v>
      </c>
    </row>
    <row r="201" spans="1:9" x14ac:dyDescent="0.25">
      <c r="A201" t="s">
        <v>93</v>
      </c>
      <c r="B201" t="s">
        <v>99</v>
      </c>
      <c r="C201" t="s">
        <v>97</v>
      </c>
      <c r="D201" t="s">
        <v>79</v>
      </c>
      <c r="E201" t="s">
        <v>44</v>
      </c>
      <c r="F201" s="6">
        <v>0.73958333333333337</v>
      </c>
      <c r="G201">
        <v>20</v>
      </c>
      <c r="H201" s="6">
        <f>FLOOR(tblPivotData[[#This Row],[Time]],Summary!$B$6/1440)</f>
        <v>0.73958333333333326</v>
      </c>
      <c r="I201">
        <f>INDEX(PeakCalc!$L$10:$L$303,MATCH(tblPivotData[[#This Row],[Time]],PeakCalc!$G$10:$G$303,0))</f>
        <v>0</v>
      </c>
    </row>
    <row r="202" spans="1:9" x14ac:dyDescent="0.25">
      <c r="A202" t="s">
        <v>93</v>
      </c>
      <c r="B202" t="s">
        <v>99</v>
      </c>
      <c r="C202" t="s">
        <v>97</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93</v>
      </c>
      <c r="B203" t="s">
        <v>99</v>
      </c>
      <c r="C203" t="s">
        <v>97</v>
      </c>
      <c r="D203" t="s">
        <v>88</v>
      </c>
      <c r="E203" t="s">
        <v>43</v>
      </c>
      <c r="F203" s="6">
        <v>0.30208333333333331</v>
      </c>
      <c r="G203">
        <v>4</v>
      </c>
      <c r="H203" s="6">
        <f>FLOOR(tblPivotData[[#This Row],[Time]],Summary!$B$6/1440)</f>
        <v>0.30208333333333331</v>
      </c>
      <c r="I203">
        <f>INDEX(PeakCalc!$L$10:$L$303,MATCH(tblPivotData[[#This Row],[Time]],PeakCalc!$G$10:$G$303,0))</f>
        <v>0</v>
      </c>
    </row>
    <row r="204" spans="1:9" x14ac:dyDescent="0.25">
      <c r="A204" t="s">
        <v>93</v>
      </c>
      <c r="B204" t="s">
        <v>99</v>
      </c>
      <c r="C204" t="s">
        <v>97</v>
      </c>
      <c r="D204" t="s">
        <v>88</v>
      </c>
      <c r="E204" t="s">
        <v>43</v>
      </c>
      <c r="F204" s="6">
        <v>0.3125</v>
      </c>
      <c r="G204">
        <v>1</v>
      </c>
      <c r="H204" s="6">
        <f>FLOOR(tblPivotData[[#This Row],[Time]],Summary!$B$6/1440)</f>
        <v>0.3125</v>
      </c>
      <c r="I204">
        <f>INDEX(PeakCalc!$L$10:$L$303,MATCH(tblPivotData[[#This Row],[Time]],PeakCalc!$G$10:$G$303,0))</f>
        <v>0</v>
      </c>
    </row>
    <row r="205" spans="1:9" x14ac:dyDescent="0.25">
      <c r="A205" t="s">
        <v>93</v>
      </c>
      <c r="B205" t="s">
        <v>99</v>
      </c>
      <c r="C205" t="s">
        <v>97</v>
      </c>
      <c r="D205" t="s">
        <v>88</v>
      </c>
      <c r="E205" t="s">
        <v>43</v>
      </c>
      <c r="F205" s="6">
        <v>0.32291666666666669</v>
      </c>
      <c r="G205">
        <v>3</v>
      </c>
      <c r="H205" s="6">
        <f>FLOOR(tblPivotData[[#This Row],[Time]],Summary!$B$6/1440)</f>
        <v>0.32291666666666663</v>
      </c>
      <c r="I205">
        <f>INDEX(PeakCalc!$L$10:$L$303,MATCH(tblPivotData[[#This Row],[Time]],PeakCalc!$G$10:$G$303,0))</f>
        <v>1</v>
      </c>
    </row>
    <row r="206" spans="1:9" x14ac:dyDescent="0.25">
      <c r="A206" t="s">
        <v>93</v>
      </c>
      <c r="B206" t="s">
        <v>99</v>
      </c>
      <c r="C206" t="s">
        <v>97</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99</v>
      </c>
      <c r="C207" t="s">
        <v>97</v>
      </c>
      <c r="D207" t="s">
        <v>88</v>
      </c>
      <c r="E207" t="s">
        <v>43</v>
      </c>
      <c r="F207" s="6">
        <v>0.34375</v>
      </c>
      <c r="G207">
        <v>6</v>
      </c>
      <c r="H207" s="6">
        <f>FLOOR(tblPivotData[[#This Row],[Time]],Summary!$B$6/1440)</f>
        <v>0.34375</v>
      </c>
      <c r="I207">
        <f>INDEX(PeakCalc!$L$10:$L$303,MATCH(tblPivotData[[#This Row],[Time]],PeakCalc!$G$10:$G$303,0))</f>
        <v>1</v>
      </c>
    </row>
    <row r="208" spans="1:9" x14ac:dyDescent="0.25">
      <c r="A208" t="s">
        <v>93</v>
      </c>
      <c r="B208" t="s">
        <v>99</v>
      </c>
      <c r="C208" t="s">
        <v>97</v>
      </c>
      <c r="D208" t="s">
        <v>88</v>
      </c>
      <c r="E208" t="s">
        <v>43</v>
      </c>
      <c r="F208" s="6">
        <v>0.35416666666666669</v>
      </c>
      <c r="G208">
        <v>2</v>
      </c>
      <c r="H208" s="6">
        <f>FLOOR(tblPivotData[[#This Row],[Time]],Summary!$B$6/1440)</f>
        <v>0.35416666666666663</v>
      </c>
      <c r="I208">
        <f>INDEX(PeakCalc!$L$10:$L$303,MATCH(tblPivotData[[#This Row],[Time]],PeakCalc!$G$10:$G$303,0))</f>
        <v>1</v>
      </c>
    </row>
    <row r="209" spans="1:9" x14ac:dyDescent="0.25">
      <c r="A209" t="s">
        <v>93</v>
      </c>
      <c r="B209" t="s">
        <v>99</v>
      </c>
      <c r="C209" t="s">
        <v>97</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93</v>
      </c>
      <c r="B210" t="s">
        <v>99</v>
      </c>
      <c r="C210" t="s">
        <v>97</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25">
      <c r="A211" t="s">
        <v>93</v>
      </c>
      <c r="B211" t="s">
        <v>99</v>
      </c>
      <c r="C211" t="s">
        <v>97</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25">
      <c r="A212" t="s">
        <v>93</v>
      </c>
      <c r="B212" t="s">
        <v>99</v>
      </c>
      <c r="C212" t="s">
        <v>97</v>
      </c>
      <c r="D212" t="s">
        <v>88</v>
      </c>
      <c r="E212" t="s">
        <v>90</v>
      </c>
      <c r="F212" s="6">
        <v>0.5625</v>
      </c>
      <c r="G212">
        <v>2</v>
      </c>
      <c r="H212" s="6">
        <f>FLOOR(tblPivotData[[#This Row],[Time]],Summary!$B$6/1440)</f>
        <v>0.5625</v>
      </c>
      <c r="I212">
        <f>INDEX(PeakCalc!$L$10:$L$303,MATCH(tblPivotData[[#This Row],[Time]],PeakCalc!$G$10:$G$303,0))</f>
        <v>1</v>
      </c>
    </row>
    <row r="213" spans="1:9" x14ac:dyDescent="0.25">
      <c r="A213" t="s">
        <v>93</v>
      </c>
      <c r="B213" t="s">
        <v>99</v>
      </c>
      <c r="C213" t="s">
        <v>97</v>
      </c>
      <c r="D213" t="s">
        <v>88</v>
      </c>
      <c r="E213" t="s">
        <v>90</v>
      </c>
      <c r="F213" s="6">
        <v>0.57291666666666663</v>
      </c>
      <c r="G213">
        <v>3</v>
      </c>
      <c r="H213" s="6">
        <f>FLOOR(tblPivotData[[#This Row],[Time]],Summary!$B$6/1440)</f>
        <v>0.57291666666666663</v>
      </c>
      <c r="I213">
        <f>INDEX(PeakCalc!$L$10:$L$303,MATCH(tblPivotData[[#This Row],[Time]],PeakCalc!$G$10:$G$303,0))</f>
        <v>1</v>
      </c>
    </row>
    <row r="214" spans="1:9" x14ac:dyDescent="0.25">
      <c r="A214" t="s">
        <v>93</v>
      </c>
      <c r="B214" t="s">
        <v>99</v>
      </c>
      <c r="C214" t="s">
        <v>97</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93</v>
      </c>
      <c r="B215" t="s">
        <v>99</v>
      </c>
      <c r="C215" t="s">
        <v>97</v>
      </c>
      <c r="D215" t="s">
        <v>88</v>
      </c>
      <c r="E215" t="s">
        <v>44</v>
      </c>
      <c r="F215" s="6">
        <v>0.67708333333333337</v>
      </c>
      <c r="G215">
        <v>3</v>
      </c>
      <c r="H215" s="6">
        <f>FLOOR(tblPivotData[[#This Row],[Time]],Summary!$B$6/1440)</f>
        <v>0.67708333333333326</v>
      </c>
      <c r="I215">
        <f>INDEX(PeakCalc!$L$10:$L$303,MATCH(tblPivotData[[#This Row],[Time]],PeakCalc!$G$10:$G$303,0))</f>
        <v>1</v>
      </c>
    </row>
    <row r="216" spans="1:9" x14ac:dyDescent="0.25">
      <c r="A216" t="s">
        <v>93</v>
      </c>
      <c r="B216" t="s">
        <v>99</v>
      </c>
      <c r="C216" t="s">
        <v>97</v>
      </c>
      <c r="D216" t="s">
        <v>88</v>
      </c>
      <c r="E216" t="s">
        <v>44</v>
      </c>
      <c r="F216" s="6">
        <v>0.6875</v>
      </c>
      <c r="G216">
        <v>3</v>
      </c>
      <c r="H216" s="6">
        <f>FLOOR(tblPivotData[[#This Row],[Time]],Summary!$B$6/1440)</f>
        <v>0.6875</v>
      </c>
      <c r="I216">
        <f>INDEX(PeakCalc!$L$10:$L$303,MATCH(tblPivotData[[#This Row],[Time]],PeakCalc!$G$10:$G$303,0))</f>
        <v>1</v>
      </c>
    </row>
    <row r="217" spans="1:9" x14ac:dyDescent="0.25">
      <c r="A217" t="s">
        <v>93</v>
      </c>
      <c r="B217" t="s">
        <v>99</v>
      </c>
      <c r="C217" t="s">
        <v>97</v>
      </c>
      <c r="D217" t="s">
        <v>88</v>
      </c>
      <c r="E217" t="s">
        <v>44</v>
      </c>
      <c r="F217" s="6">
        <v>0.69791666666666663</v>
      </c>
      <c r="G217">
        <v>3</v>
      </c>
      <c r="H217" s="6">
        <f>FLOOR(tblPivotData[[#This Row],[Time]],Summary!$B$6/1440)</f>
        <v>0.69791666666666663</v>
      </c>
      <c r="I217">
        <f>INDEX(PeakCalc!$L$10:$L$303,MATCH(tblPivotData[[#This Row],[Time]],PeakCalc!$G$10:$G$303,0))</f>
        <v>1</v>
      </c>
    </row>
    <row r="218" spans="1:9" x14ac:dyDescent="0.25">
      <c r="A218" t="s">
        <v>93</v>
      </c>
      <c r="B218" t="s">
        <v>99</v>
      </c>
      <c r="C218" t="s">
        <v>97</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97</v>
      </c>
      <c r="D219" t="s">
        <v>88</v>
      </c>
      <c r="E219" t="s">
        <v>44</v>
      </c>
      <c r="F219" s="6">
        <v>0.71875</v>
      </c>
      <c r="G219">
        <v>4</v>
      </c>
      <c r="H219" s="6">
        <f>FLOOR(tblPivotData[[#This Row],[Time]],Summary!$B$6/1440)</f>
        <v>0.71875</v>
      </c>
      <c r="I219">
        <f>INDEX(PeakCalc!$L$10:$L$303,MATCH(tblPivotData[[#This Row],[Time]],PeakCalc!$G$10:$G$303,0))</f>
        <v>0</v>
      </c>
    </row>
    <row r="220" spans="1:9" x14ac:dyDescent="0.25">
      <c r="A220" t="s">
        <v>93</v>
      </c>
      <c r="B220" t="s">
        <v>99</v>
      </c>
      <c r="C220" t="s">
        <v>97</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97</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97</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97</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97</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99</v>
      </c>
      <c r="C225" t="s">
        <v>97</v>
      </c>
      <c r="D225" t="s">
        <v>89</v>
      </c>
      <c r="E225" t="s">
        <v>43</v>
      </c>
      <c r="F225" s="6">
        <v>0.32291666666666669</v>
      </c>
      <c r="G225">
        <v>1</v>
      </c>
      <c r="H225" s="6">
        <f>FLOOR(tblPivotData[[#This Row],[Time]],Summary!$B$6/1440)</f>
        <v>0.32291666666666663</v>
      </c>
      <c r="I225">
        <f>INDEX(PeakCalc!$L$10:$L$303,MATCH(tblPivotData[[#This Row],[Time]],PeakCalc!$G$10:$G$303,0))</f>
        <v>1</v>
      </c>
    </row>
    <row r="226" spans="1:9" x14ac:dyDescent="0.25">
      <c r="A226" t="s">
        <v>93</v>
      </c>
      <c r="B226" t="s">
        <v>99</v>
      </c>
      <c r="C226" t="s">
        <v>97</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97</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97</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97</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99</v>
      </c>
      <c r="C230" t="s">
        <v>97</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97</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97</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97</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97</v>
      </c>
      <c r="D234" t="s">
        <v>89</v>
      </c>
      <c r="E234" t="s">
        <v>44</v>
      </c>
      <c r="F234" s="6">
        <v>0.66666666666666663</v>
      </c>
      <c r="G234">
        <v>1</v>
      </c>
      <c r="H234" s="6">
        <f>FLOOR(tblPivotData[[#This Row],[Time]],Summary!$B$6/1440)</f>
        <v>0.66666666666666663</v>
      </c>
      <c r="I234">
        <f>INDEX(PeakCalc!$L$10:$L$303,MATCH(tblPivotData[[#This Row],[Time]],PeakCalc!$G$10:$G$303,0))</f>
        <v>0</v>
      </c>
    </row>
    <row r="235" spans="1:9" x14ac:dyDescent="0.25">
      <c r="A235" t="s">
        <v>93</v>
      </c>
      <c r="B235" t="s">
        <v>99</v>
      </c>
      <c r="C235" t="s">
        <v>97</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99</v>
      </c>
      <c r="C236" t="s">
        <v>97</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97</v>
      </c>
      <c r="D237" t="s">
        <v>89</v>
      </c>
      <c r="E237" t="s">
        <v>44</v>
      </c>
      <c r="F237" s="6">
        <v>0.69791666666666663</v>
      </c>
      <c r="G237">
        <v>2</v>
      </c>
      <c r="H237" s="6">
        <f>FLOOR(tblPivotData[[#This Row],[Time]],Summary!$B$6/1440)</f>
        <v>0.69791666666666663</v>
      </c>
      <c r="I237">
        <f>INDEX(PeakCalc!$L$10:$L$303,MATCH(tblPivotData[[#This Row],[Time]],PeakCalc!$G$10:$G$303,0))</f>
        <v>1</v>
      </c>
    </row>
    <row r="238" spans="1:9" x14ac:dyDescent="0.25">
      <c r="A238" t="s">
        <v>93</v>
      </c>
      <c r="B238" t="s">
        <v>99</v>
      </c>
      <c r="C238" t="s">
        <v>97</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97</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99</v>
      </c>
      <c r="C240" t="s">
        <v>97</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97</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95</v>
      </c>
      <c r="C242" t="s">
        <v>92</v>
      </c>
      <c r="D242" t="s">
        <v>79</v>
      </c>
      <c r="E242" t="s">
        <v>43</v>
      </c>
      <c r="F242" s="6">
        <v>0.29166666666666669</v>
      </c>
      <c r="G242">
        <v>70</v>
      </c>
      <c r="H242" s="6">
        <f>FLOOR(tblPivotData[[#This Row],[Time]],Summary!$B$6/1440)</f>
        <v>0.29166666666666663</v>
      </c>
      <c r="I242">
        <f>INDEX(PeakCalc!$L$10:$L$303,MATCH(tblPivotData[[#This Row],[Time]],PeakCalc!$G$10:$G$303,0))</f>
        <v>0</v>
      </c>
    </row>
    <row r="243" spans="1:9" x14ac:dyDescent="0.25">
      <c r="A243" t="s">
        <v>93</v>
      </c>
      <c r="B243" t="s">
        <v>95</v>
      </c>
      <c r="C243" t="s">
        <v>92</v>
      </c>
      <c r="D243" t="s">
        <v>79</v>
      </c>
      <c r="E243" t="s">
        <v>43</v>
      </c>
      <c r="F243" s="6">
        <v>0.30208333333333331</v>
      </c>
      <c r="G243">
        <v>75</v>
      </c>
      <c r="H243" s="6">
        <f>FLOOR(tblPivotData[[#This Row],[Time]],Summary!$B$6/1440)</f>
        <v>0.30208333333333331</v>
      </c>
      <c r="I243">
        <f>INDEX(PeakCalc!$L$10:$L$303,MATCH(tblPivotData[[#This Row],[Time]],PeakCalc!$G$10:$G$303,0))</f>
        <v>0</v>
      </c>
    </row>
    <row r="244" spans="1:9" x14ac:dyDescent="0.25">
      <c r="A244" t="s">
        <v>93</v>
      </c>
      <c r="B244" t="s">
        <v>95</v>
      </c>
      <c r="C244" t="s">
        <v>92</v>
      </c>
      <c r="D244" t="s">
        <v>79</v>
      </c>
      <c r="E244" t="s">
        <v>43</v>
      </c>
      <c r="F244" s="6">
        <v>0.3125</v>
      </c>
      <c r="G244">
        <v>49</v>
      </c>
      <c r="H244" s="6">
        <f>FLOOR(tblPivotData[[#This Row],[Time]],Summary!$B$6/1440)</f>
        <v>0.3125</v>
      </c>
      <c r="I244">
        <f>INDEX(PeakCalc!$L$10:$L$303,MATCH(tblPivotData[[#This Row],[Time]],PeakCalc!$G$10:$G$303,0))</f>
        <v>0</v>
      </c>
    </row>
    <row r="245" spans="1:9" x14ac:dyDescent="0.25">
      <c r="A245" t="s">
        <v>93</v>
      </c>
      <c r="B245" t="s">
        <v>95</v>
      </c>
      <c r="C245" t="s">
        <v>92</v>
      </c>
      <c r="D245" t="s">
        <v>79</v>
      </c>
      <c r="E245" t="s">
        <v>43</v>
      </c>
      <c r="F245" s="6">
        <v>0.32291666666666669</v>
      </c>
      <c r="G245">
        <v>76</v>
      </c>
      <c r="H245" s="6">
        <f>FLOOR(tblPivotData[[#This Row],[Time]],Summary!$B$6/1440)</f>
        <v>0.32291666666666663</v>
      </c>
      <c r="I245">
        <f>INDEX(PeakCalc!$L$10:$L$303,MATCH(tblPivotData[[#This Row],[Time]],PeakCalc!$G$10:$G$303,0))</f>
        <v>1</v>
      </c>
    </row>
    <row r="246" spans="1:9" x14ac:dyDescent="0.25">
      <c r="A246" t="s">
        <v>93</v>
      </c>
      <c r="B246" t="s">
        <v>95</v>
      </c>
      <c r="C246" t="s">
        <v>92</v>
      </c>
      <c r="D246" t="s">
        <v>79</v>
      </c>
      <c r="E246" t="s">
        <v>43</v>
      </c>
      <c r="F246" s="6">
        <v>0.33333333333333331</v>
      </c>
      <c r="G246">
        <v>81</v>
      </c>
      <c r="H246" s="6">
        <f>FLOOR(tblPivotData[[#This Row],[Time]],Summary!$B$6/1440)</f>
        <v>0.33333333333333331</v>
      </c>
      <c r="I246">
        <f>INDEX(PeakCalc!$L$10:$L$303,MATCH(tblPivotData[[#This Row],[Time]],PeakCalc!$G$10:$G$303,0))</f>
        <v>1</v>
      </c>
    </row>
    <row r="247" spans="1:9" x14ac:dyDescent="0.25">
      <c r="A247" t="s">
        <v>93</v>
      </c>
      <c r="B247" t="s">
        <v>95</v>
      </c>
      <c r="C247" t="s">
        <v>92</v>
      </c>
      <c r="D247" t="s">
        <v>79</v>
      </c>
      <c r="E247" t="s">
        <v>43</v>
      </c>
      <c r="F247" s="6">
        <v>0.34375</v>
      </c>
      <c r="G247">
        <v>96</v>
      </c>
      <c r="H247" s="6">
        <f>FLOOR(tblPivotData[[#This Row],[Time]],Summary!$B$6/1440)</f>
        <v>0.34375</v>
      </c>
      <c r="I247">
        <f>INDEX(PeakCalc!$L$10:$L$303,MATCH(tblPivotData[[#This Row],[Time]],PeakCalc!$G$10:$G$303,0))</f>
        <v>1</v>
      </c>
    </row>
    <row r="248" spans="1:9" x14ac:dyDescent="0.25">
      <c r="A248" t="s">
        <v>93</v>
      </c>
      <c r="B248" t="s">
        <v>95</v>
      </c>
      <c r="C248" t="s">
        <v>92</v>
      </c>
      <c r="D248" t="s">
        <v>79</v>
      </c>
      <c r="E248" t="s">
        <v>43</v>
      </c>
      <c r="F248" s="6">
        <v>0.35416666666666669</v>
      </c>
      <c r="G248">
        <v>116</v>
      </c>
      <c r="H248" s="6">
        <f>FLOOR(tblPivotData[[#This Row],[Time]],Summary!$B$6/1440)</f>
        <v>0.35416666666666663</v>
      </c>
      <c r="I248">
        <f>INDEX(PeakCalc!$L$10:$L$303,MATCH(tblPivotData[[#This Row],[Time]],PeakCalc!$G$10:$G$303,0))</f>
        <v>1</v>
      </c>
    </row>
    <row r="249" spans="1:9" x14ac:dyDescent="0.25">
      <c r="A249" t="s">
        <v>93</v>
      </c>
      <c r="B249" t="s">
        <v>95</v>
      </c>
      <c r="C249" t="s">
        <v>92</v>
      </c>
      <c r="D249" t="s">
        <v>79</v>
      </c>
      <c r="E249" t="s">
        <v>43</v>
      </c>
      <c r="F249" s="6">
        <v>0.36458333333333331</v>
      </c>
      <c r="G249">
        <v>85</v>
      </c>
      <c r="H249" s="6">
        <f>FLOOR(tblPivotData[[#This Row],[Time]],Summary!$B$6/1440)</f>
        <v>0.36458333333333331</v>
      </c>
      <c r="I249">
        <f>INDEX(PeakCalc!$L$10:$L$303,MATCH(tblPivotData[[#This Row],[Time]],PeakCalc!$G$10:$G$303,0))</f>
        <v>0</v>
      </c>
    </row>
    <row r="250" spans="1:9" x14ac:dyDescent="0.25">
      <c r="A250" t="s">
        <v>93</v>
      </c>
      <c r="B250" t="s">
        <v>95</v>
      </c>
      <c r="C250" t="s">
        <v>92</v>
      </c>
      <c r="D250" t="s">
        <v>79</v>
      </c>
      <c r="E250" t="s">
        <v>90</v>
      </c>
      <c r="F250" s="6">
        <v>0.54166666666666663</v>
      </c>
      <c r="G250">
        <v>152</v>
      </c>
      <c r="H250" s="6">
        <f>FLOOR(tblPivotData[[#This Row],[Time]],Summary!$B$6/1440)</f>
        <v>0.54166666666666663</v>
      </c>
      <c r="I250">
        <f>INDEX(PeakCalc!$L$10:$L$303,MATCH(tblPivotData[[#This Row],[Time]],PeakCalc!$G$10:$G$303,0))</f>
        <v>1</v>
      </c>
    </row>
    <row r="251" spans="1:9" x14ac:dyDescent="0.25">
      <c r="A251" t="s">
        <v>93</v>
      </c>
      <c r="B251" t="s">
        <v>95</v>
      </c>
      <c r="C251" t="s">
        <v>92</v>
      </c>
      <c r="D251" t="s">
        <v>79</v>
      </c>
      <c r="E251" t="s">
        <v>90</v>
      </c>
      <c r="F251" s="6">
        <v>0.55208333333333337</v>
      </c>
      <c r="G251">
        <v>139</v>
      </c>
      <c r="H251" s="6">
        <f>FLOOR(tblPivotData[[#This Row],[Time]],Summary!$B$6/1440)</f>
        <v>0.55208333333333326</v>
      </c>
      <c r="I251">
        <f>INDEX(PeakCalc!$L$10:$L$303,MATCH(tblPivotData[[#This Row],[Time]],PeakCalc!$G$10:$G$303,0))</f>
        <v>1</v>
      </c>
    </row>
    <row r="252" spans="1:9" x14ac:dyDescent="0.25">
      <c r="A252" t="s">
        <v>93</v>
      </c>
      <c r="B252" t="s">
        <v>95</v>
      </c>
      <c r="C252" t="s">
        <v>92</v>
      </c>
      <c r="D252" t="s">
        <v>79</v>
      </c>
      <c r="E252" t="s">
        <v>90</v>
      </c>
      <c r="F252" s="6">
        <v>0.5625</v>
      </c>
      <c r="G252">
        <v>140</v>
      </c>
      <c r="H252" s="6">
        <f>FLOOR(tblPivotData[[#This Row],[Time]],Summary!$B$6/1440)</f>
        <v>0.5625</v>
      </c>
      <c r="I252">
        <f>INDEX(PeakCalc!$L$10:$L$303,MATCH(tblPivotData[[#This Row],[Time]],PeakCalc!$G$10:$G$303,0))</f>
        <v>1</v>
      </c>
    </row>
    <row r="253" spans="1:9" x14ac:dyDescent="0.25">
      <c r="A253" t="s">
        <v>93</v>
      </c>
      <c r="B253" t="s">
        <v>95</v>
      </c>
      <c r="C253" t="s">
        <v>92</v>
      </c>
      <c r="D253" t="s">
        <v>79</v>
      </c>
      <c r="E253" t="s">
        <v>90</v>
      </c>
      <c r="F253" s="6">
        <v>0.57291666666666663</v>
      </c>
      <c r="G253">
        <v>143</v>
      </c>
      <c r="H253" s="6">
        <f>FLOOR(tblPivotData[[#This Row],[Time]],Summary!$B$6/1440)</f>
        <v>0.57291666666666663</v>
      </c>
      <c r="I253">
        <f>INDEX(PeakCalc!$L$10:$L$303,MATCH(tblPivotData[[#This Row],[Time]],PeakCalc!$G$10:$G$303,0))</f>
        <v>1</v>
      </c>
    </row>
    <row r="254" spans="1:9" x14ac:dyDescent="0.25">
      <c r="A254" t="s">
        <v>93</v>
      </c>
      <c r="B254" t="s">
        <v>95</v>
      </c>
      <c r="C254" t="s">
        <v>92</v>
      </c>
      <c r="D254" t="s">
        <v>79</v>
      </c>
      <c r="E254" t="s">
        <v>44</v>
      </c>
      <c r="F254" s="6">
        <v>0.66666666666666663</v>
      </c>
      <c r="G254">
        <v>174</v>
      </c>
      <c r="H254" s="6">
        <f>FLOOR(tblPivotData[[#This Row],[Time]],Summary!$B$6/1440)</f>
        <v>0.66666666666666663</v>
      </c>
      <c r="I254">
        <f>INDEX(PeakCalc!$L$10:$L$303,MATCH(tblPivotData[[#This Row],[Time]],PeakCalc!$G$10:$G$303,0))</f>
        <v>0</v>
      </c>
    </row>
    <row r="255" spans="1:9" x14ac:dyDescent="0.25">
      <c r="A255" t="s">
        <v>93</v>
      </c>
      <c r="B255" t="s">
        <v>95</v>
      </c>
      <c r="C255" t="s">
        <v>92</v>
      </c>
      <c r="D255" t="s">
        <v>79</v>
      </c>
      <c r="E255" t="s">
        <v>44</v>
      </c>
      <c r="F255" s="6">
        <v>0.67708333333333337</v>
      </c>
      <c r="G255">
        <v>162</v>
      </c>
      <c r="H255" s="6">
        <f>FLOOR(tblPivotData[[#This Row],[Time]],Summary!$B$6/1440)</f>
        <v>0.67708333333333326</v>
      </c>
      <c r="I255">
        <f>INDEX(PeakCalc!$L$10:$L$303,MATCH(tblPivotData[[#This Row],[Time]],PeakCalc!$G$10:$G$303,0))</f>
        <v>1</v>
      </c>
    </row>
    <row r="256" spans="1:9" x14ac:dyDescent="0.25">
      <c r="A256" t="s">
        <v>93</v>
      </c>
      <c r="B256" t="s">
        <v>95</v>
      </c>
      <c r="C256" t="s">
        <v>92</v>
      </c>
      <c r="D256" t="s">
        <v>79</v>
      </c>
      <c r="E256" t="s">
        <v>44</v>
      </c>
      <c r="F256" s="6">
        <v>0.6875</v>
      </c>
      <c r="G256">
        <v>177</v>
      </c>
      <c r="H256" s="6">
        <f>FLOOR(tblPivotData[[#This Row],[Time]],Summary!$B$6/1440)</f>
        <v>0.6875</v>
      </c>
      <c r="I256">
        <f>INDEX(PeakCalc!$L$10:$L$303,MATCH(tblPivotData[[#This Row],[Time]],PeakCalc!$G$10:$G$303,0))</f>
        <v>1</v>
      </c>
    </row>
    <row r="257" spans="1:9" x14ac:dyDescent="0.25">
      <c r="A257" t="s">
        <v>93</v>
      </c>
      <c r="B257" t="s">
        <v>95</v>
      </c>
      <c r="C257" t="s">
        <v>92</v>
      </c>
      <c r="D257" t="s">
        <v>79</v>
      </c>
      <c r="E257" t="s">
        <v>44</v>
      </c>
      <c r="F257" s="6">
        <v>0.69791666666666663</v>
      </c>
      <c r="G257">
        <v>188</v>
      </c>
      <c r="H257" s="6">
        <f>FLOOR(tblPivotData[[#This Row],[Time]],Summary!$B$6/1440)</f>
        <v>0.69791666666666663</v>
      </c>
      <c r="I257">
        <f>INDEX(PeakCalc!$L$10:$L$303,MATCH(tblPivotData[[#This Row],[Time]],PeakCalc!$G$10:$G$303,0))</f>
        <v>1</v>
      </c>
    </row>
    <row r="258" spans="1:9" x14ac:dyDescent="0.25">
      <c r="A258" t="s">
        <v>93</v>
      </c>
      <c r="B258" t="s">
        <v>95</v>
      </c>
      <c r="C258" t="s">
        <v>92</v>
      </c>
      <c r="D258" t="s">
        <v>79</v>
      </c>
      <c r="E258" t="s">
        <v>44</v>
      </c>
      <c r="F258" s="6">
        <v>0.70833333333333337</v>
      </c>
      <c r="G258">
        <v>149</v>
      </c>
      <c r="H258" s="6">
        <f>FLOOR(tblPivotData[[#This Row],[Time]],Summary!$B$6/1440)</f>
        <v>0.70833333333333326</v>
      </c>
      <c r="I258">
        <f>INDEX(PeakCalc!$L$10:$L$303,MATCH(tblPivotData[[#This Row],[Time]],PeakCalc!$G$10:$G$303,0))</f>
        <v>1</v>
      </c>
    </row>
    <row r="259" spans="1:9" x14ac:dyDescent="0.25">
      <c r="A259" t="s">
        <v>93</v>
      </c>
      <c r="B259" t="s">
        <v>95</v>
      </c>
      <c r="C259" t="s">
        <v>92</v>
      </c>
      <c r="D259" t="s">
        <v>79</v>
      </c>
      <c r="E259" t="s">
        <v>44</v>
      </c>
      <c r="F259" s="6">
        <v>0.71875</v>
      </c>
      <c r="G259">
        <v>161</v>
      </c>
      <c r="H259" s="6">
        <f>FLOOR(tblPivotData[[#This Row],[Time]],Summary!$B$6/1440)</f>
        <v>0.71875</v>
      </c>
      <c r="I259">
        <f>INDEX(PeakCalc!$L$10:$L$303,MATCH(tblPivotData[[#This Row],[Time]],PeakCalc!$G$10:$G$303,0))</f>
        <v>0</v>
      </c>
    </row>
    <row r="260" spans="1:9" x14ac:dyDescent="0.25">
      <c r="A260" t="s">
        <v>93</v>
      </c>
      <c r="B260" t="s">
        <v>95</v>
      </c>
      <c r="C260" t="s">
        <v>92</v>
      </c>
      <c r="D260" t="s">
        <v>79</v>
      </c>
      <c r="E260" t="s">
        <v>44</v>
      </c>
      <c r="F260" s="6">
        <v>0.72916666666666663</v>
      </c>
      <c r="G260">
        <v>162</v>
      </c>
      <c r="H260" s="6">
        <f>FLOOR(tblPivotData[[#This Row],[Time]],Summary!$B$6/1440)</f>
        <v>0.72916666666666663</v>
      </c>
      <c r="I260">
        <f>INDEX(PeakCalc!$L$10:$L$303,MATCH(tblPivotData[[#This Row],[Time]],PeakCalc!$G$10:$G$303,0))</f>
        <v>0</v>
      </c>
    </row>
    <row r="261" spans="1:9" x14ac:dyDescent="0.25">
      <c r="A261" t="s">
        <v>93</v>
      </c>
      <c r="B261" t="s">
        <v>95</v>
      </c>
      <c r="C261" t="s">
        <v>92</v>
      </c>
      <c r="D261" t="s">
        <v>79</v>
      </c>
      <c r="E261" t="s">
        <v>44</v>
      </c>
      <c r="F261" s="6">
        <v>0.73958333333333337</v>
      </c>
      <c r="G261">
        <v>138</v>
      </c>
      <c r="H261" s="6">
        <f>FLOOR(tblPivotData[[#This Row],[Time]],Summary!$B$6/1440)</f>
        <v>0.73958333333333326</v>
      </c>
      <c r="I261">
        <f>INDEX(PeakCalc!$L$10:$L$303,MATCH(tblPivotData[[#This Row],[Time]],PeakCalc!$G$10:$G$303,0))</f>
        <v>0</v>
      </c>
    </row>
    <row r="262" spans="1:9" x14ac:dyDescent="0.25">
      <c r="A262" t="s">
        <v>93</v>
      </c>
      <c r="B262" t="s">
        <v>95</v>
      </c>
      <c r="C262" t="s">
        <v>92</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93</v>
      </c>
      <c r="B263" t="s">
        <v>95</v>
      </c>
      <c r="C263" t="s">
        <v>92</v>
      </c>
      <c r="D263" t="s">
        <v>88</v>
      </c>
      <c r="E263" t="s">
        <v>43</v>
      </c>
      <c r="F263" s="6">
        <v>0.30208333333333331</v>
      </c>
      <c r="G263">
        <v>5</v>
      </c>
      <c r="H263" s="6">
        <f>FLOOR(tblPivotData[[#This Row],[Time]],Summary!$B$6/1440)</f>
        <v>0.30208333333333331</v>
      </c>
      <c r="I263">
        <f>INDEX(PeakCalc!$L$10:$L$303,MATCH(tblPivotData[[#This Row],[Time]],PeakCalc!$G$10:$G$303,0))</f>
        <v>0</v>
      </c>
    </row>
    <row r="264" spans="1:9" x14ac:dyDescent="0.25">
      <c r="A264" t="s">
        <v>93</v>
      </c>
      <c r="B264" t="s">
        <v>95</v>
      </c>
      <c r="C264" t="s">
        <v>92</v>
      </c>
      <c r="D264" t="s">
        <v>88</v>
      </c>
      <c r="E264" t="s">
        <v>43</v>
      </c>
      <c r="F264" s="6">
        <v>0.3125</v>
      </c>
      <c r="G264">
        <v>6</v>
      </c>
      <c r="H264" s="6">
        <f>FLOOR(tblPivotData[[#This Row],[Time]],Summary!$B$6/1440)</f>
        <v>0.3125</v>
      </c>
      <c r="I264">
        <f>INDEX(PeakCalc!$L$10:$L$303,MATCH(tblPivotData[[#This Row],[Time]],PeakCalc!$G$10:$G$303,0))</f>
        <v>0</v>
      </c>
    </row>
    <row r="265" spans="1:9" x14ac:dyDescent="0.25">
      <c r="A265" t="s">
        <v>93</v>
      </c>
      <c r="B265" t="s">
        <v>95</v>
      </c>
      <c r="C265" t="s">
        <v>92</v>
      </c>
      <c r="D265" t="s">
        <v>88</v>
      </c>
      <c r="E265" t="s">
        <v>43</v>
      </c>
      <c r="F265" s="6">
        <v>0.32291666666666669</v>
      </c>
      <c r="G265">
        <v>6</v>
      </c>
      <c r="H265" s="6">
        <f>FLOOR(tblPivotData[[#This Row],[Time]],Summary!$B$6/1440)</f>
        <v>0.32291666666666663</v>
      </c>
      <c r="I265">
        <f>INDEX(PeakCalc!$L$10:$L$303,MATCH(tblPivotData[[#This Row],[Time]],PeakCalc!$G$10:$G$303,0))</f>
        <v>1</v>
      </c>
    </row>
    <row r="266" spans="1:9" x14ac:dyDescent="0.25">
      <c r="A266" t="s">
        <v>93</v>
      </c>
      <c r="B266" t="s">
        <v>95</v>
      </c>
      <c r="C266" t="s">
        <v>92</v>
      </c>
      <c r="D266" t="s">
        <v>88</v>
      </c>
      <c r="E266" t="s">
        <v>43</v>
      </c>
      <c r="F266" s="6">
        <v>0.33333333333333331</v>
      </c>
      <c r="G266">
        <v>9</v>
      </c>
      <c r="H266" s="6">
        <f>FLOOR(tblPivotData[[#This Row],[Time]],Summary!$B$6/1440)</f>
        <v>0.33333333333333331</v>
      </c>
      <c r="I266">
        <f>INDEX(PeakCalc!$L$10:$L$303,MATCH(tblPivotData[[#This Row],[Time]],PeakCalc!$G$10:$G$303,0))</f>
        <v>1</v>
      </c>
    </row>
    <row r="267" spans="1:9" x14ac:dyDescent="0.25">
      <c r="A267" t="s">
        <v>93</v>
      </c>
      <c r="B267" t="s">
        <v>95</v>
      </c>
      <c r="C267" t="s">
        <v>92</v>
      </c>
      <c r="D267" t="s">
        <v>88</v>
      </c>
      <c r="E267" t="s">
        <v>43</v>
      </c>
      <c r="F267" s="6">
        <v>0.34375</v>
      </c>
      <c r="G267">
        <v>4</v>
      </c>
      <c r="H267" s="6">
        <f>FLOOR(tblPivotData[[#This Row],[Time]],Summary!$B$6/1440)</f>
        <v>0.34375</v>
      </c>
      <c r="I267">
        <f>INDEX(PeakCalc!$L$10:$L$303,MATCH(tblPivotData[[#This Row],[Time]],PeakCalc!$G$10:$G$303,0))</f>
        <v>1</v>
      </c>
    </row>
    <row r="268" spans="1:9" x14ac:dyDescent="0.25">
      <c r="A268" t="s">
        <v>93</v>
      </c>
      <c r="B268" t="s">
        <v>95</v>
      </c>
      <c r="C268" t="s">
        <v>92</v>
      </c>
      <c r="D268" t="s">
        <v>88</v>
      </c>
      <c r="E268" t="s">
        <v>43</v>
      </c>
      <c r="F268" s="6">
        <v>0.35416666666666669</v>
      </c>
      <c r="G268">
        <v>4</v>
      </c>
      <c r="H268" s="6">
        <f>FLOOR(tblPivotData[[#This Row],[Time]],Summary!$B$6/1440)</f>
        <v>0.35416666666666663</v>
      </c>
      <c r="I268">
        <f>INDEX(PeakCalc!$L$10:$L$303,MATCH(tblPivotData[[#This Row],[Time]],PeakCalc!$G$10:$G$303,0))</f>
        <v>1</v>
      </c>
    </row>
    <row r="269" spans="1:9" x14ac:dyDescent="0.25">
      <c r="A269" t="s">
        <v>93</v>
      </c>
      <c r="B269" t="s">
        <v>95</v>
      </c>
      <c r="C269" t="s">
        <v>92</v>
      </c>
      <c r="D269" t="s">
        <v>88</v>
      </c>
      <c r="E269" t="s">
        <v>43</v>
      </c>
      <c r="F269" s="6">
        <v>0.36458333333333331</v>
      </c>
      <c r="G269">
        <v>5</v>
      </c>
      <c r="H269" s="6">
        <f>FLOOR(tblPivotData[[#This Row],[Time]],Summary!$B$6/1440)</f>
        <v>0.36458333333333331</v>
      </c>
      <c r="I269">
        <f>INDEX(PeakCalc!$L$10:$L$303,MATCH(tblPivotData[[#This Row],[Time]],PeakCalc!$G$10:$G$303,0))</f>
        <v>0</v>
      </c>
    </row>
    <row r="270" spans="1:9" x14ac:dyDescent="0.25">
      <c r="A270" t="s">
        <v>93</v>
      </c>
      <c r="B270" t="s">
        <v>95</v>
      </c>
      <c r="C270" t="s">
        <v>92</v>
      </c>
      <c r="D270" t="s">
        <v>88</v>
      </c>
      <c r="E270" t="s">
        <v>90</v>
      </c>
      <c r="F270" s="6">
        <v>0.54166666666666663</v>
      </c>
      <c r="G270">
        <v>6</v>
      </c>
      <c r="H270" s="6">
        <f>FLOOR(tblPivotData[[#This Row],[Time]],Summary!$B$6/1440)</f>
        <v>0.54166666666666663</v>
      </c>
      <c r="I270">
        <f>INDEX(PeakCalc!$L$10:$L$303,MATCH(tblPivotData[[#This Row],[Time]],PeakCalc!$G$10:$G$303,0))</f>
        <v>1</v>
      </c>
    </row>
    <row r="271" spans="1:9" x14ac:dyDescent="0.25">
      <c r="A271" t="s">
        <v>93</v>
      </c>
      <c r="B271" t="s">
        <v>95</v>
      </c>
      <c r="C271" t="s">
        <v>92</v>
      </c>
      <c r="D271" t="s">
        <v>88</v>
      </c>
      <c r="E271" t="s">
        <v>90</v>
      </c>
      <c r="F271" s="6">
        <v>0.55208333333333337</v>
      </c>
      <c r="G271">
        <v>3</v>
      </c>
      <c r="H271" s="6">
        <f>FLOOR(tblPivotData[[#This Row],[Time]],Summary!$B$6/1440)</f>
        <v>0.55208333333333326</v>
      </c>
      <c r="I271">
        <f>INDEX(PeakCalc!$L$10:$L$303,MATCH(tblPivotData[[#This Row],[Time]],PeakCalc!$G$10:$G$303,0))</f>
        <v>1</v>
      </c>
    </row>
    <row r="272" spans="1:9" x14ac:dyDescent="0.25">
      <c r="A272" t="s">
        <v>93</v>
      </c>
      <c r="B272" t="s">
        <v>95</v>
      </c>
      <c r="C272" t="s">
        <v>92</v>
      </c>
      <c r="D272" t="s">
        <v>88</v>
      </c>
      <c r="E272" t="s">
        <v>90</v>
      </c>
      <c r="F272" s="6">
        <v>0.5625</v>
      </c>
      <c r="G272">
        <v>8</v>
      </c>
      <c r="H272" s="6">
        <f>FLOOR(tblPivotData[[#This Row],[Time]],Summary!$B$6/1440)</f>
        <v>0.5625</v>
      </c>
      <c r="I272">
        <f>INDEX(PeakCalc!$L$10:$L$303,MATCH(tblPivotData[[#This Row],[Time]],PeakCalc!$G$10:$G$303,0))</f>
        <v>1</v>
      </c>
    </row>
    <row r="273" spans="1:9" x14ac:dyDescent="0.25">
      <c r="A273" t="s">
        <v>93</v>
      </c>
      <c r="B273" t="s">
        <v>95</v>
      </c>
      <c r="C273" t="s">
        <v>92</v>
      </c>
      <c r="D273" t="s">
        <v>88</v>
      </c>
      <c r="E273" t="s">
        <v>90</v>
      </c>
      <c r="F273" s="6">
        <v>0.57291666666666663</v>
      </c>
      <c r="G273">
        <v>3</v>
      </c>
      <c r="H273" s="6">
        <f>FLOOR(tblPivotData[[#This Row],[Time]],Summary!$B$6/1440)</f>
        <v>0.57291666666666663</v>
      </c>
      <c r="I273">
        <f>INDEX(PeakCalc!$L$10:$L$303,MATCH(tblPivotData[[#This Row],[Time]],PeakCalc!$G$10:$G$303,0))</f>
        <v>1</v>
      </c>
    </row>
    <row r="274" spans="1:9" x14ac:dyDescent="0.25">
      <c r="A274" t="s">
        <v>93</v>
      </c>
      <c r="B274" t="s">
        <v>95</v>
      </c>
      <c r="C274" t="s">
        <v>92</v>
      </c>
      <c r="D274" t="s">
        <v>88</v>
      </c>
      <c r="E274" t="s">
        <v>44</v>
      </c>
      <c r="F274" s="6">
        <v>0.66666666666666663</v>
      </c>
      <c r="G274">
        <v>6</v>
      </c>
      <c r="H274" s="6">
        <f>FLOOR(tblPivotData[[#This Row],[Time]],Summary!$B$6/1440)</f>
        <v>0.66666666666666663</v>
      </c>
      <c r="I274">
        <f>INDEX(PeakCalc!$L$10:$L$303,MATCH(tblPivotData[[#This Row],[Time]],PeakCalc!$G$10:$G$303,0))</f>
        <v>0</v>
      </c>
    </row>
    <row r="275" spans="1:9" x14ac:dyDescent="0.25">
      <c r="A275" t="s">
        <v>93</v>
      </c>
      <c r="B275" t="s">
        <v>95</v>
      </c>
      <c r="C275" t="s">
        <v>92</v>
      </c>
      <c r="D275" t="s">
        <v>88</v>
      </c>
      <c r="E275" t="s">
        <v>44</v>
      </c>
      <c r="F275" s="6">
        <v>0.67708333333333337</v>
      </c>
      <c r="G275">
        <v>6</v>
      </c>
      <c r="H275" s="6">
        <f>FLOOR(tblPivotData[[#This Row],[Time]],Summary!$B$6/1440)</f>
        <v>0.67708333333333326</v>
      </c>
      <c r="I275">
        <f>INDEX(PeakCalc!$L$10:$L$303,MATCH(tblPivotData[[#This Row],[Time]],PeakCalc!$G$10:$G$303,0))</f>
        <v>1</v>
      </c>
    </row>
    <row r="276" spans="1:9" x14ac:dyDescent="0.25">
      <c r="A276" t="s">
        <v>93</v>
      </c>
      <c r="B276" t="s">
        <v>95</v>
      </c>
      <c r="C276" t="s">
        <v>92</v>
      </c>
      <c r="D276" t="s">
        <v>88</v>
      </c>
      <c r="E276" t="s">
        <v>44</v>
      </c>
      <c r="F276" s="6">
        <v>0.6875</v>
      </c>
      <c r="G276">
        <v>6</v>
      </c>
      <c r="H276" s="6">
        <f>FLOOR(tblPivotData[[#This Row],[Time]],Summary!$B$6/1440)</f>
        <v>0.6875</v>
      </c>
      <c r="I276">
        <f>INDEX(PeakCalc!$L$10:$L$303,MATCH(tblPivotData[[#This Row],[Time]],PeakCalc!$G$10:$G$303,0))</f>
        <v>1</v>
      </c>
    </row>
    <row r="277" spans="1:9" x14ac:dyDescent="0.25">
      <c r="A277" t="s">
        <v>93</v>
      </c>
      <c r="B277" t="s">
        <v>95</v>
      </c>
      <c r="C277" t="s">
        <v>92</v>
      </c>
      <c r="D277" t="s">
        <v>88</v>
      </c>
      <c r="E277" t="s">
        <v>44</v>
      </c>
      <c r="F277" s="6">
        <v>0.69791666666666663</v>
      </c>
      <c r="G277">
        <v>5</v>
      </c>
      <c r="H277" s="6">
        <f>FLOOR(tblPivotData[[#This Row],[Time]],Summary!$B$6/1440)</f>
        <v>0.69791666666666663</v>
      </c>
      <c r="I277">
        <f>INDEX(PeakCalc!$L$10:$L$303,MATCH(tblPivotData[[#This Row],[Time]],PeakCalc!$G$10:$G$303,0))</f>
        <v>1</v>
      </c>
    </row>
    <row r="278" spans="1:9" x14ac:dyDescent="0.25">
      <c r="A278" t="s">
        <v>93</v>
      </c>
      <c r="B278" t="s">
        <v>95</v>
      </c>
      <c r="C278" t="s">
        <v>92</v>
      </c>
      <c r="D278" t="s">
        <v>88</v>
      </c>
      <c r="E278" t="s">
        <v>44</v>
      </c>
      <c r="F278" s="6">
        <v>0.70833333333333337</v>
      </c>
      <c r="G278">
        <v>4</v>
      </c>
      <c r="H278" s="6">
        <f>FLOOR(tblPivotData[[#This Row],[Time]],Summary!$B$6/1440)</f>
        <v>0.70833333333333326</v>
      </c>
      <c r="I278">
        <f>INDEX(PeakCalc!$L$10:$L$303,MATCH(tblPivotData[[#This Row],[Time]],PeakCalc!$G$10:$G$303,0))</f>
        <v>1</v>
      </c>
    </row>
    <row r="279" spans="1:9" x14ac:dyDescent="0.25">
      <c r="A279" t="s">
        <v>93</v>
      </c>
      <c r="B279" t="s">
        <v>95</v>
      </c>
      <c r="C279" t="s">
        <v>92</v>
      </c>
      <c r="D279" t="s">
        <v>88</v>
      </c>
      <c r="E279" t="s">
        <v>44</v>
      </c>
      <c r="F279" s="6">
        <v>0.71875</v>
      </c>
      <c r="G279">
        <v>4</v>
      </c>
      <c r="H279" s="6">
        <f>FLOOR(tblPivotData[[#This Row],[Time]],Summary!$B$6/1440)</f>
        <v>0.71875</v>
      </c>
      <c r="I279">
        <f>INDEX(PeakCalc!$L$10:$L$303,MATCH(tblPivotData[[#This Row],[Time]],PeakCalc!$G$10:$G$303,0))</f>
        <v>0</v>
      </c>
    </row>
    <row r="280" spans="1:9" x14ac:dyDescent="0.25">
      <c r="A280" t="s">
        <v>93</v>
      </c>
      <c r="B280" t="s">
        <v>95</v>
      </c>
      <c r="C280" t="s">
        <v>92</v>
      </c>
      <c r="D280" t="s">
        <v>88</v>
      </c>
      <c r="E280" t="s">
        <v>44</v>
      </c>
      <c r="F280" s="6">
        <v>0.72916666666666663</v>
      </c>
      <c r="G280">
        <v>2</v>
      </c>
      <c r="H280" s="6">
        <f>FLOOR(tblPivotData[[#This Row],[Time]],Summary!$B$6/1440)</f>
        <v>0.72916666666666663</v>
      </c>
      <c r="I280">
        <f>INDEX(PeakCalc!$L$10:$L$303,MATCH(tblPivotData[[#This Row],[Time]],PeakCalc!$G$10:$G$303,0))</f>
        <v>0</v>
      </c>
    </row>
    <row r="281" spans="1:9" x14ac:dyDescent="0.25">
      <c r="A281" t="s">
        <v>93</v>
      </c>
      <c r="B281" t="s">
        <v>95</v>
      </c>
      <c r="C281" t="s">
        <v>92</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93</v>
      </c>
      <c r="B282" t="s">
        <v>95</v>
      </c>
      <c r="C282" t="s">
        <v>92</v>
      </c>
      <c r="D282" t="s">
        <v>89</v>
      </c>
      <c r="E282" t="s">
        <v>43</v>
      </c>
      <c r="F282" s="6">
        <v>0.29166666666666669</v>
      </c>
      <c r="G282">
        <v>3</v>
      </c>
      <c r="H282" s="6">
        <f>FLOOR(tblPivotData[[#This Row],[Time]],Summary!$B$6/1440)</f>
        <v>0.29166666666666663</v>
      </c>
      <c r="I282">
        <f>INDEX(PeakCalc!$L$10:$L$303,MATCH(tblPivotData[[#This Row],[Time]],PeakCalc!$G$10:$G$303,0))</f>
        <v>0</v>
      </c>
    </row>
    <row r="283" spans="1:9" x14ac:dyDescent="0.25">
      <c r="A283" t="s">
        <v>93</v>
      </c>
      <c r="B283" t="s">
        <v>95</v>
      </c>
      <c r="C283" t="s">
        <v>92</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93</v>
      </c>
      <c r="B284" t="s">
        <v>95</v>
      </c>
      <c r="C284" t="s">
        <v>92</v>
      </c>
      <c r="D284" t="s">
        <v>89</v>
      </c>
      <c r="E284" t="s">
        <v>43</v>
      </c>
      <c r="F284" s="6">
        <v>0.3125</v>
      </c>
      <c r="G284">
        <v>0</v>
      </c>
      <c r="H284" s="6">
        <f>FLOOR(tblPivotData[[#This Row],[Time]],Summary!$B$6/1440)</f>
        <v>0.3125</v>
      </c>
      <c r="I284">
        <f>INDEX(PeakCalc!$L$10:$L$303,MATCH(tblPivotData[[#This Row],[Time]],PeakCalc!$G$10:$G$303,0))</f>
        <v>0</v>
      </c>
    </row>
    <row r="285" spans="1:9" x14ac:dyDescent="0.25">
      <c r="A285" t="s">
        <v>93</v>
      </c>
      <c r="B285" t="s">
        <v>95</v>
      </c>
      <c r="C285" t="s">
        <v>92</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93</v>
      </c>
      <c r="B286" t="s">
        <v>95</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95</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95</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95</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95</v>
      </c>
      <c r="C290" t="s">
        <v>92</v>
      </c>
      <c r="D290" t="s">
        <v>89</v>
      </c>
      <c r="E290" t="s">
        <v>90</v>
      </c>
      <c r="F290" s="6">
        <v>0.54166666666666663</v>
      </c>
      <c r="G290">
        <v>2</v>
      </c>
      <c r="H290" s="6">
        <f>FLOOR(tblPivotData[[#This Row],[Time]],Summary!$B$6/1440)</f>
        <v>0.54166666666666663</v>
      </c>
      <c r="I290">
        <f>INDEX(PeakCalc!$L$10:$L$303,MATCH(tblPivotData[[#This Row],[Time]],PeakCalc!$G$10:$G$303,0))</f>
        <v>1</v>
      </c>
    </row>
    <row r="291" spans="1:9" x14ac:dyDescent="0.25">
      <c r="A291" t="s">
        <v>93</v>
      </c>
      <c r="B291" t="s">
        <v>95</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95</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95</v>
      </c>
      <c r="C293" t="s">
        <v>92</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25">
      <c r="A294" t="s">
        <v>93</v>
      </c>
      <c r="B294" t="s">
        <v>95</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95</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93</v>
      </c>
      <c r="B296" t="s">
        <v>95</v>
      </c>
      <c r="C296" t="s">
        <v>92</v>
      </c>
      <c r="D296" t="s">
        <v>89</v>
      </c>
      <c r="E296" t="s">
        <v>44</v>
      </c>
      <c r="F296" s="6">
        <v>0.6875</v>
      </c>
      <c r="G296">
        <v>4</v>
      </c>
      <c r="H296" s="6">
        <f>FLOOR(tblPivotData[[#This Row],[Time]],Summary!$B$6/1440)</f>
        <v>0.6875</v>
      </c>
      <c r="I296">
        <f>INDEX(PeakCalc!$L$10:$L$303,MATCH(tblPivotData[[#This Row],[Time]],PeakCalc!$G$10:$G$303,0))</f>
        <v>1</v>
      </c>
    </row>
    <row r="297" spans="1:9" x14ac:dyDescent="0.25">
      <c r="A297" t="s">
        <v>93</v>
      </c>
      <c r="B297" t="s">
        <v>95</v>
      </c>
      <c r="C297" t="s">
        <v>92</v>
      </c>
      <c r="D297" t="s">
        <v>89</v>
      </c>
      <c r="E297" t="s">
        <v>44</v>
      </c>
      <c r="F297" s="6">
        <v>0.69791666666666663</v>
      </c>
      <c r="G297">
        <v>2</v>
      </c>
      <c r="H297" s="6">
        <f>FLOOR(tblPivotData[[#This Row],[Time]],Summary!$B$6/1440)</f>
        <v>0.69791666666666663</v>
      </c>
      <c r="I297">
        <f>INDEX(PeakCalc!$L$10:$L$303,MATCH(tblPivotData[[#This Row],[Time]],PeakCalc!$G$10:$G$303,0))</f>
        <v>1</v>
      </c>
    </row>
    <row r="298" spans="1:9" x14ac:dyDescent="0.25">
      <c r="A298" t="s">
        <v>93</v>
      </c>
      <c r="B298" t="s">
        <v>95</v>
      </c>
      <c r="C298" t="s">
        <v>92</v>
      </c>
      <c r="D298" t="s">
        <v>89</v>
      </c>
      <c r="E298" t="s">
        <v>44</v>
      </c>
      <c r="F298" s="6">
        <v>0.70833333333333337</v>
      </c>
      <c r="G298">
        <v>3</v>
      </c>
      <c r="H298" s="6">
        <f>FLOOR(tblPivotData[[#This Row],[Time]],Summary!$B$6/1440)</f>
        <v>0.70833333333333326</v>
      </c>
      <c r="I298">
        <f>INDEX(PeakCalc!$L$10:$L$303,MATCH(tblPivotData[[#This Row],[Time]],PeakCalc!$G$10:$G$303,0))</f>
        <v>1</v>
      </c>
    </row>
    <row r="299" spans="1:9" x14ac:dyDescent="0.25">
      <c r="A299" t="s">
        <v>93</v>
      </c>
      <c r="B299" t="s">
        <v>95</v>
      </c>
      <c r="C299" t="s">
        <v>92</v>
      </c>
      <c r="D299" t="s">
        <v>89</v>
      </c>
      <c r="E299" t="s">
        <v>44</v>
      </c>
      <c r="F299" s="6">
        <v>0.71875</v>
      </c>
      <c r="G299">
        <v>2</v>
      </c>
      <c r="H299" s="6">
        <f>FLOOR(tblPivotData[[#This Row],[Time]],Summary!$B$6/1440)</f>
        <v>0.71875</v>
      </c>
      <c r="I299">
        <f>INDEX(PeakCalc!$L$10:$L$303,MATCH(tblPivotData[[#This Row],[Time]],PeakCalc!$G$10:$G$303,0))</f>
        <v>0</v>
      </c>
    </row>
    <row r="300" spans="1:9" x14ac:dyDescent="0.25">
      <c r="A300" t="s">
        <v>93</v>
      </c>
      <c r="B300" t="s">
        <v>95</v>
      </c>
      <c r="C300" t="s">
        <v>92</v>
      </c>
      <c r="D300" t="s">
        <v>89</v>
      </c>
      <c r="E300" t="s">
        <v>44</v>
      </c>
      <c r="F300" s="6">
        <v>0.72916666666666663</v>
      </c>
      <c r="G300">
        <v>1</v>
      </c>
      <c r="H300" s="6">
        <f>FLOOR(tblPivotData[[#This Row],[Time]],Summary!$B$6/1440)</f>
        <v>0.72916666666666663</v>
      </c>
      <c r="I300">
        <f>INDEX(PeakCalc!$L$10:$L$303,MATCH(tblPivotData[[#This Row],[Time]],PeakCalc!$G$10:$G$303,0))</f>
        <v>0</v>
      </c>
    </row>
    <row r="301" spans="1:9" x14ac:dyDescent="0.25">
      <c r="A301" t="s">
        <v>93</v>
      </c>
      <c r="B301" t="s">
        <v>95</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97</v>
      </c>
      <c r="B302" t="s">
        <v>100</v>
      </c>
      <c r="C302" t="s">
        <v>92</v>
      </c>
      <c r="D302" t="s">
        <v>79</v>
      </c>
      <c r="E302" t="s">
        <v>43</v>
      </c>
      <c r="F302" s="6">
        <v>0.29166666666666669</v>
      </c>
      <c r="G302">
        <v>20</v>
      </c>
      <c r="H302" s="6">
        <f>FLOOR(tblPivotData[[#This Row],[Time]],Summary!$B$6/1440)</f>
        <v>0.29166666666666663</v>
      </c>
      <c r="I302">
        <f>INDEX(PeakCalc!$L$10:$L$303,MATCH(tblPivotData[[#This Row],[Time]],PeakCalc!$G$10:$G$303,0))</f>
        <v>0</v>
      </c>
    </row>
    <row r="303" spans="1:9" x14ac:dyDescent="0.25">
      <c r="A303" t="s">
        <v>97</v>
      </c>
      <c r="B303" t="s">
        <v>100</v>
      </c>
      <c r="C303" t="s">
        <v>92</v>
      </c>
      <c r="D303" t="s">
        <v>79</v>
      </c>
      <c r="E303" t="s">
        <v>43</v>
      </c>
      <c r="F303" s="6">
        <v>0.30208333333333331</v>
      </c>
      <c r="G303">
        <v>34</v>
      </c>
      <c r="H303" s="6">
        <f>FLOOR(tblPivotData[[#This Row],[Time]],Summary!$B$6/1440)</f>
        <v>0.30208333333333331</v>
      </c>
      <c r="I303">
        <f>INDEX(PeakCalc!$L$10:$L$303,MATCH(tblPivotData[[#This Row],[Time]],PeakCalc!$G$10:$G$303,0))</f>
        <v>0</v>
      </c>
    </row>
    <row r="304" spans="1:9" x14ac:dyDescent="0.25">
      <c r="A304" t="s">
        <v>97</v>
      </c>
      <c r="B304" t="s">
        <v>100</v>
      </c>
      <c r="C304" t="s">
        <v>92</v>
      </c>
      <c r="D304" t="s">
        <v>79</v>
      </c>
      <c r="E304" t="s">
        <v>43</v>
      </c>
      <c r="F304" s="6">
        <v>0.3125</v>
      </c>
      <c r="G304">
        <v>28</v>
      </c>
      <c r="H304" s="6">
        <f>FLOOR(tblPivotData[[#This Row],[Time]],Summary!$B$6/1440)</f>
        <v>0.3125</v>
      </c>
      <c r="I304">
        <f>INDEX(PeakCalc!$L$10:$L$303,MATCH(tblPivotData[[#This Row],[Time]],PeakCalc!$G$10:$G$303,0))</f>
        <v>0</v>
      </c>
    </row>
    <row r="305" spans="1:9" x14ac:dyDescent="0.25">
      <c r="A305" t="s">
        <v>97</v>
      </c>
      <c r="B305" t="s">
        <v>100</v>
      </c>
      <c r="C305" t="s">
        <v>92</v>
      </c>
      <c r="D305" t="s">
        <v>79</v>
      </c>
      <c r="E305" t="s">
        <v>43</v>
      </c>
      <c r="F305" s="6">
        <v>0.32291666666666669</v>
      </c>
      <c r="G305">
        <v>33</v>
      </c>
      <c r="H305" s="6">
        <f>FLOOR(tblPivotData[[#This Row],[Time]],Summary!$B$6/1440)</f>
        <v>0.32291666666666663</v>
      </c>
      <c r="I305">
        <f>INDEX(PeakCalc!$L$10:$L$303,MATCH(tblPivotData[[#This Row],[Time]],PeakCalc!$G$10:$G$303,0))</f>
        <v>1</v>
      </c>
    </row>
    <row r="306" spans="1:9" x14ac:dyDescent="0.25">
      <c r="A306" t="s">
        <v>97</v>
      </c>
      <c r="B306" t="s">
        <v>100</v>
      </c>
      <c r="C306" t="s">
        <v>92</v>
      </c>
      <c r="D306" t="s">
        <v>79</v>
      </c>
      <c r="E306" t="s">
        <v>43</v>
      </c>
      <c r="F306" s="6">
        <v>0.33333333333333331</v>
      </c>
      <c r="G306">
        <v>45</v>
      </c>
      <c r="H306" s="6">
        <f>FLOOR(tblPivotData[[#This Row],[Time]],Summary!$B$6/1440)</f>
        <v>0.33333333333333331</v>
      </c>
      <c r="I306">
        <f>INDEX(PeakCalc!$L$10:$L$303,MATCH(tblPivotData[[#This Row],[Time]],PeakCalc!$G$10:$G$303,0))</f>
        <v>1</v>
      </c>
    </row>
    <row r="307" spans="1:9" x14ac:dyDescent="0.25">
      <c r="A307" t="s">
        <v>97</v>
      </c>
      <c r="B307" t="s">
        <v>100</v>
      </c>
      <c r="C307" t="s">
        <v>92</v>
      </c>
      <c r="D307" t="s">
        <v>79</v>
      </c>
      <c r="E307" t="s">
        <v>43</v>
      </c>
      <c r="F307" s="6">
        <v>0.34375</v>
      </c>
      <c r="G307">
        <v>58</v>
      </c>
      <c r="H307" s="6">
        <f>FLOOR(tblPivotData[[#This Row],[Time]],Summary!$B$6/1440)</f>
        <v>0.34375</v>
      </c>
      <c r="I307">
        <f>INDEX(PeakCalc!$L$10:$L$303,MATCH(tblPivotData[[#This Row],[Time]],PeakCalc!$G$10:$G$303,0))</f>
        <v>1</v>
      </c>
    </row>
    <row r="308" spans="1:9" x14ac:dyDescent="0.25">
      <c r="A308" t="s">
        <v>97</v>
      </c>
      <c r="B308" t="s">
        <v>100</v>
      </c>
      <c r="C308" t="s">
        <v>92</v>
      </c>
      <c r="D308" t="s">
        <v>79</v>
      </c>
      <c r="E308" t="s">
        <v>43</v>
      </c>
      <c r="F308" s="6">
        <v>0.35416666666666669</v>
      </c>
      <c r="G308">
        <v>54</v>
      </c>
      <c r="H308" s="6">
        <f>FLOOR(tblPivotData[[#This Row],[Time]],Summary!$B$6/1440)</f>
        <v>0.35416666666666663</v>
      </c>
      <c r="I308">
        <f>INDEX(PeakCalc!$L$10:$L$303,MATCH(tblPivotData[[#This Row],[Time]],PeakCalc!$G$10:$G$303,0))</f>
        <v>1</v>
      </c>
    </row>
    <row r="309" spans="1:9" x14ac:dyDescent="0.25">
      <c r="A309" t="s">
        <v>97</v>
      </c>
      <c r="B309" t="s">
        <v>100</v>
      </c>
      <c r="C309" t="s">
        <v>92</v>
      </c>
      <c r="D309" t="s">
        <v>79</v>
      </c>
      <c r="E309" t="s">
        <v>43</v>
      </c>
      <c r="F309" s="6">
        <v>0.36458333333333331</v>
      </c>
      <c r="G309">
        <v>40</v>
      </c>
      <c r="H309" s="6">
        <f>FLOOR(tblPivotData[[#This Row],[Time]],Summary!$B$6/1440)</f>
        <v>0.36458333333333331</v>
      </c>
      <c r="I309">
        <f>INDEX(PeakCalc!$L$10:$L$303,MATCH(tblPivotData[[#This Row],[Time]],PeakCalc!$G$10:$G$303,0))</f>
        <v>0</v>
      </c>
    </row>
    <row r="310" spans="1:9" x14ac:dyDescent="0.25">
      <c r="A310" t="s">
        <v>97</v>
      </c>
      <c r="B310" t="s">
        <v>100</v>
      </c>
      <c r="C310" t="s">
        <v>92</v>
      </c>
      <c r="D310" t="s">
        <v>79</v>
      </c>
      <c r="E310" t="s">
        <v>90</v>
      </c>
      <c r="F310" s="6">
        <v>0.54166666666666663</v>
      </c>
      <c r="G310">
        <v>36</v>
      </c>
      <c r="H310" s="6">
        <f>FLOOR(tblPivotData[[#This Row],[Time]],Summary!$B$6/1440)</f>
        <v>0.54166666666666663</v>
      </c>
      <c r="I310">
        <f>INDEX(PeakCalc!$L$10:$L$303,MATCH(tblPivotData[[#This Row],[Time]],PeakCalc!$G$10:$G$303,0))</f>
        <v>1</v>
      </c>
    </row>
    <row r="311" spans="1:9" x14ac:dyDescent="0.25">
      <c r="A311" t="s">
        <v>97</v>
      </c>
      <c r="B311" t="s">
        <v>100</v>
      </c>
      <c r="C311" t="s">
        <v>92</v>
      </c>
      <c r="D311" t="s">
        <v>79</v>
      </c>
      <c r="E311" t="s">
        <v>90</v>
      </c>
      <c r="F311" s="6">
        <v>0.55208333333333337</v>
      </c>
      <c r="G311">
        <v>33</v>
      </c>
      <c r="H311" s="6">
        <f>FLOOR(tblPivotData[[#This Row],[Time]],Summary!$B$6/1440)</f>
        <v>0.55208333333333326</v>
      </c>
      <c r="I311">
        <f>INDEX(PeakCalc!$L$10:$L$303,MATCH(tblPivotData[[#This Row],[Time]],PeakCalc!$G$10:$G$303,0))</f>
        <v>1</v>
      </c>
    </row>
    <row r="312" spans="1:9" x14ac:dyDescent="0.25">
      <c r="A312" t="s">
        <v>97</v>
      </c>
      <c r="B312" t="s">
        <v>100</v>
      </c>
      <c r="C312" t="s">
        <v>92</v>
      </c>
      <c r="D312" t="s">
        <v>79</v>
      </c>
      <c r="E312" t="s">
        <v>90</v>
      </c>
      <c r="F312" s="6">
        <v>0.5625</v>
      </c>
      <c r="G312">
        <v>34</v>
      </c>
      <c r="H312" s="6">
        <f>FLOOR(tblPivotData[[#This Row],[Time]],Summary!$B$6/1440)</f>
        <v>0.5625</v>
      </c>
      <c r="I312">
        <f>INDEX(PeakCalc!$L$10:$L$303,MATCH(tblPivotData[[#This Row],[Time]],PeakCalc!$G$10:$G$303,0))</f>
        <v>1</v>
      </c>
    </row>
    <row r="313" spans="1:9" x14ac:dyDescent="0.25">
      <c r="A313" t="s">
        <v>97</v>
      </c>
      <c r="B313" t="s">
        <v>100</v>
      </c>
      <c r="C313" t="s">
        <v>92</v>
      </c>
      <c r="D313" t="s">
        <v>79</v>
      </c>
      <c r="E313" t="s">
        <v>90</v>
      </c>
      <c r="F313" s="6">
        <v>0.57291666666666663</v>
      </c>
      <c r="G313">
        <v>41</v>
      </c>
      <c r="H313" s="6">
        <f>FLOOR(tblPivotData[[#This Row],[Time]],Summary!$B$6/1440)</f>
        <v>0.57291666666666663</v>
      </c>
      <c r="I313">
        <f>INDEX(PeakCalc!$L$10:$L$303,MATCH(tblPivotData[[#This Row],[Time]],PeakCalc!$G$10:$G$303,0))</f>
        <v>1</v>
      </c>
    </row>
    <row r="314" spans="1:9" x14ac:dyDescent="0.25">
      <c r="A314" t="s">
        <v>97</v>
      </c>
      <c r="B314" t="s">
        <v>100</v>
      </c>
      <c r="C314" t="s">
        <v>92</v>
      </c>
      <c r="D314" t="s">
        <v>79</v>
      </c>
      <c r="E314" t="s">
        <v>44</v>
      </c>
      <c r="F314" s="6">
        <v>0.66666666666666663</v>
      </c>
      <c r="G314">
        <v>68</v>
      </c>
      <c r="H314" s="6">
        <f>FLOOR(tblPivotData[[#This Row],[Time]],Summary!$B$6/1440)</f>
        <v>0.66666666666666663</v>
      </c>
      <c r="I314">
        <f>INDEX(PeakCalc!$L$10:$L$303,MATCH(tblPivotData[[#This Row],[Time]],PeakCalc!$G$10:$G$303,0))</f>
        <v>0</v>
      </c>
    </row>
    <row r="315" spans="1:9" x14ac:dyDescent="0.25">
      <c r="A315" t="s">
        <v>97</v>
      </c>
      <c r="B315" t="s">
        <v>100</v>
      </c>
      <c r="C315" t="s">
        <v>92</v>
      </c>
      <c r="D315" t="s">
        <v>79</v>
      </c>
      <c r="E315" t="s">
        <v>44</v>
      </c>
      <c r="F315" s="6">
        <v>0.67708333333333337</v>
      </c>
      <c r="G315">
        <v>64</v>
      </c>
      <c r="H315" s="6">
        <f>FLOOR(tblPivotData[[#This Row],[Time]],Summary!$B$6/1440)</f>
        <v>0.67708333333333326</v>
      </c>
      <c r="I315">
        <f>INDEX(PeakCalc!$L$10:$L$303,MATCH(tblPivotData[[#This Row],[Time]],PeakCalc!$G$10:$G$303,0))</f>
        <v>1</v>
      </c>
    </row>
    <row r="316" spans="1:9" x14ac:dyDescent="0.25">
      <c r="A316" t="s">
        <v>97</v>
      </c>
      <c r="B316" t="s">
        <v>100</v>
      </c>
      <c r="C316" t="s">
        <v>92</v>
      </c>
      <c r="D316" t="s">
        <v>79</v>
      </c>
      <c r="E316" t="s">
        <v>44</v>
      </c>
      <c r="F316" s="6">
        <v>0.6875</v>
      </c>
      <c r="G316">
        <v>66</v>
      </c>
      <c r="H316" s="6">
        <f>FLOOR(tblPivotData[[#This Row],[Time]],Summary!$B$6/1440)</f>
        <v>0.6875</v>
      </c>
      <c r="I316">
        <f>INDEX(PeakCalc!$L$10:$L$303,MATCH(tblPivotData[[#This Row],[Time]],PeakCalc!$G$10:$G$303,0))</f>
        <v>1</v>
      </c>
    </row>
    <row r="317" spans="1:9" x14ac:dyDescent="0.25">
      <c r="A317" t="s">
        <v>97</v>
      </c>
      <c r="B317" t="s">
        <v>100</v>
      </c>
      <c r="C317" t="s">
        <v>92</v>
      </c>
      <c r="D317" t="s">
        <v>79</v>
      </c>
      <c r="E317" t="s">
        <v>44</v>
      </c>
      <c r="F317" s="6">
        <v>0.69791666666666663</v>
      </c>
      <c r="G317">
        <v>72</v>
      </c>
      <c r="H317" s="6">
        <f>FLOOR(tblPivotData[[#This Row],[Time]],Summary!$B$6/1440)</f>
        <v>0.69791666666666663</v>
      </c>
      <c r="I317">
        <f>INDEX(PeakCalc!$L$10:$L$303,MATCH(tblPivotData[[#This Row],[Time]],PeakCalc!$G$10:$G$303,0))</f>
        <v>1</v>
      </c>
    </row>
    <row r="318" spans="1:9" x14ac:dyDescent="0.25">
      <c r="A318" t="s">
        <v>97</v>
      </c>
      <c r="B318" t="s">
        <v>100</v>
      </c>
      <c r="C318" t="s">
        <v>92</v>
      </c>
      <c r="D318" t="s">
        <v>79</v>
      </c>
      <c r="E318" t="s">
        <v>44</v>
      </c>
      <c r="F318" s="6">
        <v>0.70833333333333337</v>
      </c>
      <c r="G318">
        <v>78</v>
      </c>
      <c r="H318" s="6">
        <f>FLOOR(tblPivotData[[#This Row],[Time]],Summary!$B$6/1440)</f>
        <v>0.70833333333333326</v>
      </c>
      <c r="I318">
        <f>INDEX(PeakCalc!$L$10:$L$303,MATCH(tblPivotData[[#This Row],[Time]],PeakCalc!$G$10:$G$303,0))</f>
        <v>1</v>
      </c>
    </row>
    <row r="319" spans="1:9" x14ac:dyDescent="0.25">
      <c r="A319" t="s">
        <v>97</v>
      </c>
      <c r="B319" t="s">
        <v>100</v>
      </c>
      <c r="C319" t="s">
        <v>92</v>
      </c>
      <c r="D319" t="s">
        <v>79</v>
      </c>
      <c r="E319" t="s">
        <v>44</v>
      </c>
      <c r="F319" s="6">
        <v>0.71875</v>
      </c>
      <c r="G319">
        <v>62</v>
      </c>
      <c r="H319" s="6">
        <f>FLOOR(tblPivotData[[#This Row],[Time]],Summary!$B$6/1440)</f>
        <v>0.71875</v>
      </c>
      <c r="I319">
        <f>INDEX(PeakCalc!$L$10:$L$303,MATCH(tblPivotData[[#This Row],[Time]],PeakCalc!$G$10:$G$303,0))</f>
        <v>0</v>
      </c>
    </row>
    <row r="320" spans="1:9" x14ac:dyDescent="0.25">
      <c r="A320" t="s">
        <v>97</v>
      </c>
      <c r="B320" t="s">
        <v>100</v>
      </c>
      <c r="C320" t="s">
        <v>92</v>
      </c>
      <c r="D320" t="s">
        <v>79</v>
      </c>
      <c r="E320" t="s">
        <v>44</v>
      </c>
      <c r="F320" s="6">
        <v>0.72916666666666663</v>
      </c>
      <c r="G320">
        <v>55</v>
      </c>
      <c r="H320" s="6">
        <f>FLOOR(tblPivotData[[#This Row],[Time]],Summary!$B$6/1440)</f>
        <v>0.72916666666666663</v>
      </c>
      <c r="I320">
        <f>INDEX(PeakCalc!$L$10:$L$303,MATCH(tblPivotData[[#This Row],[Time]],PeakCalc!$G$10:$G$303,0))</f>
        <v>0</v>
      </c>
    </row>
    <row r="321" spans="1:9" x14ac:dyDescent="0.25">
      <c r="A321" t="s">
        <v>97</v>
      </c>
      <c r="B321" t="s">
        <v>100</v>
      </c>
      <c r="C321" t="s">
        <v>92</v>
      </c>
      <c r="D321" t="s">
        <v>79</v>
      </c>
      <c r="E321" t="s">
        <v>44</v>
      </c>
      <c r="F321" s="6">
        <v>0.73958333333333337</v>
      </c>
      <c r="G321">
        <v>51</v>
      </c>
      <c r="H321" s="6">
        <f>FLOOR(tblPivotData[[#This Row],[Time]],Summary!$B$6/1440)</f>
        <v>0.73958333333333326</v>
      </c>
      <c r="I321">
        <f>INDEX(PeakCalc!$L$10:$L$303,MATCH(tblPivotData[[#This Row],[Time]],PeakCalc!$G$10:$G$303,0))</f>
        <v>0</v>
      </c>
    </row>
    <row r="322" spans="1:9" x14ac:dyDescent="0.25">
      <c r="A322" t="s">
        <v>97</v>
      </c>
      <c r="B322" t="s">
        <v>100</v>
      </c>
      <c r="C322" t="s">
        <v>92</v>
      </c>
      <c r="D322" t="s">
        <v>88</v>
      </c>
      <c r="E322" t="s">
        <v>43</v>
      </c>
      <c r="F322" s="6">
        <v>0.29166666666666669</v>
      </c>
      <c r="G322">
        <v>4</v>
      </c>
      <c r="H322" s="6">
        <f>FLOOR(tblPivotData[[#This Row],[Time]],Summary!$B$6/1440)</f>
        <v>0.29166666666666663</v>
      </c>
      <c r="I322">
        <f>INDEX(PeakCalc!$L$10:$L$303,MATCH(tblPivotData[[#This Row],[Time]],PeakCalc!$G$10:$G$303,0))</f>
        <v>0</v>
      </c>
    </row>
    <row r="323" spans="1:9" x14ac:dyDescent="0.25">
      <c r="A323" t="s">
        <v>97</v>
      </c>
      <c r="B323" t="s">
        <v>100</v>
      </c>
      <c r="C323" t="s">
        <v>92</v>
      </c>
      <c r="D323" t="s">
        <v>88</v>
      </c>
      <c r="E323" t="s">
        <v>43</v>
      </c>
      <c r="F323" s="6">
        <v>0.30208333333333331</v>
      </c>
      <c r="G323">
        <v>4</v>
      </c>
      <c r="H323" s="6">
        <f>FLOOR(tblPivotData[[#This Row],[Time]],Summary!$B$6/1440)</f>
        <v>0.30208333333333331</v>
      </c>
      <c r="I323">
        <f>INDEX(PeakCalc!$L$10:$L$303,MATCH(tblPivotData[[#This Row],[Time]],PeakCalc!$G$10:$G$303,0))</f>
        <v>0</v>
      </c>
    </row>
    <row r="324" spans="1:9" x14ac:dyDescent="0.25">
      <c r="A324" t="s">
        <v>97</v>
      </c>
      <c r="B324" t="s">
        <v>100</v>
      </c>
      <c r="C324" t="s">
        <v>92</v>
      </c>
      <c r="D324" t="s">
        <v>88</v>
      </c>
      <c r="E324" t="s">
        <v>43</v>
      </c>
      <c r="F324" s="6">
        <v>0.3125</v>
      </c>
      <c r="G324">
        <v>2</v>
      </c>
      <c r="H324" s="6">
        <f>FLOOR(tblPivotData[[#This Row],[Time]],Summary!$B$6/1440)</f>
        <v>0.3125</v>
      </c>
      <c r="I324">
        <f>INDEX(PeakCalc!$L$10:$L$303,MATCH(tblPivotData[[#This Row],[Time]],PeakCalc!$G$10:$G$303,0))</f>
        <v>0</v>
      </c>
    </row>
    <row r="325" spans="1:9" x14ac:dyDescent="0.25">
      <c r="A325" t="s">
        <v>97</v>
      </c>
      <c r="B325" t="s">
        <v>100</v>
      </c>
      <c r="C325" t="s">
        <v>92</v>
      </c>
      <c r="D325" t="s">
        <v>88</v>
      </c>
      <c r="E325" t="s">
        <v>43</v>
      </c>
      <c r="F325" s="6">
        <v>0.32291666666666669</v>
      </c>
      <c r="G325">
        <v>3</v>
      </c>
      <c r="H325" s="6">
        <f>FLOOR(tblPivotData[[#This Row],[Time]],Summary!$B$6/1440)</f>
        <v>0.32291666666666663</v>
      </c>
      <c r="I325">
        <f>INDEX(PeakCalc!$L$10:$L$303,MATCH(tblPivotData[[#This Row],[Time]],PeakCalc!$G$10:$G$303,0))</f>
        <v>1</v>
      </c>
    </row>
    <row r="326" spans="1:9" x14ac:dyDescent="0.25">
      <c r="A326" t="s">
        <v>97</v>
      </c>
      <c r="B326" t="s">
        <v>100</v>
      </c>
      <c r="C326" t="s">
        <v>92</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97</v>
      </c>
      <c r="B327" t="s">
        <v>100</v>
      </c>
      <c r="C327" t="s">
        <v>92</v>
      </c>
      <c r="D327" t="s">
        <v>88</v>
      </c>
      <c r="E327" t="s">
        <v>43</v>
      </c>
      <c r="F327" s="6">
        <v>0.34375</v>
      </c>
      <c r="G327">
        <v>4</v>
      </c>
      <c r="H327" s="6">
        <f>FLOOR(tblPivotData[[#This Row],[Time]],Summary!$B$6/1440)</f>
        <v>0.34375</v>
      </c>
      <c r="I327">
        <f>INDEX(PeakCalc!$L$10:$L$303,MATCH(tblPivotData[[#This Row],[Time]],PeakCalc!$G$10:$G$303,0))</f>
        <v>1</v>
      </c>
    </row>
    <row r="328" spans="1:9" x14ac:dyDescent="0.25">
      <c r="A328" t="s">
        <v>97</v>
      </c>
      <c r="B328" t="s">
        <v>100</v>
      </c>
      <c r="C328" t="s">
        <v>92</v>
      </c>
      <c r="D328" t="s">
        <v>88</v>
      </c>
      <c r="E328" t="s">
        <v>43</v>
      </c>
      <c r="F328" s="6">
        <v>0.35416666666666669</v>
      </c>
      <c r="G328">
        <v>2</v>
      </c>
      <c r="H328" s="6">
        <f>FLOOR(tblPivotData[[#This Row],[Time]],Summary!$B$6/1440)</f>
        <v>0.35416666666666663</v>
      </c>
      <c r="I328">
        <f>INDEX(PeakCalc!$L$10:$L$303,MATCH(tblPivotData[[#This Row],[Time]],PeakCalc!$G$10:$G$303,0))</f>
        <v>1</v>
      </c>
    </row>
    <row r="329" spans="1:9" x14ac:dyDescent="0.25">
      <c r="A329" t="s">
        <v>97</v>
      </c>
      <c r="B329" t="s">
        <v>100</v>
      </c>
      <c r="C329" t="s">
        <v>92</v>
      </c>
      <c r="D329" t="s">
        <v>88</v>
      </c>
      <c r="E329" t="s">
        <v>43</v>
      </c>
      <c r="F329" s="6">
        <v>0.36458333333333331</v>
      </c>
      <c r="G329">
        <v>4</v>
      </c>
      <c r="H329" s="6">
        <f>FLOOR(tblPivotData[[#This Row],[Time]],Summary!$B$6/1440)</f>
        <v>0.36458333333333331</v>
      </c>
      <c r="I329">
        <f>INDEX(PeakCalc!$L$10:$L$303,MATCH(tblPivotData[[#This Row],[Time]],PeakCalc!$G$10:$G$303,0))</f>
        <v>0</v>
      </c>
    </row>
    <row r="330" spans="1:9" x14ac:dyDescent="0.25">
      <c r="A330" t="s">
        <v>97</v>
      </c>
      <c r="B330" t="s">
        <v>100</v>
      </c>
      <c r="C330" t="s">
        <v>92</v>
      </c>
      <c r="D330" t="s">
        <v>88</v>
      </c>
      <c r="E330" t="s">
        <v>90</v>
      </c>
      <c r="F330" s="6">
        <v>0.54166666666666663</v>
      </c>
      <c r="G330">
        <v>5</v>
      </c>
      <c r="H330" s="6">
        <f>FLOOR(tblPivotData[[#This Row],[Time]],Summary!$B$6/1440)</f>
        <v>0.54166666666666663</v>
      </c>
      <c r="I330">
        <f>INDEX(PeakCalc!$L$10:$L$303,MATCH(tblPivotData[[#This Row],[Time]],PeakCalc!$G$10:$G$303,0))</f>
        <v>1</v>
      </c>
    </row>
    <row r="331" spans="1:9" x14ac:dyDescent="0.25">
      <c r="A331" t="s">
        <v>97</v>
      </c>
      <c r="B331" t="s">
        <v>100</v>
      </c>
      <c r="C331" t="s">
        <v>92</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97</v>
      </c>
      <c r="B332" t="s">
        <v>100</v>
      </c>
      <c r="C332" t="s">
        <v>92</v>
      </c>
      <c r="D332" t="s">
        <v>88</v>
      </c>
      <c r="E332" t="s">
        <v>90</v>
      </c>
      <c r="F332" s="6">
        <v>0.5625</v>
      </c>
      <c r="G332">
        <v>2</v>
      </c>
      <c r="H332" s="6">
        <f>FLOOR(tblPivotData[[#This Row],[Time]],Summary!$B$6/1440)</f>
        <v>0.5625</v>
      </c>
      <c r="I332">
        <f>INDEX(PeakCalc!$L$10:$L$303,MATCH(tblPivotData[[#This Row],[Time]],PeakCalc!$G$10:$G$303,0))</f>
        <v>1</v>
      </c>
    </row>
    <row r="333" spans="1:9" x14ac:dyDescent="0.25">
      <c r="A333" t="s">
        <v>97</v>
      </c>
      <c r="B333" t="s">
        <v>100</v>
      </c>
      <c r="C333" t="s">
        <v>92</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25">
      <c r="A334" t="s">
        <v>97</v>
      </c>
      <c r="B334" t="s">
        <v>100</v>
      </c>
      <c r="C334" t="s">
        <v>92</v>
      </c>
      <c r="D334" t="s">
        <v>88</v>
      </c>
      <c r="E334" t="s">
        <v>44</v>
      </c>
      <c r="F334" s="6">
        <v>0.66666666666666663</v>
      </c>
      <c r="G334">
        <v>2</v>
      </c>
      <c r="H334" s="6">
        <f>FLOOR(tblPivotData[[#This Row],[Time]],Summary!$B$6/1440)</f>
        <v>0.66666666666666663</v>
      </c>
      <c r="I334">
        <f>INDEX(PeakCalc!$L$10:$L$303,MATCH(tblPivotData[[#This Row],[Time]],PeakCalc!$G$10:$G$303,0))</f>
        <v>0</v>
      </c>
    </row>
    <row r="335" spans="1:9" x14ac:dyDescent="0.25">
      <c r="A335" t="s">
        <v>97</v>
      </c>
      <c r="B335" t="s">
        <v>100</v>
      </c>
      <c r="C335" t="s">
        <v>92</v>
      </c>
      <c r="D335" t="s">
        <v>88</v>
      </c>
      <c r="E335" t="s">
        <v>44</v>
      </c>
      <c r="F335" s="6">
        <v>0.67708333333333337</v>
      </c>
      <c r="G335">
        <v>6</v>
      </c>
      <c r="H335" s="6">
        <f>FLOOR(tblPivotData[[#This Row],[Time]],Summary!$B$6/1440)</f>
        <v>0.67708333333333326</v>
      </c>
      <c r="I335">
        <f>INDEX(PeakCalc!$L$10:$L$303,MATCH(tblPivotData[[#This Row],[Time]],PeakCalc!$G$10:$G$303,0))</f>
        <v>1</v>
      </c>
    </row>
    <row r="336" spans="1:9" x14ac:dyDescent="0.25">
      <c r="A336" t="s">
        <v>97</v>
      </c>
      <c r="B336" t="s">
        <v>100</v>
      </c>
      <c r="C336" t="s">
        <v>92</v>
      </c>
      <c r="D336" t="s">
        <v>88</v>
      </c>
      <c r="E336" t="s">
        <v>44</v>
      </c>
      <c r="F336" s="6">
        <v>0.6875</v>
      </c>
      <c r="G336">
        <v>2</v>
      </c>
      <c r="H336" s="6">
        <f>FLOOR(tblPivotData[[#This Row],[Time]],Summary!$B$6/1440)</f>
        <v>0.6875</v>
      </c>
      <c r="I336">
        <f>INDEX(PeakCalc!$L$10:$L$303,MATCH(tblPivotData[[#This Row],[Time]],PeakCalc!$G$10:$G$303,0))</f>
        <v>1</v>
      </c>
    </row>
    <row r="337" spans="1:9" x14ac:dyDescent="0.25">
      <c r="A337" t="s">
        <v>97</v>
      </c>
      <c r="B337" t="s">
        <v>100</v>
      </c>
      <c r="C337" t="s">
        <v>92</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97</v>
      </c>
      <c r="B338" t="s">
        <v>100</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97</v>
      </c>
      <c r="B339" t="s">
        <v>100</v>
      </c>
      <c r="C339" t="s">
        <v>92</v>
      </c>
      <c r="D339" t="s">
        <v>88</v>
      </c>
      <c r="E339" t="s">
        <v>44</v>
      </c>
      <c r="F339" s="6">
        <v>0.71875</v>
      </c>
      <c r="G339">
        <v>1</v>
      </c>
      <c r="H339" s="6">
        <f>FLOOR(tblPivotData[[#This Row],[Time]],Summary!$B$6/1440)</f>
        <v>0.71875</v>
      </c>
      <c r="I339">
        <f>INDEX(PeakCalc!$L$10:$L$303,MATCH(tblPivotData[[#This Row],[Time]],PeakCalc!$G$10:$G$303,0))</f>
        <v>0</v>
      </c>
    </row>
    <row r="340" spans="1:9" x14ac:dyDescent="0.25">
      <c r="A340" t="s">
        <v>97</v>
      </c>
      <c r="B340" t="s">
        <v>100</v>
      </c>
      <c r="C340" t="s">
        <v>92</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97</v>
      </c>
      <c r="B341" t="s">
        <v>100</v>
      </c>
      <c r="C341" t="s">
        <v>92</v>
      </c>
      <c r="D341" t="s">
        <v>88</v>
      </c>
      <c r="E341" t="s">
        <v>44</v>
      </c>
      <c r="F341" s="6">
        <v>0.73958333333333337</v>
      </c>
      <c r="G341">
        <v>2</v>
      </c>
      <c r="H341" s="6">
        <f>FLOOR(tblPivotData[[#This Row],[Time]],Summary!$B$6/1440)</f>
        <v>0.73958333333333326</v>
      </c>
      <c r="I341">
        <f>INDEX(PeakCalc!$L$10:$L$303,MATCH(tblPivotData[[#This Row],[Time]],PeakCalc!$G$10:$G$303,0))</f>
        <v>0</v>
      </c>
    </row>
    <row r="342" spans="1:9" x14ac:dyDescent="0.25">
      <c r="A342" t="s">
        <v>97</v>
      </c>
      <c r="B342" t="s">
        <v>100</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97</v>
      </c>
      <c r="B343" t="s">
        <v>100</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97</v>
      </c>
      <c r="B344" t="s">
        <v>100</v>
      </c>
      <c r="C344" t="s">
        <v>92</v>
      </c>
      <c r="D344" t="s">
        <v>89</v>
      </c>
      <c r="E344" t="s">
        <v>43</v>
      </c>
      <c r="F344" s="6">
        <v>0.3125</v>
      </c>
      <c r="G344">
        <v>0</v>
      </c>
      <c r="H344" s="6">
        <f>FLOOR(tblPivotData[[#This Row],[Time]],Summary!$B$6/1440)</f>
        <v>0.3125</v>
      </c>
      <c r="I344">
        <f>INDEX(PeakCalc!$L$10:$L$303,MATCH(tblPivotData[[#This Row],[Time]],PeakCalc!$G$10:$G$303,0))</f>
        <v>0</v>
      </c>
    </row>
    <row r="345" spans="1:9" x14ac:dyDescent="0.25">
      <c r="A345" t="s">
        <v>97</v>
      </c>
      <c r="B345" t="s">
        <v>100</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97</v>
      </c>
      <c r="B346" t="s">
        <v>100</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97</v>
      </c>
      <c r="B347" t="s">
        <v>100</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97</v>
      </c>
      <c r="B348" t="s">
        <v>100</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97</v>
      </c>
      <c r="B349" t="s">
        <v>100</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97</v>
      </c>
      <c r="B350" t="s">
        <v>100</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97</v>
      </c>
      <c r="B351" t="s">
        <v>100</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97</v>
      </c>
      <c r="B352" t="s">
        <v>100</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97</v>
      </c>
      <c r="B353" t="s">
        <v>100</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97</v>
      </c>
      <c r="B354" t="s">
        <v>100</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97</v>
      </c>
      <c r="B355" t="s">
        <v>100</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97</v>
      </c>
      <c r="B356" t="s">
        <v>100</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97</v>
      </c>
      <c r="B357" t="s">
        <v>100</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97</v>
      </c>
      <c r="B358" t="s">
        <v>100</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97</v>
      </c>
      <c r="B359" t="s">
        <v>100</v>
      </c>
      <c r="C359" t="s">
        <v>92</v>
      </c>
      <c r="D359" t="s">
        <v>89</v>
      </c>
      <c r="E359" t="s">
        <v>44</v>
      </c>
      <c r="F359" s="6">
        <v>0.71875</v>
      </c>
      <c r="G359">
        <v>0</v>
      </c>
      <c r="H359" s="6">
        <f>FLOOR(tblPivotData[[#This Row],[Time]],Summary!$B$6/1440)</f>
        <v>0.71875</v>
      </c>
      <c r="I359">
        <f>INDEX(PeakCalc!$L$10:$L$303,MATCH(tblPivotData[[#This Row],[Time]],PeakCalc!$G$10:$G$303,0))</f>
        <v>0</v>
      </c>
    </row>
    <row r="360" spans="1:9" x14ac:dyDescent="0.25">
      <c r="A360" t="s">
        <v>97</v>
      </c>
      <c r="B360" t="s">
        <v>100</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97</v>
      </c>
      <c r="B361" t="s">
        <v>100</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97</v>
      </c>
      <c r="B362" t="s">
        <v>101</v>
      </c>
      <c r="C362" t="s">
        <v>93</v>
      </c>
      <c r="D362" t="s">
        <v>79</v>
      </c>
      <c r="E362" t="s">
        <v>43</v>
      </c>
      <c r="F362" s="6">
        <v>0.29166666666666669</v>
      </c>
      <c r="G362">
        <v>13</v>
      </c>
      <c r="H362" s="6">
        <f>FLOOR(tblPivotData[[#This Row],[Time]],Summary!$B$6/1440)</f>
        <v>0.29166666666666663</v>
      </c>
      <c r="I362">
        <f>INDEX(PeakCalc!$L$10:$L$303,MATCH(tblPivotData[[#This Row],[Time]],PeakCalc!$G$10:$G$303,0))</f>
        <v>0</v>
      </c>
    </row>
    <row r="363" spans="1:9" x14ac:dyDescent="0.25">
      <c r="A363" t="s">
        <v>97</v>
      </c>
      <c r="B363" t="s">
        <v>101</v>
      </c>
      <c r="C363" t="s">
        <v>93</v>
      </c>
      <c r="D363" t="s">
        <v>79</v>
      </c>
      <c r="E363" t="s">
        <v>43</v>
      </c>
      <c r="F363" s="6">
        <v>0.30208333333333331</v>
      </c>
      <c r="G363">
        <v>13</v>
      </c>
      <c r="H363" s="6">
        <f>FLOOR(tblPivotData[[#This Row],[Time]],Summary!$B$6/1440)</f>
        <v>0.30208333333333331</v>
      </c>
      <c r="I363">
        <f>INDEX(PeakCalc!$L$10:$L$303,MATCH(tblPivotData[[#This Row],[Time]],PeakCalc!$G$10:$G$303,0))</f>
        <v>0</v>
      </c>
    </row>
    <row r="364" spans="1:9" x14ac:dyDescent="0.25">
      <c r="A364" t="s">
        <v>97</v>
      </c>
      <c r="B364" t="s">
        <v>101</v>
      </c>
      <c r="C364" t="s">
        <v>93</v>
      </c>
      <c r="D364" t="s">
        <v>79</v>
      </c>
      <c r="E364" t="s">
        <v>43</v>
      </c>
      <c r="F364" s="6">
        <v>0.3125</v>
      </c>
      <c r="G364">
        <v>15</v>
      </c>
      <c r="H364" s="6">
        <f>FLOOR(tblPivotData[[#This Row],[Time]],Summary!$B$6/1440)</f>
        <v>0.3125</v>
      </c>
      <c r="I364">
        <f>INDEX(PeakCalc!$L$10:$L$303,MATCH(tblPivotData[[#This Row],[Time]],PeakCalc!$G$10:$G$303,0))</f>
        <v>0</v>
      </c>
    </row>
    <row r="365" spans="1:9" x14ac:dyDescent="0.25">
      <c r="A365" t="s">
        <v>97</v>
      </c>
      <c r="B365" t="s">
        <v>101</v>
      </c>
      <c r="C365" t="s">
        <v>93</v>
      </c>
      <c r="D365" t="s">
        <v>79</v>
      </c>
      <c r="E365" t="s">
        <v>43</v>
      </c>
      <c r="F365" s="6">
        <v>0.32291666666666669</v>
      </c>
      <c r="G365">
        <v>19</v>
      </c>
      <c r="H365" s="6">
        <f>FLOOR(tblPivotData[[#This Row],[Time]],Summary!$B$6/1440)</f>
        <v>0.32291666666666663</v>
      </c>
      <c r="I365">
        <f>INDEX(PeakCalc!$L$10:$L$303,MATCH(tblPivotData[[#This Row],[Time]],PeakCalc!$G$10:$G$303,0))</f>
        <v>1</v>
      </c>
    </row>
    <row r="366" spans="1:9" x14ac:dyDescent="0.25">
      <c r="A366" t="s">
        <v>97</v>
      </c>
      <c r="B366" t="s">
        <v>101</v>
      </c>
      <c r="C366" t="s">
        <v>93</v>
      </c>
      <c r="D366" t="s">
        <v>79</v>
      </c>
      <c r="E366" t="s">
        <v>43</v>
      </c>
      <c r="F366" s="6">
        <v>0.33333333333333331</v>
      </c>
      <c r="G366">
        <v>26</v>
      </c>
      <c r="H366" s="6">
        <f>FLOOR(tblPivotData[[#This Row],[Time]],Summary!$B$6/1440)</f>
        <v>0.33333333333333331</v>
      </c>
      <c r="I366">
        <f>INDEX(PeakCalc!$L$10:$L$303,MATCH(tblPivotData[[#This Row],[Time]],PeakCalc!$G$10:$G$303,0))</f>
        <v>1</v>
      </c>
    </row>
    <row r="367" spans="1:9" x14ac:dyDescent="0.25">
      <c r="A367" t="s">
        <v>97</v>
      </c>
      <c r="B367" t="s">
        <v>101</v>
      </c>
      <c r="C367" t="s">
        <v>93</v>
      </c>
      <c r="D367" t="s">
        <v>79</v>
      </c>
      <c r="E367" t="s">
        <v>43</v>
      </c>
      <c r="F367" s="6">
        <v>0.34375</v>
      </c>
      <c r="G367">
        <v>19</v>
      </c>
      <c r="H367" s="6">
        <f>FLOOR(tblPivotData[[#This Row],[Time]],Summary!$B$6/1440)</f>
        <v>0.34375</v>
      </c>
      <c r="I367">
        <f>INDEX(PeakCalc!$L$10:$L$303,MATCH(tblPivotData[[#This Row],[Time]],PeakCalc!$G$10:$G$303,0))</f>
        <v>1</v>
      </c>
    </row>
    <row r="368" spans="1:9" x14ac:dyDescent="0.25">
      <c r="A368" t="s">
        <v>97</v>
      </c>
      <c r="B368" t="s">
        <v>101</v>
      </c>
      <c r="C368" t="s">
        <v>93</v>
      </c>
      <c r="D368" t="s">
        <v>79</v>
      </c>
      <c r="E368" t="s">
        <v>43</v>
      </c>
      <c r="F368" s="6">
        <v>0.35416666666666669</v>
      </c>
      <c r="G368">
        <v>23</v>
      </c>
      <c r="H368" s="6">
        <f>FLOOR(tblPivotData[[#This Row],[Time]],Summary!$B$6/1440)</f>
        <v>0.35416666666666663</v>
      </c>
      <c r="I368">
        <f>INDEX(PeakCalc!$L$10:$L$303,MATCH(tblPivotData[[#This Row],[Time]],PeakCalc!$G$10:$G$303,0))</f>
        <v>1</v>
      </c>
    </row>
    <row r="369" spans="1:9" x14ac:dyDescent="0.25">
      <c r="A369" t="s">
        <v>97</v>
      </c>
      <c r="B369" t="s">
        <v>101</v>
      </c>
      <c r="C369" t="s">
        <v>93</v>
      </c>
      <c r="D369" t="s">
        <v>79</v>
      </c>
      <c r="E369" t="s">
        <v>43</v>
      </c>
      <c r="F369" s="6">
        <v>0.36458333333333331</v>
      </c>
      <c r="G369">
        <v>19</v>
      </c>
      <c r="H369" s="6">
        <f>FLOOR(tblPivotData[[#This Row],[Time]],Summary!$B$6/1440)</f>
        <v>0.36458333333333331</v>
      </c>
      <c r="I369">
        <f>INDEX(PeakCalc!$L$10:$L$303,MATCH(tblPivotData[[#This Row],[Time]],PeakCalc!$G$10:$G$303,0))</f>
        <v>0</v>
      </c>
    </row>
    <row r="370" spans="1:9" x14ac:dyDescent="0.25">
      <c r="A370" t="s">
        <v>97</v>
      </c>
      <c r="B370" t="s">
        <v>101</v>
      </c>
      <c r="C370" t="s">
        <v>93</v>
      </c>
      <c r="D370" t="s">
        <v>79</v>
      </c>
      <c r="E370" t="s">
        <v>90</v>
      </c>
      <c r="F370" s="6">
        <v>0.54166666666666663</v>
      </c>
      <c r="G370">
        <v>23</v>
      </c>
      <c r="H370" s="6">
        <f>FLOOR(tblPivotData[[#This Row],[Time]],Summary!$B$6/1440)</f>
        <v>0.54166666666666663</v>
      </c>
      <c r="I370">
        <f>INDEX(PeakCalc!$L$10:$L$303,MATCH(tblPivotData[[#This Row],[Time]],PeakCalc!$G$10:$G$303,0))</f>
        <v>1</v>
      </c>
    </row>
    <row r="371" spans="1:9" x14ac:dyDescent="0.25">
      <c r="A371" t="s">
        <v>97</v>
      </c>
      <c r="B371" t="s">
        <v>101</v>
      </c>
      <c r="C371" t="s">
        <v>93</v>
      </c>
      <c r="D371" t="s">
        <v>79</v>
      </c>
      <c r="E371" t="s">
        <v>90</v>
      </c>
      <c r="F371" s="6">
        <v>0.55208333333333337</v>
      </c>
      <c r="G371">
        <v>21</v>
      </c>
      <c r="H371" s="6">
        <f>FLOOR(tblPivotData[[#This Row],[Time]],Summary!$B$6/1440)</f>
        <v>0.55208333333333326</v>
      </c>
      <c r="I371">
        <f>INDEX(PeakCalc!$L$10:$L$303,MATCH(tblPivotData[[#This Row],[Time]],PeakCalc!$G$10:$G$303,0))</f>
        <v>1</v>
      </c>
    </row>
    <row r="372" spans="1:9" x14ac:dyDescent="0.25">
      <c r="A372" t="s">
        <v>97</v>
      </c>
      <c r="B372" t="s">
        <v>101</v>
      </c>
      <c r="C372" t="s">
        <v>93</v>
      </c>
      <c r="D372" t="s">
        <v>79</v>
      </c>
      <c r="E372" t="s">
        <v>90</v>
      </c>
      <c r="F372" s="6">
        <v>0.5625</v>
      </c>
      <c r="G372">
        <v>16</v>
      </c>
      <c r="H372" s="6">
        <f>FLOOR(tblPivotData[[#This Row],[Time]],Summary!$B$6/1440)</f>
        <v>0.5625</v>
      </c>
      <c r="I372">
        <f>INDEX(PeakCalc!$L$10:$L$303,MATCH(tblPivotData[[#This Row],[Time]],PeakCalc!$G$10:$G$303,0))</f>
        <v>1</v>
      </c>
    </row>
    <row r="373" spans="1:9" x14ac:dyDescent="0.25">
      <c r="A373" t="s">
        <v>97</v>
      </c>
      <c r="B373" t="s">
        <v>101</v>
      </c>
      <c r="C373" t="s">
        <v>93</v>
      </c>
      <c r="D373" t="s">
        <v>79</v>
      </c>
      <c r="E373" t="s">
        <v>90</v>
      </c>
      <c r="F373" s="6">
        <v>0.57291666666666663</v>
      </c>
      <c r="G373">
        <v>16</v>
      </c>
      <c r="H373" s="6">
        <f>FLOOR(tblPivotData[[#This Row],[Time]],Summary!$B$6/1440)</f>
        <v>0.57291666666666663</v>
      </c>
      <c r="I373">
        <f>INDEX(PeakCalc!$L$10:$L$303,MATCH(tblPivotData[[#This Row],[Time]],PeakCalc!$G$10:$G$303,0))</f>
        <v>1</v>
      </c>
    </row>
    <row r="374" spans="1:9" x14ac:dyDescent="0.25">
      <c r="A374" t="s">
        <v>97</v>
      </c>
      <c r="B374" t="s">
        <v>101</v>
      </c>
      <c r="C374" t="s">
        <v>93</v>
      </c>
      <c r="D374" t="s">
        <v>79</v>
      </c>
      <c r="E374" t="s">
        <v>44</v>
      </c>
      <c r="F374" s="6">
        <v>0.66666666666666663</v>
      </c>
      <c r="G374">
        <v>40</v>
      </c>
      <c r="H374" s="6">
        <f>FLOOR(tblPivotData[[#This Row],[Time]],Summary!$B$6/1440)</f>
        <v>0.66666666666666663</v>
      </c>
      <c r="I374">
        <f>INDEX(PeakCalc!$L$10:$L$303,MATCH(tblPivotData[[#This Row],[Time]],PeakCalc!$G$10:$G$303,0))</f>
        <v>0</v>
      </c>
    </row>
    <row r="375" spans="1:9" x14ac:dyDescent="0.25">
      <c r="A375" t="s">
        <v>97</v>
      </c>
      <c r="B375" t="s">
        <v>101</v>
      </c>
      <c r="C375" t="s">
        <v>93</v>
      </c>
      <c r="D375" t="s">
        <v>79</v>
      </c>
      <c r="E375" t="s">
        <v>44</v>
      </c>
      <c r="F375" s="6">
        <v>0.67708333333333337</v>
      </c>
      <c r="G375">
        <v>36</v>
      </c>
      <c r="H375" s="6">
        <f>FLOOR(tblPivotData[[#This Row],[Time]],Summary!$B$6/1440)</f>
        <v>0.67708333333333326</v>
      </c>
      <c r="I375">
        <f>INDEX(PeakCalc!$L$10:$L$303,MATCH(tblPivotData[[#This Row],[Time]],PeakCalc!$G$10:$G$303,0))</f>
        <v>1</v>
      </c>
    </row>
    <row r="376" spans="1:9" x14ac:dyDescent="0.25">
      <c r="A376" t="s">
        <v>97</v>
      </c>
      <c r="B376" t="s">
        <v>101</v>
      </c>
      <c r="C376" t="s">
        <v>93</v>
      </c>
      <c r="D376" t="s">
        <v>79</v>
      </c>
      <c r="E376" t="s">
        <v>44</v>
      </c>
      <c r="F376" s="6">
        <v>0.6875</v>
      </c>
      <c r="G376">
        <v>43</v>
      </c>
      <c r="H376" s="6">
        <f>FLOOR(tblPivotData[[#This Row],[Time]],Summary!$B$6/1440)</f>
        <v>0.6875</v>
      </c>
      <c r="I376">
        <f>INDEX(PeakCalc!$L$10:$L$303,MATCH(tblPivotData[[#This Row],[Time]],PeakCalc!$G$10:$G$303,0))</f>
        <v>1</v>
      </c>
    </row>
    <row r="377" spans="1:9" x14ac:dyDescent="0.25">
      <c r="A377" t="s">
        <v>97</v>
      </c>
      <c r="B377" t="s">
        <v>101</v>
      </c>
      <c r="C377" t="s">
        <v>93</v>
      </c>
      <c r="D377" t="s">
        <v>79</v>
      </c>
      <c r="E377" t="s">
        <v>44</v>
      </c>
      <c r="F377" s="6">
        <v>0.69791666666666663</v>
      </c>
      <c r="G377">
        <v>54</v>
      </c>
      <c r="H377" s="6">
        <f>FLOOR(tblPivotData[[#This Row],[Time]],Summary!$B$6/1440)</f>
        <v>0.69791666666666663</v>
      </c>
      <c r="I377">
        <f>INDEX(PeakCalc!$L$10:$L$303,MATCH(tblPivotData[[#This Row],[Time]],PeakCalc!$G$10:$G$303,0))</f>
        <v>1</v>
      </c>
    </row>
    <row r="378" spans="1:9" x14ac:dyDescent="0.25">
      <c r="A378" t="s">
        <v>97</v>
      </c>
      <c r="B378" t="s">
        <v>101</v>
      </c>
      <c r="C378" t="s">
        <v>93</v>
      </c>
      <c r="D378" t="s">
        <v>79</v>
      </c>
      <c r="E378" t="s">
        <v>44</v>
      </c>
      <c r="F378" s="6">
        <v>0.70833333333333337</v>
      </c>
      <c r="G378">
        <v>38</v>
      </c>
      <c r="H378" s="6">
        <f>FLOOR(tblPivotData[[#This Row],[Time]],Summary!$B$6/1440)</f>
        <v>0.70833333333333326</v>
      </c>
      <c r="I378">
        <f>INDEX(PeakCalc!$L$10:$L$303,MATCH(tblPivotData[[#This Row],[Time]],PeakCalc!$G$10:$G$303,0))</f>
        <v>1</v>
      </c>
    </row>
    <row r="379" spans="1:9" x14ac:dyDescent="0.25">
      <c r="A379" t="s">
        <v>97</v>
      </c>
      <c r="B379" t="s">
        <v>101</v>
      </c>
      <c r="C379" t="s">
        <v>93</v>
      </c>
      <c r="D379" t="s">
        <v>79</v>
      </c>
      <c r="E379" t="s">
        <v>44</v>
      </c>
      <c r="F379" s="6">
        <v>0.71875</v>
      </c>
      <c r="G379">
        <v>53</v>
      </c>
      <c r="H379" s="6">
        <f>FLOOR(tblPivotData[[#This Row],[Time]],Summary!$B$6/1440)</f>
        <v>0.71875</v>
      </c>
      <c r="I379">
        <f>INDEX(PeakCalc!$L$10:$L$303,MATCH(tblPivotData[[#This Row],[Time]],PeakCalc!$G$10:$G$303,0))</f>
        <v>0</v>
      </c>
    </row>
    <row r="380" spans="1:9" x14ac:dyDescent="0.25">
      <c r="A380" t="s">
        <v>97</v>
      </c>
      <c r="B380" t="s">
        <v>101</v>
      </c>
      <c r="C380" t="s">
        <v>93</v>
      </c>
      <c r="D380" t="s">
        <v>79</v>
      </c>
      <c r="E380" t="s">
        <v>44</v>
      </c>
      <c r="F380" s="6">
        <v>0.72916666666666663</v>
      </c>
      <c r="G380">
        <v>21</v>
      </c>
      <c r="H380" s="6">
        <f>FLOOR(tblPivotData[[#This Row],[Time]],Summary!$B$6/1440)</f>
        <v>0.72916666666666663</v>
      </c>
      <c r="I380">
        <f>INDEX(PeakCalc!$L$10:$L$303,MATCH(tblPivotData[[#This Row],[Time]],PeakCalc!$G$10:$G$303,0))</f>
        <v>0</v>
      </c>
    </row>
    <row r="381" spans="1:9" x14ac:dyDescent="0.25">
      <c r="A381" t="s">
        <v>97</v>
      </c>
      <c r="B381" t="s">
        <v>101</v>
      </c>
      <c r="C381" t="s">
        <v>93</v>
      </c>
      <c r="D381" t="s">
        <v>79</v>
      </c>
      <c r="E381" t="s">
        <v>44</v>
      </c>
      <c r="F381" s="6">
        <v>0.73958333333333337</v>
      </c>
      <c r="G381">
        <v>33</v>
      </c>
      <c r="H381" s="6">
        <f>FLOOR(tblPivotData[[#This Row],[Time]],Summary!$B$6/1440)</f>
        <v>0.73958333333333326</v>
      </c>
      <c r="I381">
        <f>INDEX(PeakCalc!$L$10:$L$303,MATCH(tblPivotData[[#This Row],[Time]],PeakCalc!$G$10:$G$303,0))</f>
        <v>0</v>
      </c>
    </row>
    <row r="382" spans="1:9" x14ac:dyDescent="0.25">
      <c r="A382" t="s">
        <v>97</v>
      </c>
      <c r="B382" t="s">
        <v>101</v>
      </c>
      <c r="C382" t="s">
        <v>93</v>
      </c>
      <c r="D382" t="s">
        <v>88</v>
      </c>
      <c r="E382" t="s">
        <v>43</v>
      </c>
      <c r="F382" s="6">
        <v>0.29166666666666669</v>
      </c>
      <c r="G382">
        <v>4</v>
      </c>
      <c r="H382" s="6">
        <f>FLOOR(tblPivotData[[#This Row],[Time]],Summary!$B$6/1440)</f>
        <v>0.29166666666666663</v>
      </c>
      <c r="I382">
        <f>INDEX(PeakCalc!$L$10:$L$303,MATCH(tblPivotData[[#This Row],[Time]],PeakCalc!$G$10:$G$303,0))</f>
        <v>0</v>
      </c>
    </row>
    <row r="383" spans="1:9" x14ac:dyDescent="0.25">
      <c r="A383" t="s">
        <v>97</v>
      </c>
      <c r="B383" t="s">
        <v>101</v>
      </c>
      <c r="C383" t="s">
        <v>93</v>
      </c>
      <c r="D383" t="s">
        <v>88</v>
      </c>
      <c r="E383" t="s">
        <v>43</v>
      </c>
      <c r="F383" s="6">
        <v>0.30208333333333331</v>
      </c>
      <c r="G383">
        <v>2</v>
      </c>
      <c r="H383" s="6">
        <f>FLOOR(tblPivotData[[#This Row],[Time]],Summary!$B$6/1440)</f>
        <v>0.30208333333333331</v>
      </c>
      <c r="I383">
        <f>INDEX(PeakCalc!$L$10:$L$303,MATCH(tblPivotData[[#This Row],[Time]],PeakCalc!$G$10:$G$303,0))</f>
        <v>0</v>
      </c>
    </row>
    <row r="384" spans="1:9" x14ac:dyDescent="0.25">
      <c r="A384" t="s">
        <v>97</v>
      </c>
      <c r="B384" t="s">
        <v>101</v>
      </c>
      <c r="C384" t="s">
        <v>93</v>
      </c>
      <c r="D384" t="s">
        <v>88</v>
      </c>
      <c r="E384" t="s">
        <v>43</v>
      </c>
      <c r="F384" s="6">
        <v>0.3125</v>
      </c>
      <c r="G384">
        <v>5</v>
      </c>
      <c r="H384" s="6">
        <f>FLOOR(tblPivotData[[#This Row],[Time]],Summary!$B$6/1440)</f>
        <v>0.3125</v>
      </c>
      <c r="I384">
        <f>INDEX(PeakCalc!$L$10:$L$303,MATCH(tblPivotData[[#This Row],[Time]],PeakCalc!$G$10:$G$303,0))</f>
        <v>0</v>
      </c>
    </row>
    <row r="385" spans="1:9" x14ac:dyDescent="0.25">
      <c r="A385" t="s">
        <v>97</v>
      </c>
      <c r="B385" t="s">
        <v>101</v>
      </c>
      <c r="C385" t="s">
        <v>93</v>
      </c>
      <c r="D385" t="s">
        <v>88</v>
      </c>
      <c r="E385" t="s">
        <v>43</v>
      </c>
      <c r="F385" s="6">
        <v>0.32291666666666669</v>
      </c>
      <c r="G385">
        <v>3</v>
      </c>
      <c r="H385" s="6">
        <f>FLOOR(tblPivotData[[#This Row],[Time]],Summary!$B$6/1440)</f>
        <v>0.32291666666666663</v>
      </c>
      <c r="I385">
        <f>INDEX(PeakCalc!$L$10:$L$303,MATCH(tblPivotData[[#This Row],[Time]],PeakCalc!$G$10:$G$303,0))</f>
        <v>1</v>
      </c>
    </row>
    <row r="386" spans="1:9" x14ac:dyDescent="0.25">
      <c r="A386" t="s">
        <v>97</v>
      </c>
      <c r="B386" t="s">
        <v>101</v>
      </c>
      <c r="C386" t="s">
        <v>93</v>
      </c>
      <c r="D386" t="s">
        <v>88</v>
      </c>
      <c r="E386" t="s">
        <v>43</v>
      </c>
      <c r="F386" s="6">
        <v>0.33333333333333331</v>
      </c>
      <c r="G386">
        <v>3</v>
      </c>
      <c r="H386" s="6">
        <f>FLOOR(tblPivotData[[#This Row],[Time]],Summary!$B$6/1440)</f>
        <v>0.33333333333333331</v>
      </c>
      <c r="I386">
        <f>INDEX(PeakCalc!$L$10:$L$303,MATCH(tblPivotData[[#This Row],[Time]],PeakCalc!$G$10:$G$303,0))</f>
        <v>1</v>
      </c>
    </row>
    <row r="387" spans="1:9" x14ac:dyDescent="0.25">
      <c r="A387" t="s">
        <v>97</v>
      </c>
      <c r="B387" t="s">
        <v>101</v>
      </c>
      <c r="C387" t="s">
        <v>93</v>
      </c>
      <c r="D387" t="s">
        <v>88</v>
      </c>
      <c r="E387" t="s">
        <v>43</v>
      </c>
      <c r="F387" s="6">
        <v>0.34375</v>
      </c>
      <c r="G387">
        <v>3</v>
      </c>
      <c r="H387" s="6">
        <f>FLOOR(tblPivotData[[#This Row],[Time]],Summary!$B$6/1440)</f>
        <v>0.34375</v>
      </c>
      <c r="I387">
        <f>INDEX(PeakCalc!$L$10:$L$303,MATCH(tblPivotData[[#This Row],[Time]],PeakCalc!$G$10:$G$303,0))</f>
        <v>1</v>
      </c>
    </row>
    <row r="388" spans="1:9" x14ac:dyDescent="0.25">
      <c r="A388" t="s">
        <v>97</v>
      </c>
      <c r="B388" t="s">
        <v>101</v>
      </c>
      <c r="C388" t="s">
        <v>93</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25">
      <c r="A389" t="s">
        <v>97</v>
      </c>
      <c r="B389" t="s">
        <v>101</v>
      </c>
      <c r="C389" t="s">
        <v>93</v>
      </c>
      <c r="D389" t="s">
        <v>88</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97</v>
      </c>
      <c r="B390" t="s">
        <v>101</v>
      </c>
      <c r="C390" t="s">
        <v>93</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25">
      <c r="A391" t="s">
        <v>97</v>
      </c>
      <c r="B391" t="s">
        <v>101</v>
      </c>
      <c r="C391" t="s">
        <v>93</v>
      </c>
      <c r="D391" t="s">
        <v>88</v>
      </c>
      <c r="E391" t="s">
        <v>90</v>
      </c>
      <c r="F391" s="6">
        <v>0.55208333333333337</v>
      </c>
      <c r="G391">
        <v>3</v>
      </c>
      <c r="H391" s="6">
        <f>FLOOR(tblPivotData[[#This Row],[Time]],Summary!$B$6/1440)</f>
        <v>0.55208333333333326</v>
      </c>
      <c r="I391">
        <f>INDEX(PeakCalc!$L$10:$L$303,MATCH(tblPivotData[[#This Row],[Time]],PeakCalc!$G$10:$G$303,0))</f>
        <v>1</v>
      </c>
    </row>
    <row r="392" spans="1:9" x14ac:dyDescent="0.25">
      <c r="A392" t="s">
        <v>97</v>
      </c>
      <c r="B392" t="s">
        <v>101</v>
      </c>
      <c r="C392" t="s">
        <v>93</v>
      </c>
      <c r="D392" t="s">
        <v>88</v>
      </c>
      <c r="E392" t="s">
        <v>90</v>
      </c>
      <c r="F392" s="6">
        <v>0.5625</v>
      </c>
      <c r="G392">
        <v>3</v>
      </c>
      <c r="H392" s="6">
        <f>FLOOR(tblPivotData[[#This Row],[Time]],Summary!$B$6/1440)</f>
        <v>0.5625</v>
      </c>
      <c r="I392">
        <f>INDEX(PeakCalc!$L$10:$L$303,MATCH(tblPivotData[[#This Row],[Time]],PeakCalc!$G$10:$G$303,0))</f>
        <v>1</v>
      </c>
    </row>
    <row r="393" spans="1:9" x14ac:dyDescent="0.25">
      <c r="A393" t="s">
        <v>97</v>
      </c>
      <c r="B393" t="s">
        <v>101</v>
      </c>
      <c r="C393" t="s">
        <v>93</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97</v>
      </c>
      <c r="B394" t="s">
        <v>101</v>
      </c>
      <c r="C394" t="s">
        <v>93</v>
      </c>
      <c r="D394" t="s">
        <v>88</v>
      </c>
      <c r="E394" t="s">
        <v>44</v>
      </c>
      <c r="F394" s="6">
        <v>0.66666666666666663</v>
      </c>
      <c r="G394">
        <v>3</v>
      </c>
      <c r="H394" s="6">
        <f>FLOOR(tblPivotData[[#This Row],[Time]],Summary!$B$6/1440)</f>
        <v>0.66666666666666663</v>
      </c>
      <c r="I394">
        <f>INDEX(PeakCalc!$L$10:$L$303,MATCH(tblPivotData[[#This Row],[Time]],PeakCalc!$G$10:$G$303,0))</f>
        <v>0</v>
      </c>
    </row>
    <row r="395" spans="1:9" x14ac:dyDescent="0.25">
      <c r="A395" t="s">
        <v>97</v>
      </c>
      <c r="B395" t="s">
        <v>101</v>
      </c>
      <c r="C395" t="s">
        <v>93</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97</v>
      </c>
      <c r="B396" t="s">
        <v>101</v>
      </c>
      <c r="C396" t="s">
        <v>93</v>
      </c>
      <c r="D396" t="s">
        <v>88</v>
      </c>
      <c r="E396" t="s">
        <v>44</v>
      </c>
      <c r="F396" s="6">
        <v>0.6875</v>
      </c>
      <c r="G396">
        <v>1</v>
      </c>
      <c r="H396" s="6">
        <f>FLOOR(tblPivotData[[#This Row],[Time]],Summary!$B$6/1440)</f>
        <v>0.6875</v>
      </c>
      <c r="I396">
        <f>INDEX(PeakCalc!$L$10:$L$303,MATCH(tblPivotData[[#This Row],[Time]],PeakCalc!$G$10:$G$303,0))</f>
        <v>1</v>
      </c>
    </row>
    <row r="397" spans="1:9" x14ac:dyDescent="0.25">
      <c r="A397" t="s">
        <v>97</v>
      </c>
      <c r="B397" t="s">
        <v>101</v>
      </c>
      <c r="C397" t="s">
        <v>93</v>
      </c>
      <c r="D397" t="s">
        <v>88</v>
      </c>
      <c r="E397" t="s">
        <v>44</v>
      </c>
      <c r="F397" s="6">
        <v>0.69791666666666663</v>
      </c>
      <c r="G397">
        <v>1</v>
      </c>
      <c r="H397" s="6">
        <f>FLOOR(tblPivotData[[#This Row],[Time]],Summary!$B$6/1440)</f>
        <v>0.69791666666666663</v>
      </c>
      <c r="I397">
        <f>INDEX(PeakCalc!$L$10:$L$303,MATCH(tblPivotData[[#This Row],[Time]],PeakCalc!$G$10:$G$303,0))</f>
        <v>1</v>
      </c>
    </row>
    <row r="398" spans="1:9" x14ac:dyDescent="0.25">
      <c r="A398" t="s">
        <v>97</v>
      </c>
      <c r="B398" t="s">
        <v>101</v>
      </c>
      <c r="C398" t="s">
        <v>93</v>
      </c>
      <c r="D398" t="s">
        <v>88</v>
      </c>
      <c r="E398" t="s">
        <v>44</v>
      </c>
      <c r="F398" s="6">
        <v>0.70833333333333337</v>
      </c>
      <c r="G398">
        <v>2</v>
      </c>
      <c r="H398" s="6">
        <f>FLOOR(tblPivotData[[#This Row],[Time]],Summary!$B$6/1440)</f>
        <v>0.70833333333333326</v>
      </c>
      <c r="I398">
        <f>INDEX(PeakCalc!$L$10:$L$303,MATCH(tblPivotData[[#This Row],[Time]],PeakCalc!$G$10:$G$303,0))</f>
        <v>1</v>
      </c>
    </row>
    <row r="399" spans="1:9" x14ac:dyDescent="0.25">
      <c r="A399" t="s">
        <v>97</v>
      </c>
      <c r="B399" t="s">
        <v>101</v>
      </c>
      <c r="C399" t="s">
        <v>93</v>
      </c>
      <c r="D399" t="s">
        <v>88</v>
      </c>
      <c r="E399" t="s">
        <v>44</v>
      </c>
      <c r="F399" s="6">
        <v>0.71875</v>
      </c>
      <c r="G399">
        <v>0</v>
      </c>
      <c r="H399" s="6">
        <f>FLOOR(tblPivotData[[#This Row],[Time]],Summary!$B$6/1440)</f>
        <v>0.71875</v>
      </c>
      <c r="I399">
        <f>INDEX(PeakCalc!$L$10:$L$303,MATCH(tblPivotData[[#This Row],[Time]],PeakCalc!$G$10:$G$303,0))</f>
        <v>0</v>
      </c>
    </row>
    <row r="400" spans="1:9" x14ac:dyDescent="0.25">
      <c r="A400" t="s">
        <v>97</v>
      </c>
      <c r="B400" t="s">
        <v>101</v>
      </c>
      <c r="C400" t="s">
        <v>93</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97</v>
      </c>
      <c r="B401" t="s">
        <v>101</v>
      </c>
      <c r="C401" t="s">
        <v>93</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97</v>
      </c>
      <c r="B402" t="s">
        <v>101</v>
      </c>
      <c r="C402" t="s">
        <v>93</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97</v>
      </c>
      <c r="B403" t="s">
        <v>101</v>
      </c>
      <c r="C403" t="s">
        <v>93</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97</v>
      </c>
      <c r="B404" t="s">
        <v>101</v>
      </c>
      <c r="C404" t="s">
        <v>93</v>
      </c>
      <c r="D404" t="s">
        <v>89</v>
      </c>
      <c r="E404" t="s">
        <v>43</v>
      </c>
      <c r="F404" s="6">
        <v>0.3125</v>
      </c>
      <c r="G404">
        <v>1</v>
      </c>
      <c r="H404" s="6">
        <f>FLOOR(tblPivotData[[#This Row],[Time]],Summary!$B$6/1440)</f>
        <v>0.3125</v>
      </c>
      <c r="I404">
        <f>INDEX(PeakCalc!$L$10:$L$303,MATCH(tblPivotData[[#This Row],[Time]],PeakCalc!$G$10:$G$303,0))</f>
        <v>0</v>
      </c>
    </row>
    <row r="405" spans="1:9" x14ac:dyDescent="0.25">
      <c r="A405" t="s">
        <v>97</v>
      </c>
      <c r="B405" t="s">
        <v>101</v>
      </c>
      <c r="C405" t="s">
        <v>93</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97</v>
      </c>
      <c r="B406" t="s">
        <v>101</v>
      </c>
      <c r="C406" t="s">
        <v>93</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97</v>
      </c>
      <c r="B407" t="s">
        <v>101</v>
      </c>
      <c r="C407" t="s">
        <v>93</v>
      </c>
      <c r="D407" t="s">
        <v>89</v>
      </c>
      <c r="E407" t="s">
        <v>43</v>
      </c>
      <c r="F407" s="6">
        <v>0.34375</v>
      </c>
      <c r="G407">
        <v>0</v>
      </c>
      <c r="H407" s="6">
        <f>FLOOR(tblPivotData[[#This Row],[Time]],Summary!$B$6/1440)</f>
        <v>0.34375</v>
      </c>
      <c r="I407">
        <f>INDEX(PeakCalc!$L$10:$L$303,MATCH(tblPivotData[[#This Row],[Time]],PeakCalc!$G$10:$G$303,0))</f>
        <v>1</v>
      </c>
    </row>
    <row r="408" spans="1:9" x14ac:dyDescent="0.25">
      <c r="A408" t="s">
        <v>97</v>
      </c>
      <c r="B408" t="s">
        <v>101</v>
      </c>
      <c r="C408" t="s">
        <v>93</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97</v>
      </c>
      <c r="B409" t="s">
        <v>101</v>
      </c>
      <c r="C409" t="s">
        <v>93</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97</v>
      </c>
      <c r="B410" t="s">
        <v>101</v>
      </c>
      <c r="C410" t="s">
        <v>93</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97</v>
      </c>
      <c r="B411" t="s">
        <v>101</v>
      </c>
      <c r="C411" t="s">
        <v>93</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97</v>
      </c>
      <c r="B412" t="s">
        <v>101</v>
      </c>
      <c r="C412" t="s">
        <v>93</v>
      </c>
      <c r="D412" t="s">
        <v>89</v>
      </c>
      <c r="E412" t="s">
        <v>90</v>
      </c>
      <c r="F412" s="6">
        <v>0.5625</v>
      </c>
      <c r="G412">
        <v>0</v>
      </c>
      <c r="H412" s="6">
        <f>FLOOR(tblPivotData[[#This Row],[Time]],Summary!$B$6/1440)</f>
        <v>0.5625</v>
      </c>
      <c r="I412">
        <f>INDEX(PeakCalc!$L$10:$L$303,MATCH(tblPivotData[[#This Row],[Time]],PeakCalc!$G$10:$G$303,0))</f>
        <v>1</v>
      </c>
    </row>
    <row r="413" spans="1:9" x14ac:dyDescent="0.25">
      <c r="A413" t="s">
        <v>97</v>
      </c>
      <c r="B413" t="s">
        <v>101</v>
      </c>
      <c r="C413" t="s">
        <v>93</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97</v>
      </c>
      <c r="B414" t="s">
        <v>101</v>
      </c>
      <c r="C414" t="s">
        <v>93</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97</v>
      </c>
      <c r="B415" t="s">
        <v>101</v>
      </c>
      <c r="C415" t="s">
        <v>93</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97</v>
      </c>
      <c r="B416" t="s">
        <v>101</v>
      </c>
      <c r="C416" t="s">
        <v>93</v>
      </c>
      <c r="D416" t="s">
        <v>89</v>
      </c>
      <c r="E416" t="s">
        <v>44</v>
      </c>
      <c r="F416" s="6">
        <v>0.6875</v>
      </c>
      <c r="G416">
        <v>0</v>
      </c>
      <c r="H416" s="6">
        <f>FLOOR(tblPivotData[[#This Row],[Time]],Summary!$B$6/1440)</f>
        <v>0.6875</v>
      </c>
      <c r="I416">
        <f>INDEX(PeakCalc!$L$10:$L$303,MATCH(tblPivotData[[#This Row],[Time]],PeakCalc!$G$10:$G$303,0))</f>
        <v>1</v>
      </c>
    </row>
    <row r="417" spans="1:9" x14ac:dyDescent="0.25">
      <c r="A417" t="s">
        <v>97</v>
      </c>
      <c r="B417" t="s">
        <v>101</v>
      </c>
      <c r="C417" t="s">
        <v>93</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97</v>
      </c>
      <c r="B418" t="s">
        <v>101</v>
      </c>
      <c r="C418" t="s">
        <v>93</v>
      </c>
      <c r="D418" t="s">
        <v>89</v>
      </c>
      <c r="E418" t="s">
        <v>44</v>
      </c>
      <c r="F418" s="6">
        <v>0.70833333333333337</v>
      </c>
      <c r="G418">
        <v>1</v>
      </c>
      <c r="H418" s="6">
        <f>FLOOR(tblPivotData[[#This Row],[Time]],Summary!$B$6/1440)</f>
        <v>0.70833333333333326</v>
      </c>
      <c r="I418">
        <f>INDEX(PeakCalc!$L$10:$L$303,MATCH(tblPivotData[[#This Row],[Time]],PeakCalc!$G$10:$G$303,0))</f>
        <v>1</v>
      </c>
    </row>
    <row r="419" spans="1:9" x14ac:dyDescent="0.25">
      <c r="A419" t="s">
        <v>97</v>
      </c>
      <c r="B419" t="s">
        <v>101</v>
      </c>
      <c r="C419" t="s">
        <v>93</v>
      </c>
      <c r="D419" t="s">
        <v>89</v>
      </c>
      <c r="E419" t="s">
        <v>44</v>
      </c>
      <c r="F419" s="6">
        <v>0.71875</v>
      </c>
      <c r="G419">
        <v>0</v>
      </c>
      <c r="H419" s="6">
        <f>FLOOR(tblPivotData[[#This Row],[Time]],Summary!$B$6/1440)</f>
        <v>0.71875</v>
      </c>
      <c r="I419">
        <f>INDEX(PeakCalc!$L$10:$L$303,MATCH(tblPivotData[[#This Row],[Time]],PeakCalc!$G$10:$G$303,0))</f>
        <v>0</v>
      </c>
    </row>
    <row r="420" spans="1:9" x14ac:dyDescent="0.25">
      <c r="A420" t="s">
        <v>97</v>
      </c>
      <c r="B420" t="s">
        <v>101</v>
      </c>
      <c r="C420" t="s">
        <v>93</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97</v>
      </c>
      <c r="B421" t="s">
        <v>101</v>
      </c>
      <c r="C421" t="s">
        <v>93</v>
      </c>
      <c r="D421" t="s">
        <v>89</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92</v>
      </c>
      <c r="D11" s="52"/>
      <c r="E11" s="52"/>
      <c r="F11" s="52"/>
      <c r="G11" s="52"/>
      <c r="H11" s="52"/>
      <c r="I11" s="52"/>
      <c r="J11" s="52"/>
      <c r="K11" s="52"/>
      <c r="L11" s="52"/>
      <c r="M11" s="52"/>
      <c r="N11" s="52"/>
      <c r="O11" s="49" t="s">
        <v>103</v>
      </c>
      <c r="P11" s="51" t="s">
        <v>93</v>
      </c>
      <c r="Q11" s="52"/>
      <c r="R11" s="52"/>
      <c r="S11" s="52"/>
      <c r="T11" s="52"/>
      <c r="U11" s="52"/>
      <c r="V11" s="52"/>
      <c r="W11" s="52"/>
      <c r="X11" s="49" t="s">
        <v>104</v>
      </c>
      <c r="Y11" s="51" t="s">
        <v>97</v>
      </c>
      <c r="Z11" s="52"/>
      <c r="AA11" s="52"/>
      <c r="AB11" s="52"/>
      <c r="AC11" s="52"/>
      <c r="AD11" s="52"/>
      <c r="AE11" s="52"/>
      <c r="AF11" s="52"/>
      <c r="AG11" s="49" t="s">
        <v>105</v>
      </c>
      <c r="AH11" s="49" t="s">
        <v>49</v>
      </c>
    </row>
    <row r="12" spans="2:34" x14ac:dyDescent="0.25">
      <c r="B12" s="16"/>
      <c r="C12" s="49" t="s">
        <v>94</v>
      </c>
      <c r="D12" s="50"/>
      <c r="E12" s="50"/>
      <c r="F12" s="49" t="s">
        <v>106</v>
      </c>
      <c r="G12" s="49" t="s">
        <v>98</v>
      </c>
      <c r="H12" s="50"/>
      <c r="I12" s="50"/>
      <c r="J12" s="49" t="s">
        <v>107</v>
      </c>
      <c r="K12" s="49" t="s">
        <v>91</v>
      </c>
      <c r="L12" s="50"/>
      <c r="M12" s="50"/>
      <c r="N12" s="49" t="s">
        <v>108</v>
      </c>
      <c r="O12" s="50"/>
      <c r="P12" s="49" t="s">
        <v>99</v>
      </c>
      <c r="Q12" s="50"/>
      <c r="R12" s="50"/>
      <c r="S12" s="49" t="s">
        <v>109</v>
      </c>
      <c r="T12" s="49" t="s">
        <v>95</v>
      </c>
      <c r="U12" s="50"/>
      <c r="V12" s="50"/>
      <c r="W12" s="49" t="s">
        <v>110</v>
      </c>
      <c r="X12" s="50"/>
      <c r="Y12" s="49" t="s">
        <v>100</v>
      </c>
      <c r="Z12" s="50"/>
      <c r="AA12" s="50"/>
      <c r="AB12" s="49" t="s">
        <v>111</v>
      </c>
      <c r="AC12" s="49" t="s">
        <v>101</v>
      </c>
      <c r="AD12" s="50"/>
      <c r="AE12" s="50"/>
      <c r="AF12" s="49" t="s">
        <v>112</v>
      </c>
      <c r="AG12" s="50"/>
      <c r="AH12" s="50"/>
    </row>
    <row r="13" spans="2:34"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50"/>
      <c r="AH13" s="50"/>
    </row>
    <row r="14" spans="2:34" x14ac:dyDescent="0.25">
      <c r="B14" s="10" t="s">
        <v>43</v>
      </c>
      <c r="C14">
        <v>1267</v>
      </c>
      <c r="D14">
        <v>82</v>
      </c>
      <c r="E14">
        <v>24</v>
      </c>
      <c r="F14">
        <v>1373</v>
      </c>
      <c r="G14">
        <v>314</v>
      </c>
      <c r="H14">
        <v>26</v>
      </c>
      <c r="I14">
        <v>0</v>
      </c>
      <c r="J14">
        <v>340</v>
      </c>
      <c r="K14">
        <v>0</v>
      </c>
      <c r="L14">
        <v>1</v>
      </c>
      <c r="M14">
        <v>0</v>
      </c>
      <c r="N14">
        <v>1</v>
      </c>
      <c r="O14">
        <v>1714</v>
      </c>
      <c r="P14">
        <v>249</v>
      </c>
      <c r="Q14">
        <v>18</v>
      </c>
      <c r="R14">
        <v>1</v>
      </c>
      <c r="S14">
        <v>268</v>
      </c>
      <c r="T14">
        <v>648</v>
      </c>
      <c r="U14">
        <v>40</v>
      </c>
      <c r="V14">
        <v>5</v>
      </c>
      <c r="W14">
        <v>693</v>
      </c>
      <c r="X14">
        <v>961</v>
      </c>
      <c r="Y14">
        <v>312</v>
      </c>
      <c r="Z14">
        <v>25</v>
      </c>
      <c r="AA14">
        <v>0</v>
      </c>
      <c r="AB14">
        <v>337</v>
      </c>
      <c r="AC14">
        <v>147</v>
      </c>
      <c r="AD14">
        <v>22</v>
      </c>
      <c r="AE14">
        <v>1</v>
      </c>
      <c r="AF14">
        <v>170</v>
      </c>
      <c r="AG14">
        <v>507</v>
      </c>
      <c r="AH14">
        <v>3182</v>
      </c>
    </row>
    <row r="15" spans="2:34" x14ac:dyDescent="0.25">
      <c r="B15" s="11">
        <v>0.29166666666666669</v>
      </c>
      <c r="C15">
        <v>118</v>
      </c>
      <c r="D15">
        <v>15</v>
      </c>
      <c r="E15">
        <v>1</v>
      </c>
      <c r="F15">
        <v>134</v>
      </c>
      <c r="G15">
        <v>25</v>
      </c>
      <c r="H15">
        <v>2</v>
      </c>
      <c r="I15">
        <v>0</v>
      </c>
      <c r="J15">
        <v>27</v>
      </c>
      <c r="K15">
        <v>0</v>
      </c>
      <c r="L15">
        <v>1</v>
      </c>
      <c r="M15">
        <v>0</v>
      </c>
      <c r="N15">
        <v>1</v>
      </c>
      <c r="O15">
        <v>162</v>
      </c>
      <c r="P15">
        <v>41</v>
      </c>
      <c r="Q15">
        <v>1</v>
      </c>
      <c r="R15">
        <v>0</v>
      </c>
      <c r="S15">
        <v>42</v>
      </c>
      <c r="T15">
        <v>70</v>
      </c>
      <c r="U15">
        <v>1</v>
      </c>
      <c r="V15">
        <v>3</v>
      </c>
      <c r="W15">
        <v>74</v>
      </c>
      <c r="X15">
        <v>116</v>
      </c>
      <c r="Y15">
        <v>20</v>
      </c>
      <c r="Z15">
        <v>4</v>
      </c>
      <c r="AA15">
        <v>0</v>
      </c>
      <c r="AB15">
        <v>24</v>
      </c>
      <c r="AC15">
        <v>13</v>
      </c>
      <c r="AD15">
        <v>4</v>
      </c>
      <c r="AE15">
        <v>0</v>
      </c>
      <c r="AF15">
        <v>17</v>
      </c>
      <c r="AG15">
        <v>41</v>
      </c>
      <c r="AH15">
        <v>319</v>
      </c>
    </row>
    <row r="16" spans="2:34" x14ac:dyDescent="0.25">
      <c r="B16" s="11">
        <v>0.30208333333333331</v>
      </c>
      <c r="C16">
        <v>163</v>
      </c>
      <c r="D16">
        <v>19</v>
      </c>
      <c r="E16">
        <v>2</v>
      </c>
      <c r="F16">
        <v>184</v>
      </c>
      <c r="G16">
        <v>29</v>
      </c>
      <c r="H16">
        <v>5</v>
      </c>
      <c r="I16">
        <v>0</v>
      </c>
      <c r="J16">
        <v>34</v>
      </c>
      <c r="K16">
        <v>0</v>
      </c>
      <c r="L16">
        <v>0</v>
      </c>
      <c r="M16">
        <v>0</v>
      </c>
      <c r="N16">
        <v>0</v>
      </c>
      <c r="O16">
        <v>218</v>
      </c>
      <c r="P16">
        <v>35</v>
      </c>
      <c r="Q16">
        <v>4</v>
      </c>
      <c r="R16">
        <v>0</v>
      </c>
      <c r="S16">
        <v>39</v>
      </c>
      <c r="T16">
        <v>75</v>
      </c>
      <c r="U16">
        <v>5</v>
      </c>
      <c r="V16">
        <v>1</v>
      </c>
      <c r="W16">
        <v>81</v>
      </c>
      <c r="X16">
        <v>120</v>
      </c>
      <c r="Y16">
        <v>34</v>
      </c>
      <c r="Z16">
        <v>4</v>
      </c>
      <c r="AA16">
        <v>0</v>
      </c>
      <c r="AB16">
        <v>38</v>
      </c>
      <c r="AC16">
        <v>13</v>
      </c>
      <c r="AD16">
        <v>2</v>
      </c>
      <c r="AE16">
        <v>0</v>
      </c>
      <c r="AF16">
        <v>15</v>
      </c>
      <c r="AG16">
        <v>53</v>
      </c>
      <c r="AH16">
        <v>391</v>
      </c>
    </row>
    <row r="17" spans="2:34" x14ac:dyDescent="0.25">
      <c r="B17" s="11">
        <v>0.3125</v>
      </c>
      <c r="C17">
        <v>188</v>
      </c>
      <c r="D17">
        <v>16</v>
      </c>
      <c r="E17">
        <v>5</v>
      </c>
      <c r="F17">
        <v>209</v>
      </c>
      <c r="G17">
        <v>31</v>
      </c>
      <c r="H17">
        <v>5</v>
      </c>
      <c r="I17">
        <v>0</v>
      </c>
      <c r="J17">
        <v>36</v>
      </c>
      <c r="K17">
        <v>0</v>
      </c>
      <c r="L17">
        <v>0</v>
      </c>
      <c r="M17">
        <v>0</v>
      </c>
      <c r="N17">
        <v>0</v>
      </c>
      <c r="O17">
        <v>245</v>
      </c>
      <c r="P17">
        <v>33</v>
      </c>
      <c r="Q17">
        <v>1</v>
      </c>
      <c r="R17">
        <v>0</v>
      </c>
      <c r="S17">
        <v>34</v>
      </c>
      <c r="T17">
        <v>49</v>
      </c>
      <c r="U17">
        <v>6</v>
      </c>
      <c r="V17">
        <v>0</v>
      </c>
      <c r="W17">
        <v>55</v>
      </c>
      <c r="X17">
        <v>89</v>
      </c>
      <c r="Y17">
        <v>28</v>
      </c>
      <c r="Z17">
        <v>2</v>
      </c>
      <c r="AA17">
        <v>0</v>
      </c>
      <c r="AB17">
        <v>30</v>
      </c>
      <c r="AC17">
        <v>15</v>
      </c>
      <c r="AD17">
        <v>5</v>
      </c>
      <c r="AE17">
        <v>1</v>
      </c>
      <c r="AF17">
        <v>21</v>
      </c>
      <c r="AG17">
        <v>51</v>
      </c>
      <c r="AH17">
        <v>385</v>
      </c>
    </row>
    <row r="18" spans="2:34" x14ac:dyDescent="0.25">
      <c r="B18" s="11">
        <v>0.32291666666666669</v>
      </c>
      <c r="C18">
        <v>185</v>
      </c>
      <c r="D18">
        <v>9</v>
      </c>
      <c r="E18">
        <v>10</v>
      </c>
      <c r="F18">
        <v>204</v>
      </c>
      <c r="G18">
        <v>63</v>
      </c>
      <c r="H18">
        <v>1</v>
      </c>
      <c r="I18">
        <v>0</v>
      </c>
      <c r="J18">
        <v>64</v>
      </c>
      <c r="K18">
        <v>0</v>
      </c>
      <c r="L18">
        <v>0</v>
      </c>
      <c r="M18">
        <v>0</v>
      </c>
      <c r="N18">
        <v>0</v>
      </c>
      <c r="O18">
        <v>268</v>
      </c>
      <c r="P18">
        <v>34</v>
      </c>
      <c r="Q18">
        <v>3</v>
      </c>
      <c r="R18">
        <v>1</v>
      </c>
      <c r="S18">
        <v>38</v>
      </c>
      <c r="T18">
        <v>76</v>
      </c>
      <c r="U18">
        <v>6</v>
      </c>
      <c r="V18">
        <v>1</v>
      </c>
      <c r="W18">
        <v>83</v>
      </c>
      <c r="X18">
        <v>121</v>
      </c>
      <c r="Y18">
        <v>33</v>
      </c>
      <c r="Z18">
        <v>3</v>
      </c>
      <c r="AA18">
        <v>0</v>
      </c>
      <c r="AB18">
        <v>36</v>
      </c>
      <c r="AC18">
        <v>19</v>
      </c>
      <c r="AD18">
        <v>3</v>
      </c>
      <c r="AE18">
        <v>0</v>
      </c>
      <c r="AF18">
        <v>22</v>
      </c>
      <c r="AG18">
        <v>58</v>
      </c>
      <c r="AH18">
        <v>447</v>
      </c>
    </row>
    <row r="19" spans="2:34" x14ac:dyDescent="0.25">
      <c r="B19" s="11">
        <v>0.33333333333333331</v>
      </c>
      <c r="C19">
        <v>193</v>
      </c>
      <c r="D19">
        <v>5</v>
      </c>
      <c r="E19">
        <v>3</v>
      </c>
      <c r="F19">
        <v>201</v>
      </c>
      <c r="G19">
        <v>45</v>
      </c>
      <c r="H19">
        <v>4</v>
      </c>
      <c r="I19">
        <v>0</v>
      </c>
      <c r="J19">
        <v>49</v>
      </c>
      <c r="K19">
        <v>0</v>
      </c>
      <c r="L19">
        <v>0</v>
      </c>
      <c r="M19">
        <v>0</v>
      </c>
      <c r="N19">
        <v>0</v>
      </c>
      <c r="O19">
        <v>250</v>
      </c>
      <c r="P19">
        <v>38</v>
      </c>
      <c r="Q19">
        <v>0</v>
      </c>
      <c r="R19">
        <v>0</v>
      </c>
      <c r="S19">
        <v>38</v>
      </c>
      <c r="T19">
        <v>81</v>
      </c>
      <c r="U19">
        <v>9</v>
      </c>
      <c r="V19">
        <v>0</v>
      </c>
      <c r="W19">
        <v>90</v>
      </c>
      <c r="X19">
        <v>128</v>
      </c>
      <c r="Y19">
        <v>45</v>
      </c>
      <c r="Z19">
        <v>2</v>
      </c>
      <c r="AA19">
        <v>0</v>
      </c>
      <c r="AB19">
        <v>47</v>
      </c>
      <c r="AC19">
        <v>26</v>
      </c>
      <c r="AD19">
        <v>3</v>
      </c>
      <c r="AE19">
        <v>0</v>
      </c>
      <c r="AF19">
        <v>29</v>
      </c>
      <c r="AG19">
        <v>76</v>
      </c>
      <c r="AH19">
        <v>454</v>
      </c>
    </row>
    <row r="20" spans="2:34" x14ac:dyDescent="0.25">
      <c r="B20" s="11">
        <v>0.34375</v>
      </c>
      <c r="C20">
        <v>148</v>
      </c>
      <c r="D20">
        <v>10</v>
      </c>
      <c r="E20">
        <v>2</v>
      </c>
      <c r="F20">
        <v>160</v>
      </c>
      <c r="G20">
        <v>53</v>
      </c>
      <c r="H20">
        <v>3</v>
      </c>
      <c r="I20">
        <v>0</v>
      </c>
      <c r="J20">
        <v>56</v>
      </c>
      <c r="K20">
        <v>0</v>
      </c>
      <c r="L20">
        <v>0</v>
      </c>
      <c r="M20">
        <v>0</v>
      </c>
      <c r="N20">
        <v>0</v>
      </c>
      <c r="O20">
        <v>216</v>
      </c>
      <c r="P20">
        <v>29</v>
      </c>
      <c r="Q20">
        <v>6</v>
      </c>
      <c r="R20">
        <v>0</v>
      </c>
      <c r="S20">
        <v>35</v>
      </c>
      <c r="T20">
        <v>96</v>
      </c>
      <c r="U20">
        <v>4</v>
      </c>
      <c r="V20">
        <v>0</v>
      </c>
      <c r="W20">
        <v>100</v>
      </c>
      <c r="X20">
        <v>135</v>
      </c>
      <c r="Y20">
        <v>58</v>
      </c>
      <c r="Z20">
        <v>4</v>
      </c>
      <c r="AA20">
        <v>0</v>
      </c>
      <c r="AB20">
        <v>62</v>
      </c>
      <c r="AC20">
        <v>19</v>
      </c>
      <c r="AD20">
        <v>3</v>
      </c>
      <c r="AE20">
        <v>0</v>
      </c>
      <c r="AF20">
        <v>22</v>
      </c>
      <c r="AG20">
        <v>84</v>
      </c>
      <c r="AH20">
        <v>435</v>
      </c>
    </row>
    <row r="21" spans="2:34" x14ac:dyDescent="0.25">
      <c r="B21" s="11">
        <v>0.35416666666666669</v>
      </c>
      <c r="C21">
        <v>149</v>
      </c>
      <c r="D21">
        <v>4</v>
      </c>
      <c r="E21">
        <v>1</v>
      </c>
      <c r="F21">
        <v>154</v>
      </c>
      <c r="G21">
        <v>43</v>
      </c>
      <c r="H21">
        <v>3</v>
      </c>
      <c r="I21">
        <v>0</v>
      </c>
      <c r="J21">
        <v>46</v>
      </c>
      <c r="K21">
        <v>0</v>
      </c>
      <c r="L21">
        <v>0</v>
      </c>
      <c r="M21">
        <v>0</v>
      </c>
      <c r="N21">
        <v>0</v>
      </c>
      <c r="O21">
        <v>200</v>
      </c>
      <c r="P21">
        <v>23</v>
      </c>
      <c r="Q21">
        <v>2</v>
      </c>
      <c r="R21">
        <v>0</v>
      </c>
      <c r="S21">
        <v>25</v>
      </c>
      <c r="T21">
        <v>116</v>
      </c>
      <c r="U21">
        <v>4</v>
      </c>
      <c r="V21">
        <v>0</v>
      </c>
      <c r="W21">
        <v>120</v>
      </c>
      <c r="X21">
        <v>145</v>
      </c>
      <c r="Y21">
        <v>54</v>
      </c>
      <c r="Z21">
        <v>2</v>
      </c>
      <c r="AA21">
        <v>0</v>
      </c>
      <c r="AB21">
        <v>56</v>
      </c>
      <c r="AC21">
        <v>23</v>
      </c>
      <c r="AD21">
        <v>1</v>
      </c>
      <c r="AE21">
        <v>0</v>
      </c>
      <c r="AF21">
        <v>24</v>
      </c>
      <c r="AG21">
        <v>80</v>
      </c>
      <c r="AH21">
        <v>425</v>
      </c>
    </row>
    <row r="22" spans="2:34" x14ac:dyDescent="0.25">
      <c r="B22" s="11">
        <v>0.36458333333333331</v>
      </c>
      <c r="C22">
        <v>123</v>
      </c>
      <c r="D22">
        <v>4</v>
      </c>
      <c r="E22">
        <v>0</v>
      </c>
      <c r="F22">
        <v>127</v>
      </c>
      <c r="G22">
        <v>25</v>
      </c>
      <c r="H22">
        <v>3</v>
      </c>
      <c r="I22">
        <v>0</v>
      </c>
      <c r="J22">
        <v>28</v>
      </c>
      <c r="K22">
        <v>0</v>
      </c>
      <c r="L22">
        <v>0</v>
      </c>
      <c r="M22">
        <v>0</v>
      </c>
      <c r="N22">
        <v>0</v>
      </c>
      <c r="O22">
        <v>155</v>
      </c>
      <c r="P22">
        <v>16</v>
      </c>
      <c r="Q22">
        <v>1</v>
      </c>
      <c r="R22">
        <v>0</v>
      </c>
      <c r="S22">
        <v>17</v>
      </c>
      <c r="T22">
        <v>85</v>
      </c>
      <c r="U22">
        <v>5</v>
      </c>
      <c r="V22">
        <v>0</v>
      </c>
      <c r="W22">
        <v>90</v>
      </c>
      <c r="X22">
        <v>107</v>
      </c>
      <c r="Y22">
        <v>40</v>
      </c>
      <c r="Z22">
        <v>4</v>
      </c>
      <c r="AA22">
        <v>0</v>
      </c>
      <c r="AB22">
        <v>44</v>
      </c>
      <c r="AC22">
        <v>19</v>
      </c>
      <c r="AD22">
        <v>1</v>
      </c>
      <c r="AE22">
        <v>0</v>
      </c>
      <c r="AF22">
        <v>20</v>
      </c>
      <c r="AG22">
        <v>64</v>
      </c>
      <c r="AH22">
        <v>326</v>
      </c>
    </row>
    <row r="23" spans="2:34" x14ac:dyDescent="0.25">
      <c r="B23" s="10" t="s">
        <v>44</v>
      </c>
      <c r="C23">
        <v>1111</v>
      </c>
      <c r="D23">
        <v>18</v>
      </c>
      <c r="E23">
        <v>4</v>
      </c>
      <c r="F23">
        <v>1133</v>
      </c>
      <c r="G23">
        <v>306</v>
      </c>
      <c r="H23">
        <v>9</v>
      </c>
      <c r="I23">
        <v>0</v>
      </c>
      <c r="J23">
        <v>315</v>
      </c>
      <c r="K23">
        <v>2</v>
      </c>
      <c r="L23">
        <v>0</v>
      </c>
      <c r="M23">
        <v>0</v>
      </c>
      <c r="N23">
        <v>2</v>
      </c>
      <c r="O23">
        <v>1450</v>
      </c>
      <c r="P23">
        <v>192</v>
      </c>
      <c r="Q23">
        <v>14</v>
      </c>
      <c r="R23">
        <v>3</v>
      </c>
      <c r="S23">
        <v>209</v>
      </c>
      <c r="T23">
        <v>1311</v>
      </c>
      <c r="U23">
        <v>34</v>
      </c>
      <c r="V23">
        <v>12</v>
      </c>
      <c r="W23">
        <v>1357</v>
      </c>
      <c r="X23">
        <v>1566</v>
      </c>
      <c r="Y23">
        <v>516</v>
      </c>
      <c r="Z23">
        <v>15</v>
      </c>
      <c r="AA23">
        <v>0</v>
      </c>
      <c r="AB23">
        <v>531</v>
      </c>
      <c r="AC23">
        <v>318</v>
      </c>
      <c r="AD23">
        <v>7</v>
      </c>
      <c r="AE23">
        <v>1</v>
      </c>
      <c r="AF23">
        <v>326</v>
      </c>
      <c r="AG23">
        <v>857</v>
      </c>
      <c r="AH23">
        <v>3873</v>
      </c>
    </row>
    <row r="24" spans="2:34" x14ac:dyDescent="0.25">
      <c r="B24" s="11">
        <v>0.66666666666666663</v>
      </c>
      <c r="C24">
        <v>147</v>
      </c>
      <c r="D24">
        <v>5</v>
      </c>
      <c r="E24">
        <v>0</v>
      </c>
      <c r="F24">
        <v>152</v>
      </c>
      <c r="G24">
        <v>38</v>
      </c>
      <c r="H24">
        <v>2</v>
      </c>
      <c r="I24">
        <v>0</v>
      </c>
      <c r="J24">
        <v>40</v>
      </c>
      <c r="K24">
        <v>1</v>
      </c>
      <c r="L24">
        <v>0</v>
      </c>
      <c r="M24">
        <v>0</v>
      </c>
      <c r="N24">
        <v>1</v>
      </c>
      <c r="O24">
        <v>193</v>
      </c>
      <c r="P24">
        <v>30</v>
      </c>
      <c r="Q24">
        <v>1</v>
      </c>
      <c r="R24">
        <v>1</v>
      </c>
      <c r="S24">
        <v>32</v>
      </c>
      <c r="T24">
        <v>174</v>
      </c>
      <c r="U24">
        <v>6</v>
      </c>
      <c r="V24">
        <v>0</v>
      </c>
      <c r="W24">
        <v>180</v>
      </c>
      <c r="X24">
        <v>212</v>
      </c>
      <c r="Y24">
        <v>68</v>
      </c>
      <c r="Z24">
        <v>2</v>
      </c>
      <c r="AA24">
        <v>0</v>
      </c>
      <c r="AB24">
        <v>70</v>
      </c>
      <c r="AC24">
        <v>40</v>
      </c>
      <c r="AD24">
        <v>3</v>
      </c>
      <c r="AE24">
        <v>0</v>
      </c>
      <c r="AF24">
        <v>43</v>
      </c>
      <c r="AG24">
        <v>113</v>
      </c>
      <c r="AH24">
        <v>518</v>
      </c>
    </row>
    <row r="25" spans="2:34" x14ac:dyDescent="0.25">
      <c r="B25" s="11">
        <v>0.67708333333333337</v>
      </c>
      <c r="C25">
        <v>164</v>
      </c>
      <c r="D25">
        <v>3</v>
      </c>
      <c r="E25">
        <v>1</v>
      </c>
      <c r="F25">
        <v>168</v>
      </c>
      <c r="G25">
        <v>24</v>
      </c>
      <c r="H25">
        <v>3</v>
      </c>
      <c r="I25">
        <v>0</v>
      </c>
      <c r="J25">
        <v>27</v>
      </c>
      <c r="K25">
        <v>0</v>
      </c>
      <c r="L25">
        <v>0</v>
      </c>
      <c r="M25">
        <v>0</v>
      </c>
      <c r="N25">
        <v>0</v>
      </c>
      <c r="O25">
        <v>195</v>
      </c>
      <c r="P25">
        <v>21</v>
      </c>
      <c r="Q25">
        <v>3</v>
      </c>
      <c r="R25">
        <v>0</v>
      </c>
      <c r="S25">
        <v>24</v>
      </c>
      <c r="T25">
        <v>162</v>
      </c>
      <c r="U25">
        <v>6</v>
      </c>
      <c r="V25">
        <v>0</v>
      </c>
      <c r="W25">
        <v>168</v>
      </c>
      <c r="X25">
        <v>192</v>
      </c>
      <c r="Y25">
        <v>64</v>
      </c>
      <c r="Z25">
        <v>6</v>
      </c>
      <c r="AA25">
        <v>0</v>
      </c>
      <c r="AB25">
        <v>70</v>
      </c>
      <c r="AC25">
        <v>36</v>
      </c>
      <c r="AD25">
        <v>0</v>
      </c>
      <c r="AE25">
        <v>0</v>
      </c>
      <c r="AF25">
        <v>36</v>
      </c>
      <c r="AG25">
        <v>106</v>
      </c>
      <c r="AH25">
        <v>493</v>
      </c>
    </row>
    <row r="26" spans="2:34" x14ac:dyDescent="0.25">
      <c r="B26" s="11">
        <v>0.6875</v>
      </c>
      <c r="C26">
        <v>139</v>
      </c>
      <c r="D26">
        <v>2</v>
      </c>
      <c r="E26">
        <v>0</v>
      </c>
      <c r="F26">
        <v>141</v>
      </c>
      <c r="G26">
        <v>33</v>
      </c>
      <c r="H26">
        <v>0</v>
      </c>
      <c r="I26">
        <v>0</v>
      </c>
      <c r="J26">
        <v>33</v>
      </c>
      <c r="K26">
        <v>0</v>
      </c>
      <c r="L26">
        <v>0</v>
      </c>
      <c r="M26">
        <v>0</v>
      </c>
      <c r="N26">
        <v>0</v>
      </c>
      <c r="O26">
        <v>174</v>
      </c>
      <c r="P26">
        <v>32</v>
      </c>
      <c r="Q26">
        <v>3</v>
      </c>
      <c r="R26">
        <v>0</v>
      </c>
      <c r="S26">
        <v>35</v>
      </c>
      <c r="T26">
        <v>177</v>
      </c>
      <c r="U26">
        <v>6</v>
      </c>
      <c r="V26">
        <v>4</v>
      </c>
      <c r="W26">
        <v>187</v>
      </c>
      <c r="X26">
        <v>222</v>
      </c>
      <c r="Y26">
        <v>66</v>
      </c>
      <c r="Z26">
        <v>2</v>
      </c>
      <c r="AA26">
        <v>0</v>
      </c>
      <c r="AB26">
        <v>68</v>
      </c>
      <c r="AC26">
        <v>43</v>
      </c>
      <c r="AD26">
        <v>1</v>
      </c>
      <c r="AE26">
        <v>0</v>
      </c>
      <c r="AF26">
        <v>44</v>
      </c>
      <c r="AG26">
        <v>112</v>
      </c>
      <c r="AH26">
        <v>508</v>
      </c>
    </row>
    <row r="27" spans="2:34" x14ac:dyDescent="0.25">
      <c r="B27" s="11">
        <v>0.69791666666666663</v>
      </c>
      <c r="C27">
        <v>133</v>
      </c>
      <c r="D27">
        <v>1</v>
      </c>
      <c r="E27">
        <v>0</v>
      </c>
      <c r="F27">
        <v>134</v>
      </c>
      <c r="G27">
        <v>48</v>
      </c>
      <c r="H27">
        <v>1</v>
      </c>
      <c r="I27">
        <v>0</v>
      </c>
      <c r="J27">
        <v>49</v>
      </c>
      <c r="K27">
        <v>0</v>
      </c>
      <c r="L27">
        <v>0</v>
      </c>
      <c r="M27">
        <v>0</v>
      </c>
      <c r="N27">
        <v>0</v>
      </c>
      <c r="O27">
        <v>183</v>
      </c>
      <c r="P27">
        <v>21</v>
      </c>
      <c r="Q27">
        <v>3</v>
      </c>
      <c r="R27">
        <v>2</v>
      </c>
      <c r="S27">
        <v>26</v>
      </c>
      <c r="T27">
        <v>188</v>
      </c>
      <c r="U27">
        <v>5</v>
      </c>
      <c r="V27">
        <v>2</v>
      </c>
      <c r="W27">
        <v>195</v>
      </c>
      <c r="X27">
        <v>221</v>
      </c>
      <c r="Y27">
        <v>72</v>
      </c>
      <c r="Z27">
        <v>1</v>
      </c>
      <c r="AA27">
        <v>0</v>
      </c>
      <c r="AB27">
        <v>73</v>
      </c>
      <c r="AC27">
        <v>54</v>
      </c>
      <c r="AD27">
        <v>1</v>
      </c>
      <c r="AE27">
        <v>0</v>
      </c>
      <c r="AF27">
        <v>55</v>
      </c>
      <c r="AG27">
        <v>128</v>
      </c>
      <c r="AH27">
        <v>532</v>
      </c>
    </row>
    <row r="28" spans="2:34" x14ac:dyDescent="0.25">
      <c r="B28" s="11">
        <v>0.70833333333333337</v>
      </c>
      <c r="C28">
        <v>169</v>
      </c>
      <c r="D28">
        <v>3</v>
      </c>
      <c r="E28">
        <v>1</v>
      </c>
      <c r="F28">
        <v>173</v>
      </c>
      <c r="G28">
        <v>55</v>
      </c>
      <c r="H28">
        <v>1</v>
      </c>
      <c r="I28">
        <v>0</v>
      </c>
      <c r="J28">
        <v>56</v>
      </c>
      <c r="K28">
        <v>1</v>
      </c>
      <c r="L28">
        <v>0</v>
      </c>
      <c r="M28">
        <v>0</v>
      </c>
      <c r="N28">
        <v>1</v>
      </c>
      <c r="O28">
        <v>230</v>
      </c>
      <c r="P28">
        <v>20</v>
      </c>
      <c r="Q28">
        <v>0</v>
      </c>
      <c r="R28">
        <v>0</v>
      </c>
      <c r="S28">
        <v>20</v>
      </c>
      <c r="T28">
        <v>149</v>
      </c>
      <c r="U28">
        <v>4</v>
      </c>
      <c r="V28">
        <v>3</v>
      </c>
      <c r="W28">
        <v>156</v>
      </c>
      <c r="X28">
        <v>176</v>
      </c>
      <c r="Y28">
        <v>78</v>
      </c>
      <c r="Z28">
        <v>0</v>
      </c>
      <c r="AA28">
        <v>0</v>
      </c>
      <c r="AB28">
        <v>78</v>
      </c>
      <c r="AC28">
        <v>38</v>
      </c>
      <c r="AD28">
        <v>2</v>
      </c>
      <c r="AE28">
        <v>1</v>
      </c>
      <c r="AF28">
        <v>41</v>
      </c>
      <c r="AG28">
        <v>119</v>
      </c>
      <c r="AH28">
        <v>525</v>
      </c>
    </row>
    <row r="29" spans="2:34" x14ac:dyDescent="0.25">
      <c r="B29" s="11">
        <v>0.71875</v>
      </c>
      <c r="C29">
        <v>131</v>
      </c>
      <c r="D29">
        <v>1</v>
      </c>
      <c r="E29">
        <v>1</v>
      </c>
      <c r="F29">
        <v>133</v>
      </c>
      <c r="G29">
        <v>39</v>
      </c>
      <c r="H29">
        <v>0</v>
      </c>
      <c r="I29">
        <v>0</v>
      </c>
      <c r="J29">
        <v>39</v>
      </c>
      <c r="K29">
        <v>0</v>
      </c>
      <c r="L29">
        <v>0</v>
      </c>
      <c r="M29">
        <v>0</v>
      </c>
      <c r="N29">
        <v>0</v>
      </c>
      <c r="O29">
        <v>172</v>
      </c>
      <c r="P29">
        <v>33</v>
      </c>
      <c r="Q29">
        <v>4</v>
      </c>
      <c r="R29">
        <v>0</v>
      </c>
      <c r="S29">
        <v>37</v>
      </c>
      <c r="T29">
        <v>161</v>
      </c>
      <c r="U29">
        <v>4</v>
      </c>
      <c r="V29">
        <v>2</v>
      </c>
      <c r="W29">
        <v>167</v>
      </c>
      <c r="X29">
        <v>204</v>
      </c>
      <c r="Y29">
        <v>62</v>
      </c>
      <c r="Z29">
        <v>1</v>
      </c>
      <c r="AA29">
        <v>0</v>
      </c>
      <c r="AB29">
        <v>63</v>
      </c>
      <c r="AC29">
        <v>53</v>
      </c>
      <c r="AD29">
        <v>0</v>
      </c>
      <c r="AE29">
        <v>0</v>
      </c>
      <c r="AF29">
        <v>53</v>
      </c>
      <c r="AG29">
        <v>116</v>
      </c>
      <c r="AH29">
        <v>492</v>
      </c>
    </row>
    <row r="30" spans="2:34" x14ac:dyDescent="0.25">
      <c r="B30" s="11">
        <v>0.72916666666666663</v>
      </c>
      <c r="C30">
        <v>114</v>
      </c>
      <c r="D30">
        <v>2</v>
      </c>
      <c r="E30">
        <v>1</v>
      </c>
      <c r="F30">
        <v>117</v>
      </c>
      <c r="G30">
        <v>39</v>
      </c>
      <c r="H30">
        <v>1</v>
      </c>
      <c r="I30">
        <v>0</v>
      </c>
      <c r="J30">
        <v>40</v>
      </c>
      <c r="K30">
        <v>0</v>
      </c>
      <c r="L30">
        <v>0</v>
      </c>
      <c r="M30">
        <v>0</v>
      </c>
      <c r="N30">
        <v>0</v>
      </c>
      <c r="O30">
        <v>157</v>
      </c>
      <c r="P30">
        <v>15</v>
      </c>
      <c r="Q30">
        <v>0</v>
      </c>
      <c r="R30">
        <v>0</v>
      </c>
      <c r="S30">
        <v>15</v>
      </c>
      <c r="T30">
        <v>162</v>
      </c>
      <c r="U30">
        <v>2</v>
      </c>
      <c r="V30">
        <v>1</v>
      </c>
      <c r="W30">
        <v>165</v>
      </c>
      <c r="X30">
        <v>180</v>
      </c>
      <c r="Y30">
        <v>55</v>
      </c>
      <c r="Z30">
        <v>1</v>
      </c>
      <c r="AA30">
        <v>0</v>
      </c>
      <c r="AB30">
        <v>56</v>
      </c>
      <c r="AC30">
        <v>21</v>
      </c>
      <c r="AD30">
        <v>0</v>
      </c>
      <c r="AE30">
        <v>0</v>
      </c>
      <c r="AF30">
        <v>21</v>
      </c>
      <c r="AG30">
        <v>77</v>
      </c>
      <c r="AH30">
        <v>414</v>
      </c>
    </row>
    <row r="31" spans="2:34" x14ac:dyDescent="0.25">
      <c r="B31" s="11">
        <v>0.73958333333333337</v>
      </c>
      <c r="C31">
        <v>114</v>
      </c>
      <c r="D31">
        <v>1</v>
      </c>
      <c r="E31">
        <v>0</v>
      </c>
      <c r="F31">
        <v>115</v>
      </c>
      <c r="G31">
        <v>30</v>
      </c>
      <c r="H31">
        <v>1</v>
      </c>
      <c r="I31">
        <v>0</v>
      </c>
      <c r="J31">
        <v>31</v>
      </c>
      <c r="K31">
        <v>0</v>
      </c>
      <c r="L31">
        <v>0</v>
      </c>
      <c r="M31">
        <v>0</v>
      </c>
      <c r="N31">
        <v>0</v>
      </c>
      <c r="O31">
        <v>146</v>
      </c>
      <c r="P31">
        <v>20</v>
      </c>
      <c r="Q31">
        <v>0</v>
      </c>
      <c r="R31">
        <v>0</v>
      </c>
      <c r="S31">
        <v>20</v>
      </c>
      <c r="T31">
        <v>138</v>
      </c>
      <c r="U31">
        <v>1</v>
      </c>
      <c r="V31">
        <v>0</v>
      </c>
      <c r="W31">
        <v>139</v>
      </c>
      <c r="X31">
        <v>159</v>
      </c>
      <c r="Y31">
        <v>51</v>
      </c>
      <c r="Z31">
        <v>2</v>
      </c>
      <c r="AA31">
        <v>0</v>
      </c>
      <c r="AB31">
        <v>53</v>
      </c>
      <c r="AC31">
        <v>33</v>
      </c>
      <c r="AD31">
        <v>0</v>
      </c>
      <c r="AE31">
        <v>0</v>
      </c>
      <c r="AF31">
        <v>33</v>
      </c>
      <c r="AG31">
        <v>86</v>
      </c>
      <c r="AH31">
        <v>391</v>
      </c>
    </row>
    <row r="32" spans="2:34" x14ac:dyDescent="0.25">
      <c r="B32" s="10" t="s">
        <v>90</v>
      </c>
      <c r="C32">
        <v>490</v>
      </c>
      <c r="D32">
        <v>17</v>
      </c>
      <c r="E32">
        <v>0</v>
      </c>
      <c r="F32">
        <v>507</v>
      </c>
      <c r="G32">
        <v>118</v>
      </c>
      <c r="H32">
        <v>6</v>
      </c>
      <c r="I32">
        <v>0</v>
      </c>
      <c r="J32">
        <v>124</v>
      </c>
      <c r="K32">
        <v>1</v>
      </c>
      <c r="L32">
        <v>0</v>
      </c>
      <c r="M32">
        <v>0</v>
      </c>
      <c r="N32">
        <v>1</v>
      </c>
      <c r="O32">
        <v>632</v>
      </c>
      <c r="P32">
        <v>82</v>
      </c>
      <c r="Q32">
        <v>9</v>
      </c>
      <c r="R32">
        <v>0</v>
      </c>
      <c r="S32">
        <v>91</v>
      </c>
      <c r="T32">
        <v>574</v>
      </c>
      <c r="U32">
        <v>20</v>
      </c>
      <c r="V32">
        <v>3</v>
      </c>
      <c r="W32">
        <v>597</v>
      </c>
      <c r="X32">
        <v>688</v>
      </c>
      <c r="Y32">
        <v>144</v>
      </c>
      <c r="Z32">
        <v>10</v>
      </c>
      <c r="AA32">
        <v>0</v>
      </c>
      <c r="AB32">
        <v>154</v>
      </c>
      <c r="AC32">
        <v>76</v>
      </c>
      <c r="AD32">
        <v>8</v>
      </c>
      <c r="AE32">
        <v>0</v>
      </c>
      <c r="AF32">
        <v>84</v>
      </c>
      <c r="AG32">
        <v>238</v>
      </c>
      <c r="AH32">
        <v>1558</v>
      </c>
    </row>
    <row r="33" spans="2:34" x14ac:dyDescent="0.25">
      <c r="B33" s="11">
        <v>0.54166666666666663</v>
      </c>
      <c r="C33">
        <v>127</v>
      </c>
      <c r="D33">
        <v>2</v>
      </c>
      <c r="E33">
        <v>0</v>
      </c>
      <c r="F33">
        <v>129</v>
      </c>
      <c r="G33">
        <v>27</v>
      </c>
      <c r="H33">
        <v>1</v>
      </c>
      <c r="I33">
        <v>0</v>
      </c>
      <c r="J33">
        <v>28</v>
      </c>
      <c r="K33">
        <v>0</v>
      </c>
      <c r="L33">
        <v>0</v>
      </c>
      <c r="M33">
        <v>0</v>
      </c>
      <c r="N33">
        <v>0</v>
      </c>
      <c r="O33">
        <v>157</v>
      </c>
      <c r="P33">
        <v>22</v>
      </c>
      <c r="Q33">
        <v>2</v>
      </c>
      <c r="R33">
        <v>0</v>
      </c>
      <c r="S33">
        <v>24</v>
      </c>
      <c r="T33">
        <v>152</v>
      </c>
      <c r="U33">
        <v>6</v>
      </c>
      <c r="V33">
        <v>2</v>
      </c>
      <c r="W33">
        <v>160</v>
      </c>
      <c r="X33">
        <v>184</v>
      </c>
      <c r="Y33">
        <v>36</v>
      </c>
      <c r="Z33">
        <v>5</v>
      </c>
      <c r="AA33">
        <v>0</v>
      </c>
      <c r="AB33">
        <v>41</v>
      </c>
      <c r="AC33">
        <v>23</v>
      </c>
      <c r="AD33">
        <v>1</v>
      </c>
      <c r="AE33">
        <v>0</v>
      </c>
      <c r="AF33">
        <v>24</v>
      </c>
      <c r="AG33">
        <v>65</v>
      </c>
      <c r="AH33">
        <v>406</v>
      </c>
    </row>
    <row r="34" spans="2:34" x14ac:dyDescent="0.25">
      <c r="B34" s="11">
        <v>0.55208333333333337</v>
      </c>
      <c r="C34">
        <v>119</v>
      </c>
      <c r="D34">
        <v>6</v>
      </c>
      <c r="E34">
        <v>0</v>
      </c>
      <c r="F34">
        <v>125</v>
      </c>
      <c r="G34">
        <v>28</v>
      </c>
      <c r="H34">
        <v>4</v>
      </c>
      <c r="I34">
        <v>0</v>
      </c>
      <c r="J34">
        <v>32</v>
      </c>
      <c r="K34">
        <v>1</v>
      </c>
      <c r="L34">
        <v>0</v>
      </c>
      <c r="M34">
        <v>0</v>
      </c>
      <c r="N34">
        <v>1</v>
      </c>
      <c r="O34">
        <v>158</v>
      </c>
      <c r="P34">
        <v>17</v>
      </c>
      <c r="Q34">
        <v>2</v>
      </c>
      <c r="R34">
        <v>0</v>
      </c>
      <c r="S34">
        <v>19</v>
      </c>
      <c r="T34">
        <v>139</v>
      </c>
      <c r="U34">
        <v>3</v>
      </c>
      <c r="V34">
        <v>0</v>
      </c>
      <c r="W34">
        <v>142</v>
      </c>
      <c r="X34">
        <v>161</v>
      </c>
      <c r="Y34">
        <v>33</v>
      </c>
      <c r="Z34">
        <v>1</v>
      </c>
      <c r="AA34">
        <v>0</v>
      </c>
      <c r="AB34">
        <v>34</v>
      </c>
      <c r="AC34">
        <v>21</v>
      </c>
      <c r="AD34">
        <v>3</v>
      </c>
      <c r="AE34">
        <v>0</v>
      </c>
      <c r="AF34">
        <v>24</v>
      </c>
      <c r="AG34">
        <v>58</v>
      </c>
      <c r="AH34">
        <v>377</v>
      </c>
    </row>
    <row r="35" spans="2:34" x14ac:dyDescent="0.25">
      <c r="B35" s="11">
        <v>0.5625</v>
      </c>
      <c r="C35">
        <v>124</v>
      </c>
      <c r="D35">
        <v>5</v>
      </c>
      <c r="E35">
        <v>0</v>
      </c>
      <c r="F35">
        <v>129</v>
      </c>
      <c r="G35">
        <v>33</v>
      </c>
      <c r="H35">
        <v>1</v>
      </c>
      <c r="I35">
        <v>0</v>
      </c>
      <c r="J35">
        <v>34</v>
      </c>
      <c r="K35">
        <v>0</v>
      </c>
      <c r="L35">
        <v>0</v>
      </c>
      <c r="M35">
        <v>0</v>
      </c>
      <c r="N35">
        <v>0</v>
      </c>
      <c r="O35">
        <v>163</v>
      </c>
      <c r="P35">
        <v>21</v>
      </c>
      <c r="Q35">
        <v>2</v>
      </c>
      <c r="R35">
        <v>0</v>
      </c>
      <c r="S35">
        <v>23</v>
      </c>
      <c r="T35">
        <v>140</v>
      </c>
      <c r="U35">
        <v>8</v>
      </c>
      <c r="V35">
        <v>0</v>
      </c>
      <c r="W35">
        <v>148</v>
      </c>
      <c r="X35">
        <v>171</v>
      </c>
      <c r="Y35">
        <v>34</v>
      </c>
      <c r="Z35">
        <v>2</v>
      </c>
      <c r="AA35">
        <v>0</v>
      </c>
      <c r="AB35">
        <v>36</v>
      </c>
      <c r="AC35">
        <v>16</v>
      </c>
      <c r="AD35">
        <v>3</v>
      </c>
      <c r="AE35">
        <v>0</v>
      </c>
      <c r="AF35">
        <v>19</v>
      </c>
      <c r="AG35">
        <v>55</v>
      </c>
      <c r="AH35">
        <v>389</v>
      </c>
    </row>
    <row r="36" spans="2:34" x14ac:dyDescent="0.25">
      <c r="B36" s="11">
        <v>0.57291666666666663</v>
      </c>
      <c r="C36">
        <v>120</v>
      </c>
      <c r="D36">
        <v>4</v>
      </c>
      <c r="E36">
        <v>0</v>
      </c>
      <c r="F36">
        <v>124</v>
      </c>
      <c r="G36">
        <v>30</v>
      </c>
      <c r="H36">
        <v>0</v>
      </c>
      <c r="I36">
        <v>0</v>
      </c>
      <c r="J36">
        <v>30</v>
      </c>
      <c r="K36">
        <v>0</v>
      </c>
      <c r="L36">
        <v>0</v>
      </c>
      <c r="M36">
        <v>0</v>
      </c>
      <c r="N36">
        <v>0</v>
      </c>
      <c r="O36">
        <v>154</v>
      </c>
      <c r="P36">
        <v>22</v>
      </c>
      <c r="Q36">
        <v>3</v>
      </c>
      <c r="R36">
        <v>0</v>
      </c>
      <c r="S36">
        <v>25</v>
      </c>
      <c r="T36">
        <v>143</v>
      </c>
      <c r="U36">
        <v>3</v>
      </c>
      <c r="V36">
        <v>1</v>
      </c>
      <c r="W36">
        <v>147</v>
      </c>
      <c r="X36">
        <v>172</v>
      </c>
      <c r="Y36">
        <v>41</v>
      </c>
      <c r="Z36">
        <v>2</v>
      </c>
      <c r="AA36">
        <v>0</v>
      </c>
      <c r="AB36">
        <v>43</v>
      </c>
      <c r="AC36">
        <v>16</v>
      </c>
      <c r="AD36">
        <v>1</v>
      </c>
      <c r="AE36">
        <v>0</v>
      </c>
      <c r="AF36">
        <v>17</v>
      </c>
      <c r="AG36">
        <v>60</v>
      </c>
      <c r="AH36">
        <v>386</v>
      </c>
    </row>
  </sheetData>
  <mergeCells count="21">
    <mergeCell ref="C11:N11"/>
    <mergeCell ref="O11:O13"/>
    <mergeCell ref="P11:W11"/>
    <mergeCell ref="X11:X13"/>
    <mergeCell ref="Y11:AF11"/>
    <mergeCell ref="AG11:AG13"/>
    <mergeCell ref="AH11:AH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1761</v>
      </c>
      <c r="I5">
        <f>MAX(I11:I303)</f>
        <v>1558</v>
      </c>
      <c r="J5">
        <f>MAX(J11:J303)</f>
        <v>2058</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1761 vehicles between 07:45 and 08:45</v>
      </c>
      <c r="I8" s="6" t="str">
        <f>IF(I5=0,"","The peak hour for " &amp;I10&amp;" is "&amp;I5&amp;" vehicles between " &amp; TEXT(I6, "hh:mm")&amp; " and " &amp;TEXT(I7,"hh:mm"))</f>
        <v>The peak hour for INT is 1558 vehicles between 13:00 and 14:00</v>
      </c>
      <c r="J8" s="6" t="str">
        <f>IF(J5=0,"","The peak hour for " &amp;J10&amp;" is "&amp;J5&amp;" vehicles between " &amp; TEXT(J6, "hh:mm")&amp; " and " &amp;TEXT(J7,"hh:mm"))</f>
        <v>The peak hour for PM is 2058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319</v>
      </c>
      <c r="G11" s="7">
        <f>A11</f>
        <v>0.29166666666666669</v>
      </c>
      <c r="H11">
        <f>IF(B11&lt;&gt;0,SUMIF($G$11:$G11,"&gt;"&amp;$G11-1/24,B$11:B11),0)</f>
        <v>319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319</v>
      </c>
      <c r="Q11">
        <f>P11*L11</f>
        <v>0</v>
      </c>
      <c r="S11" s="9">
        <v>0.29166666666666669</v>
      </c>
      <c r="T11">
        <v>319</v>
      </c>
      <c r="U11">
        <v>0</v>
      </c>
    </row>
    <row r="12" spans="1:21" x14ac:dyDescent="0.25">
      <c r="A12" s="9">
        <v>0.30208333333333331</v>
      </c>
      <c r="B12">
        <v>391</v>
      </c>
      <c r="G12" s="7">
        <f t="shared" ref="G12:G26" si="3">A12</f>
        <v>0.30208333333333331</v>
      </c>
      <c r="H12">
        <f>IF(B12&lt;&gt;0,SUMIF($G$11:$G12,"&gt;"&amp;$G12-1/24,B$11:B12),0)</f>
        <v>710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391</v>
      </c>
      <c r="Q12">
        <f t="shared" ref="Q12:Q75" si="7">P12*L12</f>
        <v>0</v>
      </c>
      <c r="S12" s="9">
        <v>0.30208333333333331</v>
      </c>
      <c r="T12">
        <v>391</v>
      </c>
      <c r="U12">
        <v>0</v>
      </c>
    </row>
    <row r="13" spans="1:21" x14ac:dyDescent="0.25">
      <c r="A13" s="9">
        <v>0.3125</v>
      </c>
      <c r="B13">
        <v>385</v>
      </c>
      <c r="G13" s="7">
        <f t="shared" si="3"/>
        <v>0.3125</v>
      </c>
      <c r="H13">
        <f>IF(B13&lt;&gt;0,SUMIF($G$11:$G13,"&gt;"&amp;$G13-1/24,B$11:B13),0)</f>
        <v>1095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385</v>
      </c>
      <c r="Q13">
        <f t="shared" si="7"/>
        <v>0</v>
      </c>
      <c r="S13" s="9">
        <v>0.3125</v>
      </c>
      <c r="T13">
        <v>385</v>
      </c>
      <c r="U13">
        <v>0</v>
      </c>
    </row>
    <row r="14" spans="1:21" x14ac:dyDescent="0.25">
      <c r="A14" s="9">
        <v>0.32291666666666669</v>
      </c>
      <c r="B14">
        <v>447</v>
      </c>
      <c r="G14" s="7">
        <f t="shared" si="3"/>
        <v>0.32291666666666669</v>
      </c>
      <c r="H14">
        <f>IF(B14&lt;&gt;0,SUMIF($G$11:$G14,"&gt;"&amp;$G14-1/24,B$11:B14),0)</f>
        <v>1542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447</v>
      </c>
      <c r="Q14">
        <f t="shared" si="7"/>
        <v>447</v>
      </c>
      <c r="S14" s="9">
        <v>0.32291666666666669</v>
      </c>
      <c r="T14">
        <v>447</v>
      </c>
      <c r="U14">
        <v>447</v>
      </c>
    </row>
    <row r="15" spans="1:21" x14ac:dyDescent="0.25">
      <c r="A15" s="9">
        <v>0.33333333333333331</v>
      </c>
      <c r="B15">
        <v>454</v>
      </c>
      <c r="G15" s="7">
        <f t="shared" si="3"/>
        <v>0.33333333333333331</v>
      </c>
      <c r="H15">
        <f>IF(B15&lt;&gt;0,SUMIF($G$11:$G15,"&gt;"&amp;$G15-1/24,B$11:B15),0)</f>
        <v>1677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454</v>
      </c>
      <c r="Q15">
        <f t="shared" si="7"/>
        <v>454</v>
      </c>
      <c r="S15" s="9">
        <v>0.33333333333333331</v>
      </c>
      <c r="T15">
        <v>454</v>
      </c>
      <c r="U15">
        <v>454</v>
      </c>
    </row>
    <row r="16" spans="1:21" x14ac:dyDescent="0.25">
      <c r="A16" s="9">
        <v>0.34375</v>
      </c>
      <c r="B16">
        <v>435</v>
      </c>
      <c r="G16" s="7">
        <f t="shared" si="3"/>
        <v>0.34375</v>
      </c>
      <c r="H16">
        <f>IF(B16&lt;&gt;0,SUMIF($G$11:$G16,"&gt;"&amp;$G16-1/24,B$11:B16),0)</f>
        <v>1721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435</v>
      </c>
      <c r="Q16">
        <f t="shared" si="7"/>
        <v>435</v>
      </c>
      <c r="S16" s="9">
        <v>0.34375</v>
      </c>
      <c r="T16">
        <v>435</v>
      </c>
      <c r="U16">
        <v>435</v>
      </c>
    </row>
    <row r="17" spans="1:21" x14ac:dyDescent="0.25">
      <c r="A17" s="9">
        <v>0.35416666666666669</v>
      </c>
      <c r="B17">
        <v>425</v>
      </c>
      <c r="G17" s="7">
        <f t="shared" si="3"/>
        <v>0.35416666666666669</v>
      </c>
      <c r="H17">
        <f>IF(B17&lt;&gt;0,SUMIF($G$11:$G17,"&gt;"&amp;$G17-1/24,B$11:B17),0)</f>
        <v>1761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425</v>
      </c>
      <c r="Q17">
        <f t="shared" si="7"/>
        <v>425</v>
      </c>
      <c r="S17" s="9">
        <v>0.35416666666666669</v>
      </c>
      <c r="T17">
        <v>425</v>
      </c>
      <c r="U17">
        <v>425</v>
      </c>
    </row>
    <row r="18" spans="1:21" x14ac:dyDescent="0.25">
      <c r="A18" s="9">
        <v>0.36458333333333331</v>
      </c>
      <c r="B18">
        <v>326</v>
      </c>
      <c r="G18" s="7">
        <f t="shared" si="3"/>
        <v>0.36458333333333331</v>
      </c>
      <c r="H18">
        <f>IF(B18&lt;&gt;0,SUMIF($G$11:$G18,"&gt;"&amp;$G18-1/24,B$11:B18),0)</f>
        <v>1640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326</v>
      </c>
      <c r="Q18">
        <f t="shared" si="7"/>
        <v>0</v>
      </c>
      <c r="S18" s="9">
        <v>0.36458333333333331</v>
      </c>
      <c r="T18">
        <v>326</v>
      </c>
      <c r="U18">
        <v>0</v>
      </c>
    </row>
    <row r="19" spans="1:21" x14ac:dyDescent="0.25">
      <c r="A19" s="9">
        <v>0.54166666666666663</v>
      </c>
      <c r="C19">
        <v>406</v>
      </c>
      <c r="G19" s="7">
        <f t="shared" si="3"/>
        <v>0.54166666666666663</v>
      </c>
      <c r="H19">
        <f>IF(B19&lt;&gt;0,SUMIF($G$11:$G19,"&gt;"&amp;$G19-1/24,B$11:B19),0)</f>
        <v>0</v>
      </c>
      <c r="I19">
        <f>IF(C19&lt;&gt;0,SUMIF($G$11:$G19,"&gt;"&amp;$G19-1/24,C$11:C19),0)</f>
        <v>406</v>
      </c>
      <c r="J19">
        <f>IF(D19&lt;&gt;0,SUMIF($G$11:$G19,"&gt;"&amp;$G19-1/24,D$11:D19),0)</f>
        <v>0</v>
      </c>
      <c r="K19">
        <f>IF(E19&lt;&gt;0,SUMIF($G$11:$G19,"&gt;"&amp;$G19-1/24,E$11:E19),0)</f>
        <v>0</v>
      </c>
      <c r="L19">
        <f t="shared" si="4"/>
        <v>1</v>
      </c>
      <c r="N19" t="str">
        <f t="shared" si="5"/>
        <v>INT</v>
      </c>
      <c r="O19" s="7">
        <f t="shared" si="2"/>
        <v>0.54166666666666663</v>
      </c>
      <c r="P19">
        <f t="shared" si="6"/>
        <v>406</v>
      </c>
      <c r="Q19">
        <f t="shared" si="7"/>
        <v>406</v>
      </c>
      <c r="S19" s="9" t="s">
        <v>49</v>
      </c>
      <c r="T19">
        <v>3182</v>
      </c>
      <c r="U19">
        <v>1761</v>
      </c>
    </row>
    <row r="20" spans="1:21" x14ac:dyDescent="0.25">
      <c r="A20" s="9">
        <v>0.55208333333333337</v>
      </c>
      <c r="C20">
        <v>377</v>
      </c>
      <c r="G20" s="7">
        <f t="shared" si="3"/>
        <v>0.55208333333333337</v>
      </c>
      <c r="H20">
        <f>IF(B20&lt;&gt;0,SUMIF($G$11:$G20,"&gt;"&amp;$G20-1/24,B$11:B20),0)</f>
        <v>0</v>
      </c>
      <c r="I20">
        <f>IF(C20&lt;&gt;0,SUMIF($G$11:$G20,"&gt;"&amp;$G20-1/24,C$11:C20),0)</f>
        <v>783</v>
      </c>
      <c r="J20">
        <f>IF(D20&lt;&gt;0,SUMIF($G$11:$G20,"&gt;"&amp;$G20-1/24,D$11:D20),0)</f>
        <v>0</v>
      </c>
      <c r="K20">
        <f>IF(E20&lt;&gt;0,SUMIF($G$11:$G20,"&gt;"&amp;$G20-1/24,E$11:E20),0)</f>
        <v>0</v>
      </c>
      <c r="L20">
        <f t="shared" si="4"/>
        <v>1</v>
      </c>
      <c r="N20" t="str">
        <f t="shared" si="5"/>
        <v>INT</v>
      </c>
      <c r="O20" s="7">
        <f t="shared" si="2"/>
        <v>0.55208333333333337</v>
      </c>
      <c r="P20">
        <f t="shared" si="6"/>
        <v>377</v>
      </c>
      <c r="Q20">
        <f t="shared" si="7"/>
        <v>377</v>
      </c>
    </row>
    <row r="21" spans="1:21" x14ac:dyDescent="0.25">
      <c r="A21" s="9">
        <v>0.5625</v>
      </c>
      <c r="C21">
        <v>389</v>
      </c>
      <c r="G21" s="7">
        <f t="shared" si="3"/>
        <v>0.5625</v>
      </c>
      <c r="H21">
        <f>IF(B21&lt;&gt;0,SUMIF($G$11:$G21,"&gt;"&amp;$G21-1/24,B$11:B21),0)</f>
        <v>0</v>
      </c>
      <c r="I21">
        <f>IF(C21&lt;&gt;0,SUMIF($G$11:$G21,"&gt;"&amp;$G21-1/24,C$11:C21),0)</f>
        <v>1172</v>
      </c>
      <c r="J21">
        <f>IF(D21&lt;&gt;0,SUMIF($G$11:$G21,"&gt;"&amp;$G21-1/24,D$11:D21),0)</f>
        <v>0</v>
      </c>
      <c r="K21">
        <f>IF(E21&lt;&gt;0,SUMIF($G$11:$G21,"&gt;"&amp;$G21-1/24,E$11:E21),0)</f>
        <v>0</v>
      </c>
      <c r="L21">
        <f t="shared" si="4"/>
        <v>1</v>
      </c>
      <c r="N21" t="str">
        <f t="shared" si="5"/>
        <v>INT</v>
      </c>
      <c r="O21" s="7">
        <f t="shared" si="2"/>
        <v>0.5625</v>
      </c>
      <c r="P21">
        <f t="shared" si="6"/>
        <v>389</v>
      </c>
      <c r="Q21">
        <f t="shared" si="7"/>
        <v>389</v>
      </c>
    </row>
    <row r="22" spans="1:21" x14ac:dyDescent="0.25">
      <c r="A22" s="9">
        <v>0.57291666666666663</v>
      </c>
      <c r="C22">
        <v>386</v>
      </c>
      <c r="G22" s="7">
        <f t="shared" si="3"/>
        <v>0.57291666666666663</v>
      </c>
      <c r="H22">
        <f>IF(B22&lt;&gt;0,SUMIF($G$11:$G22,"&gt;"&amp;$G22-1/24,B$11:B22),0)</f>
        <v>0</v>
      </c>
      <c r="I22">
        <f>IF(C22&lt;&gt;0,SUMIF($G$11:$G22,"&gt;"&amp;$G22-1/24,C$11:C22),0)</f>
        <v>1558</v>
      </c>
      <c r="J22">
        <f>IF(D22&lt;&gt;0,SUMIF($G$11:$G22,"&gt;"&amp;$G22-1/24,D$11:D22),0)</f>
        <v>0</v>
      </c>
      <c r="K22">
        <f>IF(E22&lt;&gt;0,SUMIF($G$11:$G22,"&gt;"&amp;$G22-1/24,E$11:E22),0)</f>
        <v>0</v>
      </c>
      <c r="L22">
        <f t="shared" si="4"/>
        <v>1</v>
      </c>
      <c r="N22" t="str">
        <f t="shared" si="5"/>
        <v>INT</v>
      </c>
      <c r="O22" s="7">
        <f t="shared" si="2"/>
        <v>0.57291666666666663</v>
      </c>
      <c r="P22">
        <f t="shared" si="6"/>
        <v>386</v>
      </c>
      <c r="Q22">
        <f t="shared" si="7"/>
        <v>386</v>
      </c>
    </row>
    <row r="23" spans="1:21" x14ac:dyDescent="0.25">
      <c r="A23" s="9">
        <v>0.66666666666666663</v>
      </c>
      <c r="D23">
        <v>518</v>
      </c>
      <c r="G23" s="7">
        <f t="shared" si="3"/>
        <v>0.66666666666666663</v>
      </c>
      <c r="H23">
        <f>IF(B23&lt;&gt;0,SUMIF($G$11:$G23,"&gt;"&amp;$G23-1/24,B$11:B23),0)</f>
        <v>0</v>
      </c>
      <c r="I23">
        <f>IF(C23&lt;&gt;0,SUMIF($G$11:$G23,"&gt;"&amp;$G23-1/24,C$11:C23),0)</f>
        <v>0</v>
      </c>
      <c r="J23">
        <f>IF(D23&lt;&gt;0,SUMIF($G$11:$G23,"&gt;"&amp;$G23-1/24,D$11:D23),0)</f>
        <v>518</v>
      </c>
      <c r="K23">
        <f>IF(E23&lt;&gt;0,SUMIF($G$11:$G23,"&gt;"&amp;$G23-1/24,E$11:E23),0)</f>
        <v>0</v>
      </c>
      <c r="L23">
        <f t="shared" si="4"/>
        <v>0</v>
      </c>
      <c r="N23" t="str">
        <f t="shared" si="5"/>
        <v>PM</v>
      </c>
      <c r="O23" s="7">
        <f t="shared" si="2"/>
        <v>0.66666666666666663</v>
      </c>
      <c r="P23">
        <f t="shared" si="6"/>
        <v>518</v>
      </c>
      <c r="Q23">
        <f t="shared" si="7"/>
        <v>0</v>
      </c>
    </row>
    <row r="24" spans="1:21" x14ac:dyDescent="0.25">
      <c r="A24" s="9">
        <v>0.67708333333333337</v>
      </c>
      <c r="D24">
        <v>493</v>
      </c>
      <c r="G24" s="7">
        <f t="shared" si="3"/>
        <v>0.67708333333333337</v>
      </c>
      <c r="H24">
        <f>IF(B24&lt;&gt;0,SUMIF($G$11:$G24,"&gt;"&amp;$G24-1/24,B$11:B24),0)</f>
        <v>0</v>
      </c>
      <c r="I24">
        <f>IF(C24&lt;&gt;0,SUMIF($G$11:$G24,"&gt;"&amp;$G24-1/24,C$11:C24),0)</f>
        <v>0</v>
      </c>
      <c r="J24">
        <f>IF(D24&lt;&gt;0,SUMIF($G$11:$G24,"&gt;"&amp;$G24-1/24,D$11:D24),0)</f>
        <v>1011</v>
      </c>
      <c r="K24">
        <f>IF(E24&lt;&gt;0,SUMIF($G$11:$G24,"&gt;"&amp;$G24-1/24,E$11:E24),0)</f>
        <v>0</v>
      </c>
      <c r="L24">
        <f t="shared" si="4"/>
        <v>1</v>
      </c>
      <c r="N24" t="str">
        <f t="shared" si="5"/>
        <v>PM</v>
      </c>
      <c r="O24" s="7">
        <f t="shared" si="2"/>
        <v>0.67708333333333337</v>
      </c>
      <c r="P24">
        <f t="shared" si="6"/>
        <v>493</v>
      </c>
      <c r="Q24">
        <f t="shared" si="7"/>
        <v>493</v>
      </c>
    </row>
    <row r="25" spans="1:21" x14ac:dyDescent="0.25">
      <c r="A25" s="9">
        <v>0.6875</v>
      </c>
      <c r="D25">
        <v>508</v>
      </c>
      <c r="G25" s="7">
        <f t="shared" si="3"/>
        <v>0.6875</v>
      </c>
      <c r="H25">
        <f>IF(B25&lt;&gt;0,SUMIF($G$11:$G25,"&gt;"&amp;$G25-1/24,B$11:B25),0)</f>
        <v>0</v>
      </c>
      <c r="I25">
        <f>IF(C25&lt;&gt;0,SUMIF($G$11:$G25,"&gt;"&amp;$G25-1/24,C$11:C25),0)</f>
        <v>0</v>
      </c>
      <c r="J25">
        <f>IF(D25&lt;&gt;0,SUMIF($G$11:$G25,"&gt;"&amp;$G25-1/24,D$11:D25),0)</f>
        <v>1519</v>
      </c>
      <c r="K25">
        <f>IF(E25&lt;&gt;0,SUMIF($G$11:$G25,"&gt;"&amp;$G25-1/24,E$11:E25),0)</f>
        <v>0</v>
      </c>
      <c r="L25">
        <f t="shared" si="4"/>
        <v>1</v>
      </c>
      <c r="N25" t="str">
        <f t="shared" si="5"/>
        <v>PM</v>
      </c>
      <c r="O25" s="7">
        <f t="shared" si="2"/>
        <v>0.6875</v>
      </c>
      <c r="P25">
        <f t="shared" si="6"/>
        <v>508</v>
      </c>
      <c r="Q25">
        <f t="shared" si="7"/>
        <v>508</v>
      </c>
    </row>
    <row r="26" spans="1:21" x14ac:dyDescent="0.25">
      <c r="A26" s="9">
        <v>0.69791666666666663</v>
      </c>
      <c r="D26">
        <v>532</v>
      </c>
      <c r="G26" s="7">
        <f t="shared" si="3"/>
        <v>0.69791666666666663</v>
      </c>
      <c r="H26">
        <f>IF(B26&lt;&gt;0,SUMIF($G$11:$G26,"&gt;"&amp;$G26-1/24,B$11:B26),0)</f>
        <v>0</v>
      </c>
      <c r="I26">
        <f>IF(C26&lt;&gt;0,SUMIF($G$11:$G26,"&gt;"&amp;$G26-1/24,C$11:C26),0)</f>
        <v>0</v>
      </c>
      <c r="J26">
        <f>IF(D26&lt;&gt;0,SUMIF($G$11:$G26,"&gt;"&amp;$G26-1/24,D$11:D26),0)</f>
        <v>2051</v>
      </c>
      <c r="K26">
        <f>IF(E26&lt;&gt;0,SUMIF($G$11:$G26,"&gt;"&amp;$G26-1/24,E$11:E26),0)</f>
        <v>0</v>
      </c>
      <c r="L26">
        <f t="shared" si="4"/>
        <v>1</v>
      </c>
      <c r="N26" t="str">
        <f t="shared" si="5"/>
        <v>PM</v>
      </c>
      <c r="O26" s="7">
        <f t="shared" si="2"/>
        <v>0.69791666666666663</v>
      </c>
      <c r="P26">
        <f t="shared" si="6"/>
        <v>532</v>
      </c>
      <c r="Q26">
        <f t="shared" si="7"/>
        <v>532</v>
      </c>
    </row>
    <row r="27" spans="1:21" x14ac:dyDescent="0.25">
      <c r="A27" s="9">
        <v>0.70833333333333337</v>
      </c>
      <c r="D27">
        <v>525</v>
      </c>
      <c r="G27" s="7">
        <f t="shared" ref="G27:G90" si="8">A27</f>
        <v>0.70833333333333337</v>
      </c>
      <c r="H27">
        <f>IF(B27&lt;&gt;0,SUMIF($G$11:$G27,"&gt;"&amp;$G27-1/24,B$11:B27),0)</f>
        <v>0</v>
      </c>
      <c r="I27">
        <f>IF(C27&lt;&gt;0,SUMIF($G$11:$G27,"&gt;"&amp;$G27-1/24,C$11:C27),0)</f>
        <v>0</v>
      </c>
      <c r="J27">
        <f>IF(D27&lt;&gt;0,SUMIF($G$11:$G27,"&gt;"&amp;$G27-1/24,D$11:D27),0)</f>
        <v>2058</v>
      </c>
      <c r="K27">
        <f>IF(E27&lt;&gt;0,SUMIF($G$11:$G27,"&gt;"&amp;$G27-1/24,E$11:E27),0)</f>
        <v>0</v>
      </c>
      <c r="L27">
        <f t="shared" si="4"/>
        <v>1</v>
      </c>
      <c r="N27" t="str">
        <f t="shared" si="5"/>
        <v>PM</v>
      </c>
      <c r="O27" s="7">
        <f t="shared" si="2"/>
        <v>0.70833333333333337</v>
      </c>
      <c r="P27">
        <f t="shared" si="6"/>
        <v>525</v>
      </c>
      <c r="Q27">
        <f t="shared" si="7"/>
        <v>525</v>
      </c>
    </row>
    <row r="28" spans="1:21" x14ac:dyDescent="0.25">
      <c r="A28" s="9">
        <v>0.71875</v>
      </c>
      <c r="D28">
        <v>492</v>
      </c>
      <c r="G28" s="7">
        <f t="shared" si="8"/>
        <v>0.71875</v>
      </c>
      <c r="H28">
        <f>IF(B28&lt;&gt;0,SUMIF($G$11:$G28,"&gt;"&amp;$G28-1/24,B$11:B28),0)</f>
        <v>0</v>
      </c>
      <c r="I28">
        <f>IF(C28&lt;&gt;0,SUMIF($G$11:$G28,"&gt;"&amp;$G28-1/24,C$11:C28),0)</f>
        <v>0</v>
      </c>
      <c r="J28">
        <f>IF(D28&lt;&gt;0,SUMIF($G$11:$G28,"&gt;"&amp;$G28-1/24,D$11:D28),0)</f>
        <v>2057</v>
      </c>
      <c r="K28">
        <f>IF(E28&lt;&gt;0,SUMIF($G$11:$G28,"&gt;"&amp;$G28-1/24,E$11:E28),0)</f>
        <v>0</v>
      </c>
      <c r="L28">
        <f t="shared" si="4"/>
        <v>0</v>
      </c>
      <c r="N28" t="str">
        <f t="shared" si="5"/>
        <v>PM</v>
      </c>
      <c r="O28" s="7">
        <f t="shared" si="2"/>
        <v>0.71875</v>
      </c>
      <c r="P28">
        <f t="shared" si="6"/>
        <v>492</v>
      </c>
      <c r="Q28">
        <f t="shared" si="7"/>
        <v>0</v>
      </c>
    </row>
    <row r="29" spans="1:21" x14ac:dyDescent="0.25">
      <c r="A29" s="9">
        <v>0.72916666666666663</v>
      </c>
      <c r="D29">
        <v>414</v>
      </c>
      <c r="G29" s="7">
        <f t="shared" si="8"/>
        <v>0.72916666666666663</v>
      </c>
      <c r="H29">
        <f>IF(B29&lt;&gt;0,SUMIF($G$11:$G29,"&gt;"&amp;$G29-1/24,B$11:B29),0)</f>
        <v>0</v>
      </c>
      <c r="I29">
        <f>IF(C29&lt;&gt;0,SUMIF($G$11:$G29,"&gt;"&amp;$G29-1/24,C$11:C29),0)</f>
        <v>0</v>
      </c>
      <c r="J29">
        <f>IF(D29&lt;&gt;0,SUMIF($G$11:$G29,"&gt;"&amp;$G29-1/24,D$11:D29),0)</f>
        <v>1963</v>
      </c>
      <c r="K29">
        <f>IF(E29&lt;&gt;0,SUMIF($G$11:$G29,"&gt;"&amp;$G29-1/24,E$11:E29),0)</f>
        <v>0</v>
      </c>
      <c r="L29">
        <f t="shared" si="4"/>
        <v>0</v>
      </c>
      <c r="N29" t="str">
        <f t="shared" si="5"/>
        <v>PM</v>
      </c>
      <c r="O29" s="7">
        <f t="shared" si="2"/>
        <v>0.72916666666666663</v>
      </c>
      <c r="P29">
        <f t="shared" si="6"/>
        <v>414</v>
      </c>
      <c r="Q29">
        <f t="shared" si="7"/>
        <v>0</v>
      </c>
    </row>
    <row r="30" spans="1:21" x14ac:dyDescent="0.25">
      <c r="A30" s="9">
        <v>0.73958333333333337</v>
      </c>
      <c r="D30">
        <v>391</v>
      </c>
      <c r="G30" s="7">
        <f t="shared" si="8"/>
        <v>0.73958333333333337</v>
      </c>
      <c r="H30">
        <f>IF(B30&lt;&gt;0,SUMIF($G$11:$G30,"&gt;"&amp;$G30-1/24,B$11:B30),0)</f>
        <v>0</v>
      </c>
      <c r="I30">
        <f>IF(C30&lt;&gt;0,SUMIF($G$11:$G30,"&gt;"&amp;$G30-1/24,C$11:C30),0)</f>
        <v>0</v>
      </c>
      <c r="J30">
        <f>IF(D30&lt;&gt;0,SUMIF($G$11:$G30,"&gt;"&amp;$G30-1/24,D$11:D30),0)</f>
        <v>1822</v>
      </c>
      <c r="K30">
        <f>IF(E30&lt;&gt;0,SUMIF($G$11:$G30,"&gt;"&amp;$G30-1/24,E$11:E30),0)</f>
        <v>0</v>
      </c>
      <c r="L30">
        <f t="shared" si="4"/>
        <v>0</v>
      </c>
      <c r="N30" t="str">
        <f t="shared" si="5"/>
        <v>PM</v>
      </c>
      <c r="O30" s="7">
        <f t="shared" si="2"/>
        <v>0.73958333333333337</v>
      </c>
      <c r="P30">
        <f t="shared" si="6"/>
        <v>391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319</v>
      </c>
      <c r="E5" t="str">
        <f>"Vehicle Count by Exit Leg for "&amp;C2&amp;" Period"</f>
        <v>Vehicle Count by Exit Leg for AM Period</v>
      </c>
    </row>
    <row r="6" spans="2:5" x14ac:dyDescent="0.25">
      <c r="B6" s="9">
        <v>0.30208333333333331</v>
      </c>
      <c r="C6">
        <v>391</v>
      </c>
    </row>
    <row r="7" spans="2:5" x14ac:dyDescent="0.25">
      <c r="B7" s="9">
        <v>0.3125</v>
      </c>
      <c r="C7">
        <v>385</v>
      </c>
    </row>
    <row r="8" spans="2:5" x14ac:dyDescent="0.25">
      <c r="B8" s="9">
        <v>0.32291666666666669</v>
      </c>
      <c r="C8">
        <v>447</v>
      </c>
    </row>
    <row r="9" spans="2:5" x14ac:dyDescent="0.25">
      <c r="B9" s="9">
        <v>0.33333333333333331</v>
      </c>
      <c r="C9">
        <v>454</v>
      </c>
    </row>
    <row r="10" spans="2:5" x14ac:dyDescent="0.25">
      <c r="B10" s="9">
        <v>0.34375</v>
      </c>
      <c r="C10">
        <v>435</v>
      </c>
    </row>
    <row r="11" spans="2:5" x14ac:dyDescent="0.25">
      <c r="B11" s="9">
        <v>0.35416666666666669</v>
      </c>
      <c r="C11">
        <v>425</v>
      </c>
    </row>
    <row r="12" spans="2:5" x14ac:dyDescent="0.25">
      <c r="B12" s="9">
        <v>0.36458333333333331</v>
      </c>
      <c r="C12">
        <v>326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2" bestFit="1" customWidth="1"/>
    <col min="13" max="13" width="19" bestFit="1" customWidth="1"/>
    <col min="14" max="14" width="8.28515625" customWidth="1"/>
    <col min="15" max="15" width="5.5703125" customWidth="1"/>
    <col min="16" max="18" width="3.28515625" customWidth="1"/>
    <col min="19" max="19" width="11.28515625" bestFit="1" customWidth="1"/>
    <col min="20" max="21" width="22" bestFit="1" customWidth="1"/>
    <col min="22" max="22" width="19"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M25" s="16" t="s">
        <v>97</v>
      </c>
      <c r="T25" s="16" t="s">
        <v>92</v>
      </c>
      <c r="U25" s="16" t="s">
        <v>93</v>
      </c>
      <c r="V25" s="16" t="s">
        <v>97</v>
      </c>
      <c r="X25" s="13"/>
    </row>
    <row r="26" spans="2:24" x14ac:dyDescent="0.25">
      <c r="B26" s="9">
        <v>0.29166666666666669</v>
      </c>
      <c r="C26" s="16">
        <v>319</v>
      </c>
      <c r="J26" s="9">
        <v>0.29166666666666669</v>
      </c>
      <c r="K26" s="16">
        <v>162</v>
      </c>
      <c r="L26" s="16">
        <v>116</v>
      </c>
      <c r="M26" s="16">
        <v>41</v>
      </c>
      <c r="S26" s="9">
        <v>0.29166666666666669</v>
      </c>
      <c r="T26" s="16">
        <v>99</v>
      </c>
      <c r="U26" s="16">
        <v>151</v>
      </c>
      <c r="V26" s="16">
        <v>69</v>
      </c>
    </row>
    <row r="27" spans="2:24" x14ac:dyDescent="0.25">
      <c r="B27" s="9">
        <v>0.30208333333333331</v>
      </c>
      <c r="C27" s="16">
        <v>391</v>
      </c>
      <c r="J27" s="9">
        <v>0.30208333333333331</v>
      </c>
      <c r="K27" s="16">
        <v>218</v>
      </c>
      <c r="L27" s="16">
        <v>120</v>
      </c>
      <c r="M27" s="16">
        <v>53</v>
      </c>
      <c r="S27" s="9">
        <v>0.30208333333333331</v>
      </c>
      <c r="T27" s="16">
        <v>119</v>
      </c>
      <c r="U27" s="16">
        <v>199</v>
      </c>
      <c r="V27" s="16">
        <v>73</v>
      </c>
    </row>
    <row r="28" spans="2:24" x14ac:dyDescent="0.25">
      <c r="B28" s="9">
        <v>0.3125</v>
      </c>
      <c r="C28" s="16">
        <v>385</v>
      </c>
      <c r="J28" s="9">
        <v>0.3125</v>
      </c>
      <c r="K28" s="16">
        <v>245</v>
      </c>
      <c r="L28" s="16">
        <v>89</v>
      </c>
      <c r="M28" s="16">
        <v>51</v>
      </c>
      <c r="S28" s="9">
        <v>0.3125</v>
      </c>
      <c r="T28" s="16">
        <v>85</v>
      </c>
      <c r="U28" s="16">
        <v>230</v>
      </c>
      <c r="V28" s="16">
        <v>70</v>
      </c>
    </row>
    <row r="29" spans="2:24" x14ac:dyDescent="0.25">
      <c r="B29" s="9">
        <v>0.32291666666666669</v>
      </c>
      <c r="C29" s="16">
        <v>447</v>
      </c>
      <c r="J29" s="9">
        <v>0.32291666666666669</v>
      </c>
      <c r="K29" s="16">
        <v>268</v>
      </c>
      <c r="L29" s="16">
        <v>121</v>
      </c>
      <c r="M29" s="16">
        <v>58</v>
      </c>
      <c r="S29" s="9">
        <v>0.32291666666666669</v>
      </c>
      <c r="T29" s="16">
        <v>119</v>
      </c>
      <c r="U29" s="16">
        <v>226</v>
      </c>
      <c r="V29" s="16">
        <v>102</v>
      </c>
    </row>
    <row r="30" spans="2:24" x14ac:dyDescent="0.25">
      <c r="B30" s="9">
        <v>0.33333333333333331</v>
      </c>
      <c r="C30" s="16">
        <v>454</v>
      </c>
      <c r="J30" s="9">
        <v>0.33333333333333331</v>
      </c>
      <c r="K30" s="16">
        <v>250</v>
      </c>
      <c r="L30" s="16">
        <v>128</v>
      </c>
      <c r="M30" s="16">
        <v>76</v>
      </c>
      <c r="S30" s="9">
        <v>0.33333333333333331</v>
      </c>
      <c r="T30" s="16">
        <v>137</v>
      </c>
      <c r="U30" s="16">
        <v>230</v>
      </c>
      <c r="V30" s="16">
        <v>87</v>
      </c>
    </row>
    <row r="31" spans="2:24" x14ac:dyDescent="0.25">
      <c r="B31" s="9">
        <v>0.34375</v>
      </c>
      <c r="C31" s="16">
        <v>435</v>
      </c>
      <c r="J31" s="9">
        <v>0.34375</v>
      </c>
      <c r="K31" s="16">
        <v>216</v>
      </c>
      <c r="L31" s="16">
        <v>135</v>
      </c>
      <c r="M31" s="16">
        <v>84</v>
      </c>
      <c r="S31" s="9">
        <v>0.34375</v>
      </c>
      <c r="T31" s="16">
        <v>162</v>
      </c>
      <c r="U31" s="16">
        <v>182</v>
      </c>
      <c r="V31" s="16">
        <v>91</v>
      </c>
    </row>
    <row r="32" spans="2:24" x14ac:dyDescent="0.25">
      <c r="B32" s="9">
        <v>0.35416666666666669</v>
      </c>
      <c r="C32" s="16">
        <v>425</v>
      </c>
      <c r="J32" s="9">
        <v>0.35416666666666669</v>
      </c>
      <c r="K32" s="16">
        <v>200</v>
      </c>
      <c r="L32" s="16">
        <v>145</v>
      </c>
      <c r="M32" s="16">
        <v>80</v>
      </c>
      <c r="S32" s="9">
        <v>0.35416666666666669</v>
      </c>
      <c r="T32" s="16">
        <v>176</v>
      </c>
      <c r="U32" s="16">
        <v>178</v>
      </c>
      <c r="V32" s="16">
        <v>71</v>
      </c>
    </row>
    <row r="33" spans="2:22" x14ac:dyDescent="0.25">
      <c r="B33" s="9">
        <v>0.36458333333333331</v>
      </c>
      <c r="C33" s="16">
        <v>326</v>
      </c>
      <c r="J33" s="9">
        <v>0.36458333333333331</v>
      </c>
      <c r="K33" s="16">
        <v>155</v>
      </c>
      <c r="L33" s="16">
        <v>107</v>
      </c>
      <c r="M33" s="16">
        <v>64</v>
      </c>
      <c r="S33" s="9">
        <v>0.36458333333333331</v>
      </c>
      <c r="T33" s="16">
        <v>134</v>
      </c>
      <c r="U33" s="16">
        <v>147</v>
      </c>
      <c r="V33" s="16">
        <v>45</v>
      </c>
    </row>
    <row r="34" spans="2:22" x14ac:dyDescent="0.25">
      <c r="B34" s="9" t="s">
        <v>49</v>
      </c>
      <c r="C34" s="16">
        <v>3182</v>
      </c>
      <c r="J34" s="9" t="s">
        <v>49</v>
      </c>
      <c r="K34" s="16">
        <v>1714</v>
      </c>
      <c r="L34" s="16">
        <v>961</v>
      </c>
      <c r="M34" s="16">
        <v>507</v>
      </c>
      <c r="S34" s="9" t="s">
        <v>49</v>
      </c>
      <c r="T34" s="16">
        <v>1031</v>
      </c>
      <c r="U34" s="16">
        <v>1543</v>
      </c>
      <c r="V34" s="16">
        <v>608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2.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1761 vehicles between 07:45 and 08:45</v>
      </c>
    </row>
    <row r="5" spans="2:2" x14ac:dyDescent="0.25">
      <c r="B5" s="6" t="str">
        <f>PeakCalc!I8</f>
        <v>The peak hour for INT is 1558 vehicles between 13:00 and 14:00</v>
      </c>
    </row>
    <row r="6" spans="2:2" x14ac:dyDescent="0.25">
      <c r="B6" s="6" t="str">
        <f>PeakCalc!J8</f>
        <v>The peak hour for PM is 2058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113</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879</v>
      </c>
      <c r="D32">
        <v>39</v>
      </c>
      <c r="E32">
        <v>16</v>
      </c>
      <c r="F32">
        <v>934</v>
      </c>
      <c r="G32">
        <v>766</v>
      </c>
      <c r="H32">
        <v>14</v>
      </c>
      <c r="I32">
        <v>2</v>
      </c>
      <c r="J32">
        <v>782</v>
      </c>
      <c r="K32">
        <v>609</v>
      </c>
      <c r="L32">
        <v>23</v>
      </c>
      <c r="M32">
        <v>0</v>
      </c>
      <c r="N32">
        <v>632</v>
      </c>
    </row>
    <row r="33" spans="2:14" x14ac:dyDescent="0.25">
      <c r="B33" s="14" t="s">
        <v>94</v>
      </c>
      <c r="C33">
        <v>675</v>
      </c>
      <c r="D33">
        <v>28</v>
      </c>
      <c r="E33">
        <v>16</v>
      </c>
      <c r="F33">
        <v>719</v>
      </c>
      <c r="G33">
        <v>605</v>
      </c>
      <c r="H33">
        <v>9</v>
      </c>
      <c r="I33">
        <v>2</v>
      </c>
      <c r="J33">
        <v>616</v>
      </c>
      <c r="K33">
        <v>490</v>
      </c>
      <c r="L33">
        <v>17</v>
      </c>
      <c r="M33">
        <v>0</v>
      </c>
      <c r="N33">
        <v>507</v>
      </c>
    </row>
    <row r="34" spans="2:14" x14ac:dyDescent="0.25">
      <c r="B34" s="14" t="s">
        <v>98</v>
      </c>
      <c r="C34">
        <v>204</v>
      </c>
      <c r="D34">
        <v>11</v>
      </c>
      <c r="E34">
        <v>0</v>
      </c>
      <c r="F34">
        <v>215</v>
      </c>
      <c r="G34">
        <v>160</v>
      </c>
      <c r="H34">
        <v>5</v>
      </c>
      <c r="I34">
        <v>0</v>
      </c>
      <c r="J34">
        <v>165</v>
      </c>
      <c r="K34">
        <v>118</v>
      </c>
      <c r="L34">
        <v>6</v>
      </c>
      <c r="M34">
        <v>0</v>
      </c>
      <c r="N34">
        <v>124</v>
      </c>
    </row>
    <row r="35" spans="2:14" x14ac:dyDescent="0.25">
      <c r="B35" s="14" t="s">
        <v>91</v>
      </c>
      <c r="C35">
        <v>0</v>
      </c>
      <c r="D35">
        <v>0</v>
      </c>
      <c r="E35">
        <v>0</v>
      </c>
      <c r="F35">
        <v>0</v>
      </c>
      <c r="G35">
        <v>1</v>
      </c>
      <c r="H35">
        <v>0</v>
      </c>
      <c r="I35">
        <v>0</v>
      </c>
      <c r="J35">
        <v>1</v>
      </c>
      <c r="K35">
        <v>1</v>
      </c>
      <c r="L35">
        <v>0</v>
      </c>
      <c r="M35">
        <v>0</v>
      </c>
      <c r="N35">
        <v>1</v>
      </c>
    </row>
    <row r="36" spans="2:14" x14ac:dyDescent="0.25">
      <c r="B36" s="10" t="s">
        <v>93</v>
      </c>
      <c r="C36">
        <v>493</v>
      </c>
      <c r="D36">
        <v>34</v>
      </c>
      <c r="E36">
        <v>2</v>
      </c>
      <c r="F36">
        <v>529</v>
      </c>
      <c r="G36">
        <v>770</v>
      </c>
      <c r="H36">
        <v>30</v>
      </c>
      <c r="I36">
        <v>11</v>
      </c>
      <c r="J36">
        <v>811</v>
      </c>
      <c r="K36">
        <v>656</v>
      </c>
      <c r="L36">
        <v>29</v>
      </c>
      <c r="M36">
        <v>3</v>
      </c>
      <c r="N36">
        <v>688</v>
      </c>
    </row>
    <row r="37" spans="2:14" x14ac:dyDescent="0.25">
      <c r="B37" s="14" t="s">
        <v>99</v>
      </c>
      <c r="C37">
        <v>124</v>
      </c>
      <c r="D37">
        <v>11</v>
      </c>
      <c r="E37">
        <v>1</v>
      </c>
      <c r="F37">
        <v>136</v>
      </c>
      <c r="G37">
        <v>94</v>
      </c>
      <c r="H37">
        <v>9</v>
      </c>
      <c r="I37">
        <v>2</v>
      </c>
      <c r="J37">
        <v>105</v>
      </c>
      <c r="K37">
        <v>82</v>
      </c>
      <c r="L37">
        <v>9</v>
      </c>
      <c r="M37">
        <v>0</v>
      </c>
      <c r="N37">
        <v>91</v>
      </c>
    </row>
    <row r="38" spans="2:14" x14ac:dyDescent="0.25">
      <c r="B38" s="14" t="s">
        <v>95</v>
      </c>
      <c r="C38">
        <v>369</v>
      </c>
      <c r="D38">
        <v>23</v>
      </c>
      <c r="E38">
        <v>1</v>
      </c>
      <c r="F38">
        <v>393</v>
      </c>
      <c r="G38">
        <v>676</v>
      </c>
      <c r="H38">
        <v>21</v>
      </c>
      <c r="I38">
        <v>9</v>
      </c>
      <c r="J38">
        <v>706</v>
      </c>
      <c r="K38">
        <v>574</v>
      </c>
      <c r="L38">
        <v>20</v>
      </c>
      <c r="M38">
        <v>3</v>
      </c>
      <c r="N38">
        <v>597</v>
      </c>
    </row>
    <row r="39" spans="2:14" x14ac:dyDescent="0.25">
      <c r="B39" s="10" t="s">
        <v>97</v>
      </c>
      <c r="C39">
        <v>277</v>
      </c>
      <c r="D39">
        <v>21</v>
      </c>
      <c r="E39">
        <v>0</v>
      </c>
      <c r="F39">
        <v>298</v>
      </c>
      <c r="G39">
        <v>451</v>
      </c>
      <c r="H39">
        <v>13</v>
      </c>
      <c r="I39">
        <v>1</v>
      </c>
      <c r="J39">
        <v>465</v>
      </c>
      <c r="K39">
        <v>220</v>
      </c>
      <c r="L39">
        <v>18</v>
      </c>
      <c r="M39">
        <v>0</v>
      </c>
      <c r="N39">
        <v>238</v>
      </c>
    </row>
    <row r="40" spans="2:14" x14ac:dyDescent="0.25">
      <c r="B40" s="14" t="s">
        <v>100</v>
      </c>
      <c r="C40">
        <v>190</v>
      </c>
      <c r="D40">
        <v>11</v>
      </c>
      <c r="E40">
        <v>0</v>
      </c>
      <c r="F40">
        <v>201</v>
      </c>
      <c r="G40">
        <v>280</v>
      </c>
      <c r="H40">
        <v>9</v>
      </c>
      <c r="I40">
        <v>0</v>
      </c>
      <c r="J40">
        <v>289</v>
      </c>
      <c r="K40">
        <v>144</v>
      </c>
      <c r="L40">
        <v>10</v>
      </c>
      <c r="M40">
        <v>0</v>
      </c>
      <c r="N40">
        <v>154</v>
      </c>
    </row>
    <row r="41" spans="2:14" x14ac:dyDescent="0.25">
      <c r="B41" s="14" t="s">
        <v>101</v>
      </c>
      <c r="C41">
        <v>87</v>
      </c>
      <c r="D41">
        <v>10</v>
      </c>
      <c r="E41">
        <v>0</v>
      </c>
      <c r="F41">
        <v>97</v>
      </c>
      <c r="G41">
        <v>171</v>
      </c>
      <c r="H41">
        <v>4</v>
      </c>
      <c r="I41">
        <v>1</v>
      </c>
      <c r="J41">
        <v>176</v>
      </c>
      <c r="K41">
        <v>76</v>
      </c>
      <c r="L41">
        <v>8</v>
      </c>
      <c r="M41">
        <v>0</v>
      </c>
      <c r="N41">
        <v>84</v>
      </c>
    </row>
    <row r="42" spans="2:14" x14ac:dyDescent="0.25">
      <c r="B42" s="10" t="s">
        <v>49</v>
      </c>
      <c r="C42">
        <v>1649</v>
      </c>
      <c r="D42">
        <v>94</v>
      </c>
      <c r="E42">
        <v>18</v>
      </c>
      <c r="F42">
        <v>1761</v>
      </c>
      <c r="G42">
        <v>1987</v>
      </c>
      <c r="H42">
        <v>57</v>
      </c>
      <c r="I42">
        <v>14</v>
      </c>
      <c r="J42">
        <v>2058</v>
      </c>
      <c r="K42">
        <v>1485</v>
      </c>
      <c r="L42">
        <v>70</v>
      </c>
      <c r="M42">
        <v>3</v>
      </c>
      <c r="N42">
        <v>1558</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0B0EF-A4A6-4264-A9BB-732A763D5801}">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155</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91</v>
      </c>
      <c r="J14" s="54" t="s">
        <v>143</v>
      </c>
      <c r="K14" s="54" t="s">
        <v>142</v>
      </c>
      <c r="L14" s="54" t="s">
        <v>141</v>
      </c>
      <c r="M14" s="54" t="s">
        <v>140</v>
      </c>
      <c r="N14" s="54" t="s">
        <v>139</v>
      </c>
      <c r="O14" s="54" t="s">
        <v>138</v>
      </c>
      <c r="P14" s="54" t="s">
        <v>137</v>
      </c>
      <c r="Q14" s="54" t="s">
        <v>91</v>
      </c>
      <c r="R14" s="54" t="s">
        <v>143</v>
      </c>
      <c r="S14" s="54" t="s">
        <v>142</v>
      </c>
      <c r="T14" s="54" t="s">
        <v>141</v>
      </c>
      <c r="U14" s="54" t="s">
        <v>140</v>
      </c>
      <c r="V14" s="54" t="s">
        <v>139</v>
      </c>
      <c r="W14" s="54" t="s">
        <v>138</v>
      </c>
      <c r="X14" s="54" t="s">
        <v>137</v>
      </c>
      <c r="Y14" s="54" t="s">
        <v>91</v>
      </c>
      <c r="Z14" s="54" t="s">
        <v>143</v>
      </c>
      <c r="AA14" s="54" t="s">
        <v>142</v>
      </c>
      <c r="AB14" s="54" t="s">
        <v>141</v>
      </c>
      <c r="AC14" s="54" t="s">
        <v>140</v>
      </c>
      <c r="AD14" s="54" t="s">
        <v>139</v>
      </c>
      <c r="AE14" s="54" t="s">
        <v>138</v>
      </c>
      <c r="AF14" s="54" t="s">
        <v>137</v>
      </c>
      <c r="AG14" s="54" t="s">
        <v>91</v>
      </c>
      <c r="AH14" s="54" t="s">
        <v>143</v>
      </c>
      <c r="AI14" s="54" t="s">
        <v>142</v>
      </c>
      <c r="AJ14" s="54" t="s">
        <v>141</v>
      </c>
      <c r="AK14" s="54" t="s">
        <v>140</v>
      </c>
      <c r="AL14" s="54" t="s">
        <v>139</v>
      </c>
      <c r="AM14" s="54" t="s">
        <v>138</v>
      </c>
      <c r="AN14" s="54" t="s">
        <v>137</v>
      </c>
      <c r="AO14" s="54" t="s">
        <v>91</v>
      </c>
      <c r="AP14" s="54" t="s">
        <v>143</v>
      </c>
      <c r="AQ14" s="54" t="s">
        <v>142</v>
      </c>
      <c r="AR14" s="54" t="s">
        <v>141</v>
      </c>
      <c r="AS14" s="54" t="s">
        <v>140</v>
      </c>
      <c r="AT14" s="54" t="s">
        <v>139</v>
      </c>
      <c r="AU14" s="54" t="s">
        <v>138</v>
      </c>
      <c r="AV14" s="54" t="s">
        <v>137</v>
      </c>
      <c r="AW14" s="54" t="s">
        <v>91</v>
      </c>
      <c r="AX14" s="54" t="s">
        <v>143</v>
      </c>
      <c r="AY14" s="54" t="s">
        <v>142</v>
      </c>
      <c r="AZ14" s="54" t="s">
        <v>141</v>
      </c>
      <c r="BA14" s="54" t="s">
        <v>140</v>
      </c>
      <c r="BB14" s="54" t="s">
        <v>139</v>
      </c>
      <c r="BC14" s="54" t="s">
        <v>138</v>
      </c>
      <c r="BD14" s="54" t="s">
        <v>137</v>
      </c>
      <c r="BE14" s="54" t="s">
        <v>91</v>
      </c>
      <c r="BF14" s="54" t="s">
        <v>143</v>
      </c>
      <c r="BG14" s="54" t="s">
        <v>142</v>
      </c>
      <c r="BH14" s="54" t="s">
        <v>141</v>
      </c>
      <c r="BI14" s="54" t="s">
        <v>140</v>
      </c>
      <c r="BJ14" s="54" t="s">
        <v>139</v>
      </c>
      <c r="BK14" s="54" t="s">
        <v>138</v>
      </c>
      <c r="BL14" s="54" t="s">
        <v>137</v>
      </c>
      <c r="BM14" s="54" t="s">
        <v>91</v>
      </c>
    </row>
    <row r="15" spans="1:65" ht="15" customHeight="1" x14ac:dyDescent="0.2">
      <c r="A15" s="53" t="s">
        <v>136</v>
      </c>
      <c r="B15" s="53" t="s">
        <v>114</v>
      </c>
      <c r="C15" s="53" t="s">
        <v>114</v>
      </c>
      <c r="D15" s="53" t="s">
        <v>114</v>
      </c>
      <c r="E15" s="53">
        <v>118</v>
      </c>
      <c r="F15" s="53" t="s">
        <v>114</v>
      </c>
      <c r="G15" s="53">
        <v>25</v>
      </c>
      <c r="H15" s="53" t="s">
        <v>114</v>
      </c>
      <c r="I15" s="53">
        <v>0</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t="s">
        <v>114</v>
      </c>
      <c r="AB15" s="53" t="s">
        <v>114</v>
      </c>
      <c r="AC15" s="53" t="s">
        <v>114</v>
      </c>
      <c r="AD15" s="53" t="s">
        <v>114</v>
      </c>
      <c r="AE15" s="53" t="s">
        <v>114</v>
      </c>
      <c r="AF15" s="53" t="s">
        <v>114</v>
      </c>
      <c r="AG15" s="53" t="s">
        <v>114</v>
      </c>
      <c r="AH15" s="53" t="s">
        <v>114</v>
      </c>
      <c r="AI15" s="53">
        <v>41</v>
      </c>
      <c r="AJ15" s="53" t="s">
        <v>114</v>
      </c>
      <c r="AK15" s="53">
        <v>70</v>
      </c>
      <c r="AL15" s="53" t="s">
        <v>114</v>
      </c>
      <c r="AM15" s="53" t="s">
        <v>114</v>
      </c>
      <c r="AN15" s="53" t="s">
        <v>114</v>
      </c>
      <c r="AO15" s="53">
        <v>0</v>
      </c>
      <c r="AP15" s="53" t="s">
        <v>114</v>
      </c>
      <c r="AQ15" s="53" t="s">
        <v>114</v>
      </c>
      <c r="AR15" s="53" t="s">
        <v>114</v>
      </c>
      <c r="AS15" s="53" t="s">
        <v>114</v>
      </c>
      <c r="AT15" s="53" t="s">
        <v>114</v>
      </c>
      <c r="AU15" s="53" t="s">
        <v>114</v>
      </c>
      <c r="AV15" s="53" t="s">
        <v>114</v>
      </c>
      <c r="AW15" s="53" t="s">
        <v>114</v>
      </c>
      <c r="AX15" s="53" t="s">
        <v>114</v>
      </c>
      <c r="AY15" s="53">
        <v>20</v>
      </c>
      <c r="AZ15" s="53" t="s">
        <v>114</v>
      </c>
      <c r="BA15" s="53" t="s">
        <v>114</v>
      </c>
      <c r="BB15" s="53" t="s">
        <v>114</v>
      </c>
      <c r="BC15" s="53">
        <v>13</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
      <c r="A16" s="53" t="s">
        <v>135</v>
      </c>
      <c r="B16" s="53" t="s">
        <v>114</v>
      </c>
      <c r="C16" s="53" t="s">
        <v>114</v>
      </c>
      <c r="D16" s="53" t="s">
        <v>114</v>
      </c>
      <c r="E16" s="53">
        <v>163</v>
      </c>
      <c r="F16" s="53" t="s">
        <v>114</v>
      </c>
      <c r="G16" s="53">
        <v>29</v>
      </c>
      <c r="H16" s="53" t="s">
        <v>114</v>
      </c>
      <c r="I16" s="53">
        <v>0</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t="s">
        <v>114</v>
      </c>
      <c r="AB16" s="53" t="s">
        <v>114</v>
      </c>
      <c r="AC16" s="53" t="s">
        <v>114</v>
      </c>
      <c r="AD16" s="53" t="s">
        <v>114</v>
      </c>
      <c r="AE16" s="53" t="s">
        <v>114</v>
      </c>
      <c r="AF16" s="53" t="s">
        <v>114</v>
      </c>
      <c r="AG16" s="53" t="s">
        <v>114</v>
      </c>
      <c r="AH16" s="53" t="s">
        <v>114</v>
      </c>
      <c r="AI16" s="53">
        <v>35</v>
      </c>
      <c r="AJ16" s="53" t="s">
        <v>114</v>
      </c>
      <c r="AK16" s="53">
        <v>75</v>
      </c>
      <c r="AL16" s="53" t="s">
        <v>114</v>
      </c>
      <c r="AM16" s="53" t="s">
        <v>114</v>
      </c>
      <c r="AN16" s="53" t="s">
        <v>114</v>
      </c>
      <c r="AO16" s="53">
        <v>0</v>
      </c>
      <c r="AP16" s="53" t="s">
        <v>114</v>
      </c>
      <c r="AQ16" s="53" t="s">
        <v>114</v>
      </c>
      <c r="AR16" s="53" t="s">
        <v>114</v>
      </c>
      <c r="AS16" s="53" t="s">
        <v>114</v>
      </c>
      <c r="AT16" s="53" t="s">
        <v>114</v>
      </c>
      <c r="AU16" s="53" t="s">
        <v>114</v>
      </c>
      <c r="AV16" s="53" t="s">
        <v>114</v>
      </c>
      <c r="AW16" s="53" t="s">
        <v>114</v>
      </c>
      <c r="AX16" s="53" t="s">
        <v>114</v>
      </c>
      <c r="AY16" s="53">
        <v>34</v>
      </c>
      <c r="AZ16" s="53" t="s">
        <v>114</v>
      </c>
      <c r="BA16" s="53" t="s">
        <v>114</v>
      </c>
      <c r="BB16" s="53" t="s">
        <v>114</v>
      </c>
      <c r="BC16" s="53">
        <v>13</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
      <c r="A17" s="53" t="s">
        <v>134</v>
      </c>
      <c r="B17" s="53" t="s">
        <v>114</v>
      </c>
      <c r="C17" s="53" t="s">
        <v>114</v>
      </c>
      <c r="D17" s="53" t="s">
        <v>114</v>
      </c>
      <c r="E17" s="53">
        <v>188</v>
      </c>
      <c r="F17" s="53" t="s">
        <v>114</v>
      </c>
      <c r="G17" s="53">
        <v>31</v>
      </c>
      <c r="H17" s="53" t="s">
        <v>114</v>
      </c>
      <c r="I17" s="53">
        <v>0</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t="s">
        <v>114</v>
      </c>
      <c r="AB17" s="53" t="s">
        <v>114</v>
      </c>
      <c r="AC17" s="53" t="s">
        <v>114</v>
      </c>
      <c r="AD17" s="53" t="s">
        <v>114</v>
      </c>
      <c r="AE17" s="53" t="s">
        <v>114</v>
      </c>
      <c r="AF17" s="53" t="s">
        <v>114</v>
      </c>
      <c r="AG17" s="53" t="s">
        <v>114</v>
      </c>
      <c r="AH17" s="53" t="s">
        <v>114</v>
      </c>
      <c r="AI17" s="53">
        <v>33</v>
      </c>
      <c r="AJ17" s="53" t="s">
        <v>114</v>
      </c>
      <c r="AK17" s="53">
        <v>49</v>
      </c>
      <c r="AL17" s="53" t="s">
        <v>114</v>
      </c>
      <c r="AM17" s="53" t="s">
        <v>114</v>
      </c>
      <c r="AN17" s="53" t="s">
        <v>114</v>
      </c>
      <c r="AO17" s="53">
        <v>0</v>
      </c>
      <c r="AP17" s="53" t="s">
        <v>114</v>
      </c>
      <c r="AQ17" s="53" t="s">
        <v>114</v>
      </c>
      <c r="AR17" s="53" t="s">
        <v>114</v>
      </c>
      <c r="AS17" s="53" t="s">
        <v>114</v>
      </c>
      <c r="AT17" s="53" t="s">
        <v>114</v>
      </c>
      <c r="AU17" s="53" t="s">
        <v>114</v>
      </c>
      <c r="AV17" s="53" t="s">
        <v>114</v>
      </c>
      <c r="AW17" s="53" t="s">
        <v>114</v>
      </c>
      <c r="AX17" s="53" t="s">
        <v>114</v>
      </c>
      <c r="AY17" s="53">
        <v>28</v>
      </c>
      <c r="AZ17" s="53" t="s">
        <v>114</v>
      </c>
      <c r="BA17" s="53" t="s">
        <v>114</v>
      </c>
      <c r="BB17" s="53" t="s">
        <v>114</v>
      </c>
      <c r="BC17" s="53">
        <v>15</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
      <c r="A18" s="53" t="s">
        <v>133</v>
      </c>
      <c r="B18" s="53" t="s">
        <v>114</v>
      </c>
      <c r="C18" s="53" t="s">
        <v>114</v>
      </c>
      <c r="D18" s="53" t="s">
        <v>114</v>
      </c>
      <c r="E18" s="53">
        <v>185</v>
      </c>
      <c r="F18" s="53" t="s">
        <v>114</v>
      </c>
      <c r="G18" s="53">
        <v>63</v>
      </c>
      <c r="H18" s="53" t="s">
        <v>114</v>
      </c>
      <c r="I18" s="53">
        <v>0</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t="s">
        <v>114</v>
      </c>
      <c r="AB18" s="53" t="s">
        <v>114</v>
      </c>
      <c r="AC18" s="53" t="s">
        <v>114</v>
      </c>
      <c r="AD18" s="53" t="s">
        <v>114</v>
      </c>
      <c r="AE18" s="53" t="s">
        <v>114</v>
      </c>
      <c r="AF18" s="53" t="s">
        <v>114</v>
      </c>
      <c r="AG18" s="53" t="s">
        <v>114</v>
      </c>
      <c r="AH18" s="53" t="s">
        <v>114</v>
      </c>
      <c r="AI18" s="53">
        <v>34</v>
      </c>
      <c r="AJ18" s="53" t="s">
        <v>114</v>
      </c>
      <c r="AK18" s="53">
        <v>76</v>
      </c>
      <c r="AL18" s="53" t="s">
        <v>114</v>
      </c>
      <c r="AM18" s="53" t="s">
        <v>114</v>
      </c>
      <c r="AN18" s="53" t="s">
        <v>114</v>
      </c>
      <c r="AO18" s="53">
        <v>0</v>
      </c>
      <c r="AP18" s="53" t="s">
        <v>114</v>
      </c>
      <c r="AQ18" s="53" t="s">
        <v>114</v>
      </c>
      <c r="AR18" s="53" t="s">
        <v>114</v>
      </c>
      <c r="AS18" s="53" t="s">
        <v>114</v>
      </c>
      <c r="AT18" s="53" t="s">
        <v>114</v>
      </c>
      <c r="AU18" s="53" t="s">
        <v>114</v>
      </c>
      <c r="AV18" s="53" t="s">
        <v>114</v>
      </c>
      <c r="AW18" s="53" t="s">
        <v>114</v>
      </c>
      <c r="AX18" s="53" t="s">
        <v>114</v>
      </c>
      <c r="AY18" s="53">
        <v>33</v>
      </c>
      <c r="AZ18" s="53" t="s">
        <v>114</v>
      </c>
      <c r="BA18" s="53" t="s">
        <v>114</v>
      </c>
      <c r="BB18" s="53" t="s">
        <v>114</v>
      </c>
      <c r="BC18" s="53">
        <v>19</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
      <c r="A19" s="53" t="s">
        <v>132</v>
      </c>
      <c r="B19" s="53" t="s">
        <v>114</v>
      </c>
      <c r="C19" s="53" t="s">
        <v>114</v>
      </c>
      <c r="D19" s="53" t="s">
        <v>114</v>
      </c>
      <c r="E19" s="53">
        <v>193</v>
      </c>
      <c r="F19" s="53" t="s">
        <v>114</v>
      </c>
      <c r="G19" s="53">
        <v>45</v>
      </c>
      <c r="H19" s="53" t="s">
        <v>114</v>
      </c>
      <c r="I19" s="53">
        <v>0</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t="s">
        <v>114</v>
      </c>
      <c r="AB19" s="53" t="s">
        <v>114</v>
      </c>
      <c r="AC19" s="53" t="s">
        <v>114</v>
      </c>
      <c r="AD19" s="53" t="s">
        <v>114</v>
      </c>
      <c r="AE19" s="53" t="s">
        <v>114</v>
      </c>
      <c r="AF19" s="53" t="s">
        <v>114</v>
      </c>
      <c r="AG19" s="53" t="s">
        <v>114</v>
      </c>
      <c r="AH19" s="53" t="s">
        <v>114</v>
      </c>
      <c r="AI19" s="53">
        <v>38</v>
      </c>
      <c r="AJ19" s="53" t="s">
        <v>114</v>
      </c>
      <c r="AK19" s="53">
        <v>81</v>
      </c>
      <c r="AL19" s="53" t="s">
        <v>114</v>
      </c>
      <c r="AM19" s="53" t="s">
        <v>114</v>
      </c>
      <c r="AN19" s="53" t="s">
        <v>114</v>
      </c>
      <c r="AO19" s="53">
        <v>0</v>
      </c>
      <c r="AP19" s="53" t="s">
        <v>114</v>
      </c>
      <c r="AQ19" s="53" t="s">
        <v>114</v>
      </c>
      <c r="AR19" s="53" t="s">
        <v>114</v>
      </c>
      <c r="AS19" s="53" t="s">
        <v>114</v>
      </c>
      <c r="AT19" s="53" t="s">
        <v>114</v>
      </c>
      <c r="AU19" s="53" t="s">
        <v>114</v>
      </c>
      <c r="AV19" s="53" t="s">
        <v>114</v>
      </c>
      <c r="AW19" s="53" t="s">
        <v>114</v>
      </c>
      <c r="AX19" s="53" t="s">
        <v>114</v>
      </c>
      <c r="AY19" s="53">
        <v>45</v>
      </c>
      <c r="AZ19" s="53" t="s">
        <v>114</v>
      </c>
      <c r="BA19" s="53" t="s">
        <v>114</v>
      </c>
      <c r="BB19" s="53" t="s">
        <v>114</v>
      </c>
      <c r="BC19" s="53">
        <v>26</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
      <c r="A20" s="53" t="s">
        <v>131</v>
      </c>
      <c r="B20" s="53" t="s">
        <v>114</v>
      </c>
      <c r="C20" s="53" t="s">
        <v>114</v>
      </c>
      <c r="D20" s="53" t="s">
        <v>114</v>
      </c>
      <c r="E20" s="53">
        <v>148</v>
      </c>
      <c r="F20" s="53" t="s">
        <v>114</v>
      </c>
      <c r="G20" s="53">
        <v>53</v>
      </c>
      <c r="H20" s="53" t="s">
        <v>114</v>
      </c>
      <c r="I20" s="53">
        <v>0</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t="s">
        <v>114</v>
      </c>
      <c r="AB20" s="53" t="s">
        <v>114</v>
      </c>
      <c r="AC20" s="53" t="s">
        <v>114</v>
      </c>
      <c r="AD20" s="53" t="s">
        <v>114</v>
      </c>
      <c r="AE20" s="53" t="s">
        <v>114</v>
      </c>
      <c r="AF20" s="53" t="s">
        <v>114</v>
      </c>
      <c r="AG20" s="53" t="s">
        <v>114</v>
      </c>
      <c r="AH20" s="53" t="s">
        <v>114</v>
      </c>
      <c r="AI20" s="53">
        <v>29</v>
      </c>
      <c r="AJ20" s="53" t="s">
        <v>114</v>
      </c>
      <c r="AK20" s="53">
        <v>96</v>
      </c>
      <c r="AL20" s="53" t="s">
        <v>114</v>
      </c>
      <c r="AM20" s="53" t="s">
        <v>114</v>
      </c>
      <c r="AN20" s="53" t="s">
        <v>114</v>
      </c>
      <c r="AO20" s="53">
        <v>0</v>
      </c>
      <c r="AP20" s="53" t="s">
        <v>114</v>
      </c>
      <c r="AQ20" s="53" t="s">
        <v>114</v>
      </c>
      <c r="AR20" s="53" t="s">
        <v>114</v>
      </c>
      <c r="AS20" s="53" t="s">
        <v>114</v>
      </c>
      <c r="AT20" s="53" t="s">
        <v>114</v>
      </c>
      <c r="AU20" s="53" t="s">
        <v>114</v>
      </c>
      <c r="AV20" s="53" t="s">
        <v>114</v>
      </c>
      <c r="AW20" s="53" t="s">
        <v>114</v>
      </c>
      <c r="AX20" s="53" t="s">
        <v>114</v>
      </c>
      <c r="AY20" s="53">
        <v>58</v>
      </c>
      <c r="AZ20" s="53" t="s">
        <v>114</v>
      </c>
      <c r="BA20" s="53" t="s">
        <v>114</v>
      </c>
      <c r="BB20" s="53" t="s">
        <v>114</v>
      </c>
      <c r="BC20" s="53">
        <v>19</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
      <c r="A21" s="53" t="s">
        <v>130</v>
      </c>
      <c r="B21" s="53" t="s">
        <v>114</v>
      </c>
      <c r="C21" s="53" t="s">
        <v>114</v>
      </c>
      <c r="D21" s="53" t="s">
        <v>114</v>
      </c>
      <c r="E21" s="53">
        <v>149</v>
      </c>
      <c r="F21" s="53" t="s">
        <v>114</v>
      </c>
      <c r="G21" s="53">
        <v>43</v>
      </c>
      <c r="H21" s="53" t="s">
        <v>114</v>
      </c>
      <c r="I21" s="53">
        <v>0</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t="s">
        <v>114</v>
      </c>
      <c r="AB21" s="53" t="s">
        <v>114</v>
      </c>
      <c r="AC21" s="53" t="s">
        <v>114</v>
      </c>
      <c r="AD21" s="53" t="s">
        <v>114</v>
      </c>
      <c r="AE21" s="53" t="s">
        <v>114</v>
      </c>
      <c r="AF21" s="53" t="s">
        <v>114</v>
      </c>
      <c r="AG21" s="53" t="s">
        <v>114</v>
      </c>
      <c r="AH21" s="53" t="s">
        <v>114</v>
      </c>
      <c r="AI21" s="53">
        <v>23</v>
      </c>
      <c r="AJ21" s="53" t="s">
        <v>114</v>
      </c>
      <c r="AK21" s="53">
        <v>116</v>
      </c>
      <c r="AL21" s="53" t="s">
        <v>114</v>
      </c>
      <c r="AM21" s="53" t="s">
        <v>114</v>
      </c>
      <c r="AN21" s="53" t="s">
        <v>114</v>
      </c>
      <c r="AO21" s="53">
        <v>0</v>
      </c>
      <c r="AP21" s="53" t="s">
        <v>114</v>
      </c>
      <c r="AQ21" s="53" t="s">
        <v>114</v>
      </c>
      <c r="AR21" s="53" t="s">
        <v>114</v>
      </c>
      <c r="AS21" s="53" t="s">
        <v>114</v>
      </c>
      <c r="AT21" s="53" t="s">
        <v>114</v>
      </c>
      <c r="AU21" s="53" t="s">
        <v>114</v>
      </c>
      <c r="AV21" s="53" t="s">
        <v>114</v>
      </c>
      <c r="AW21" s="53" t="s">
        <v>114</v>
      </c>
      <c r="AX21" s="53" t="s">
        <v>114</v>
      </c>
      <c r="AY21" s="53">
        <v>54</v>
      </c>
      <c r="AZ21" s="53" t="s">
        <v>114</v>
      </c>
      <c r="BA21" s="53" t="s">
        <v>114</v>
      </c>
      <c r="BB21" s="53" t="s">
        <v>114</v>
      </c>
      <c r="BC21" s="53">
        <v>23</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
      <c r="A22" s="53" t="s">
        <v>129</v>
      </c>
      <c r="B22" s="53" t="s">
        <v>114</v>
      </c>
      <c r="C22" s="53" t="s">
        <v>114</v>
      </c>
      <c r="D22" s="53" t="s">
        <v>114</v>
      </c>
      <c r="E22" s="53">
        <v>123</v>
      </c>
      <c r="F22" s="53" t="s">
        <v>114</v>
      </c>
      <c r="G22" s="53">
        <v>25</v>
      </c>
      <c r="H22" s="53" t="s">
        <v>114</v>
      </c>
      <c r="I22" s="53">
        <v>0</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t="s">
        <v>114</v>
      </c>
      <c r="AB22" s="53" t="s">
        <v>114</v>
      </c>
      <c r="AC22" s="53" t="s">
        <v>114</v>
      </c>
      <c r="AD22" s="53" t="s">
        <v>114</v>
      </c>
      <c r="AE22" s="53" t="s">
        <v>114</v>
      </c>
      <c r="AF22" s="53" t="s">
        <v>114</v>
      </c>
      <c r="AG22" s="53" t="s">
        <v>114</v>
      </c>
      <c r="AH22" s="53" t="s">
        <v>114</v>
      </c>
      <c r="AI22" s="53">
        <v>16</v>
      </c>
      <c r="AJ22" s="53" t="s">
        <v>114</v>
      </c>
      <c r="AK22" s="53">
        <v>85</v>
      </c>
      <c r="AL22" s="53" t="s">
        <v>114</v>
      </c>
      <c r="AM22" s="53" t="s">
        <v>114</v>
      </c>
      <c r="AN22" s="53" t="s">
        <v>114</v>
      </c>
      <c r="AO22" s="53">
        <v>0</v>
      </c>
      <c r="AP22" s="53" t="s">
        <v>114</v>
      </c>
      <c r="AQ22" s="53" t="s">
        <v>114</v>
      </c>
      <c r="AR22" s="53" t="s">
        <v>114</v>
      </c>
      <c r="AS22" s="53" t="s">
        <v>114</v>
      </c>
      <c r="AT22" s="53" t="s">
        <v>114</v>
      </c>
      <c r="AU22" s="53" t="s">
        <v>114</v>
      </c>
      <c r="AV22" s="53" t="s">
        <v>114</v>
      </c>
      <c r="AW22" s="53" t="s">
        <v>114</v>
      </c>
      <c r="AX22" s="53" t="s">
        <v>114</v>
      </c>
      <c r="AY22" s="53">
        <v>40</v>
      </c>
      <c r="AZ22" s="53" t="s">
        <v>114</v>
      </c>
      <c r="BA22" s="53" t="s">
        <v>114</v>
      </c>
      <c r="BB22" s="53" t="s">
        <v>114</v>
      </c>
      <c r="BC22" s="53">
        <v>19</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
      <c r="A23" s="53" t="s">
        <v>128</v>
      </c>
      <c r="B23" s="53" t="s">
        <v>114</v>
      </c>
      <c r="C23" s="53" t="s">
        <v>114</v>
      </c>
      <c r="D23" s="53" t="s">
        <v>114</v>
      </c>
      <c r="E23" s="53">
        <v>0</v>
      </c>
      <c r="F23" s="53" t="s">
        <v>114</v>
      </c>
      <c r="G23" s="53">
        <v>0</v>
      </c>
      <c r="H23" s="53" t="s">
        <v>114</v>
      </c>
      <c r="I23" s="53">
        <v>0</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t="s">
        <v>114</v>
      </c>
      <c r="AB23" s="53" t="s">
        <v>114</v>
      </c>
      <c r="AC23" s="53" t="s">
        <v>114</v>
      </c>
      <c r="AD23" s="53" t="s">
        <v>114</v>
      </c>
      <c r="AE23" s="53" t="s">
        <v>114</v>
      </c>
      <c r="AF23" s="53" t="s">
        <v>114</v>
      </c>
      <c r="AG23" s="53" t="s">
        <v>114</v>
      </c>
      <c r="AH23" s="53" t="s">
        <v>114</v>
      </c>
      <c r="AI23" s="53">
        <v>0</v>
      </c>
      <c r="AJ23" s="53" t="s">
        <v>114</v>
      </c>
      <c r="AK23" s="53">
        <v>0</v>
      </c>
      <c r="AL23" s="53" t="s">
        <v>114</v>
      </c>
      <c r="AM23" s="53" t="s">
        <v>114</v>
      </c>
      <c r="AN23" s="53" t="s">
        <v>114</v>
      </c>
      <c r="AO23" s="53">
        <v>0</v>
      </c>
      <c r="AP23" s="53" t="s">
        <v>114</v>
      </c>
      <c r="AQ23" s="53" t="s">
        <v>114</v>
      </c>
      <c r="AR23" s="53" t="s">
        <v>114</v>
      </c>
      <c r="AS23" s="53" t="s">
        <v>114</v>
      </c>
      <c r="AT23" s="53" t="s">
        <v>114</v>
      </c>
      <c r="AU23" s="53" t="s">
        <v>114</v>
      </c>
      <c r="AV23" s="53" t="s">
        <v>114</v>
      </c>
      <c r="AW23" s="53" t="s">
        <v>114</v>
      </c>
      <c r="AX23" s="53" t="s">
        <v>114</v>
      </c>
      <c r="AY23" s="53">
        <v>0</v>
      </c>
      <c r="AZ23" s="53" t="s">
        <v>114</v>
      </c>
      <c r="BA23" s="53" t="s">
        <v>114</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
      <c r="A24" s="53" t="s">
        <v>127</v>
      </c>
      <c r="B24" s="53" t="s">
        <v>114</v>
      </c>
      <c r="C24" s="53" t="s">
        <v>114</v>
      </c>
      <c r="D24" s="53" t="s">
        <v>114</v>
      </c>
      <c r="E24" s="53">
        <v>127</v>
      </c>
      <c r="F24" s="53" t="s">
        <v>114</v>
      </c>
      <c r="G24" s="53">
        <v>27</v>
      </c>
      <c r="H24" s="53" t="s">
        <v>114</v>
      </c>
      <c r="I24" s="53">
        <v>0</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t="s">
        <v>114</v>
      </c>
      <c r="AB24" s="53" t="s">
        <v>114</v>
      </c>
      <c r="AC24" s="53" t="s">
        <v>114</v>
      </c>
      <c r="AD24" s="53" t="s">
        <v>114</v>
      </c>
      <c r="AE24" s="53" t="s">
        <v>114</v>
      </c>
      <c r="AF24" s="53" t="s">
        <v>114</v>
      </c>
      <c r="AG24" s="53" t="s">
        <v>114</v>
      </c>
      <c r="AH24" s="53" t="s">
        <v>114</v>
      </c>
      <c r="AI24" s="53">
        <v>22</v>
      </c>
      <c r="AJ24" s="53" t="s">
        <v>114</v>
      </c>
      <c r="AK24" s="53">
        <v>152</v>
      </c>
      <c r="AL24" s="53" t="s">
        <v>114</v>
      </c>
      <c r="AM24" s="53" t="s">
        <v>114</v>
      </c>
      <c r="AN24" s="53" t="s">
        <v>114</v>
      </c>
      <c r="AO24" s="53">
        <v>0</v>
      </c>
      <c r="AP24" s="53" t="s">
        <v>114</v>
      </c>
      <c r="AQ24" s="53" t="s">
        <v>114</v>
      </c>
      <c r="AR24" s="53" t="s">
        <v>114</v>
      </c>
      <c r="AS24" s="53" t="s">
        <v>114</v>
      </c>
      <c r="AT24" s="53" t="s">
        <v>114</v>
      </c>
      <c r="AU24" s="53" t="s">
        <v>114</v>
      </c>
      <c r="AV24" s="53" t="s">
        <v>114</v>
      </c>
      <c r="AW24" s="53" t="s">
        <v>114</v>
      </c>
      <c r="AX24" s="53" t="s">
        <v>114</v>
      </c>
      <c r="AY24" s="53">
        <v>36</v>
      </c>
      <c r="AZ24" s="53" t="s">
        <v>114</v>
      </c>
      <c r="BA24" s="53" t="s">
        <v>114</v>
      </c>
      <c r="BB24" s="53" t="s">
        <v>114</v>
      </c>
      <c r="BC24" s="53">
        <v>23</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
      <c r="A25" s="53" t="s">
        <v>126</v>
      </c>
      <c r="B25" s="53" t="s">
        <v>114</v>
      </c>
      <c r="C25" s="53" t="s">
        <v>114</v>
      </c>
      <c r="D25" s="53" t="s">
        <v>114</v>
      </c>
      <c r="E25" s="53">
        <v>119</v>
      </c>
      <c r="F25" s="53" t="s">
        <v>114</v>
      </c>
      <c r="G25" s="53">
        <v>28</v>
      </c>
      <c r="H25" s="53" t="s">
        <v>114</v>
      </c>
      <c r="I25" s="53">
        <v>1</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t="s">
        <v>114</v>
      </c>
      <c r="AB25" s="53" t="s">
        <v>114</v>
      </c>
      <c r="AC25" s="53" t="s">
        <v>114</v>
      </c>
      <c r="AD25" s="53" t="s">
        <v>114</v>
      </c>
      <c r="AE25" s="53" t="s">
        <v>114</v>
      </c>
      <c r="AF25" s="53" t="s">
        <v>114</v>
      </c>
      <c r="AG25" s="53" t="s">
        <v>114</v>
      </c>
      <c r="AH25" s="53" t="s">
        <v>114</v>
      </c>
      <c r="AI25" s="53">
        <v>17</v>
      </c>
      <c r="AJ25" s="53" t="s">
        <v>114</v>
      </c>
      <c r="AK25" s="53">
        <v>139</v>
      </c>
      <c r="AL25" s="53" t="s">
        <v>114</v>
      </c>
      <c r="AM25" s="53" t="s">
        <v>114</v>
      </c>
      <c r="AN25" s="53" t="s">
        <v>114</v>
      </c>
      <c r="AO25" s="53">
        <v>0</v>
      </c>
      <c r="AP25" s="53" t="s">
        <v>114</v>
      </c>
      <c r="AQ25" s="53" t="s">
        <v>114</v>
      </c>
      <c r="AR25" s="53" t="s">
        <v>114</v>
      </c>
      <c r="AS25" s="53" t="s">
        <v>114</v>
      </c>
      <c r="AT25" s="53" t="s">
        <v>114</v>
      </c>
      <c r="AU25" s="53" t="s">
        <v>114</v>
      </c>
      <c r="AV25" s="53" t="s">
        <v>114</v>
      </c>
      <c r="AW25" s="53" t="s">
        <v>114</v>
      </c>
      <c r="AX25" s="53" t="s">
        <v>114</v>
      </c>
      <c r="AY25" s="53">
        <v>33</v>
      </c>
      <c r="AZ25" s="53" t="s">
        <v>114</v>
      </c>
      <c r="BA25" s="53" t="s">
        <v>114</v>
      </c>
      <c r="BB25" s="53" t="s">
        <v>114</v>
      </c>
      <c r="BC25" s="53">
        <v>21</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
      <c r="A26" s="53" t="s">
        <v>125</v>
      </c>
      <c r="B26" s="53" t="s">
        <v>114</v>
      </c>
      <c r="C26" s="53" t="s">
        <v>114</v>
      </c>
      <c r="D26" s="53" t="s">
        <v>114</v>
      </c>
      <c r="E26" s="53">
        <v>124</v>
      </c>
      <c r="F26" s="53" t="s">
        <v>114</v>
      </c>
      <c r="G26" s="53">
        <v>33</v>
      </c>
      <c r="H26" s="53" t="s">
        <v>114</v>
      </c>
      <c r="I26" s="53">
        <v>0</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t="s">
        <v>114</v>
      </c>
      <c r="AB26" s="53" t="s">
        <v>114</v>
      </c>
      <c r="AC26" s="53" t="s">
        <v>114</v>
      </c>
      <c r="AD26" s="53" t="s">
        <v>114</v>
      </c>
      <c r="AE26" s="53" t="s">
        <v>114</v>
      </c>
      <c r="AF26" s="53" t="s">
        <v>114</v>
      </c>
      <c r="AG26" s="53" t="s">
        <v>114</v>
      </c>
      <c r="AH26" s="53" t="s">
        <v>114</v>
      </c>
      <c r="AI26" s="53">
        <v>21</v>
      </c>
      <c r="AJ26" s="53" t="s">
        <v>114</v>
      </c>
      <c r="AK26" s="53">
        <v>140</v>
      </c>
      <c r="AL26" s="53" t="s">
        <v>114</v>
      </c>
      <c r="AM26" s="53" t="s">
        <v>114</v>
      </c>
      <c r="AN26" s="53" t="s">
        <v>114</v>
      </c>
      <c r="AO26" s="53">
        <v>0</v>
      </c>
      <c r="AP26" s="53" t="s">
        <v>114</v>
      </c>
      <c r="AQ26" s="53" t="s">
        <v>114</v>
      </c>
      <c r="AR26" s="53" t="s">
        <v>114</v>
      </c>
      <c r="AS26" s="53" t="s">
        <v>114</v>
      </c>
      <c r="AT26" s="53" t="s">
        <v>114</v>
      </c>
      <c r="AU26" s="53" t="s">
        <v>114</v>
      </c>
      <c r="AV26" s="53" t="s">
        <v>114</v>
      </c>
      <c r="AW26" s="53" t="s">
        <v>114</v>
      </c>
      <c r="AX26" s="53" t="s">
        <v>114</v>
      </c>
      <c r="AY26" s="53">
        <v>34</v>
      </c>
      <c r="AZ26" s="53" t="s">
        <v>114</v>
      </c>
      <c r="BA26" s="53" t="s">
        <v>114</v>
      </c>
      <c r="BB26" s="53" t="s">
        <v>114</v>
      </c>
      <c r="BC26" s="53">
        <v>16</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
      <c r="A27" s="53" t="s">
        <v>124</v>
      </c>
      <c r="B27" s="53" t="s">
        <v>114</v>
      </c>
      <c r="C27" s="53" t="s">
        <v>114</v>
      </c>
      <c r="D27" s="53" t="s">
        <v>114</v>
      </c>
      <c r="E27" s="53">
        <v>120</v>
      </c>
      <c r="F27" s="53" t="s">
        <v>114</v>
      </c>
      <c r="G27" s="53">
        <v>30</v>
      </c>
      <c r="H27" s="53" t="s">
        <v>114</v>
      </c>
      <c r="I27" s="53">
        <v>0</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t="s">
        <v>114</v>
      </c>
      <c r="AB27" s="53" t="s">
        <v>114</v>
      </c>
      <c r="AC27" s="53" t="s">
        <v>114</v>
      </c>
      <c r="AD27" s="53" t="s">
        <v>114</v>
      </c>
      <c r="AE27" s="53" t="s">
        <v>114</v>
      </c>
      <c r="AF27" s="53" t="s">
        <v>114</v>
      </c>
      <c r="AG27" s="53" t="s">
        <v>114</v>
      </c>
      <c r="AH27" s="53" t="s">
        <v>114</v>
      </c>
      <c r="AI27" s="53">
        <v>22</v>
      </c>
      <c r="AJ27" s="53" t="s">
        <v>114</v>
      </c>
      <c r="AK27" s="53">
        <v>143</v>
      </c>
      <c r="AL27" s="53" t="s">
        <v>114</v>
      </c>
      <c r="AM27" s="53" t="s">
        <v>114</v>
      </c>
      <c r="AN27" s="53" t="s">
        <v>114</v>
      </c>
      <c r="AO27" s="53">
        <v>0</v>
      </c>
      <c r="AP27" s="53" t="s">
        <v>114</v>
      </c>
      <c r="AQ27" s="53" t="s">
        <v>114</v>
      </c>
      <c r="AR27" s="53" t="s">
        <v>114</v>
      </c>
      <c r="AS27" s="53" t="s">
        <v>114</v>
      </c>
      <c r="AT27" s="53" t="s">
        <v>114</v>
      </c>
      <c r="AU27" s="53" t="s">
        <v>114</v>
      </c>
      <c r="AV27" s="53" t="s">
        <v>114</v>
      </c>
      <c r="AW27" s="53" t="s">
        <v>114</v>
      </c>
      <c r="AX27" s="53" t="s">
        <v>114</v>
      </c>
      <c r="AY27" s="53">
        <v>41</v>
      </c>
      <c r="AZ27" s="53" t="s">
        <v>114</v>
      </c>
      <c r="BA27" s="53" t="s">
        <v>114</v>
      </c>
      <c r="BB27" s="53" t="s">
        <v>114</v>
      </c>
      <c r="BC27" s="53">
        <v>16</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
      <c r="A28" s="53" t="s">
        <v>123</v>
      </c>
      <c r="B28" s="53" t="s">
        <v>114</v>
      </c>
      <c r="C28" s="53" t="s">
        <v>114</v>
      </c>
      <c r="D28" s="53" t="s">
        <v>114</v>
      </c>
      <c r="E28" s="53">
        <v>0</v>
      </c>
      <c r="F28" s="53" t="s">
        <v>114</v>
      </c>
      <c r="G28" s="53">
        <v>0</v>
      </c>
      <c r="H28" s="53" t="s">
        <v>114</v>
      </c>
      <c r="I28" s="53">
        <v>0</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t="s">
        <v>114</v>
      </c>
      <c r="AB28" s="53" t="s">
        <v>114</v>
      </c>
      <c r="AC28" s="53" t="s">
        <v>114</v>
      </c>
      <c r="AD28" s="53" t="s">
        <v>114</v>
      </c>
      <c r="AE28" s="53" t="s">
        <v>114</v>
      </c>
      <c r="AF28" s="53" t="s">
        <v>114</v>
      </c>
      <c r="AG28" s="53" t="s">
        <v>114</v>
      </c>
      <c r="AH28" s="53" t="s">
        <v>114</v>
      </c>
      <c r="AI28" s="53">
        <v>0</v>
      </c>
      <c r="AJ28" s="53" t="s">
        <v>114</v>
      </c>
      <c r="AK28" s="53">
        <v>0</v>
      </c>
      <c r="AL28" s="53" t="s">
        <v>114</v>
      </c>
      <c r="AM28" s="53" t="s">
        <v>114</v>
      </c>
      <c r="AN28" s="53" t="s">
        <v>114</v>
      </c>
      <c r="AO28" s="53">
        <v>0</v>
      </c>
      <c r="AP28" s="53" t="s">
        <v>114</v>
      </c>
      <c r="AQ28" s="53" t="s">
        <v>114</v>
      </c>
      <c r="AR28" s="53" t="s">
        <v>114</v>
      </c>
      <c r="AS28" s="53" t="s">
        <v>114</v>
      </c>
      <c r="AT28" s="53" t="s">
        <v>114</v>
      </c>
      <c r="AU28" s="53" t="s">
        <v>114</v>
      </c>
      <c r="AV28" s="53" t="s">
        <v>114</v>
      </c>
      <c r="AW28" s="53" t="s">
        <v>114</v>
      </c>
      <c r="AX28" s="53" t="s">
        <v>114</v>
      </c>
      <c r="AY28" s="53">
        <v>0</v>
      </c>
      <c r="AZ28" s="53" t="s">
        <v>114</v>
      </c>
      <c r="BA28" s="53" t="s">
        <v>114</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
      <c r="A29" s="53" t="s">
        <v>122</v>
      </c>
      <c r="B29" s="53" t="s">
        <v>114</v>
      </c>
      <c r="C29" s="53" t="s">
        <v>114</v>
      </c>
      <c r="D29" s="53" t="s">
        <v>114</v>
      </c>
      <c r="E29" s="53">
        <v>147</v>
      </c>
      <c r="F29" s="53" t="s">
        <v>114</v>
      </c>
      <c r="G29" s="53">
        <v>38</v>
      </c>
      <c r="H29" s="53" t="s">
        <v>114</v>
      </c>
      <c r="I29" s="53">
        <v>1</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t="s">
        <v>114</v>
      </c>
      <c r="AB29" s="53" t="s">
        <v>114</v>
      </c>
      <c r="AC29" s="53" t="s">
        <v>114</v>
      </c>
      <c r="AD29" s="53" t="s">
        <v>114</v>
      </c>
      <c r="AE29" s="53" t="s">
        <v>114</v>
      </c>
      <c r="AF29" s="53" t="s">
        <v>114</v>
      </c>
      <c r="AG29" s="53" t="s">
        <v>114</v>
      </c>
      <c r="AH29" s="53" t="s">
        <v>114</v>
      </c>
      <c r="AI29" s="53">
        <v>30</v>
      </c>
      <c r="AJ29" s="53" t="s">
        <v>114</v>
      </c>
      <c r="AK29" s="53">
        <v>174</v>
      </c>
      <c r="AL29" s="53" t="s">
        <v>114</v>
      </c>
      <c r="AM29" s="53" t="s">
        <v>114</v>
      </c>
      <c r="AN29" s="53" t="s">
        <v>114</v>
      </c>
      <c r="AO29" s="53">
        <v>0</v>
      </c>
      <c r="AP29" s="53" t="s">
        <v>114</v>
      </c>
      <c r="AQ29" s="53" t="s">
        <v>114</v>
      </c>
      <c r="AR29" s="53" t="s">
        <v>114</v>
      </c>
      <c r="AS29" s="53" t="s">
        <v>114</v>
      </c>
      <c r="AT29" s="53" t="s">
        <v>114</v>
      </c>
      <c r="AU29" s="53" t="s">
        <v>114</v>
      </c>
      <c r="AV29" s="53" t="s">
        <v>114</v>
      </c>
      <c r="AW29" s="53" t="s">
        <v>114</v>
      </c>
      <c r="AX29" s="53" t="s">
        <v>114</v>
      </c>
      <c r="AY29" s="53">
        <v>68</v>
      </c>
      <c r="AZ29" s="53" t="s">
        <v>114</v>
      </c>
      <c r="BA29" s="53" t="s">
        <v>114</v>
      </c>
      <c r="BB29" s="53" t="s">
        <v>114</v>
      </c>
      <c r="BC29" s="53">
        <v>40</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
      <c r="A30" s="53" t="s">
        <v>121</v>
      </c>
      <c r="B30" s="53" t="s">
        <v>114</v>
      </c>
      <c r="C30" s="53" t="s">
        <v>114</v>
      </c>
      <c r="D30" s="53" t="s">
        <v>114</v>
      </c>
      <c r="E30" s="53">
        <v>164</v>
      </c>
      <c r="F30" s="53" t="s">
        <v>114</v>
      </c>
      <c r="G30" s="53">
        <v>24</v>
      </c>
      <c r="H30" s="53" t="s">
        <v>114</v>
      </c>
      <c r="I30" s="53">
        <v>0</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t="s">
        <v>114</v>
      </c>
      <c r="AB30" s="53" t="s">
        <v>114</v>
      </c>
      <c r="AC30" s="53" t="s">
        <v>114</v>
      </c>
      <c r="AD30" s="53" t="s">
        <v>114</v>
      </c>
      <c r="AE30" s="53" t="s">
        <v>114</v>
      </c>
      <c r="AF30" s="53" t="s">
        <v>114</v>
      </c>
      <c r="AG30" s="53" t="s">
        <v>114</v>
      </c>
      <c r="AH30" s="53" t="s">
        <v>114</v>
      </c>
      <c r="AI30" s="53">
        <v>21</v>
      </c>
      <c r="AJ30" s="53" t="s">
        <v>114</v>
      </c>
      <c r="AK30" s="53">
        <v>162</v>
      </c>
      <c r="AL30" s="53" t="s">
        <v>114</v>
      </c>
      <c r="AM30" s="53" t="s">
        <v>114</v>
      </c>
      <c r="AN30" s="53" t="s">
        <v>114</v>
      </c>
      <c r="AO30" s="53">
        <v>0</v>
      </c>
      <c r="AP30" s="53" t="s">
        <v>114</v>
      </c>
      <c r="AQ30" s="53" t="s">
        <v>114</v>
      </c>
      <c r="AR30" s="53" t="s">
        <v>114</v>
      </c>
      <c r="AS30" s="53" t="s">
        <v>114</v>
      </c>
      <c r="AT30" s="53" t="s">
        <v>114</v>
      </c>
      <c r="AU30" s="53" t="s">
        <v>114</v>
      </c>
      <c r="AV30" s="53" t="s">
        <v>114</v>
      </c>
      <c r="AW30" s="53" t="s">
        <v>114</v>
      </c>
      <c r="AX30" s="53" t="s">
        <v>114</v>
      </c>
      <c r="AY30" s="53">
        <v>64</v>
      </c>
      <c r="AZ30" s="53" t="s">
        <v>114</v>
      </c>
      <c r="BA30" s="53" t="s">
        <v>114</v>
      </c>
      <c r="BB30" s="53" t="s">
        <v>114</v>
      </c>
      <c r="BC30" s="53">
        <v>36</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
      <c r="A31" s="53" t="s">
        <v>120</v>
      </c>
      <c r="B31" s="53" t="s">
        <v>114</v>
      </c>
      <c r="C31" s="53" t="s">
        <v>114</v>
      </c>
      <c r="D31" s="53" t="s">
        <v>114</v>
      </c>
      <c r="E31" s="53">
        <v>139</v>
      </c>
      <c r="F31" s="53" t="s">
        <v>114</v>
      </c>
      <c r="G31" s="53">
        <v>33</v>
      </c>
      <c r="H31" s="53" t="s">
        <v>114</v>
      </c>
      <c r="I31" s="53">
        <v>0</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t="s">
        <v>114</v>
      </c>
      <c r="AB31" s="53" t="s">
        <v>114</v>
      </c>
      <c r="AC31" s="53" t="s">
        <v>114</v>
      </c>
      <c r="AD31" s="53" t="s">
        <v>114</v>
      </c>
      <c r="AE31" s="53" t="s">
        <v>114</v>
      </c>
      <c r="AF31" s="53" t="s">
        <v>114</v>
      </c>
      <c r="AG31" s="53" t="s">
        <v>114</v>
      </c>
      <c r="AH31" s="53" t="s">
        <v>114</v>
      </c>
      <c r="AI31" s="53">
        <v>32</v>
      </c>
      <c r="AJ31" s="53" t="s">
        <v>114</v>
      </c>
      <c r="AK31" s="53">
        <v>177</v>
      </c>
      <c r="AL31" s="53" t="s">
        <v>114</v>
      </c>
      <c r="AM31" s="53" t="s">
        <v>114</v>
      </c>
      <c r="AN31" s="53" t="s">
        <v>114</v>
      </c>
      <c r="AO31" s="53">
        <v>0</v>
      </c>
      <c r="AP31" s="53" t="s">
        <v>114</v>
      </c>
      <c r="AQ31" s="53" t="s">
        <v>114</v>
      </c>
      <c r="AR31" s="53" t="s">
        <v>114</v>
      </c>
      <c r="AS31" s="53" t="s">
        <v>114</v>
      </c>
      <c r="AT31" s="53" t="s">
        <v>114</v>
      </c>
      <c r="AU31" s="53" t="s">
        <v>114</v>
      </c>
      <c r="AV31" s="53" t="s">
        <v>114</v>
      </c>
      <c r="AW31" s="53" t="s">
        <v>114</v>
      </c>
      <c r="AX31" s="53" t="s">
        <v>114</v>
      </c>
      <c r="AY31" s="53">
        <v>66</v>
      </c>
      <c r="AZ31" s="53" t="s">
        <v>114</v>
      </c>
      <c r="BA31" s="53" t="s">
        <v>114</v>
      </c>
      <c r="BB31" s="53" t="s">
        <v>114</v>
      </c>
      <c r="BC31" s="53">
        <v>43</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
      <c r="A32" s="53" t="s">
        <v>119</v>
      </c>
      <c r="B32" s="53" t="s">
        <v>114</v>
      </c>
      <c r="C32" s="53" t="s">
        <v>114</v>
      </c>
      <c r="D32" s="53" t="s">
        <v>114</v>
      </c>
      <c r="E32" s="53">
        <v>133</v>
      </c>
      <c r="F32" s="53" t="s">
        <v>114</v>
      </c>
      <c r="G32" s="53">
        <v>48</v>
      </c>
      <c r="H32" s="53" t="s">
        <v>114</v>
      </c>
      <c r="I32" s="53">
        <v>0</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t="s">
        <v>114</v>
      </c>
      <c r="AB32" s="53" t="s">
        <v>114</v>
      </c>
      <c r="AC32" s="53" t="s">
        <v>114</v>
      </c>
      <c r="AD32" s="53" t="s">
        <v>114</v>
      </c>
      <c r="AE32" s="53" t="s">
        <v>114</v>
      </c>
      <c r="AF32" s="53" t="s">
        <v>114</v>
      </c>
      <c r="AG32" s="53" t="s">
        <v>114</v>
      </c>
      <c r="AH32" s="53" t="s">
        <v>114</v>
      </c>
      <c r="AI32" s="53">
        <v>21</v>
      </c>
      <c r="AJ32" s="53" t="s">
        <v>114</v>
      </c>
      <c r="AK32" s="53">
        <v>188</v>
      </c>
      <c r="AL32" s="53" t="s">
        <v>114</v>
      </c>
      <c r="AM32" s="53" t="s">
        <v>114</v>
      </c>
      <c r="AN32" s="53" t="s">
        <v>114</v>
      </c>
      <c r="AO32" s="53">
        <v>0</v>
      </c>
      <c r="AP32" s="53" t="s">
        <v>114</v>
      </c>
      <c r="AQ32" s="53" t="s">
        <v>114</v>
      </c>
      <c r="AR32" s="53" t="s">
        <v>114</v>
      </c>
      <c r="AS32" s="53" t="s">
        <v>114</v>
      </c>
      <c r="AT32" s="53" t="s">
        <v>114</v>
      </c>
      <c r="AU32" s="53" t="s">
        <v>114</v>
      </c>
      <c r="AV32" s="53" t="s">
        <v>114</v>
      </c>
      <c r="AW32" s="53" t="s">
        <v>114</v>
      </c>
      <c r="AX32" s="53" t="s">
        <v>114</v>
      </c>
      <c r="AY32" s="53">
        <v>72</v>
      </c>
      <c r="AZ32" s="53" t="s">
        <v>114</v>
      </c>
      <c r="BA32" s="53" t="s">
        <v>114</v>
      </c>
      <c r="BB32" s="53" t="s">
        <v>114</v>
      </c>
      <c r="BC32" s="53">
        <v>54</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
      <c r="A33" s="53" t="s">
        <v>118</v>
      </c>
      <c r="B33" s="53" t="s">
        <v>114</v>
      </c>
      <c r="C33" s="53" t="s">
        <v>114</v>
      </c>
      <c r="D33" s="53" t="s">
        <v>114</v>
      </c>
      <c r="E33" s="53">
        <v>169</v>
      </c>
      <c r="F33" s="53" t="s">
        <v>114</v>
      </c>
      <c r="G33" s="53">
        <v>55</v>
      </c>
      <c r="H33" s="53" t="s">
        <v>114</v>
      </c>
      <c r="I33" s="53">
        <v>1</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t="s">
        <v>114</v>
      </c>
      <c r="AB33" s="53" t="s">
        <v>114</v>
      </c>
      <c r="AC33" s="53" t="s">
        <v>114</v>
      </c>
      <c r="AD33" s="53" t="s">
        <v>114</v>
      </c>
      <c r="AE33" s="53" t="s">
        <v>114</v>
      </c>
      <c r="AF33" s="53" t="s">
        <v>114</v>
      </c>
      <c r="AG33" s="53" t="s">
        <v>114</v>
      </c>
      <c r="AH33" s="53" t="s">
        <v>114</v>
      </c>
      <c r="AI33" s="53">
        <v>20</v>
      </c>
      <c r="AJ33" s="53" t="s">
        <v>114</v>
      </c>
      <c r="AK33" s="53">
        <v>149</v>
      </c>
      <c r="AL33" s="53" t="s">
        <v>114</v>
      </c>
      <c r="AM33" s="53" t="s">
        <v>114</v>
      </c>
      <c r="AN33" s="53" t="s">
        <v>114</v>
      </c>
      <c r="AO33" s="53">
        <v>0</v>
      </c>
      <c r="AP33" s="53" t="s">
        <v>114</v>
      </c>
      <c r="AQ33" s="53" t="s">
        <v>114</v>
      </c>
      <c r="AR33" s="53" t="s">
        <v>114</v>
      </c>
      <c r="AS33" s="53" t="s">
        <v>114</v>
      </c>
      <c r="AT33" s="53" t="s">
        <v>114</v>
      </c>
      <c r="AU33" s="53" t="s">
        <v>114</v>
      </c>
      <c r="AV33" s="53" t="s">
        <v>114</v>
      </c>
      <c r="AW33" s="53" t="s">
        <v>114</v>
      </c>
      <c r="AX33" s="53" t="s">
        <v>114</v>
      </c>
      <c r="AY33" s="53">
        <v>78</v>
      </c>
      <c r="AZ33" s="53" t="s">
        <v>114</v>
      </c>
      <c r="BA33" s="53" t="s">
        <v>114</v>
      </c>
      <c r="BB33" s="53" t="s">
        <v>114</v>
      </c>
      <c r="BC33" s="53">
        <v>38</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
      <c r="A34" s="53" t="s">
        <v>117</v>
      </c>
      <c r="B34" s="53" t="s">
        <v>114</v>
      </c>
      <c r="C34" s="53" t="s">
        <v>114</v>
      </c>
      <c r="D34" s="53" t="s">
        <v>114</v>
      </c>
      <c r="E34" s="53">
        <v>131</v>
      </c>
      <c r="F34" s="53" t="s">
        <v>114</v>
      </c>
      <c r="G34" s="53">
        <v>39</v>
      </c>
      <c r="H34" s="53" t="s">
        <v>114</v>
      </c>
      <c r="I34" s="53">
        <v>0</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t="s">
        <v>114</v>
      </c>
      <c r="AB34" s="53" t="s">
        <v>114</v>
      </c>
      <c r="AC34" s="53" t="s">
        <v>114</v>
      </c>
      <c r="AD34" s="53" t="s">
        <v>114</v>
      </c>
      <c r="AE34" s="53" t="s">
        <v>114</v>
      </c>
      <c r="AF34" s="53" t="s">
        <v>114</v>
      </c>
      <c r="AG34" s="53" t="s">
        <v>114</v>
      </c>
      <c r="AH34" s="53" t="s">
        <v>114</v>
      </c>
      <c r="AI34" s="53">
        <v>33</v>
      </c>
      <c r="AJ34" s="53" t="s">
        <v>114</v>
      </c>
      <c r="AK34" s="53">
        <v>161</v>
      </c>
      <c r="AL34" s="53" t="s">
        <v>114</v>
      </c>
      <c r="AM34" s="53" t="s">
        <v>114</v>
      </c>
      <c r="AN34" s="53" t="s">
        <v>114</v>
      </c>
      <c r="AO34" s="53">
        <v>0</v>
      </c>
      <c r="AP34" s="53" t="s">
        <v>114</v>
      </c>
      <c r="AQ34" s="53" t="s">
        <v>114</v>
      </c>
      <c r="AR34" s="53" t="s">
        <v>114</v>
      </c>
      <c r="AS34" s="53" t="s">
        <v>114</v>
      </c>
      <c r="AT34" s="53" t="s">
        <v>114</v>
      </c>
      <c r="AU34" s="53" t="s">
        <v>114</v>
      </c>
      <c r="AV34" s="53" t="s">
        <v>114</v>
      </c>
      <c r="AW34" s="53" t="s">
        <v>114</v>
      </c>
      <c r="AX34" s="53" t="s">
        <v>114</v>
      </c>
      <c r="AY34" s="53">
        <v>62</v>
      </c>
      <c r="AZ34" s="53" t="s">
        <v>114</v>
      </c>
      <c r="BA34" s="53" t="s">
        <v>114</v>
      </c>
      <c r="BB34" s="53" t="s">
        <v>114</v>
      </c>
      <c r="BC34" s="53">
        <v>53</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
      <c r="A35" s="53" t="s">
        <v>116</v>
      </c>
      <c r="B35" s="53" t="s">
        <v>114</v>
      </c>
      <c r="C35" s="53" t="s">
        <v>114</v>
      </c>
      <c r="D35" s="53" t="s">
        <v>114</v>
      </c>
      <c r="E35" s="53">
        <v>114</v>
      </c>
      <c r="F35" s="53" t="s">
        <v>114</v>
      </c>
      <c r="G35" s="53">
        <v>39</v>
      </c>
      <c r="H35" s="53" t="s">
        <v>114</v>
      </c>
      <c r="I35" s="53">
        <v>0</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t="s">
        <v>114</v>
      </c>
      <c r="AB35" s="53" t="s">
        <v>114</v>
      </c>
      <c r="AC35" s="53" t="s">
        <v>114</v>
      </c>
      <c r="AD35" s="53" t="s">
        <v>114</v>
      </c>
      <c r="AE35" s="53" t="s">
        <v>114</v>
      </c>
      <c r="AF35" s="53" t="s">
        <v>114</v>
      </c>
      <c r="AG35" s="53" t="s">
        <v>114</v>
      </c>
      <c r="AH35" s="53" t="s">
        <v>114</v>
      </c>
      <c r="AI35" s="53">
        <v>15</v>
      </c>
      <c r="AJ35" s="53" t="s">
        <v>114</v>
      </c>
      <c r="AK35" s="53">
        <v>162</v>
      </c>
      <c r="AL35" s="53" t="s">
        <v>114</v>
      </c>
      <c r="AM35" s="53" t="s">
        <v>114</v>
      </c>
      <c r="AN35" s="53" t="s">
        <v>114</v>
      </c>
      <c r="AO35" s="53">
        <v>0</v>
      </c>
      <c r="AP35" s="53" t="s">
        <v>114</v>
      </c>
      <c r="AQ35" s="53" t="s">
        <v>114</v>
      </c>
      <c r="AR35" s="53" t="s">
        <v>114</v>
      </c>
      <c r="AS35" s="53" t="s">
        <v>114</v>
      </c>
      <c r="AT35" s="53" t="s">
        <v>114</v>
      </c>
      <c r="AU35" s="53" t="s">
        <v>114</v>
      </c>
      <c r="AV35" s="53" t="s">
        <v>114</v>
      </c>
      <c r="AW35" s="53" t="s">
        <v>114</v>
      </c>
      <c r="AX35" s="53" t="s">
        <v>114</v>
      </c>
      <c r="AY35" s="53">
        <v>55</v>
      </c>
      <c r="AZ35" s="53" t="s">
        <v>114</v>
      </c>
      <c r="BA35" s="53" t="s">
        <v>114</v>
      </c>
      <c r="BB35" s="53" t="s">
        <v>114</v>
      </c>
      <c r="BC35" s="53">
        <v>21</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
      <c r="A36" s="53" t="s">
        <v>115</v>
      </c>
      <c r="B36" s="53" t="s">
        <v>114</v>
      </c>
      <c r="C36" s="53" t="s">
        <v>114</v>
      </c>
      <c r="D36" s="53" t="s">
        <v>114</v>
      </c>
      <c r="E36" s="53">
        <v>114</v>
      </c>
      <c r="F36" s="53" t="s">
        <v>114</v>
      </c>
      <c r="G36" s="53">
        <v>30</v>
      </c>
      <c r="H36" s="53" t="s">
        <v>114</v>
      </c>
      <c r="I36" s="53">
        <v>0</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t="s">
        <v>114</v>
      </c>
      <c r="AB36" s="53" t="s">
        <v>114</v>
      </c>
      <c r="AC36" s="53" t="s">
        <v>114</v>
      </c>
      <c r="AD36" s="53" t="s">
        <v>114</v>
      </c>
      <c r="AE36" s="53" t="s">
        <v>114</v>
      </c>
      <c r="AF36" s="53" t="s">
        <v>114</v>
      </c>
      <c r="AG36" s="53" t="s">
        <v>114</v>
      </c>
      <c r="AH36" s="53" t="s">
        <v>114</v>
      </c>
      <c r="AI36" s="53">
        <v>20</v>
      </c>
      <c r="AJ36" s="53" t="s">
        <v>114</v>
      </c>
      <c r="AK36" s="53">
        <v>138</v>
      </c>
      <c r="AL36" s="53" t="s">
        <v>114</v>
      </c>
      <c r="AM36" s="53" t="s">
        <v>114</v>
      </c>
      <c r="AN36" s="53" t="s">
        <v>114</v>
      </c>
      <c r="AO36" s="53">
        <v>0</v>
      </c>
      <c r="AP36" s="53" t="s">
        <v>114</v>
      </c>
      <c r="AQ36" s="53" t="s">
        <v>114</v>
      </c>
      <c r="AR36" s="53" t="s">
        <v>114</v>
      </c>
      <c r="AS36" s="53" t="s">
        <v>114</v>
      </c>
      <c r="AT36" s="53" t="s">
        <v>114</v>
      </c>
      <c r="AU36" s="53" t="s">
        <v>114</v>
      </c>
      <c r="AV36" s="53" t="s">
        <v>114</v>
      </c>
      <c r="AW36" s="53" t="s">
        <v>114</v>
      </c>
      <c r="AX36" s="53" t="s">
        <v>114</v>
      </c>
      <c r="AY36" s="53">
        <v>51</v>
      </c>
      <c r="AZ36" s="53" t="s">
        <v>114</v>
      </c>
      <c r="BA36" s="53" t="s">
        <v>114</v>
      </c>
      <c r="BB36" s="53" t="s">
        <v>114</v>
      </c>
      <c r="BC36" s="53">
        <v>33</v>
      </c>
      <c r="BD36" s="53" t="s">
        <v>114</v>
      </c>
      <c r="BE36" s="53">
        <v>0</v>
      </c>
      <c r="BF36" s="53" t="s">
        <v>114</v>
      </c>
      <c r="BG36" s="53" t="s">
        <v>114</v>
      </c>
      <c r="BH36" s="53" t="s">
        <v>114</v>
      </c>
      <c r="BI36" s="53" t="s">
        <v>114</v>
      </c>
      <c r="BJ36" s="53" t="s">
        <v>114</v>
      </c>
      <c r="BK36" s="53" t="s">
        <v>114</v>
      </c>
      <c r="BL36" s="53" t="s">
        <v>114</v>
      </c>
      <c r="BM36"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12C8-166B-4565-BBFF-570B775A0911}">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155</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91</v>
      </c>
      <c r="J14" s="54" t="s">
        <v>143</v>
      </c>
      <c r="K14" s="54" t="s">
        <v>142</v>
      </c>
      <c r="L14" s="54" t="s">
        <v>141</v>
      </c>
      <c r="M14" s="54" t="s">
        <v>140</v>
      </c>
      <c r="N14" s="54" t="s">
        <v>139</v>
      </c>
      <c r="O14" s="54" t="s">
        <v>138</v>
      </c>
      <c r="P14" s="54" t="s">
        <v>137</v>
      </c>
      <c r="Q14" s="54" t="s">
        <v>91</v>
      </c>
      <c r="R14" s="54" t="s">
        <v>143</v>
      </c>
      <c r="S14" s="54" t="s">
        <v>142</v>
      </c>
      <c r="T14" s="54" t="s">
        <v>141</v>
      </c>
      <c r="U14" s="54" t="s">
        <v>140</v>
      </c>
      <c r="V14" s="54" t="s">
        <v>139</v>
      </c>
      <c r="W14" s="54" t="s">
        <v>138</v>
      </c>
      <c r="X14" s="54" t="s">
        <v>137</v>
      </c>
      <c r="Y14" s="54" t="s">
        <v>91</v>
      </c>
      <c r="Z14" s="54" t="s">
        <v>143</v>
      </c>
      <c r="AA14" s="54" t="s">
        <v>142</v>
      </c>
      <c r="AB14" s="54" t="s">
        <v>141</v>
      </c>
      <c r="AC14" s="54" t="s">
        <v>140</v>
      </c>
      <c r="AD14" s="54" t="s">
        <v>139</v>
      </c>
      <c r="AE14" s="54" t="s">
        <v>138</v>
      </c>
      <c r="AF14" s="54" t="s">
        <v>137</v>
      </c>
      <c r="AG14" s="54" t="s">
        <v>91</v>
      </c>
      <c r="AH14" s="54" t="s">
        <v>143</v>
      </c>
      <c r="AI14" s="54" t="s">
        <v>142</v>
      </c>
      <c r="AJ14" s="54" t="s">
        <v>141</v>
      </c>
      <c r="AK14" s="54" t="s">
        <v>140</v>
      </c>
      <c r="AL14" s="54" t="s">
        <v>139</v>
      </c>
      <c r="AM14" s="54" t="s">
        <v>138</v>
      </c>
      <c r="AN14" s="54" t="s">
        <v>137</v>
      </c>
      <c r="AO14" s="54" t="s">
        <v>91</v>
      </c>
      <c r="AP14" s="54" t="s">
        <v>143</v>
      </c>
      <c r="AQ14" s="54" t="s">
        <v>142</v>
      </c>
      <c r="AR14" s="54" t="s">
        <v>141</v>
      </c>
      <c r="AS14" s="54" t="s">
        <v>140</v>
      </c>
      <c r="AT14" s="54" t="s">
        <v>139</v>
      </c>
      <c r="AU14" s="54" t="s">
        <v>138</v>
      </c>
      <c r="AV14" s="54" t="s">
        <v>137</v>
      </c>
      <c r="AW14" s="54" t="s">
        <v>91</v>
      </c>
      <c r="AX14" s="54" t="s">
        <v>143</v>
      </c>
      <c r="AY14" s="54" t="s">
        <v>142</v>
      </c>
      <c r="AZ14" s="54" t="s">
        <v>141</v>
      </c>
      <c r="BA14" s="54" t="s">
        <v>140</v>
      </c>
      <c r="BB14" s="54" t="s">
        <v>139</v>
      </c>
      <c r="BC14" s="54" t="s">
        <v>138</v>
      </c>
      <c r="BD14" s="54" t="s">
        <v>137</v>
      </c>
      <c r="BE14" s="54" t="s">
        <v>91</v>
      </c>
      <c r="BF14" s="54" t="s">
        <v>143</v>
      </c>
      <c r="BG14" s="54" t="s">
        <v>142</v>
      </c>
      <c r="BH14" s="54" t="s">
        <v>141</v>
      </c>
      <c r="BI14" s="54" t="s">
        <v>140</v>
      </c>
      <c r="BJ14" s="54" t="s">
        <v>139</v>
      </c>
      <c r="BK14" s="54" t="s">
        <v>138</v>
      </c>
      <c r="BL14" s="54" t="s">
        <v>137</v>
      </c>
      <c r="BM14" s="54" t="s">
        <v>91</v>
      </c>
    </row>
    <row r="15" spans="1:65" ht="15" customHeight="1" x14ac:dyDescent="0.2">
      <c r="A15" s="53" t="s">
        <v>136</v>
      </c>
      <c r="B15" s="53" t="s">
        <v>114</v>
      </c>
      <c r="C15" s="53" t="s">
        <v>114</v>
      </c>
      <c r="D15" s="53" t="s">
        <v>114</v>
      </c>
      <c r="E15" s="53">
        <v>15</v>
      </c>
      <c r="F15" s="53" t="s">
        <v>114</v>
      </c>
      <c r="G15" s="53">
        <v>2</v>
      </c>
      <c r="H15" s="53" t="s">
        <v>114</v>
      </c>
      <c r="I15" s="53">
        <v>1</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t="s">
        <v>114</v>
      </c>
      <c r="AB15" s="53" t="s">
        <v>114</v>
      </c>
      <c r="AC15" s="53" t="s">
        <v>114</v>
      </c>
      <c r="AD15" s="53" t="s">
        <v>114</v>
      </c>
      <c r="AE15" s="53" t="s">
        <v>114</v>
      </c>
      <c r="AF15" s="53" t="s">
        <v>114</v>
      </c>
      <c r="AG15" s="53" t="s">
        <v>114</v>
      </c>
      <c r="AH15" s="53" t="s">
        <v>114</v>
      </c>
      <c r="AI15" s="53">
        <v>1</v>
      </c>
      <c r="AJ15" s="53" t="s">
        <v>114</v>
      </c>
      <c r="AK15" s="53">
        <v>1</v>
      </c>
      <c r="AL15" s="53" t="s">
        <v>114</v>
      </c>
      <c r="AM15" s="53" t="s">
        <v>114</v>
      </c>
      <c r="AN15" s="53" t="s">
        <v>114</v>
      </c>
      <c r="AO15" s="53">
        <v>0</v>
      </c>
      <c r="AP15" s="53" t="s">
        <v>114</v>
      </c>
      <c r="AQ15" s="53" t="s">
        <v>114</v>
      </c>
      <c r="AR15" s="53" t="s">
        <v>114</v>
      </c>
      <c r="AS15" s="53" t="s">
        <v>114</v>
      </c>
      <c r="AT15" s="53" t="s">
        <v>114</v>
      </c>
      <c r="AU15" s="53" t="s">
        <v>114</v>
      </c>
      <c r="AV15" s="53" t="s">
        <v>114</v>
      </c>
      <c r="AW15" s="53" t="s">
        <v>114</v>
      </c>
      <c r="AX15" s="53" t="s">
        <v>114</v>
      </c>
      <c r="AY15" s="53">
        <v>4</v>
      </c>
      <c r="AZ15" s="53" t="s">
        <v>114</v>
      </c>
      <c r="BA15" s="53" t="s">
        <v>114</v>
      </c>
      <c r="BB15" s="53" t="s">
        <v>114</v>
      </c>
      <c r="BC15" s="53">
        <v>4</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
      <c r="A16" s="53" t="s">
        <v>135</v>
      </c>
      <c r="B16" s="53" t="s">
        <v>114</v>
      </c>
      <c r="C16" s="53" t="s">
        <v>114</v>
      </c>
      <c r="D16" s="53" t="s">
        <v>114</v>
      </c>
      <c r="E16" s="53">
        <v>19</v>
      </c>
      <c r="F16" s="53" t="s">
        <v>114</v>
      </c>
      <c r="G16" s="53">
        <v>5</v>
      </c>
      <c r="H16" s="53" t="s">
        <v>114</v>
      </c>
      <c r="I16" s="53">
        <v>0</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t="s">
        <v>114</v>
      </c>
      <c r="AB16" s="53" t="s">
        <v>114</v>
      </c>
      <c r="AC16" s="53" t="s">
        <v>114</v>
      </c>
      <c r="AD16" s="53" t="s">
        <v>114</v>
      </c>
      <c r="AE16" s="53" t="s">
        <v>114</v>
      </c>
      <c r="AF16" s="53" t="s">
        <v>114</v>
      </c>
      <c r="AG16" s="53" t="s">
        <v>114</v>
      </c>
      <c r="AH16" s="53" t="s">
        <v>114</v>
      </c>
      <c r="AI16" s="53">
        <v>4</v>
      </c>
      <c r="AJ16" s="53" t="s">
        <v>114</v>
      </c>
      <c r="AK16" s="53">
        <v>5</v>
      </c>
      <c r="AL16" s="53" t="s">
        <v>114</v>
      </c>
      <c r="AM16" s="53" t="s">
        <v>114</v>
      </c>
      <c r="AN16" s="53" t="s">
        <v>114</v>
      </c>
      <c r="AO16" s="53">
        <v>0</v>
      </c>
      <c r="AP16" s="53" t="s">
        <v>114</v>
      </c>
      <c r="AQ16" s="53" t="s">
        <v>114</v>
      </c>
      <c r="AR16" s="53" t="s">
        <v>114</v>
      </c>
      <c r="AS16" s="53" t="s">
        <v>114</v>
      </c>
      <c r="AT16" s="53" t="s">
        <v>114</v>
      </c>
      <c r="AU16" s="53" t="s">
        <v>114</v>
      </c>
      <c r="AV16" s="53" t="s">
        <v>114</v>
      </c>
      <c r="AW16" s="53" t="s">
        <v>114</v>
      </c>
      <c r="AX16" s="53" t="s">
        <v>114</v>
      </c>
      <c r="AY16" s="53">
        <v>4</v>
      </c>
      <c r="AZ16" s="53" t="s">
        <v>114</v>
      </c>
      <c r="BA16" s="53" t="s">
        <v>114</v>
      </c>
      <c r="BB16" s="53" t="s">
        <v>114</v>
      </c>
      <c r="BC16" s="53">
        <v>2</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
      <c r="A17" s="53" t="s">
        <v>134</v>
      </c>
      <c r="B17" s="53" t="s">
        <v>114</v>
      </c>
      <c r="C17" s="53" t="s">
        <v>114</v>
      </c>
      <c r="D17" s="53" t="s">
        <v>114</v>
      </c>
      <c r="E17" s="53">
        <v>16</v>
      </c>
      <c r="F17" s="53" t="s">
        <v>114</v>
      </c>
      <c r="G17" s="53">
        <v>5</v>
      </c>
      <c r="H17" s="53" t="s">
        <v>114</v>
      </c>
      <c r="I17" s="53">
        <v>0</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t="s">
        <v>114</v>
      </c>
      <c r="AB17" s="53" t="s">
        <v>114</v>
      </c>
      <c r="AC17" s="53" t="s">
        <v>114</v>
      </c>
      <c r="AD17" s="53" t="s">
        <v>114</v>
      </c>
      <c r="AE17" s="53" t="s">
        <v>114</v>
      </c>
      <c r="AF17" s="53" t="s">
        <v>114</v>
      </c>
      <c r="AG17" s="53" t="s">
        <v>114</v>
      </c>
      <c r="AH17" s="53" t="s">
        <v>114</v>
      </c>
      <c r="AI17" s="53">
        <v>1</v>
      </c>
      <c r="AJ17" s="53" t="s">
        <v>114</v>
      </c>
      <c r="AK17" s="53">
        <v>6</v>
      </c>
      <c r="AL17" s="53" t="s">
        <v>114</v>
      </c>
      <c r="AM17" s="53" t="s">
        <v>114</v>
      </c>
      <c r="AN17" s="53" t="s">
        <v>114</v>
      </c>
      <c r="AO17" s="53">
        <v>0</v>
      </c>
      <c r="AP17" s="53" t="s">
        <v>114</v>
      </c>
      <c r="AQ17" s="53" t="s">
        <v>114</v>
      </c>
      <c r="AR17" s="53" t="s">
        <v>114</v>
      </c>
      <c r="AS17" s="53" t="s">
        <v>114</v>
      </c>
      <c r="AT17" s="53" t="s">
        <v>114</v>
      </c>
      <c r="AU17" s="53" t="s">
        <v>114</v>
      </c>
      <c r="AV17" s="53" t="s">
        <v>114</v>
      </c>
      <c r="AW17" s="53" t="s">
        <v>114</v>
      </c>
      <c r="AX17" s="53" t="s">
        <v>114</v>
      </c>
      <c r="AY17" s="53">
        <v>2</v>
      </c>
      <c r="AZ17" s="53" t="s">
        <v>114</v>
      </c>
      <c r="BA17" s="53" t="s">
        <v>114</v>
      </c>
      <c r="BB17" s="53" t="s">
        <v>114</v>
      </c>
      <c r="BC17" s="53">
        <v>5</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
      <c r="A18" s="53" t="s">
        <v>133</v>
      </c>
      <c r="B18" s="53" t="s">
        <v>114</v>
      </c>
      <c r="C18" s="53" t="s">
        <v>114</v>
      </c>
      <c r="D18" s="53" t="s">
        <v>114</v>
      </c>
      <c r="E18" s="53">
        <v>9</v>
      </c>
      <c r="F18" s="53" t="s">
        <v>114</v>
      </c>
      <c r="G18" s="53">
        <v>1</v>
      </c>
      <c r="H18" s="53" t="s">
        <v>114</v>
      </c>
      <c r="I18" s="53">
        <v>0</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t="s">
        <v>114</v>
      </c>
      <c r="AB18" s="53" t="s">
        <v>114</v>
      </c>
      <c r="AC18" s="53" t="s">
        <v>114</v>
      </c>
      <c r="AD18" s="53" t="s">
        <v>114</v>
      </c>
      <c r="AE18" s="53" t="s">
        <v>114</v>
      </c>
      <c r="AF18" s="53" t="s">
        <v>114</v>
      </c>
      <c r="AG18" s="53" t="s">
        <v>114</v>
      </c>
      <c r="AH18" s="53" t="s">
        <v>114</v>
      </c>
      <c r="AI18" s="53">
        <v>3</v>
      </c>
      <c r="AJ18" s="53" t="s">
        <v>114</v>
      </c>
      <c r="AK18" s="53">
        <v>6</v>
      </c>
      <c r="AL18" s="53" t="s">
        <v>114</v>
      </c>
      <c r="AM18" s="53" t="s">
        <v>114</v>
      </c>
      <c r="AN18" s="53" t="s">
        <v>114</v>
      </c>
      <c r="AO18" s="53">
        <v>0</v>
      </c>
      <c r="AP18" s="53" t="s">
        <v>114</v>
      </c>
      <c r="AQ18" s="53" t="s">
        <v>114</v>
      </c>
      <c r="AR18" s="53" t="s">
        <v>114</v>
      </c>
      <c r="AS18" s="53" t="s">
        <v>114</v>
      </c>
      <c r="AT18" s="53" t="s">
        <v>114</v>
      </c>
      <c r="AU18" s="53" t="s">
        <v>114</v>
      </c>
      <c r="AV18" s="53" t="s">
        <v>114</v>
      </c>
      <c r="AW18" s="53" t="s">
        <v>114</v>
      </c>
      <c r="AX18" s="53" t="s">
        <v>114</v>
      </c>
      <c r="AY18" s="53">
        <v>3</v>
      </c>
      <c r="AZ18" s="53" t="s">
        <v>114</v>
      </c>
      <c r="BA18" s="53" t="s">
        <v>114</v>
      </c>
      <c r="BB18" s="53" t="s">
        <v>114</v>
      </c>
      <c r="BC18" s="53">
        <v>3</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
      <c r="A19" s="53" t="s">
        <v>132</v>
      </c>
      <c r="B19" s="53" t="s">
        <v>114</v>
      </c>
      <c r="C19" s="53" t="s">
        <v>114</v>
      </c>
      <c r="D19" s="53" t="s">
        <v>114</v>
      </c>
      <c r="E19" s="53">
        <v>5</v>
      </c>
      <c r="F19" s="53" t="s">
        <v>114</v>
      </c>
      <c r="G19" s="53">
        <v>4</v>
      </c>
      <c r="H19" s="53" t="s">
        <v>114</v>
      </c>
      <c r="I19" s="53">
        <v>0</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t="s">
        <v>114</v>
      </c>
      <c r="AB19" s="53" t="s">
        <v>114</v>
      </c>
      <c r="AC19" s="53" t="s">
        <v>114</v>
      </c>
      <c r="AD19" s="53" t="s">
        <v>114</v>
      </c>
      <c r="AE19" s="53" t="s">
        <v>114</v>
      </c>
      <c r="AF19" s="53" t="s">
        <v>114</v>
      </c>
      <c r="AG19" s="53" t="s">
        <v>114</v>
      </c>
      <c r="AH19" s="53" t="s">
        <v>114</v>
      </c>
      <c r="AI19" s="53">
        <v>0</v>
      </c>
      <c r="AJ19" s="53" t="s">
        <v>114</v>
      </c>
      <c r="AK19" s="53">
        <v>9</v>
      </c>
      <c r="AL19" s="53" t="s">
        <v>114</v>
      </c>
      <c r="AM19" s="53" t="s">
        <v>114</v>
      </c>
      <c r="AN19" s="53" t="s">
        <v>114</v>
      </c>
      <c r="AO19" s="53">
        <v>0</v>
      </c>
      <c r="AP19" s="53" t="s">
        <v>114</v>
      </c>
      <c r="AQ19" s="53" t="s">
        <v>114</v>
      </c>
      <c r="AR19" s="53" t="s">
        <v>114</v>
      </c>
      <c r="AS19" s="53" t="s">
        <v>114</v>
      </c>
      <c r="AT19" s="53" t="s">
        <v>114</v>
      </c>
      <c r="AU19" s="53" t="s">
        <v>114</v>
      </c>
      <c r="AV19" s="53" t="s">
        <v>114</v>
      </c>
      <c r="AW19" s="53" t="s">
        <v>114</v>
      </c>
      <c r="AX19" s="53" t="s">
        <v>114</v>
      </c>
      <c r="AY19" s="53">
        <v>2</v>
      </c>
      <c r="AZ19" s="53" t="s">
        <v>114</v>
      </c>
      <c r="BA19" s="53" t="s">
        <v>114</v>
      </c>
      <c r="BB19" s="53" t="s">
        <v>114</v>
      </c>
      <c r="BC19" s="53">
        <v>3</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
      <c r="A20" s="53" t="s">
        <v>131</v>
      </c>
      <c r="B20" s="53" t="s">
        <v>114</v>
      </c>
      <c r="C20" s="53" t="s">
        <v>114</v>
      </c>
      <c r="D20" s="53" t="s">
        <v>114</v>
      </c>
      <c r="E20" s="53">
        <v>10</v>
      </c>
      <c r="F20" s="53" t="s">
        <v>114</v>
      </c>
      <c r="G20" s="53">
        <v>3</v>
      </c>
      <c r="H20" s="53" t="s">
        <v>114</v>
      </c>
      <c r="I20" s="53">
        <v>0</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t="s">
        <v>114</v>
      </c>
      <c r="AB20" s="53" t="s">
        <v>114</v>
      </c>
      <c r="AC20" s="53" t="s">
        <v>114</v>
      </c>
      <c r="AD20" s="53" t="s">
        <v>114</v>
      </c>
      <c r="AE20" s="53" t="s">
        <v>114</v>
      </c>
      <c r="AF20" s="53" t="s">
        <v>114</v>
      </c>
      <c r="AG20" s="53" t="s">
        <v>114</v>
      </c>
      <c r="AH20" s="53" t="s">
        <v>114</v>
      </c>
      <c r="AI20" s="53">
        <v>6</v>
      </c>
      <c r="AJ20" s="53" t="s">
        <v>114</v>
      </c>
      <c r="AK20" s="53">
        <v>4</v>
      </c>
      <c r="AL20" s="53" t="s">
        <v>114</v>
      </c>
      <c r="AM20" s="53" t="s">
        <v>114</v>
      </c>
      <c r="AN20" s="53" t="s">
        <v>114</v>
      </c>
      <c r="AO20" s="53">
        <v>0</v>
      </c>
      <c r="AP20" s="53" t="s">
        <v>114</v>
      </c>
      <c r="AQ20" s="53" t="s">
        <v>114</v>
      </c>
      <c r="AR20" s="53" t="s">
        <v>114</v>
      </c>
      <c r="AS20" s="53" t="s">
        <v>114</v>
      </c>
      <c r="AT20" s="53" t="s">
        <v>114</v>
      </c>
      <c r="AU20" s="53" t="s">
        <v>114</v>
      </c>
      <c r="AV20" s="53" t="s">
        <v>114</v>
      </c>
      <c r="AW20" s="53" t="s">
        <v>114</v>
      </c>
      <c r="AX20" s="53" t="s">
        <v>114</v>
      </c>
      <c r="AY20" s="53">
        <v>4</v>
      </c>
      <c r="AZ20" s="53" t="s">
        <v>114</v>
      </c>
      <c r="BA20" s="53" t="s">
        <v>114</v>
      </c>
      <c r="BB20" s="53" t="s">
        <v>114</v>
      </c>
      <c r="BC20" s="53">
        <v>3</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
      <c r="A21" s="53" t="s">
        <v>130</v>
      </c>
      <c r="B21" s="53" t="s">
        <v>114</v>
      </c>
      <c r="C21" s="53" t="s">
        <v>114</v>
      </c>
      <c r="D21" s="53" t="s">
        <v>114</v>
      </c>
      <c r="E21" s="53">
        <v>4</v>
      </c>
      <c r="F21" s="53" t="s">
        <v>114</v>
      </c>
      <c r="G21" s="53">
        <v>3</v>
      </c>
      <c r="H21" s="53" t="s">
        <v>114</v>
      </c>
      <c r="I21" s="53">
        <v>0</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t="s">
        <v>114</v>
      </c>
      <c r="AB21" s="53" t="s">
        <v>114</v>
      </c>
      <c r="AC21" s="53" t="s">
        <v>114</v>
      </c>
      <c r="AD21" s="53" t="s">
        <v>114</v>
      </c>
      <c r="AE21" s="53" t="s">
        <v>114</v>
      </c>
      <c r="AF21" s="53" t="s">
        <v>114</v>
      </c>
      <c r="AG21" s="53" t="s">
        <v>114</v>
      </c>
      <c r="AH21" s="53" t="s">
        <v>114</v>
      </c>
      <c r="AI21" s="53">
        <v>2</v>
      </c>
      <c r="AJ21" s="53" t="s">
        <v>114</v>
      </c>
      <c r="AK21" s="53">
        <v>4</v>
      </c>
      <c r="AL21" s="53" t="s">
        <v>114</v>
      </c>
      <c r="AM21" s="53" t="s">
        <v>114</v>
      </c>
      <c r="AN21" s="53" t="s">
        <v>114</v>
      </c>
      <c r="AO21" s="53">
        <v>0</v>
      </c>
      <c r="AP21" s="53" t="s">
        <v>114</v>
      </c>
      <c r="AQ21" s="53" t="s">
        <v>114</v>
      </c>
      <c r="AR21" s="53" t="s">
        <v>114</v>
      </c>
      <c r="AS21" s="53" t="s">
        <v>114</v>
      </c>
      <c r="AT21" s="53" t="s">
        <v>114</v>
      </c>
      <c r="AU21" s="53" t="s">
        <v>114</v>
      </c>
      <c r="AV21" s="53" t="s">
        <v>114</v>
      </c>
      <c r="AW21" s="53" t="s">
        <v>114</v>
      </c>
      <c r="AX21" s="53" t="s">
        <v>114</v>
      </c>
      <c r="AY21" s="53">
        <v>2</v>
      </c>
      <c r="AZ21" s="53" t="s">
        <v>114</v>
      </c>
      <c r="BA21" s="53" t="s">
        <v>114</v>
      </c>
      <c r="BB21" s="53" t="s">
        <v>114</v>
      </c>
      <c r="BC21" s="53">
        <v>1</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
      <c r="A22" s="53" t="s">
        <v>129</v>
      </c>
      <c r="B22" s="53" t="s">
        <v>114</v>
      </c>
      <c r="C22" s="53" t="s">
        <v>114</v>
      </c>
      <c r="D22" s="53" t="s">
        <v>114</v>
      </c>
      <c r="E22" s="53">
        <v>4</v>
      </c>
      <c r="F22" s="53" t="s">
        <v>114</v>
      </c>
      <c r="G22" s="53">
        <v>3</v>
      </c>
      <c r="H22" s="53" t="s">
        <v>114</v>
      </c>
      <c r="I22" s="53">
        <v>0</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t="s">
        <v>114</v>
      </c>
      <c r="AB22" s="53" t="s">
        <v>114</v>
      </c>
      <c r="AC22" s="53" t="s">
        <v>114</v>
      </c>
      <c r="AD22" s="53" t="s">
        <v>114</v>
      </c>
      <c r="AE22" s="53" t="s">
        <v>114</v>
      </c>
      <c r="AF22" s="53" t="s">
        <v>114</v>
      </c>
      <c r="AG22" s="53" t="s">
        <v>114</v>
      </c>
      <c r="AH22" s="53" t="s">
        <v>114</v>
      </c>
      <c r="AI22" s="53">
        <v>1</v>
      </c>
      <c r="AJ22" s="53" t="s">
        <v>114</v>
      </c>
      <c r="AK22" s="53">
        <v>5</v>
      </c>
      <c r="AL22" s="53" t="s">
        <v>114</v>
      </c>
      <c r="AM22" s="53" t="s">
        <v>114</v>
      </c>
      <c r="AN22" s="53" t="s">
        <v>114</v>
      </c>
      <c r="AO22" s="53">
        <v>0</v>
      </c>
      <c r="AP22" s="53" t="s">
        <v>114</v>
      </c>
      <c r="AQ22" s="53" t="s">
        <v>114</v>
      </c>
      <c r="AR22" s="53" t="s">
        <v>114</v>
      </c>
      <c r="AS22" s="53" t="s">
        <v>114</v>
      </c>
      <c r="AT22" s="53" t="s">
        <v>114</v>
      </c>
      <c r="AU22" s="53" t="s">
        <v>114</v>
      </c>
      <c r="AV22" s="53" t="s">
        <v>114</v>
      </c>
      <c r="AW22" s="53" t="s">
        <v>114</v>
      </c>
      <c r="AX22" s="53" t="s">
        <v>114</v>
      </c>
      <c r="AY22" s="53">
        <v>4</v>
      </c>
      <c r="AZ22" s="53" t="s">
        <v>114</v>
      </c>
      <c r="BA22" s="53" t="s">
        <v>114</v>
      </c>
      <c r="BB22" s="53" t="s">
        <v>114</v>
      </c>
      <c r="BC22" s="53">
        <v>1</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
      <c r="A23" s="53" t="s">
        <v>128</v>
      </c>
      <c r="B23" s="53" t="s">
        <v>114</v>
      </c>
      <c r="C23" s="53" t="s">
        <v>114</v>
      </c>
      <c r="D23" s="53" t="s">
        <v>114</v>
      </c>
      <c r="E23" s="53">
        <v>0</v>
      </c>
      <c r="F23" s="53" t="s">
        <v>114</v>
      </c>
      <c r="G23" s="53">
        <v>0</v>
      </c>
      <c r="H23" s="53" t="s">
        <v>114</v>
      </c>
      <c r="I23" s="53">
        <v>0</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t="s">
        <v>114</v>
      </c>
      <c r="AB23" s="53" t="s">
        <v>114</v>
      </c>
      <c r="AC23" s="53" t="s">
        <v>114</v>
      </c>
      <c r="AD23" s="53" t="s">
        <v>114</v>
      </c>
      <c r="AE23" s="53" t="s">
        <v>114</v>
      </c>
      <c r="AF23" s="53" t="s">
        <v>114</v>
      </c>
      <c r="AG23" s="53" t="s">
        <v>114</v>
      </c>
      <c r="AH23" s="53" t="s">
        <v>114</v>
      </c>
      <c r="AI23" s="53">
        <v>0</v>
      </c>
      <c r="AJ23" s="53" t="s">
        <v>114</v>
      </c>
      <c r="AK23" s="53">
        <v>0</v>
      </c>
      <c r="AL23" s="53" t="s">
        <v>114</v>
      </c>
      <c r="AM23" s="53" t="s">
        <v>114</v>
      </c>
      <c r="AN23" s="53" t="s">
        <v>114</v>
      </c>
      <c r="AO23" s="53">
        <v>0</v>
      </c>
      <c r="AP23" s="53" t="s">
        <v>114</v>
      </c>
      <c r="AQ23" s="53" t="s">
        <v>114</v>
      </c>
      <c r="AR23" s="53" t="s">
        <v>114</v>
      </c>
      <c r="AS23" s="53" t="s">
        <v>114</v>
      </c>
      <c r="AT23" s="53" t="s">
        <v>114</v>
      </c>
      <c r="AU23" s="53" t="s">
        <v>114</v>
      </c>
      <c r="AV23" s="53" t="s">
        <v>114</v>
      </c>
      <c r="AW23" s="53" t="s">
        <v>114</v>
      </c>
      <c r="AX23" s="53" t="s">
        <v>114</v>
      </c>
      <c r="AY23" s="53">
        <v>0</v>
      </c>
      <c r="AZ23" s="53" t="s">
        <v>114</v>
      </c>
      <c r="BA23" s="53" t="s">
        <v>114</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
      <c r="A24" s="53" t="s">
        <v>127</v>
      </c>
      <c r="B24" s="53" t="s">
        <v>114</v>
      </c>
      <c r="C24" s="53" t="s">
        <v>114</v>
      </c>
      <c r="D24" s="53" t="s">
        <v>114</v>
      </c>
      <c r="E24" s="53">
        <v>2</v>
      </c>
      <c r="F24" s="53" t="s">
        <v>114</v>
      </c>
      <c r="G24" s="53">
        <v>1</v>
      </c>
      <c r="H24" s="53" t="s">
        <v>114</v>
      </c>
      <c r="I24" s="53">
        <v>0</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t="s">
        <v>114</v>
      </c>
      <c r="AB24" s="53" t="s">
        <v>114</v>
      </c>
      <c r="AC24" s="53" t="s">
        <v>114</v>
      </c>
      <c r="AD24" s="53" t="s">
        <v>114</v>
      </c>
      <c r="AE24" s="53" t="s">
        <v>114</v>
      </c>
      <c r="AF24" s="53" t="s">
        <v>114</v>
      </c>
      <c r="AG24" s="53" t="s">
        <v>114</v>
      </c>
      <c r="AH24" s="53" t="s">
        <v>114</v>
      </c>
      <c r="AI24" s="53">
        <v>2</v>
      </c>
      <c r="AJ24" s="53" t="s">
        <v>114</v>
      </c>
      <c r="AK24" s="53">
        <v>6</v>
      </c>
      <c r="AL24" s="53" t="s">
        <v>114</v>
      </c>
      <c r="AM24" s="53" t="s">
        <v>114</v>
      </c>
      <c r="AN24" s="53" t="s">
        <v>114</v>
      </c>
      <c r="AO24" s="53">
        <v>0</v>
      </c>
      <c r="AP24" s="53" t="s">
        <v>114</v>
      </c>
      <c r="AQ24" s="53" t="s">
        <v>114</v>
      </c>
      <c r="AR24" s="53" t="s">
        <v>114</v>
      </c>
      <c r="AS24" s="53" t="s">
        <v>114</v>
      </c>
      <c r="AT24" s="53" t="s">
        <v>114</v>
      </c>
      <c r="AU24" s="53" t="s">
        <v>114</v>
      </c>
      <c r="AV24" s="53" t="s">
        <v>114</v>
      </c>
      <c r="AW24" s="53" t="s">
        <v>114</v>
      </c>
      <c r="AX24" s="53" t="s">
        <v>114</v>
      </c>
      <c r="AY24" s="53">
        <v>5</v>
      </c>
      <c r="AZ24" s="53" t="s">
        <v>114</v>
      </c>
      <c r="BA24" s="53" t="s">
        <v>114</v>
      </c>
      <c r="BB24" s="53" t="s">
        <v>114</v>
      </c>
      <c r="BC24" s="53">
        <v>1</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
      <c r="A25" s="53" t="s">
        <v>126</v>
      </c>
      <c r="B25" s="53" t="s">
        <v>114</v>
      </c>
      <c r="C25" s="53" t="s">
        <v>114</v>
      </c>
      <c r="D25" s="53" t="s">
        <v>114</v>
      </c>
      <c r="E25" s="53">
        <v>6</v>
      </c>
      <c r="F25" s="53" t="s">
        <v>114</v>
      </c>
      <c r="G25" s="53">
        <v>4</v>
      </c>
      <c r="H25" s="53" t="s">
        <v>114</v>
      </c>
      <c r="I25" s="53">
        <v>0</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t="s">
        <v>114</v>
      </c>
      <c r="AB25" s="53" t="s">
        <v>114</v>
      </c>
      <c r="AC25" s="53" t="s">
        <v>114</v>
      </c>
      <c r="AD25" s="53" t="s">
        <v>114</v>
      </c>
      <c r="AE25" s="53" t="s">
        <v>114</v>
      </c>
      <c r="AF25" s="53" t="s">
        <v>114</v>
      </c>
      <c r="AG25" s="53" t="s">
        <v>114</v>
      </c>
      <c r="AH25" s="53" t="s">
        <v>114</v>
      </c>
      <c r="AI25" s="53">
        <v>2</v>
      </c>
      <c r="AJ25" s="53" t="s">
        <v>114</v>
      </c>
      <c r="AK25" s="53">
        <v>3</v>
      </c>
      <c r="AL25" s="53" t="s">
        <v>114</v>
      </c>
      <c r="AM25" s="53" t="s">
        <v>114</v>
      </c>
      <c r="AN25" s="53" t="s">
        <v>114</v>
      </c>
      <c r="AO25" s="53">
        <v>0</v>
      </c>
      <c r="AP25" s="53" t="s">
        <v>114</v>
      </c>
      <c r="AQ25" s="53" t="s">
        <v>114</v>
      </c>
      <c r="AR25" s="53" t="s">
        <v>114</v>
      </c>
      <c r="AS25" s="53" t="s">
        <v>114</v>
      </c>
      <c r="AT25" s="53" t="s">
        <v>114</v>
      </c>
      <c r="AU25" s="53" t="s">
        <v>114</v>
      </c>
      <c r="AV25" s="53" t="s">
        <v>114</v>
      </c>
      <c r="AW25" s="53" t="s">
        <v>114</v>
      </c>
      <c r="AX25" s="53" t="s">
        <v>114</v>
      </c>
      <c r="AY25" s="53">
        <v>1</v>
      </c>
      <c r="AZ25" s="53" t="s">
        <v>114</v>
      </c>
      <c r="BA25" s="53" t="s">
        <v>114</v>
      </c>
      <c r="BB25" s="53" t="s">
        <v>114</v>
      </c>
      <c r="BC25" s="53">
        <v>3</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
      <c r="A26" s="53" t="s">
        <v>125</v>
      </c>
      <c r="B26" s="53" t="s">
        <v>114</v>
      </c>
      <c r="C26" s="53" t="s">
        <v>114</v>
      </c>
      <c r="D26" s="53" t="s">
        <v>114</v>
      </c>
      <c r="E26" s="53">
        <v>5</v>
      </c>
      <c r="F26" s="53" t="s">
        <v>114</v>
      </c>
      <c r="G26" s="53">
        <v>1</v>
      </c>
      <c r="H26" s="53" t="s">
        <v>114</v>
      </c>
      <c r="I26" s="53">
        <v>0</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t="s">
        <v>114</v>
      </c>
      <c r="AB26" s="53" t="s">
        <v>114</v>
      </c>
      <c r="AC26" s="53" t="s">
        <v>114</v>
      </c>
      <c r="AD26" s="53" t="s">
        <v>114</v>
      </c>
      <c r="AE26" s="53" t="s">
        <v>114</v>
      </c>
      <c r="AF26" s="53" t="s">
        <v>114</v>
      </c>
      <c r="AG26" s="53" t="s">
        <v>114</v>
      </c>
      <c r="AH26" s="53" t="s">
        <v>114</v>
      </c>
      <c r="AI26" s="53">
        <v>2</v>
      </c>
      <c r="AJ26" s="53" t="s">
        <v>114</v>
      </c>
      <c r="AK26" s="53">
        <v>8</v>
      </c>
      <c r="AL26" s="53" t="s">
        <v>114</v>
      </c>
      <c r="AM26" s="53" t="s">
        <v>114</v>
      </c>
      <c r="AN26" s="53" t="s">
        <v>114</v>
      </c>
      <c r="AO26" s="53">
        <v>0</v>
      </c>
      <c r="AP26" s="53" t="s">
        <v>114</v>
      </c>
      <c r="AQ26" s="53" t="s">
        <v>114</v>
      </c>
      <c r="AR26" s="53" t="s">
        <v>114</v>
      </c>
      <c r="AS26" s="53" t="s">
        <v>114</v>
      </c>
      <c r="AT26" s="53" t="s">
        <v>114</v>
      </c>
      <c r="AU26" s="53" t="s">
        <v>114</v>
      </c>
      <c r="AV26" s="53" t="s">
        <v>114</v>
      </c>
      <c r="AW26" s="53" t="s">
        <v>114</v>
      </c>
      <c r="AX26" s="53" t="s">
        <v>114</v>
      </c>
      <c r="AY26" s="53">
        <v>2</v>
      </c>
      <c r="AZ26" s="53" t="s">
        <v>114</v>
      </c>
      <c r="BA26" s="53" t="s">
        <v>114</v>
      </c>
      <c r="BB26" s="53" t="s">
        <v>114</v>
      </c>
      <c r="BC26" s="53">
        <v>3</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
      <c r="A27" s="53" t="s">
        <v>124</v>
      </c>
      <c r="B27" s="53" t="s">
        <v>114</v>
      </c>
      <c r="C27" s="53" t="s">
        <v>114</v>
      </c>
      <c r="D27" s="53" t="s">
        <v>114</v>
      </c>
      <c r="E27" s="53">
        <v>4</v>
      </c>
      <c r="F27" s="53" t="s">
        <v>114</v>
      </c>
      <c r="G27" s="53">
        <v>0</v>
      </c>
      <c r="H27" s="53" t="s">
        <v>114</v>
      </c>
      <c r="I27" s="53">
        <v>0</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t="s">
        <v>114</v>
      </c>
      <c r="AB27" s="53" t="s">
        <v>114</v>
      </c>
      <c r="AC27" s="53" t="s">
        <v>114</v>
      </c>
      <c r="AD27" s="53" t="s">
        <v>114</v>
      </c>
      <c r="AE27" s="53" t="s">
        <v>114</v>
      </c>
      <c r="AF27" s="53" t="s">
        <v>114</v>
      </c>
      <c r="AG27" s="53" t="s">
        <v>114</v>
      </c>
      <c r="AH27" s="53" t="s">
        <v>114</v>
      </c>
      <c r="AI27" s="53">
        <v>3</v>
      </c>
      <c r="AJ27" s="53" t="s">
        <v>114</v>
      </c>
      <c r="AK27" s="53">
        <v>3</v>
      </c>
      <c r="AL27" s="53" t="s">
        <v>114</v>
      </c>
      <c r="AM27" s="53" t="s">
        <v>114</v>
      </c>
      <c r="AN27" s="53" t="s">
        <v>114</v>
      </c>
      <c r="AO27" s="53">
        <v>0</v>
      </c>
      <c r="AP27" s="53" t="s">
        <v>114</v>
      </c>
      <c r="AQ27" s="53" t="s">
        <v>114</v>
      </c>
      <c r="AR27" s="53" t="s">
        <v>114</v>
      </c>
      <c r="AS27" s="53" t="s">
        <v>114</v>
      </c>
      <c r="AT27" s="53" t="s">
        <v>114</v>
      </c>
      <c r="AU27" s="53" t="s">
        <v>114</v>
      </c>
      <c r="AV27" s="53" t="s">
        <v>114</v>
      </c>
      <c r="AW27" s="53" t="s">
        <v>114</v>
      </c>
      <c r="AX27" s="53" t="s">
        <v>114</v>
      </c>
      <c r="AY27" s="53">
        <v>2</v>
      </c>
      <c r="AZ27" s="53" t="s">
        <v>114</v>
      </c>
      <c r="BA27" s="53" t="s">
        <v>114</v>
      </c>
      <c r="BB27" s="53" t="s">
        <v>114</v>
      </c>
      <c r="BC27" s="53">
        <v>1</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
      <c r="A28" s="53" t="s">
        <v>123</v>
      </c>
      <c r="B28" s="53" t="s">
        <v>114</v>
      </c>
      <c r="C28" s="53" t="s">
        <v>114</v>
      </c>
      <c r="D28" s="53" t="s">
        <v>114</v>
      </c>
      <c r="E28" s="53">
        <v>0</v>
      </c>
      <c r="F28" s="53" t="s">
        <v>114</v>
      </c>
      <c r="G28" s="53">
        <v>0</v>
      </c>
      <c r="H28" s="53" t="s">
        <v>114</v>
      </c>
      <c r="I28" s="53">
        <v>0</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t="s">
        <v>114</v>
      </c>
      <c r="AB28" s="53" t="s">
        <v>114</v>
      </c>
      <c r="AC28" s="53" t="s">
        <v>114</v>
      </c>
      <c r="AD28" s="53" t="s">
        <v>114</v>
      </c>
      <c r="AE28" s="53" t="s">
        <v>114</v>
      </c>
      <c r="AF28" s="53" t="s">
        <v>114</v>
      </c>
      <c r="AG28" s="53" t="s">
        <v>114</v>
      </c>
      <c r="AH28" s="53" t="s">
        <v>114</v>
      </c>
      <c r="AI28" s="53">
        <v>0</v>
      </c>
      <c r="AJ28" s="53" t="s">
        <v>114</v>
      </c>
      <c r="AK28" s="53">
        <v>0</v>
      </c>
      <c r="AL28" s="53" t="s">
        <v>114</v>
      </c>
      <c r="AM28" s="53" t="s">
        <v>114</v>
      </c>
      <c r="AN28" s="53" t="s">
        <v>114</v>
      </c>
      <c r="AO28" s="53">
        <v>0</v>
      </c>
      <c r="AP28" s="53" t="s">
        <v>114</v>
      </c>
      <c r="AQ28" s="53" t="s">
        <v>114</v>
      </c>
      <c r="AR28" s="53" t="s">
        <v>114</v>
      </c>
      <c r="AS28" s="53" t="s">
        <v>114</v>
      </c>
      <c r="AT28" s="53" t="s">
        <v>114</v>
      </c>
      <c r="AU28" s="53" t="s">
        <v>114</v>
      </c>
      <c r="AV28" s="53" t="s">
        <v>114</v>
      </c>
      <c r="AW28" s="53" t="s">
        <v>114</v>
      </c>
      <c r="AX28" s="53" t="s">
        <v>114</v>
      </c>
      <c r="AY28" s="53">
        <v>0</v>
      </c>
      <c r="AZ28" s="53" t="s">
        <v>114</v>
      </c>
      <c r="BA28" s="53" t="s">
        <v>114</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
      <c r="A29" s="53" t="s">
        <v>122</v>
      </c>
      <c r="B29" s="53" t="s">
        <v>114</v>
      </c>
      <c r="C29" s="53" t="s">
        <v>114</v>
      </c>
      <c r="D29" s="53" t="s">
        <v>114</v>
      </c>
      <c r="E29" s="53">
        <v>5</v>
      </c>
      <c r="F29" s="53" t="s">
        <v>114</v>
      </c>
      <c r="G29" s="53">
        <v>2</v>
      </c>
      <c r="H29" s="53" t="s">
        <v>114</v>
      </c>
      <c r="I29" s="53">
        <v>0</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t="s">
        <v>114</v>
      </c>
      <c r="AB29" s="53" t="s">
        <v>114</v>
      </c>
      <c r="AC29" s="53" t="s">
        <v>114</v>
      </c>
      <c r="AD29" s="53" t="s">
        <v>114</v>
      </c>
      <c r="AE29" s="53" t="s">
        <v>114</v>
      </c>
      <c r="AF29" s="53" t="s">
        <v>114</v>
      </c>
      <c r="AG29" s="53" t="s">
        <v>114</v>
      </c>
      <c r="AH29" s="53" t="s">
        <v>114</v>
      </c>
      <c r="AI29" s="53">
        <v>1</v>
      </c>
      <c r="AJ29" s="53" t="s">
        <v>114</v>
      </c>
      <c r="AK29" s="53">
        <v>6</v>
      </c>
      <c r="AL29" s="53" t="s">
        <v>114</v>
      </c>
      <c r="AM29" s="53" t="s">
        <v>114</v>
      </c>
      <c r="AN29" s="53" t="s">
        <v>114</v>
      </c>
      <c r="AO29" s="53">
        <v>0</v>
      </c>
      <c r="AP29" s="53" t="s">
        <v>114</v>
      </c>
      <c r="AQ29" s="53" t="s">
        <v>114</v>
      </c>
      <c r="AR29" s="53" t="s">
        <v>114</v>
      </c>
      <c r="AS29" s="53" t="s">
        <v>114</v>
      </c>
      <c r="AT29" s="53" t="s">
        <v>114</v>
      </c>
      <c r="AU29" s="53" t="s">
        <v>114</v>
      </c>
      <c r="AV29" s="53" t="s">
        <v>114</v>
      </c>
      <c r="AW29" s="53" t="s">
        <v>114</v>
      </c>
      <c r="AX29" s="53" t="s">
        <v>114</v>
      </c>
      <c r="AY29" s="53">
        <v>2</v>
      </c>
      <c r="AZ29" s="53" t="s">
        <v>114</v>
      </c>
      <c r="BA29" s="53" t="s">
        <v>114</v>
      </c>
      <c r="BB29" s="53" t="s">
        <v>114</v>
      </c>
      <c r="BC29" s="53">
        <v>3</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
      <c r="A30" s="53" t="s">
        <v>121</v>
      </c>
      <c r="B30" s="53" t="s">
        <v>114</v>
      </c>
      <c r="C30" s="53" t="s">
        <v>114</v>
      </c>
      <c r="D30" s="53" t="s">
        <v>114</v>
      </c>
      <c r="E30" s="53">
        <v>3</v>
      </c>
      <c r="F30" s="53" t="s">
        <v>114</v>
      </c>
      <c r="G30" s="53">
        <v>3</v>
      </c>
      <c r="H30" s="53" t="s">
        <v>114</v>
      </c>
      <c r="I30" s="53">
        <v>0</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t="s">
        <v>114</v>
      </c>
      <c r="AB30" s="53" t="s">
        <v>114</v>
      </c>
      <c r="AC30" s="53" t="s">
        <v>114</v>
      </c>
      <c r="AD30" s="53" t="s">
        <v>114</v>
      </c>
      <c r="AE30" s="53" t="s">
        <v>114</v>
      </c>
      <c r="AF30" s="53" t="s">
        <v>114</v>
      </c>
      <c r="AG30" s="53" t="s">
        <v>114</v>
      </c>
      <c r="AH30" s="53" t="s">
        <v>114</v>
      </c>
      <c r="AI30" s="53">
        <v>3</v>
      </c>
      <c r="AJ30" s="53" t="s">
        <v>114</v>
      </c>
      <c r="AK30" s="53">
        <v>6</v>
      </c>
      <c r="AL30" s="53" t="s">
        <v>114</v>
      </c>
      <c r="AM30" s="53" t="s">
        <v>114</v>
      </c>
      <c r="AN30" s="53" t="s">
        <v>114</v>
      </c>
      <c r="AO30" s="53">
        <v>0</v>
      </c>
      <c r="AP30" s="53" t="s">
        <v>114</v>
      </c>
      <c r="AQ30" s="53" t="s">
        <v>114</v>
      </c>
      <c r="AR30" s="53" t="s">
        <v>114</v>
      </c>
      <c r="AS30" s="53" t="s">
        <v>114</v>
      </c>
      <c r="AT30" s="53" t="s">
        <v>114</v>
      </c>
      <c r="AU30" s="53" t="s">
        <v>114</v>
      </c>
      <c r="AV30" s="53" t="s">
        <v>114</v>
      </c>
      <c r="AW30" s="53" t="s">
        <v>114</v>
      </c>
      <c r="AX30" s="53" t="s">
        <v>114</v>
      </c>
      <c r="AY30" s="53">
        <v>6</v>
      </c>
      <c r="AZ30" s="53" t="s">
        <v>114</v>
      </c>
      <c r="BA30" s="53" t="s">
        <v>114</v>
      </c>
      <c r="BB30" s="53" t="s">
        <v>114</v>
      </c>
      <c r="BC30" s="53">
        <v>0</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
      <c r="A31" s="53" t="s">
        <v>120</v>
      </c>
      <c r="B31" s="53" t="s">
        <v>114</v>
      </c>
      <c r="C31" s="53" t="s">
        <v>114</v>
      </c>
      <c r="D31" s="53" t="s">
        <v>114</v>
      </c>
      <c r="E31" s="53">
        <v>2</v>
      </c>
      <c r="F31" s="53" t="s">
        <v>114</v>
      </c>
      <c r="G31" s="53">
        <v>0</v>
      </c>
      <c r="H31" s="53" t="s">
        <v>114</v>
      </c>
      <c r="I31" s="53">
        <v>0</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t="s">
        <v>114</v>
      </c>
      <c r="AB31" s="53" t="s">
        <v>114</v>
      </c>
      <c r="AC31" s="53" t="s">
        <v>114</v>
      </c>
      <c r="AD31" s="53" t="s">
        <v>114</v>
      </c>
      <c r="AE31" s="53" t="s">
        <v>114</v>
      </c>
      <c r="AF31" s="53" t="s">
        <v>114</v>
      </c>
      <c r="AG31" s="53" t="s">
        <v>114</v>
      </c>
      <c r="AH31" s="53" t="s">
        <v>114</v>
      </c>
      <c r="AI31" s="53">
        <v>3</v>
      </c>
      <c r="AJ31" s="53" t="s">
        <v>114</v>
      </c>
      <c r="AK31" s="53">
        <v>6</v>
      </c>
      <c r="AL31" s="53" t="s">
        <v>114</v>
      </c>
      <c r="AM31" s="53" t="s">
        <v>114</v>
      </c>
      <c r="AN31" s="53" t="s">
        <v>114</v>
      </c>
      <c r="AO31" s="53">
        <v>0</v>
      </c>
      <c r="AP31" s="53" t="s">
        <v>114</v>
      </c>
      <c r="AQ31" s="53" t="s">
        <v>114</v>
      </c>
      <c r="AR31" s="53" t="s">
        <v>114</v>
      </c>
      <c r="AS31" s="53" t="s">
        <v>114</v>
      </c>
      <c r="AT31" s="53" t="s">
        <v>114</v>
      </c>
      <c r="AU31" s="53" t="s">
        <v>114</v>
      </c>
      <c r="AV31" s="53" t="s">
        <v>114</v>
      </c>
      <c r="AW31" s="53" t="s">
        <v>114</v>
      </c>
      <c r="AX31" s="53" t="s">
        <v>114</v>
      </c>
      <c r="AY31" s="53">
        <v>2</v>
      </c>
      <c r="AZ31" s="53" t="s">
        <v>114</v>
      </c>
      <c r="BA31" s="53" t="s">
        <v>114</v>
      </c>
      <c r="BB31" s="53" t="s">
        <v>114</v>
      </c>
      <c r="BC31" s="53">
        <v>1</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
      <c r="A32" s="53" t="s">
        <v>119</v>
      </c>
      <c r="B32" s="53" t="s">
        <v>114</v>
      </c>
      <c r="C32" s="53" t="s">
        <v>114</v>
      </c>
      <c r="D32" s="53" t="s">
        <v>114</v>
      </c>
      <c r="E32" s="53">
        <v>1</v>
      </c>
      <c r="F32" s="53" t="s">
        <v>114</v>
      </c>
      <c r="G32" s="53">
        <v>1</v>
      </c>
      <c r="H32" s="53" t="s">
        <v>114</v>
      </c>
      <c r="I32" s="53">
        <v>0</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t="s">
        <v>114</v>
      </c>
      <c r="AB32" s="53" t="s">
        <v>114</v>
      </c>
      <c r="AC32" s="53" t="s">
        <v>114</v>
      </c>
      <c r="AD32" s="53" t="s">
        <v>114</v>
      </c>
      <c r="AE32" s="53" t="s">
        <v>114</v>
      </c>
      <c r="AF32" s="53" t="s">
        <v>114</v>
      </c>
      <c r="AG32" s="53" t="s">
        <v>114</v>
      </c>
      <c r="AH32" s="53" t="s">
        <v>114</v>
      </c>
      <c r="AI32" s="53">
        <v>3</v>
      </c>
      <c r="AJ32" s="53" t="s">
        <v>114</v>
      </c>
      <c r="AK32" s="53">
        <v>5</v>
      </c>
      <c r="AL32" s="53" t="s">
        <v>114</v>
      </c>
      <c r="AM32" s="53" t="s">
        <v>114</v>
      </c>
      <c r="AN32" s="53" t="s">
        <v>114</v>
      </c>
      <c r="AO32" s="53">
        <v>0</v>
      </c>
      <c r="AP32" s="53" t="s">
        <v>114</v>
      </c>
      <c r="AQ32" s="53" t="s">
        <v>114</v>
      </c>
      <c r="AR32" s="53" t="s">
        <v>114</v>
      </c>
      <c r="AS32" s="53" t="s">
        <v>114</v>
      </c>
      <c r="AT32" s="53" t="s">
        <v>114</v>
      </c>
      <c r="AU32" s="53" t="s">
        <v>114</v>
      </c>
      <c r="AV32" s="53" t="s">
        <v>114</v>
      </c>
      <c r="AW32" s="53" t="s">
        <v>114</v>
      </c>
      <c r="AX32" s="53" t="s">
        <v>114</v>
      </c>
      <c r="AY32" s="53">
        <v>1</v>
      </c>
      <c r="AZ32" s="53" t="s">
        <v>114</v>
      </c>
      <c r="BA32" s="53" t="s">
        <v>114</v>
      </c>
      <c r="BB32" s="53" t="s">
        <v>114</v>
      </c>
      <c r="BC32" s="53">
        <v>1</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
      <c r="A33" s="53" t="s">
        <v>118</v>
      </c>
      <c r="B33" s="53" t="s">
        <v>114</v>
      </c>
      <c r="C33" s="53" t="s">
        <v>114</v>
      </c>
      <c r="D33" s="53" t="s">
        <v>114</v>
      </c>
      <c r="E33" s="53">
        <v>3</v>
      </c>
      <c r="F33" s="53" t="s">
        <v>114</v>
      </c>
      <c r="G33" s="53">
        <v>1</v>
      </c>
      <c r="H33" s="53" t="s">
        <v>114</v>
      </c>
      <c r="I33" s="53">
        <v>0</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t="s">
        <v>114</v>
      </c>
      <c r="AB33" s="53" t="s">
        <v>114</v>
      </c>
      <c r="AC33" s="53" t="s">
        <v>114</v>
      </c>
      <c r="AD33" s="53" t="s">
        <v>114</v>
      </c>
      <c r="AE33" s="53" t="s">
        <v>114</v>
      </c>
      <c r="AF33" s="53" t="s">
        <v>114</v>
      </c>
      <c r="AG33" s="53" t="s">
        <v>114</v>
      </c>
      <c r="AH33" s="53" t="s">
        <v>114</v>
      </c>
      <c r="AI33" s="53">
        <v>0</v>
      </c>
      <c r="AJ33" s="53" t="s">
        <v>114</v>
      </c>
      <c r="AK33" s="53">
        <v>4</v>
      </c>
      <c r="AL33" s="53" t="s">
        <v>114</v>
      </c>
      <c r="AM33" s="53" t="s">
        <v>114</v>
      </c>
      <c r="AN33" s="53" t="s">
        <v>114</v>
      </c>
      <c r="AO33" s="53">
        <v>0</v>
      </c>
      <c r="AP33" s="53" t="s">
        <v>114</v>
      </c>
      <c r="AQ33" s="53" t="s">
        <v>114</v>
      </c>
      <c r="AR33" s="53" t="s">
        <v>114</v>
      </c>
      <c r="AS33" s="53" t="s">
        <v>114</v>
      </c>
      <c r="AT33" s="53" t="s">
        <v>114</v>
      </c>
      <c r="AU33" s="53" t="s">
        <v>114</v>
      </c>
      <c r="AV33" s="53" t="s">
        <v>114</v>
      </c>
      <c r="AW33" s="53" t="s">
        <v>114</v>
      </c>
      <c r="AX33" s="53" t="s">
        <v>114</v>
      </c>
      <c r="AY33" s="53">
        <v>0</v>
      </c>
      <c r="AZ33" s="53" t="s">
        <v>114</v>
      </c>
      <c r="BA33" s="53" t="s">
        <v>114</v>
      </c>
      <c r="BB33" s="53" t="s">
        <v>114</v>
      </c>
      <c r="BC33" s="53">
        <v>2</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
      <c r="A34" s="53" t="s">
        <v>117</v>
      </c>
      <c r="B34" s="53" t="s">
        <v>114</v>
      </c>
      <c r="C34" s="53" t="s">
        <v>114</v>
      </c>
      <c r="D34" s="53" t="s">
        <v>114</v>
      </c>
      <c r="E34" s="53">
        <v>1</v>
      </c>
      <c r="F34" s="53" t="s">
        <v>114</v>
      </c>
      <c r="G34" s="53">
        <v>0</v>
      </c>
      <c r="H34" s="53" t="s">
        <v>114</v>
      </c>
      <c r="I34" s="53">
        <v>0</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t="s">
        <v>114</v>
      </c>
      <c r="AB34" s="53" t="s">
        <v>114</v>
      </c>
      <c r="AC34" s="53" t="s">
        <v>114</v>
      </c>
      <c r="AD34" s="53" t="s">
        <v>114</v>
      </c>
      <c r="AE34" s="53" t="s">
        <v>114</v>
      </c>
      <c r="AF34" s="53" t="s">
        <v>114</v>
      </c>
      <c r="AG34" s="53" t="s">
        <v>114</v>
      </c>
      <c r="AH34" s="53" t="s">
        <v>114</v>
      </c>
      <c r="AI34" s="53">
        <v>4</v>
      </c>
      <c r="AJ34" s="53" t="s">
        <v>114</v>
      </c>
      <c r="AK34" s="53">
        <v>4</v>
      </c>
      <c r="AL34" s="53" t="s">
        <v>114</v>
      </c>
      <c r="AM34" s="53" t="s">
        <v>114</v>
      </c>
      <c r="AN34" s="53" t="s">
        <v>114</v>
      </c>
      <c r="AO34" s="53">
        <v>0</v>
      </c>
      <c r="AP34" s="53" t="s">
        <v>114</v>
      </c>
      <c r="AQ34" s="53" t="s">
        <v>114</v>
      </c>
      <c r="AR34" s="53" t="s">
        <v>114</v>
      </c>
      <c r="AS34" s="53" t="s">
        <v>114</v>
      </c>
      <c r="AT34" s="53" t="s">
        <v>114</v>
      </c>
      <c r="AU34" s="53" t="s">
        <v>114</v>
      </c>
      <c r="AV34" s="53" t="s">
        <v>114</v>
      </c>
      <c r="AW34" s="53" t="s">
        <v>114</v>
      </c>
      <c r="AX34" s="53" t="s">
        <v>114</v>
      </c>
      <c r="AY34" s="53">
        <v>1</v>
      </c>
      <c r="AZ34" s="53" t="s">
        <v>114</v>
      </c>
      <c r="BA34" s="53" t="s">
        <v>114</v>
      </c>
      <c r="BB34" s="53" t="s">
        <v>114</v>
      </c>
      <c r="BC34" s="53">
        <v>0</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
      <c r="A35" s="53" t="s">
        <v>116</v>
      </c>
      <c r="B35" s="53" t="s">
        <v>114</v>
      </c>
      <c r="C35" s="53" t="s">
        <v>114</v>
      </c>
      <c r="D35" s="53" t="s">
        <v>114</v>
      </c>
      <c r="E35" s="53">
        <v>2</v>
      </c>
      <c r="F35" s="53" t="s">
        <v>114</v>
      </c>
      <c r="G35" s="53">
        <v>1</v>
      </c>
      <c r="H35" s="53" t="s">
        <v>114</v>
      </c>
      <c r="I35" s="53">
        <v>0</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t="s">
        <v>114</v>
      </c>
      <c r="AB35" s="53" t="s">
        <v>114</v>
      </c>
      <c r="AC35" s="53" t="s">
        <v>114</v>
      </c>
      <c r="AD35" s="53" t="s">
        <v>114</v>
      </c>
      <c r="AE35" s="53" t="s">
        <v>114</v>
      </c>
      <c r="AF35" s="53" t="s">
        <v>114</v>
      </c>
      <c r="AG35" s="53" t="s">
        <v>114</v>
      </c>
      <c r="AH35" s="53" t="s">
        <v>114</v>
      </c>
      <c r="AI35" s="53">
        <v>0</v>
      </c>
      <c r="AJ35" s="53" t="s">
        <v>114</v>
      </c>
      <c r="AK35" s="53">
        <v>2</v>
      </c>
      <c r="AL35" s="53" t="s">
        <v>114</v>
      </c>
      <c r="AM35" s="53" t="s">
        <v>114</v>
      </c>
      <c r="AN35" s="53" t="s">
        <v>114</v>
      </c>
      <c r="AO35" s="53">
        <v>0</v>
      </c>
      <c r="AP35" s="53" t="s">
        <v>114</v>
      </c>
      <c r="AQ35" s="53" t="s">
        <v>114</v>
      </c>
      <c r="AR35" s="53" t="s">
        <v>114</v>
      </c>
      <c r="AS35" s="53" t="s">
        <v>114</v>
      </c>
      <c r="AT35" s="53" t="s">
        <v>114</v>
      </c>
      <c r="AU35" s="53" t="s">
        <v>114</v>
      </c>
      <c r="AV35" s="53" t="s">
        <v>114</v>
      </c>
      <c r="AW35" s="53" t="s">
        <v>114</v>
      </c>
      <c r="AX35" s="53" t="s">
        <v>114</v>
      </c>
      <c r="AY35" s="53">
        <v>1</v>
      </c>
      <c r="AZ35" s="53" t="s">
        <v>114</v>
      </c>
      <c r="BA35" s="53" t="s">
        <v>114</v>
      </c>
      <c r="BB35" s="53" t="s">
        <v>114</v>
      </c>
      <c r="BC35" s="53">
        <v>0</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
      <c r="A36" s="53" t="s">
        <v>115</v>
      </c>
      <c r="B36" s="53" t="s">
        <v>114</v>
      </c>
      <c r="C36" s="53" t="s">
        <v>114</v>
      </c>
      <c r="D36" s="53" t="s">
        <v>114</v>
      </c>
      <c r="E36" s="53">
        <v>1</v>
      </c>
      <c r="F36" s="53" t="s">
        <v>114</v>
      </c>
      <c r="G36" s="53">
        <v>1</v>
      </c>
      <c r="H36" s="53" t="s">
        <v>114</v>
      </c>
      <c r="I36" s="53">
        <v>0</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t="s">
        <v>114</v>
      </c>
      <c r="AB36" s="53" t="s">
        <v>114</v>
      </c>
      <c r="AC36" s="53" t="s">
        <v>114</v>
      </c>
      <c r="AD36" s="53" t="s">
        <v>114</v>
      </c>
      <c r="AE36" s="53" t="s">
        <v>114</v>
      </c>
      <c r="AF36" s="53" t="s">
        <v>114</v>
      </c>
      <c r="AG36" s="53" t="s">
        <v>114</v>
      </c>
      <c r="AH36" s="53" t="s">
        <v>114</v>
      </c>
      <c r="AI36" s="53">
        <v>0</v>
      </c>
      <c r="AJ36" s="53" t="s">
        <v>114</v>
      </c>
      <c r="AK36" s="53">
        <v>1</v>
      </c>
      <c r="AL36" s="53" t="s">
        <v>114</v>
      </c>
      <c r="AM36" s="53" t="s">
        <v>114</v>
      </c>
      <c r="AN36" s="53" t="s">
        <v>114</v>
      </c>
      <c r="AO36" s="53">
        <v>0</v>
      </c>
      <c r="AP36" s="53" t="s">
        <v>114</v>
      </c>
      <c r="AQ36" s="53" t="s">
        <v>114</v>
      </c>
      <c r="AR36" s="53" t="s">
        <v>114</v>
      </c>
      <c r="AS36" s="53" t="s">
        <v>114</v>
      </c>
      <c r="AT36" s="53" t="s">
        <v>114</v>
      </c>
      <c r="AU36" s="53" t="s">
        <v>114</v>
      </c>
      <c r="AV36" s="53" t="s">
        <v>114</v>
      </c>
      <c r="AW36" s="53" t="s">
        <v>114</v>
      </c>
      <c r="AX36" s="53" t="s">
        <v>114</v>
      </c>
      <c r="AY36" s="53">
        <v>2</v>
      </c>
      <c r="AZ36" s="53" t="s">
        <v>114</v>
      </c>
      <c r="BA36" s="53" t="s">
        <v>114</v>
      </c>
      <c r="BB36" s="53" t="s">
        <v>114</v>
      </c>
      <c r="BC36" s="53">
        <v>0</v>
      </c>
      <c r="BD36" s="53" t="s">
        <v>114</v>
      </c>
      <c r="BE36" s="53">
        <v>0</v>
      </c>
      <c r="BF36" s="53" t="s">
        <v>114</v>
      </c>
      <c r="BG36" s="53" t="s">
        <v>114</v>
      </c>
      <c r="BH36" s="53" t="s">
        <v>114</v>
      </c>
      <c r="BI36" s="53" t="s">
        <v>114</v>
      </c>
      <c r="BJ36" s="53" t="s">
        <v>114</v>
      </c>
      <c r="BK36" s="53" t="s">
        <v>114</v>
      </c>
      <c r="BL36" s="53" t="s">
        <v>114</v>
      </c>
      <c r="BM36"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E9D79-8D73-4AB1-8398-CC104426D762}">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155</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91</v>
      </c>
      <c r="J14" s="54" t="s">
        <v>143</v>
      </c>
      <c r="K14" s="54" t="s">
        <v>142</v>
      </c>
      <c r="L14" s="54" t="s">
        <v>141</v>
      </c>
      <c r="M14" s="54" t="s">
        <v>140</v>
      </c>
      <c r="N14" s="54" t="s">
        <v>139</v>
      </c>
      <c r="O14" s="54" t="s">
        <v>138</v>
      </c>
      <c r="P14" s="54" t="s">
        <v>137</v>
      </c>
      <c r="Q14" s="54" t="s">
        <v>91</v>
      </c>
      <c r="R14" s="54" t="s">
        <v>143</v>
      </c>
      <c r="S14" s="54" t="s">
        <v>142</v>
      </c>
      <c r="T14" s="54" t="s">
        <v>141</v>
      </c>
      <c r="U14" s="54" t="s">
        <v>140</v>
      </c>
      <c r="V14" s="54" t="s">
        <v>139</v>
      </c>
      <c r="W14" s="54" t="s">
        <v>138</v>
      </c>
      <c r="X14" s="54" t="s">
        <v>137</v>
      </c>
      <c r="Y14" s="54" t="s">
        <v>91</v>
      </c>
      <c r="Z14" s="54" t="s">
        <v>143</v>
      </c>
      <c r="AA14" s="54" t="s">
        <v>142</v>
      </c>
      <c r="AB14" s="54" t="s">
        <v>141</v>
      </c>
      <c r="AC14" s="54" t="s">
        <v>140</v>
      </c>
      <c r="AD14" s="54" t="s">
        <v>139</v>
      </c>
      <c r="AE14" s="54" t="s">
        <v>138</v>
      </c>
      <c r="AF14" s="54" t="s">
        <v>137</v>
      </c>
      <c r="AG14" s="54" t="s">
        <v>91</v>
      </c>
      <c r="AH14" s="54" t="s">
        <v>143</v>
      </c>
      <c r="AI14" s="54" t="s">
        <v>142</v>
      </c>
      <c r="AJ14" s="54" t="s">
        <v>141</v>
      </c>
      <c r="AK14" s="54" t="s">
        <v>140</v>
      </c>
      <c r="AL14" s="54" t="s">
        <v>139</v>
      </c>
      <c r="AM14" s="54" t="s">
        <v>138</v>
      </c>
      <c r="AN14" s="54" t="s">
        <v>137</v>
      </c>
      <c r="AO14" s="54" t="s">
        <v>91</v>
      </c>
      <c r="AP14" s="54" t="s">
        <v>143</v>
      </c>
      <c r="AQ14" s="54" t="s">
        <v>142</v>
      </c>
      <c r="AR14" s="54" t="s">
        <v>141</v>
      </c>
      <c r="AS14" s="54" t="s">
        <v>140</v>
      </c>
      <c r="AT14" s="54" t="s">
        <v>139</v>
      </c>
      <c r="AU14" s="54" t="s">
        <v>138</v>
      </c>
      <c r="AV14" s="54" t="s">
        <v>137</v>
      </c>
      <c r="AW14" s="54" t="s">
        <v>91</v>
      </c>
      <c r="AX14" s="54" t="s">
        <v>143</v>
      </c>
      <c r="AY14" s="54" t="s">
        <v>142</v>
      </c>
      <c r="AZ14" s="54" t="s">
        <v>141</v>
      </c>
      <c r="BA14" s="54" t="s">
        <v>140</v>
      </c>
      <c r="BB14" s="54" t="s">
        <v>139</v>
      </c>
      <c r="BC14" s="54" t="s">
        <v>138</v>
      </c>
      <c r="BD14" s="54" t="s">
        <v>137</v>
      </c>
      <c r="BE14" s="54" t="s">
        <v>91</v>
      </c>
      <c r="BF14" s="54" t="s">
        <v>143</v>
      </c>
      <c r="BG14" s="54" t="s">
        <v>142</v>
      </c>
      <c r="BH14" s="54" t="s">
        <v>141</v>
      </c>
      <c r="BI14" s="54" t="s">
        <v>140</v>
      </c>
      <c r="BJ14" s="54" t="s">
        <v>139</v>
      </c>
      <c r="BK14" s="54" t="s">
        <v>138</v>
      </c>
      <c r="BL14" s="54" t="s">
        <v>137</v>
      </c>
      <c r="BM14" s="54" t="s">
        <v>91</v>
      </c>
    </row>
    <row r="15" spans="1:65" ht="15" customHeight="1" x14ac:dyDescent="0.2">
      <c r="A15" s="53" t="s">
        <v>136</v>
      </c>
      <c r="B15" s="53" t="s">
        <v>114</v>
      </c>
      <c r="C15" s="53" t="s">
        <v>114</v>
      </c>
      <c r="D15" s="53" t="s">
        <v>114</v>
      </c>
      <c r="E15" s="53">
        <v>1</v>
      </c>
      <c r="F15" s="53" t="s">
        <v>114</v>
      </c>
      <c r="G15" s="53">
        <v>0</v>
      </c>
      <c r="H15" s="53" t="s">
        <v>114</v>
      </c>
      <c r="I15" s="53">
        <v>0</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t="s">
        <v>114</v>
      </c>
      <c r="AB15" s="53" t="s">
        <v>114</v>
      </c>
      <c r="AC15" s="53" t="s">
        <v>114</v>
      </c>
      <c r="AD15" s="53" t="s">
        <v>114</v>
      </c>
      <c r="AE15" s="53" t="s">
        <v>114</v>
      </c>
      <c r="AF15" s="53" t="s">
        <v>114</v>
      </c>
      <c r="AG15" s="53" t="s">
        <v>114</v>
      </c>
      <c r="AH15" s="53" t="s">
        <v>114</v>
      </c>
      <c r="AI15" s="53">
        <v>0</v>
      </c>
      <c r="AJ15" s="53" t="s">
        <v>114</v>
      </c>
      <c r="AK15" s="53">
        <v>3</v>
      </c>
      <c r="AL15" s="53" t="s">
        <v>114</v>
      </c>
      <c r="AM15" s="53" t="s">
        <v>114</v>
      </c>
      <c r="AN15" s="53" t="s">
        <v>114</v>
      </c>
      <c r="AO15" s="53">
        <v>0</v>
      </c>
      <c r="AP15" s="53" t="s">
        <v>114</v>
      </c>
      <c r="AQ15" s="53" t="s">
        <v>114</v>
      </c>
      <c r="AR15" s="53" t="s">
        <v>114</v>
      </c>
      <c r="AS15" s="53" t="s">
        <v>114</v>
      </c>
      <c r="AT15" s="53" t="s">
        <v>114</v>
      </c>
      <c r="AU15" s="53" t="s">
        <v>114</v>
      </c>
      <c r="AV15" s="53" t="s">
        <v>114</v>
      </c>
      <c r="AW15" s="53" t="s">
        <v>114</v>
      </c>
      <c r="AX15" s="53" t="s">
        <v>114</v>
      </c>
      <c r="AY15" s="53">
        <v>0</v>
      </c>
      <c r="AZ15" s="53" t="s">
        <v>114</v>
      </c>
      <c r="BA15" s="53" t="s">
        <v>114</v>
      </c>
      <c r="BB15" s="53" t="s">
        <v>114</v>
      </c>
      <c r="BC15" s="53">
        <v>0</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
      <c r="A16" s="53" t="s">
        <v>135</v>
      </c>
      <c r="B16" s="53" t="s">
        <v>114</v>
      </c>
      <c r="C16" s="53" t="s">
        <v>114</v>
      </c>
      <c r="D16" s="53" t="s">
        <v>114</v>
      </c>
      <c r="E16" s="53">
        <v>2</v>
      </c>
      <c r="F16" s="53" t="s">
        <v>114</v>
      </c>
      <c r="G16" s="53">
        <v>0</v>
      </c>
      <c r="H16" s="53" t="s">
        <v>114</v>
      </c>
      <c r="I16" s="53">
        <v>0</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t="s">
        <v>114</v>
      </c>
      <c r="AB16" s="53" t="s">
        <v>114</v>
      </c>
      <c r="AC16" s="53" t="s">
        <v>114</v>
      </c>
      <c r="AD16" s="53" t="s">
        <v>114</v>
      </c>
      <c r="AE16" s="53" t="s">
        <v>114</v>
      </c>
      <c r="AF16" s="53" t="s">
        <v>114</v>
      </c>
      <c r="AG16" s="53" t="s">
        <v>114</v>
      </c>
      <c r="AH16" s="53" t="s">
        <v>114</v>
      </c>
      <c r="AI16" s="53">
        <v>0</v>
      </c>
      <c r="AJ16" s="53" t="s">
        <v>114</v>
      </c>
      <c r="AK16" s="53">
        <v>1</v>
      </c>
      <c r="AL16" s="53" t="s">
        <v>114</v>
      </c>
      <c r="AM16" s="53" t="s">
        <v>114</v>
      </c>
      <c r="AN16" s="53" t="s">
        <v>114</v>
      </c>
      <c r="AO16" s="53">
        <v>0</v>
      </c>
      <c r="AP16" s="53" t="s">
        <v>114</v>
      </c>
      <c r="AQ16" s="53" t="s">
        <v>114</v>
      </c>
      <c r="AR16" s="53" t="s">
        <v>114</v>
      </c>
      <c r="AS16" s="53" t="s">
        <v>114</v>
      </c>
      <c r="AT16" s="53" t="s">
        <v>114</v>
      </c>
      <c r="AU16" s="53" t="s">
        <v>114</v>
      </c>
      <c r="AV16" s="53" t="s">
        <v>114</v>
      </c>
      <c r="AW16" s="53" t="s">
        <v>114</v>
      </c>
      <c r="AX16" s="53" t="s">
        <v>114</v>
      </c>
      <c r="AY16" s="53">
        <v>0</v>
      </c>
      <c r="AZ16" s="53" t="s">
        <v>114</v>
      </c>
      <c r="BA16" s="53" t="s">
        <v>114</v>
      </c>
      <c r="BB16" s="53" t="s">
        <v>114</v>
      </c>
      <c r="BC16" s="53">
        <v>0</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
      <c r="A17" s="53" t="s">
        <v>134</v>
      </c>
      <c r="B17" s="53" t="s">
        <v>114</v>
      </c>
      <c r="C17" s="53" t="s">
        <v>114</v>
      </c>
      <c r="D17" s="53" t="s">
        <v>114</v>
      </c>
      <c r="E17" s="53">
        <v>5</v>
      </c>
      <c r="F17" s="53" t="s">
        <v>114</v>
      </c>
      <c r="G17" s="53">
        <v>0</v>
      </c>
      <c r="H17" s="53" t="s">
        <v>114</v>
      </c>
      <c r="I17" s="53">
        <v>0</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t="s">
        <v>114</v>
      </c>
      <c r="AB17" s="53" t="s">
        <v>114</v>
      </c>
      <c r="AC17" s="53" t="s">
        <v>114</v>
      </c>
      <c r="AD17" s="53" t="s">
        <v>114</v>
      </c>
      <c r="AE17" s="53" t="s">
        <v>114</v>
      </c>
      <c r="AF17" s="53" t="s">
        <v>114</v>
      </c>
      <c r="AG17" s="53" t="s">
        <v>114</v>
      </c>
      <c r="AH17" s="53" t="s">
        <v>114</v>
      </c>
      <c r="AI17" s="53">
        <v>0</v>
      </c>
      <c r="AJ17" s="53" t="s">
        <v>114</v>
      </c>
      <c r="AK17" s="53">
        <v>0</v>
      </c>
      <c r="AL17" s="53" t="s">
        <v>114</v>
      </c>
      <c r="AM17" s="53" t="s">
        <v>114</v>
      </c>
      <c r="AN17" s="53" t="s">
        <v>114</v>
      </c>
      <c r="AO17" s="53">
        <v>0</v>
      </c>
      <c r="AP17" s="53" t="s">
        <v>114</v>
      </c>
      <c r="AQ17" s="53" t="s">
        <v>114</v>
      </c>
      <c r="AR17" s="53" t="s">
        <v>114</v>
      </c>
      <c r="AS17" s="53" t="s">
        <v>114</v>
      </c>
      <c r="AT17" s="53" t="s">
        <v>114</v>
      </c>
      <c r="AU17" s="53" t="s">
        <v>114</v>
      </c>
      <c r="AV17" s="53" t="s">
        <v>114</v>
      </c>
      <c r="AW17" s="53" t="s">
        <v>114</v>
      </c>
      <c r="AX17" s="53" t="s">
        <v>114</v>
      </c>
      <c r="AY17" s="53">
        <v>0</v>
      </c>
      <c r="AZ17" s="53" t="s">
        <v>114</v>
      </c>
      <c r="BA17" s="53" t="s">
        <v>114</v>
      </c>
      <c r="BB17" s="53" t="s">
        <v>114</v>
      </c>
      <c r="BC17" s="53">
        <v>1</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
      <c r="A18" s="53" t="s">
        <v>133</v>
      </c>
      <c r="B18" s="53" t="s">
        <v>114</v>
      </c>
      <c r="C18" s="53" t="s">
        <v>114</v>
      </c>
      <c r="D18" s="53" t="s">
        <v>114</v>
      </c>
      <c r="E18" s="53">
        <v>10</v>
      </c>
      <c r="F18" s="53" t="s">
        <v>114</v>
      </c>
      <c r="G18" s="53">
        <v>0</v>
      </c>
      <c r="H18" s="53" t="s">
        <v>114</v>
      </c>
      <c r="I18" s="53">
        <v>0</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t="s">
        <v>114</v>
      </c>
      <c r="AB18" s="53" t="s">
        <v>114</v>
      </c>
      <c r="AC18" s="53" t="s">
        <v>114</v>
      </c>
      <c r="AD18" s="53" t="s">
        <v>114</v>
      </c>
      <c r="AE18" s="53" t="s">
        <v>114</v>
      </c>
      <c r="AF18" s="53" t="s">
        <v>114</v>
      </c>
      <c r="AG18" s="53" t="s">
        <v>114</v>
      </c>
      <c r="AH18" s="53" t="s">
        <v>114</v>
      </c>
      <c r="AI18" s="53">
        <v>1</v>
      </c>
      <c r="AJ18" s="53" t="s">
        <v>114</v>
      </c>
      <c r="AK18" s="53">
        <v>1</v>
      </c>
      <c r="AL18" s="53" t="s">
        <v>114</v>
      </c>
      <c r="AM18" s="53" t="s">
        <v>114</v>
      </c>
      <c r="AN18" s="53" t="s">
        <v>114</v>
      </c>
      <c r="AO18" s="53">
        <v>0</v>
      </c>
      <c r="AP18" s="53" t="s">
        <v>114</v>
      </c>
      <c r="AQ18" s="53" t="s">
        <v>114</v>
      </c>
      <c r="AR18" s="53" t="s">
        <v>114</v>
      </c>
      <c r="AS18" s="53" t="s">
        <v>114</v>
      </c>
      <c r="AT18" s="53" t="s">
        <v>114</v>
      </c>
      <c r="AU18" s="53" t="s">
        <v>114</v>
      </c>
      <c r="AV18" s="53" t="s">
        <v>114</v>
      </c>
      <c r="AW18" s="53" t="s">
        <v>114</v>
      </c>
      <c r="AX18" s="53" t="s">
        <v>114</v>
      </c>
      <c r="AY18" s="53">
        <v>0</v>
      </c>
      <c r="AZ18" s="53" t="s">
        <v>114</v>
      </c>
      <c r="BA18" s="53" t="s">
        <v>114</v>
      </c>
      <c r="BB18" s="53" t="s">
        <v>114</v>
      </c>
      <c r="BC18" s="53">
        <v>0</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
      <c r="A19" s="53" t="s">
        <v>132</v>
      </c>
      <c r="B19" s="53" t="s">
        <v>114</v>
      </c>
      <c r="C19" s="53" t="s">
        <v>114</v>
      </c>
      <c r="D19" s="53" t="s">
        <v>114</v>
      </c>
      <c r="E19" s="53">
        <v>3</v>
      </c>
      <c r="F19" s="53" t="s">
        <v>114</v>
      </c>
      <c r="G19" s="53">
        <v>0</v>
      </c>
      <c r="H19" s="53" t="s">
        <v>114</v>
      </c>
      <c r="I19" s="53">
        <v>0</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t="s">
        <v>114</v>
      </c>
      <c r="AB19" s="53" t="s">
        <v>114</v>
      </c>
      <c r="AC19" s="53" t="s">
        <v>114</v>
      </c>
      <c r="AD19" s="53" t="s">
        <v>114</v>
      </c>
      <c r="AE19" s="53" t="s">
        <v>114</v>
      </c>
      <c r="AF19" s="53" t="s">
        <v>114</v>
      </c>
      <c r="AG19" s="53" t="s">
        <v>114</v>
      </c>
      <c r="AH19" s="53" t="s">
        <v>114</v>
      </c>
      <c r="AI19" s="53">
        <v>0</v>
      </c>
      <c r="AJ19" s="53" t="s">
        <v>114</v>
      </c>
      <c r="AK19" s="53">
        <v>0</v>
      </c>
      <c r="AL19" s="53" t="s">
        <v>114</v>
      </c>
      <c r="AM19" s="53" t="s">
        <v>114</v>
      </c>
      <c r="AN19" s="53" t="s">
        <v>114</v>
      </c>
      <c r="AO19" s="53">
        <v>0</v>
      </c>
      <c r="AP19" s="53" t="s">
        <v>114</v>
      </c>
      <c r="AQ19" s="53" t="s">
        <v>114</v>
      </c>
      <c r="AR19" s="53" t="s">
        <v>114</v>
      </c>
      <c r="AS19" s="53" t="s">
        <v>114</v>
      </c>
      <c r="AT19" s="53" t="s">
        <v>114</v>
      </c>
      <c r="AU19" s="53" t="s">
        <v>114</v>
      </c>
      <c r="AV19" s="53" t="s">
        <v>114</v>
      </c>
      <c r="AW19" s="53" t="s">
        <v>114</v>
      </c>
      <c r="AX19" s="53" t="s">
        <v>114</v>
      </c>
      <c r="AY19" s="53">
        <v>0</v>
      </c>
      <c r="AZ19" s="53" t="s">
        <v>114</v>
      </c>
      <c r="BA19" s="53" t="s">
        <v>114</v>
      </c>
      <c r="BB19" s="53" t="s">
        <v>114</v>
      </c>
      <c r="BC19" s="53">
        <v>0</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
      <c r="A20" s="53" t="s">
        <v>131</v>
      </c>
      <c r="B20" s="53" t="s">
        <v>114</v>
      </c>
      <c r="C20" s="53" t="s">
        <v>114</v>
      </c>
      <c r="D20" s="53" t="s">
        <v>114</v>
      </c>
      <c r="E20" s="53">
        <v>2</v>
      </c>
      <c r="F20" s="53" t="s">
        <v>114</v>
      </c>
      <c r="G20" s="53">
        <v>0</v>
      </c>
      <c r="H20" s="53" t="s">
        <v>114</v>
      </c>
      <c r="I20" s="53">
        <v>0</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t="s">
        <v>114</v>
      </c>
      <c r="AB20" s="53" t="s">
        <v>114</v>
      </c>
      <c r="AC20" s="53" t="s">
        <v>114</v>
      </c>
      <c r="AD20" s="53" t="s">
        <v>114</v>
      </c>
      <c r="AE20" s="53" t="s">
        <v>114</v>
      </c>
      <c r="AF20" s="53" t="s">
        <v>114</v>
      </c>
      <c r="AG20" s="53" t="s">
        <v>114</v>
      </c>
      <c r="AH20" s="53" t="s">
        <v>114</v>
      </c>
      <c r="AI20" s="53">
        <v>0</v>
      </c>
      <c r="AJ20" s="53" t="s">
        <v>114</v>
      </c>
      <c r="AK20" s="53">
        <v>0</v>
      </c>
      <c r="AL20" s="53" t="s">
        <v>114</v>
      </c>
      <c r="AM20" s="53" t="s">
        <v>114</v>
      </c>
      <c r="AN20" s="53" t="s">
        <v>114</v>
      </c>
      <c r="AO20" s="53">
        <v>0</v>
      </c>
      <c r="AP20" s="53" t="s">
        <v>114</v>
      </c>
      <c r="AQ20" s="53" t="s">
        <v>114</v>
      </c>
      <c r="AR20" s="53" t="s">
        <v>114</v>
      </c>
      <c r="AS20" s="53" t="s">
        <v>114</v>
      </c>
      <c r="AT20" s="53" t="s">
        <v>114</v>
      </c>
      <c r="AU20" s="53" t="s">
        <v>114</v>
      </c>
      <c r="AV20" s="53" t="s">
        <v>114</v>
      </c>
      <c r="AW20" s="53" t="s">
        <v>114</v>
      </c>
      <c r="AX20" s="53" t="s">
        <v>114</v>
      </c>
      <c r="AY20" s="53">
        <v>0</v>
      </c>
      <c r="AZ20" s="53" t="s">
        <v>114</v>
      </c>
      <c r="BA20" s="53" t="s">
        <v>114</v>
      </c>
      <c r="BB20" s="53" t="s">
        <v>114</v>
      </c>
      <c r="BC20" s="53">
        <v>0</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
      <c r="A21" s="53" t="s">
        <v>130</v>
      </c>
      <c r="B21" s="53" t="s">
        <v>114</v>
      </c>
      <c r="C21" s="53" t="s">
        <v>114</v>
      </c>
      <c r="D21" s="53" t="s">
        <v>114</v>
      </c>
      <c r="E21" s="53">
        <v>1</v>
      </c>
      <c r="F21" s="53" t="s">
        <v>114</v>
      </c>
      <c r="G21" s="53">
        <v>0</v>
      </c>
      <c r="H21" s="53" t="s">
        <v>114</v>
      </c>
      <c r="I21" s="53">
        <v>0</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t="s">
        <v>114</v>
      </c>
      <c r="AB21" s="53" t="s">
        <v>114</v>
      </c>
      <c r="AC21" s="53" t="s">
        <v>114</v>
      </c>
      <c r="AD21" s="53" t="s">
        <v>114</v>
      </c>
      <c r="AE21" s="53" t="s">
        <v>114</v>
      </c>
      <c r="AF21" s="53" t="s">
        <v>114</v>
      </c>
      <c r="AG21" s="53" t="s">
        <v>114</v>
      </c>
      <c r="AH21" s="53" t="s">
        <v>114</v>
      </c>
      <c r="AI21" s="53">
        <v>0</v>
      </c>
      <c r="AJ21" s="53" t="s">
        <v>114</v>
      </c>
      <c r="AK21" s="53">
        <v>0</v>
      </c>
      <c r="AL21" s="53" t="s">
        <v>114</v>
      </c>
      <c r="AM21" s="53" t="s">
        <v>114</v>
      </c>
      <c r="AN21" s="53" t="s">
        <v>114</v>
      </c>
      <c r="AO21" s="53">
        <v>0</v>
      </c>
      <c r="AP21" s="53" t="s">
        <v>114</v>
      </c>
      <c r="AQ21" s="53" t="s">
        <v>114</v>
      </c>
      <c r="AR21" s="53" t="s">
        <v>114</v>
      </c>
      <c r="AS21" s="53" t="s">
        <v>114</v>
      </c>
      <c r="AT21" s="53" t="s">
        <v>114</v>
      </c>
      <c r="AU21" s="53" t="s">
        <v>114</v>
      </c>
      <c r="AV21" s="53" t="s">
        <v>114</v>
      </c>
      <c r="AW21" s="53" t="s">
        <v>114</v>
      </c>
      <c r="AX21" s="53" t="s">
        <v>114</v>
      </c>
      <c r="AY21" s="53">
        <v>0</v>
      </c>
      <c r="AZ21" s="53" t="s">
        <v>114</v>
      </c>
      <c r="BA21" s="53" t="s">
        <v>114</v>
      </c>
      <c r="BB21" s="53" t="s">
        <v>114</v>
      </c>
      <c r="BC21" s="53">
        <v>0</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
      <c r="A22" s="53" t="s">
        <v>129</v>
      </c>
      <c r="B22" s="53" t="s">
        <v>114</v>
      </c>
      <c r="C22" s="53" t="s">
        <v>114</v>
      </c>
      <c r="D22" s="53" t="s">
        <v>114</v>
      </c>
      <c r="E22" s="53">
        <v>0</v>
      </c>
      <c r="F22" s="53" t="s">
        <v>114</v>
      </c>
      <c r="G22" s="53">
        <v>0</v>
      </c>
      <c r="H22" s="53" t="s">
        <v>114</v>
      </c>
      <c r="I22" s="53">
        <v>0</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t="s">
        <v>114</v>
      </c>
      <c r="AB22" s="53" t="s">
        <v>114</v>
      </c>
      <c r="AC22" s="53" t="s">
        <v>114</v>
      </c>
      <c r="AD22" s="53" t="s">
        <v>114</v>
      </c>
      <c r="AE22" s="53" t="s">
        <v>114</v>
      </c>
      <c r="AF22" s="53" t="s">
        <v>114</v>
      </c>
      <c r="AG22" s="53" t="s">
        <v>114</v>
      </c>
      <c r="AH22" s="53" t="s">
        <v>114</v>
      </c>
      <c r="AI22" s="53">
        <v>0</v>
      </c>
      <c r="AJ22" s="53" t="s">
        <v>114</v>
      </c>
      <c r="AK22" s="53">
        <v>0</v>
      </c>
      <c r="AL22" s="53" t="s">
        <v>114</v>
      </c>
      <c r="AM22" s="53" t="s">
        <v>114</v>
      </c>
      <c r="AN22" s="53" t="s">
        <v>114</v>
      </c>
      <c r="AO22" s="53">
        <v>0</v>
      </c>
      <c r="AP22" s="53" t="s">
        <v>114</v>
      </c>
      <c r="AQ22" s="53" t="s">
        <v>114</v>
      </c>
      <c r="AR22" s="53" t="s">
        <v>114</v>
      </c>
      <c r="AS22" s="53" t="s">
        <v>114</v>
      </c>
      <c r="AT22" s="53" t="s">
        <v>114</v>
      </c>
      <c r="AU22" s="53" t="s">
        <v>114</v>
      </c>
      <c r="AV22" s="53" t="s">
        <v>114</v>
      </c>
      <c r="AW22" s="53" t="s">
        <v>114</v>
      </c>
      <c r="AX22" s="53" t="s">
        <v>114</v>
      </c>
      <c r="AY22" s="53">
        <v>0</v>
      </c>
      <c r="AZ22" s="53" t="s">
        <v>114</v>
      </c>
      <c r="BA22" s="53" t="s">
        <v>114</v>
      </c>
      <c r="BB22" s="53" t="s">
        <v>114</v>
      </c>
      <c r="BC22" s="53">
        <v>0</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
      <c r="A23" s="53" t="s">
        <v>128</v>
      </c>
      <c r="B23" s="53" t="s">
        <v>114</v>
      </c>
      <c r="C23" s="53" t="s">
        <v>114</v>
      </c>
      <c r="D23" s="53" t="s">
        <v>114</v>
      </c>
      <c r="E23" s="53">
        <v>0</v>
      </c>
      <c r="F23" s="53" t="s">
        <v>114</v>
      </c>
      <c r="G23" s="53">
        <v>0</v>
      </c>
      <c r="H23" s="53" t="s">
        <v>114</v>
      </c>
      <c r="I23" s="53">
        <v>0</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t="s">
        <v>114</v>
      </c>
      <c r="AB23" s="53" t="s">
        <v>114</v>
      </c>
      <c r="AC23" s="53" t="s">
        <v>114</v>
      </c>
      <c r="AD23" s="53" t="s">
        <v>114</v>
      </c>
      <c r="AE23" s="53" t="s">
        <v>114</v>
      </c>
      <c r="AF23" s="53" t="s">
        <v>114</v>
      </c>
      <c r="AG23" s="53" t="s">
        <v>114</v>
      </c>
      <c r="AH23" s="53" t="s">
        <v>114</v>
      </c>
      <c r="AI23" s="53">
        <v>0</v>
      </c>
      <c r="AJ23" s="53" t="s">
        <v>114</v>
      </c>
      <c r="AK23" s="53">
        <v>0</v>
      </c>
      <c r="AL23" s="53" t="s">
        <v>114</v>
      </c>
      <c r="AM23" s="53" t="s">
        <v>114</v>
      </c>
      <c r="AN23" s="53" t="s">
        <v>114</v>
      </c>
      <c r="AO23" s="53">
        <v>0</v>
      </c>
      <c r="AP23" s="53" t="s">
        <v>114</v>
      </c>
      <c r="AQ23" s="53" t="s">
        <v>114</v>
      </c>
      <c r="AR23" s="53" t="s">
        <v>114</v>
      </c>
      <c r="AS23" s="53" t="s">
        <v>114</v>
      </c>
      <c r="AT23" s="53" t="s">
        <v>114</v>
      </c>
      <c r="AU23" s="53" t="s">
        <v>114</v>
      </c>
      <c r="AV23" s="53" t="s">
        <v>114</v>
      </c>
      <c r="AW23" s="53" t="s">
        <v>114</v>
      </c>
      <c r="AX23" s="53" t="s">
        <v>114</v>
      </c>
      <c r="AY23" s="53">
        <v>0</v>
      </c>
      <c r="AZ23" s="53" t="s">
        <v>114</v>
      </c>
      <c r="BA23" s="53" t="s">
        <v>114</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
      <c r="A24" s="53" t="s">
        <v>127</v>
      </c>
      <c r="B24" s="53" t="s">
        <v>114</v>
      </c>
      <c r="C24" s="53" t="s">
        <v>114</v>
      </c>
      <c r="D24" s="53" t="s">
        <v>114</v>
      </c>
      <c r="E24" s="53">
        <v>0</v>
      </c>
      <c r="F24" s="53" t="s">
        <v>114</v>
      </c>
      <c r="G24" s="53">
        <v>0</v>
      </c>
      <c r="H24" s="53" t="s">
        <v>114</v>
      </c>
      <c r="I24" s="53">
        <v>0</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t="s">
        <v>114</v>
      </c>
      <c r="AB24" s="53" t="s">
        <v>114</v>
      </c>
      <c r="AC24" s="53" t="s">
        <v>114</v>
      </c>
      <c r="AD24" s="53" t="s">
        <v>114</v>
      </c>
      <c r="AE24" s="53" t="s">
        <v>114</v>
      </c>
      <c r="AF24" s="53" t="s">
        <v>114</v>
      </c>
      <c r="AG24" s="53" t="s">
        <v>114</v>
      </c>
      <c r="AH24" s="53" t="s">
        <v>114</v>
      </c>
      <c r="AI24" s="53">
        <v>0</v>
      </c>
      <c r="AJ24" s="53" t="s">
        <v>114</v>
      </c>
      <c r="AK24" s="53">
        <v>2</v>
      </c>
      <c r="AL24" s="53" t="s">
        <v>114</v>
      </c>
      <c r="AM24" s="53" t="s">
        <v>114</v>
      </c>
      <c r="AN24" s="53" t="s">
        <v>114</v>
      </c>
      <c r="AO24" s="53">
        <v>0</v>
      </c>
      <c r="AP24" s="53" t="s">
        <v>114</v>
      </c>
      <c r="AQ24" s="53" t="s">
        <v>114</v>
      </c>
      <c r="AR24" s="53" t="s">
        <v>114</v>
      </c>
      <c r="AS24" s="53" t="s">
        <v>114</v>
      </c>
      <c r="AT24" s="53" t="s">
        <v>114</v>
      </c>
      <c r="AU24" s="53" t="s">
        <v>114</v>
      </c>
      <c r="AV24" s="53" t="s">
        <v>114</v>
      </c>
      <c r="AW24" s="53" t="s">
        <v>114</v>
      </c>
      <c r="AX24" s="53" t="s">
        <v>114</v>
      </c>
      <c r="AY24" s="53">
        <v>0</v>
      </c>
      <c r="AZ24" s="53" t="s">
        <v>114</v>
      </c>
      <c r="BA24" s="53" t="s">
        <v>114</v>
      </c>
      <c r="BB24" s="53" t="s">
        <v>114</v>
      </c>
      <c r="BC24" s="53">
        <v>0</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
      <c r="A25" s="53" t="s">
        <v>126</v>
      </c>
      <c r="B25" s="53" t="s">
        <v>114</v>
      </c>
      <c r="C25" s="53" t="s">
        <v>114</v>
      </c>
      <c r="D25" s="53" t="s">
        <v>114</v>
      </c>
      <c r="E25" s="53">
        <v>0</v>
      </c>
      <c r="F25" s="53" t="s">
        <v>114</v>
      </c>
      <c r="G25" s="53">
        <v>0</v>
      </c>
      <c r="H25" s="53" t="s">
        <v>114</v>
      </c>
      <c r="I25" s="53">
        <v>0</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t="s">
        <v>114</v>
      </c>
      <c r="AB25" s="53" t="s">
        <v>114</v>
      </c>
      <c r="AC25" s="53" t="s">
        <v>114</v>
      </c>
      <c r="AD25" s="53" t="s">
        <v>114</v>
      </c>
      <c r="AE25" s="53" t="s">
        <v>114</v>
      </c>
      <c r="AF25" s="53" t="s">
        <v>114</v>
      </c>
      <c r="AG25" s="53" t="s">
        <v>114</v>
      </c>
      <c r="AH25" s="53" t="s">
        <v>114</v>
      </c>
      <c r="AI25" s="53">
        <v>0</v>
      </c>
      <c r="AJ25" s="53" t="s">
        <v>114</v>
      </c>
      <c r="AK25" s="53">
        <v>0</v>
      </c>
      <c r="AL25" s="53" t="s">
        <v>114</v>
      </c>
      <c r="AM25" s="53" t="s">
        <v>114</v>
      </c>
      <c r="AN25" s="53" t="s">
        <v>114</v>
      </c>
      <c r="AO25" s="53">
        <v>0</v>
      </c>
      <c r="AP25" s="53" t="s">
        <v>114</v>
      </c>
      <c r="AQ25" s="53" t="s">
        <v>114</v>
      </c>
      <c r="AR25" s="53" t="s">
        <v>114</v>
      </c>
      <c r="AS25" s="53" t="s">
        <v>114</v>
      </c>
      <c r="AT25" s="53" t="s">
        <v>114</v>
      </c>
      <c r="AU25" s="53" t="s">
        <v>114</v>
      </c>
      <c r="AV25" s="53" t="s">
        <v>114</v>
      </c>
      <c r="AW25" s="53" t="s">
        <v>114</v>
      </c>
      <c r="AX25" s="53" t="s">
        <v>114</v>
      </c>
      <c r="AY25" s="53">
        <v>0</v>
      </c>
      <c r="AZ25" s="53" t="s">
        <v>114</v>
      </c>
      <c r="BA25" s="53" t="s">
        <v>114</v>
      </c>
      <c r="BB25" s="53" t="s">
        <v>114</v>
      </c>
      <c r="BC25" s="53">
        <v>0</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
      <c r="A26" s="53" t="s">
        <v>125</v>
      </c>
      <c r="B26" s="53" t="s">
        <v>114</v>
      </c>
      <c r="C26" s="53" t="s">
        <v>114</v>
      </c>
      <c r="D26" s="53" t="s">
        <v>114</v>
      </c>
      <c r="E26" s="53">
        <v>0</v>
      </c>
      <c r="F26" s="53" t="s">
        <v>114</v>
      </c>
      <c r="G26" s="53">
        <v>0</v>
      </c>
      <c r="H26" s="53" t="s">
        <v>114</v>
      </c>
      <c r="I26" s="53">
        <v>0</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t="s">
        <v>114</v>
      </c>
      <c r="AB26" s="53" t="s">
        <v>114</v>
      </c>
      <c r="AC26" s="53" t="s">
        <v>114</v>
      </c>
      <c r="AD26" s="53" t="s">
        <v>114</v>
      </c>
      <c r="AE26" s="53" t="s">
        <v>114</v>
      </c>
      <c r="AF26" s="53" t="s">
        <v>114</v>
      </c>
      <c r="AG26" s="53" t="s">
        <v>114</v>
      </c>
      <c r="AH26" s="53" t="s">
        <v>114</v>
      </c>
      <c r="AI26" s="53">
        <v>0</v>
      </c>
      <c r="AJ26" s="53" t="s">
        <v>114</v>
      </c>
      <c r="AK26" s="53">
        <v>0</v>
      </c>
      <c r="AL26" s="53" t="s">
        <v>114</v>
      </c>
      <c r="AM26" s="53" t="s">
        <v>114</v>
      </c>
      <c r="AN26" s="53" t="s">
        <v>114</v>
      </c>
      <c r="AO26" s="53">
        <v>0</v>
      </c>
      <c r="AP26" s="53" t="s">
        <v>114</v>
      </c>
      <c r="AQ26" s="53" t="s">
        <v>114</v>
      </c>
      <c r="AR26" s="53" t="s">
        <v>114</v>
      </c>
      <c r="AS26" s="53" t="s">
        <v>114</v>
      </c>
      <c r="AT26" s="53" t="s">
        <v>114</v>
      </c>
      <c r="AU26" s="53" t="s">
        <v>114</v>
      </c>
      <c r="AV26" s="53" t="s">
        <v>114</v>
      </c>
      <c r="AW26" s="53" t="s">
        <v>114</v>
      </c>
      <c r="AX26" s="53" t="s">
        <v>114</v>
      </c>
      <c r="AY26" s="53">
        <v>0</v>
      </c>
      <c r="AZ26" s="53" t="s">
        <v>114</v>
      </c>
      <c r="BA26" s="53" t="s">
        <v>114</v>
      </c>
      <c r="BB26" s="53" t="s">
        <v>114</v>
      </c>
      <c r="BC26" s="53">
        <v>0</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
      <c r="A27" s="53" t="s">
        <v>124</v>
      </c>
      <c r="B27" s="53" t="s">
        <v>114</v>
      </c>
      <c r="C27" s="53" t="s">
        <v>114</v>
      </c>
      <c r="D27" s="53" t="s">
        <v>114</v>
      </c>
      <c r="E27" s="53">
        <v>0</v>
      </c>
      <c r="F27" s="53" t="s">
        <v>114</v>
      </c>
      <c r="G27" s="53">
        <v>0</v>
      </c>
      <c r="H27" s="53" t="s">
        <v>114</v>
      </c>
      <c r="I27" s="53">
        <v>0</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t="s">
        <v>114</v>
      </c>
      <c r="AB27" s="53" t="s">
        <v>114</v>
      </c>
      <c r="AC27" s="53" t="s">
        <v>114</v>
      </c>
      <c r="AD27" s="53" t="s">
        <v>114</v>
      </c>
      <c r="AE27" s="53" t="s">
        <v>114</v>
      </c>
      <c r="AF27" s="53" t="s">
        <v>114</v>
      </c>
      <c r="AG27" s="53" t="s">
        <v>114</v>
      </c>
      <c r="AH27" s="53" t="s">
        <v>114</v>
      </c>
      <c r="AI27" s="53">
        <v>0</v>
      </c>
      <c r="AJ27" s="53" t="s">
        <v>114</v>
      </c>
      <c r="AK27" s="53">
        <v>1</v>
      </c>
      <c r="AL27" s="53" t="s">
        <v>114</v>
      </c>
      <c r="AM27" s="53" t="s">
        <v>114</v>
      </c>
      <c r="AN27" s="53" t="s">
        <v>114</v>
      </c>
      <c r="AO27" s="53">
        <v>0</v>
      </c>
      <c r="AP27" s="53" t="s">
        <v>114</v>
      </c>
      <c r="AQ27" s="53" t="s">
        <v>114</v>
      </c>
      <c r="AR27" s="53" t="s">
        <v>114</v>
      </c>
      <c r="AS27" s="53" t="s">
        <v>114</v>
      </c>
      <c r="AT27" s="53" t="s">
        <v>114</v>
      </c>
      <c r="AU27" s="53" t="s">
        <v>114</v>
      </c>
      <c r="AV27" s="53" t="s">
        <v>114</v>
      </c>
      <c r="AW27" s="53" t="s">
        <v>114</v>
      </c>
      <c r="AX27" s="53" t="s">
        <v>114</v>
      </c>
      <c r="AY27" s="53">
        <v>0</v>
      </c>
      <c r="AZ27" s="53" t="s">
        <v>114</v>
      </c>
      <c r="BA27" s="53" t="s">
        <v>114</v>
      </c>
      <c r="BB27" s="53" t="s">
        <v>114</v>
      </c>
      <c r="BC27" s="53">
        <v>0</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
      <c r="A28" s="53" t="s">
        <v>123</v>
      </c>
      <c r="B28" s="53" t="s">
        <v>114</v>
      </c>
      <c r="C28" s="53" t="s">
        <v>114</v>
      </c>
      <c r="D28" s="53" t="s">
        <v>114</v>
      </c>
      <c r="E28" s="53">
        <v>0</v>
      </c>
      <c r="F28" s="53" t="s">
        <v>114</v>
      </c>
      <c r="G28" s="53">
        <v>0</v>
      </c>
      <c r="H28" s="53" t="s">
        <v>114</v>
      </c>
      <c r="I28" s="53">
        <v>0</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t="s">
        <v>114</v>
      </c>
      <c r="AB28" s="53" t="s">
        <v>114</v>
      </c>
      <c r="AC28" s="53" t="s">
        <v>114</v>
      </c>
      <c r="AD28" s="53" t="s">
        <v>114</v>
      </c>
      <c r="AE28" s="53" t="s">
        <v>114</v>
      </c>
      <c r="AF28" s="53" t="s">
        <v>114</v>
      </c>
      <c r="AG28" s="53" t="s">
        <v>114</v>
      </c>
      <c r="AH28" s="53" t="s">
        <v>114</v>
      </c>
      <c r="AI28" s="53">
        <v>0</v>
      </c>
      <c r="AJ28" s="53" t="s">
        <v>114</v>
      </c>
      <c r="AK28" s="53">
        <v>0</v>
      </c>
      <c r="AL28" s="53" t="s">
        <v>114</v>
      </c>
      <c r="AM28" s="53" t="s">
        <v>114</v>
      </c>
      <c r="AN28" s="53" t="s">
        <v>114</v>
      </c>
      <c r="AO28" s="53">
        <v>0</v>
      </c>
      <c r="AP28" s="53" t="s">
        <v>114</v>
      </c>
      <c r="AQ28" s="53" t="s">
        <v>114</v>
      </c>
      <c r="AR28" s="53" t="s">
        <v>114</v>
      </c>
      <c r="AS28" s="53" t="s">
        <v>114</v>
      </c>
      <c r="AT28" s="53" t="s">
        <v>114</v>
      </c>
      <c r="AU28" s="53" t="s">
        <v>114</v>
      </c>
      <c r="AV28" s="53" t="s">
        <v>114</v>
      </c>
      <c r="AW28" s="53" t="s">
        <v>114</v>
      </c>
      <c r="AX28" s="53" t="s">
        <v>114</v>
      </c>
      <c r="AY28" s="53">
        <v>0</v>
      </c>
      <c r="AZ28" s="53" t="s">
        <v>114</v>
      </c>
      <c r="BA28" s="53" t="s">
        <v>114</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
      <c r="A29" s="53" t="s">
        <v>122</v>
      </c>
      <c r="B29" s="53" t="s">
        <v>114</v>
      </c>
      <c r="C29" s="53" t="s">
        <v>114</v>
      </c>
      <c r="D29" s="53" t="s">
        <v>114</v>
      </c>
      <c r="E29" s="53">
        <v>0</v>
      </c>
      <c r="F29" s="53" t="s">
        <v>114</v>
      </c>
      <c r="G29" s="53">
        <v>0</v>
      </c>
      <c r="H29" s="53" t="s">
        <v>114</v>
      </c>
      <c r="I29" s="53">
        <v>0</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t="s">
        <v>114</v>
      </c>
      <c r="AB29" s="53" t="s">
        <v>114</v>
      </c>
      <c r="AC29" s="53" t="s">
        <v>114</v>
      </c>
      <c r="AD29" s="53" t="s">
        <v>114</v>
      </c>
      <c r="AE29" s="53" t="s">
        <v>114</v>
      </c>
      <c r="AF29" s="53" t="s">
        <v>114</v>
      </c>
      <c r="AG29" s="53" t="s">
        <v>114</v>
      </c>
      <c r="AH29" s="53" t="s">
        <v>114</v>
      </c>
      <c r="AI29" s="53">
        <v>1</v>
      </c>
      <c r="AJ29" s="53" t="s">
        <v>114</v>
      </c>
      <c r="AK29" s="53">
        <v>0</v>
      </c>
      <c r="AL29" s="53" t="s">
        <v>114</v>
      </c>
      <c r="AM29" s="53" t="s">
        <v>114</v>
      </c>
      <c r="AN29" s="53" t="s">
        <v>114</v>
      </c>
      <c r="AO29" s="53">
        <v>0</v>
      </c>
      <c r="AP29" s="53" t="s">
        <v>114</v>
      </c>
      <c r="AQ29" s="53" t="s">
        <v>114</v>
      </c>
      <c r="AR29" s="53" t="s">
        <v>114</v>
      </c>
      <c r="AS29" s="53" t="s">
        <v>114</v>
      </c>
      <c r="AT29" s="53" t="s">
        <v>114</v>
      </c>
      <c r="AU29" s="53" t="s">
        <v>114</v>
      </c>
      <c r="AV29" s="53" t="s">
        <v>114</v>
      </c>
      <c r="AW29" s="53" t="s">
        <v>114</v>
      </c>
      <c r="AX29" s="53" t="s">
        <v>114</v>
      </c>
      <c r="AY29" s="53">
        <v>0</v>
      </c>
      <c r="AZ29" s="53" t="s">
        <v>114</v>
      </c>
      <c r="BA29" s="53" t="s">
        <v>114</v>
      </c>
      <c r="BB29" s="53" t="s">
        <v>114</v>
      </c>
      <c r="BC29" s="53">
        <v>0</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
      <c r="A30" s="53" t="s">
        <v>121</v>
      </c>
      <c r="B30" s="53" t="s">
        <v>114</v>
      </c>
      <c r="C30" s="53" t="s">
        <v>114</v>
      </c>
      <c r="D30" s="53" t="s">
        <v>114</v>
      </c>
      <c r="E30" s="53">
        <v>1</v>
      </c>
      <c r="F30" s="53" t="s">
        <v>114</v>
      </c>
      <c r="G30" s="53">
        <v>0</v>
      </c>
      <c r="H30" s="53" t="s">
        <v>114</v>
      </c>
      <c r="I30" s="53">
        <v>0</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t="s">
        <v>114</v>
      </c>
      <c r="AB30" s="53" t="s">
        <v>114</v>
      </c>
      <c r="AC30" s="53" t="s">
        <v>114</v>
      </c>
      <c r="AD30" s="53" t="s">
        <v>114</v>
      </c>
      <c r="AE30" s="53" t="s">
        <v>114</v>
      </c>
      <c r="AF30" s="53" t="s">
        <v>114</v>
      </c>
      <c r="AG30" s="53" t="s">
        <v>114</v>
      </c>
      <c r="AH30" s="53" t="s">
        <v>114</v>
      </c>
      <c r="AI30" s="53">
        <v>0</v>
      </c>
      <c r="AJ30" s="53" t="s">
        <v>114</v>
      </c>
      <c r="AK30" s="53">
        <v>0</v>
      </c>
      <c r="AL30" s="53" t="s">
        <v>114</v>
      </c>
      <c r="AM30" s="53" t="s">
        <v>114</v>
      </c>
      <c r="AN30" s="53" t="s">
        <v>114</v>
      </c>
      <c r="AO30" s="53">
        <v>0</v>
      </c>
      <c r="AP30" s="53" t="s">
        <v>114</v>
      </c>
      <c r="AQ30" s="53" t="s">
        <v>114</v>
      </c>
      <c r="AR30" s="53" t="s">
        <v>114</v>
      </c>
      <c r="AS30" s="53" t="s">
        <v>114</v>
      </c>
      <c r="AT30" s="53" t="s">
        <v>114</v>
      </c>
      <c r="AU30" s="53" t="s">
        <v>114</v>
      </c>
      <c r="AV30" s="53" t="s">
        <v>114</v>
      </c>
      <c r="AW30" s="53" t="s">
        <v>114</v>
      </c>
      <c r="AX30" s="53" t="s">
        <v>114</v>
      </c>
      <c r="AY30" s="53">
        <v>0</v>
      </c>
      <c r="AZ30" s="53" t="s">
        <v>114</v>
      </c>
      <c r="BA30" s="53" t="s">
        <v>114</v>
      </c>
      <c r="BB30" s="53" t="s">
        <v>114</v>
      </c>
      <c r="BC30" s="53">
        <v>0</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
      <c r="A31" s="53" t="s">
        <v>120</v>
      </c>
      <c r="B31" s="53" t="s">
        <v>114</v>
      </c>
      <c r="C31" s="53" t="s">
        <v>114</v>
      </c>
      <c r="D31" s="53" t="s">
        <v>114</v>
      </c>
      <c r="E31" s="53">
        <v>0</v>
      </c>
      <c r="F31" s="53" t="s">
        <v>114</v>
      </c>
      <c r="G31" s="53">
        <v>0</v>
      </c>
      <c r="H31" s="53" t="s">
        <v>114</v>
      </c>
      <c r="I31" s="53">
        <v>0</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t="s">
        <v>114</v>
      </c>
      <c r="AB31" s="53" t="s">
        <v>114</v>
      </c>
      <c r="AC31" s="53" t="s">
        <v>114</v>
      </c>
      <c r="AD31" s="53" t="s">
        <v>114</v>
      </c>
      <c r="AE31" s="53" t="s">
        <v>114</v>
      </c>
      <c r="AF31" s="53" t="s">
        <v>114</v>
      </c>
      <c r="AG31" s="53" t="s">
        <v>114</v>
      </c>
      <c r="AH31" s="53" t="s">
        <v>114</v>
      </c>
      <c r="AI31" s="53">
        <v>0</v>
      </c>
      <c r="AJ31" s="53" t="s">
        <v>114</v>
      </c>
      <c r="AK31" s="53">
        <v>4</v>
      </c>
      <c r="AL31" s="53" t="s">
        <v>114</v>
      </c>
      <c r="AM31" s="53" t="s">
        <v>114</v>
      </c>
      <c r="AN31" s="53" t="s">
        <v>114</v>
      </c>
      <c r="AO31" s="53">
        <v>0</v>
      </c>
      <c r="AP31" s="53" t="s">
        <v>114</v>
      </c>
      <c r="AQ31" s="53" t="s">
        <v>114</v>
      </c>
      <c r="AR31" s="53" t="s">
        <v>114</v>
      </c>
      <c r="AS31" s="53" t="s">
        <v>114</v>
      </c>
      <c r="AT31" s="53" t="s">
        <v>114</v>
      </c>
      <c r="AU31" s="53" t="s">
        <v>114</v>
      </c>
      <c r="AV31" s="53" t="s">
        <v>114</v>
      </c>
      <c r="AW31" s="53" t="s">
        <v>114</v>
      </c>
      <c r="AX31" s="53" t="s">
        <v>114</v>
      </c>
      <c r="AY31" s="53">
        <v>0</v>
      </c>
      <c r="AZ31" s="53" t="s">
        <v>114</v>
      </c>
      <c r="BA31" s="53" t="s">
        <v>114</v>
      </c>
      <c r="BB31" s="53" t="s">
        <v>114</v>
      </c>
      <c r="BC31" s="53">
        <v>0</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
      <c r="A32" s="53" t="s">
        <v>119</v>
      </c>
      <c r="B32" s="53" t="s">
        <v>114</v>
      </c>
      <c r="C32" s="53" t="s">
        <v>114</v>
      </c>
      <c r="D32" s="53" t="s">
        <v>114</v>
      </c>
      <c r="E32" s="53">
        <v>0</v>
      </c>
      <c r="F32" s="53" t="s">
        <v>114</v>
      </c>
      <c r="G32" s="53">
        <v>0</v>
      </c>
      <c r="H32" s="53" t="s">
        <v>114</v>
      </c>
      <c r="I32" s="53">
        <v>0</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t="s">
        <v>114</v>
      </c>
      <c r="AB32" s="53" t="s">
        <v>114</v>
      </c>
      <c r="AC32" s="53" t="s">
        <v>114</v>
      </c>
      <c r="AD32" s="53" t="s">
        <v>114</v>
      </c>
      <c r="AE32" s="53" t="s">
        <v>114</v>
      </c>
      <c r="AF32" s="53" t="s">
        <v>114</v>
      </c>
      <c r="AG32" s="53" t="s">
        <v>114</v>
      </c>
      <c r="AH32" s="53" t="s">
        <v>114</v>
      </c>
      <c r="AI32" s="53">
        <v>2</v>
      </c>
      <c r="AJ32" s="53" t="s">
        <v>114</v>
      </c>
      <c r="AK32" s="53">
        <v>2</v>
      </c>
      <c r="AL32" s="53" t="s">
        <v>114</v>
      </c>
      <c r="AM32" s="53" t="s">
        <v>114</v>
      </c>
      <c r="AN32" s="53" t="s">
        <v>114</v>
      </c>
      <c r="AO32" s="53">
        <v>0</v>
      </c>
      <c r="AP32" s="53" t="s">
        <v>114</v>
      </c>
      <c r="AQ32" s="53" t="s">
        <v>114</v>
      </c>
      <c r="AR32" s="53" t="s">
        <v>114</v>
      </c>
      <c r="AS32" s="53" t="s">
        <v>114</v>
      </c>
      <c r="AT32" s="53" t="s">
        <v>114</v>
      </c>
      <c r="AU32" s="53" t="s">
        <v>114</v>
      </c>
      <c r="AV32" s="53" t="s">
        <v>114</v>
      </c>
      <c r="AW32" s="53" t="s">
        <v>114</v>
      </c>
      <c r="AX32" s="53" t="s">
        <v>114</v>
      </c>
      <c r="AY32" s="53">
        <v>0</v>
      </c>
      <c r="AZ32" s="53" t="s">
        <v>114</v>
      </c>
      <c r="BA32" s="53" t="s">
        <v>114</v>
      </c>
      <c r="BB32" s="53" t="s">
        <v>114</v>
      </c>
      <c r="BC32" s="53">
        <v>0</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
      <c r="A33" s="53" t="s">
        <v>118</v>
      </c>
      <c r="B33" s="53" t="s">
        <v>114</v>
      </c>
      <c r="C33" s="53" t="s">
        <v>114</v>
      </c>
      <c r="D33" s="53" t="s">
        <v>114</v>
      </c>
      <c r="E33" s="53">
        <v>1</v>
      </c>
      <c r="F33" s="53" t="s">
        <v>114</v>
      </c>
      <c r="G33" s="53">
        <v>0</v>
      </c>
      <c r="H33" s="53" t="s">
        <v>114</v>
      </c>
      <c r="I33" s="53">
        <v>0</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t="s">
        <v>114</v>
      </c>
      <c r="AB33" s="53" t="s">
        <v>114</v>
      </c>
      <c r="AC33" s="53" t="s">
        <v>114</v>
      </c>
      <c r="AD33" s="53" t="s">
        <v>114</v>
      </c>
      <c r="AE33" s="53" t="s">
        <v>114</v>
      </c>
      <c r="AF33" s="53" t="s">
        <v>114</v>
      </c>
      <c r="AG33" s="53" t="s">
        <v>114</v>
      </c>
      <c r="AH33" s="53" t="s">
        <v>114</v>
      </c>
      <c r="AI33" s="53">
        <v>0</v>
      </c>
      <c r="AJ33" s="53" t="s">
        <v>114</v>
      </c>
      <c r="AK33" s="53">
        <v>3</v>
      </c>
      <c r="AL33" s="53" t="s">
        <v>114</v>
      </c>
      <c r="AM33" s="53" t="s">
        <v>114</v>
      </c>
      <c r="AN33" s="53" t="s">
        <v>114</v>
      </c>
      <c r="AO33" s="53">
        <v>0</v>
      </c>
      <c r="AP33" s="53" t="s">
        <v>114</v>
      </c>
      <c r="AQ33" s="53" t="s">
        <v>114</v>
      </c>
      <c r="AR33" s="53" t="s">
        <v>114</v>
      </c>
      <c r="AS33" s="53" t="s">
        <v>114</v>
      </c>
      <c r="AT33" s="53" t="s">
        <v>114</v>
      </c>
      <c r="AU33" s="53" t="s">
        <v>114</v>
      </c>
      <c r="AV33" s="53" t="s">
        <v>114</v>
      </c>
      <c r="AW33" s="53" t="s">
        <v>114</v>
      </c>
      <c r="AX33" s="53" t="s">
        <v>114</v>
      </c>
      <c r="AY33" s="53">
        <v>0</v>
      </c>
      <c r="AZ33" s="53" t="s">
        <v>114</v>
      </c>
      <c r="BA33" s="53" t="s">
        <v>114</v>
      </c>
      <c r="BB33" s="53" t="s">
        <v>114</v>
      </c>
      <c r="BC33" s="53">
        <v>1</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
      <c r="A34" s="53" t="s">
        <v>117</v>
      </c>
      <c r="B34" s="53" t="s">
        <v>114</v>
      </c>
      <c r="C34" s="53" t="s">
        <v>114</v>
      </c>
      <c r="D34" s="53" t="s">
        <v>114</v>
      </c>
      <c r="E34" s="53">
        <v>1</v>
      </c>
      <c r="F34" s="53" t="s">
        <v>114</v>
      </c>
      <c r="G34" s="53">
        <v>0</v>
      </c>
      <c r="H34" s="53" t="s">
        <v>114</v>
      </c>
      <c r="I34" s="53">
        <v>0</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t="s">
        <v>114</v>
      </c>
      <c r="AB34" s="53" t="s">
        <v>114</v>
      </c>
      <c r="AC34" s="53" t="s">
        <v>114</v>
      </c>
      <c r="AD34" s="53" t="s">
        <v>114</v>
      </c>
      <c r="AE34" s="53" t="s">
        <v>114</v>
      </c>
      <c r="AF34" s="53" t="s">
        <v>114</v>
      </c>
      <c r="AG34" s="53" t="s">
        <v>114</v>
      </c>
      <c r="AH34" s="53" t="s">
        <v>114</v>
      </c>
      <c r="AI34" s="53">
        <v>0</v>
      </c>
      <c r="AJ34" s="53" t="s">
        <v>114</v>
      </c>
      <c r="AK34" s="53">
        <v>2</v>
      </c>
      <c r="AL34" s="53" t="s">
        <v>114</v>
      </c>
      <c r="AM34" s="53" t="s">
        <v>114</v>
      </c>
      <c r="AN34" s="53" t="s">
        <v>114</v>
      </c>
      <c r="AO34" s="53">
        <v>0</v>
      </c>
      <c r="AP34" s="53" t="s">
        <v>114</v>
      </c>
      <c r="AQ34" s="53" t="s">
        <v>114</v>
      </c>
      <c r="AR34" s="53" t="s">
        <v>114</v>
      </c>
      <c r="AS34" s="53" t="s">
        <v>114</v>
      </c>
      <c r="AT34" s="53" t="s">
        <v>114</v>
      </c>
      <c r="AU34" s="53" t="s">
        <v>114</v>
      </c>
      <c r="AV34" s="53" t="s">
        <v>114</v>
      </c>
      <c r="AW34" s="53" t="s">
        <v>114</v>
      </c>
      <c r="AX34" s="53" t="s">
        <v>114</v>
      </c>
      <c r="AY34" s="53">
        <v>0</v>
      </c>
      <c r="AZ34" s="53" t="s">
        <v>114</v>
      </c>
      <c r="BA34" s="53" t="s">
        <v>114</v>
      </c>
      <c r="BB34" s="53" t="s">
        <v>114</v>
      </c>
      <c r="BC34" s="53">
        <v>0</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
      <c r="A35" s="53" t="s">
        <v>116</v>
      </c>
      <c r="B35" s="53" t="s">
        <v>114</v>
      </c>
      <c r="C35" s="53" t="s">
        <v>114</v>
      </c>
      <c r="D35" s="53" t="s">
        <v>114</v>
      </c>
      <c r="E35" s="53">
        <v>1</v>
      </c>
      <c r="F35" s="53" t="s">
        <v>114</v>
      </c>
      <c r="G35" s="53">
        <v>0</v>
      </c>
      <c r="H35" s="53" t="s">
        <v>114</v>
      </c>
      <c r="I35" s="53">
        <v>0</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t="s">
        <v>114</v>
      </c>
      <c r="AB35" s="53" t="s">
        <v>114</v>
      </c>
      <c r="AC35" s="53" t="s">
        <v>114</v>
      </c>
      <c r="AD35" s="53" t="s">
        <v>114</v>
      </c>
      <c r="AE35" s="53" t="s">
        <v>114</v>
      </c>
      <c r="AF35" s="53" t="s">
        <v>114</v>
      </c>
      <c r="AG35" s="53" t="s">
        <v>114</v>
      </c>
      <c r="AH35" s="53" t="s">
        <v>114</v>
      </c>
      <c r="AI35" s="53">
        <v>0</v>
      </c>
      <c r="AJ35" s="53" t="s">
        <v>114</v>
      </c>
      <c r="AK35" s="53">
        <v>1</v>
      </c>
      <c r="AL35" s="53" t="s">
        <v>114</v>
      </c>
      <c r="AM35" s="53" t="s">
        <v>114</v>
      </c>
      <c r="AN35" s="53" t="s">
        <v>114</v>
      </c>
      <c r="AO35" s="53">
        <v>0</v>
      </c>
      <c r="AP35" s="53" t="s">
        <v>114</v>
      </c>
      <c r="AQ35" s="53" t="s">
        <v>114</v>
      </c>
      <c r="AR35" s="53" t="s">
        <v>114</v>
      </c>
      <c r="AS35" s="53" t="s">
        <v>114</v>
      </c>
      <c r="AT35" s="53" t="s">
        <v>114</v>
      </c>
      <c r="AU35" s="53" t="s">
        <v>114</v>
      </c>
      <c r="AV35" s="53" t="s">
        <v>114</v>
      </c>
      <c r="AW35" s="53" t="s">
        <v>114</v>
      </c>
      <c r="AX35" s="53" t="s">
        <v>114</v>
      </c>
      <c r="AY35" s="53">
        <v>0</v>
      </c>
      <c r="AZ35" s="53" t="s">
        <v>114</v>
      </c>
      <c r="BA35" s="53" t="s">
        <v>114</v>
      </c>
      <c r="BB35" s="53" t="s">
        <v>114</v>
      </c>
      <c r="BC35" s="53">
        <v>0</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
      <c r="A36" s="53" t="s">
        <v>115</v>
      </c>
      <c r="B36" s="53" t="s">
        <v>114</v>
      </c>
      <c r="C36" s="53" t="s">
        <v>114</v>
      </c>
      <c r="D36" s="53" t="s">
        <v>114</v>
      </c>
      <c r="E36" s="53">
        <v>0</v>
      </c>
      <c r="F36" s="53" t="s">
        <v>114</v>
      </c>
      <c r="G36" s="53">
        <v>0</v>
      </c>
      <c r="H36" s="53" t="s">
        <v>114</v>
      </c>
      <c r="I36" s="53">
        <v>0</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t="s">
        <v>114</v>
      </c>
      <c r="AB36" s="53" t="s">
        <v>114</v>
      </c>
      <c r="AC36" s="53" t="s">
        <v>114</v>
      </c>
      <c r="AD36" s="53" t="s">
        <v>114</v>
      </c>
      <c r="AE36" s="53" t="s">
        <v>114</v>
      </c>
      <c r="AF36" s="53" t="s">
        <v>114</v>
      </c>
      <c r="AG36" s="53" t="s">
        <v>114</v>
      </c>
      <c r="AH36" s="53" t="s">
        <v>114</v>
      </c>
      <c r="AI36" s="53">
        <v>0</v>
      </c>
      <c r="AJ36" s="53" t="s">
        <v>114</v>
      </c>
      <c r="AK36" s="53">
        <v>0</v>
      </c>
      <c r="AL36" s="53" t="s">
        <v>114</v>
      </c>
      <c r="AM36" s="53" t="s">
        <v>114</v>
      </c>
      <c r="AN36" s="53" t="s">
        <v>114</v>
      </c>
      <c r="AO36" s="53">
        <v>0</v>
      </c>
      <c r="AP36" s="53" t="s">
        <v>114</v>
      </c>
      <c r="AQ36" s="53" t="s">
        <v>114</v>
      </c>
      <c r="AR36" s="53" t="s">
        <v>114</v>
      </c>
      <c r="AS36" s="53" t="s">
        <v>114</v>
      </c>
      <c r="AT36" s="53" t="s">
        <v>114</v>
      </c>
      <c r="AU36" s="53" t="s">
        <v>114</v>
      </c>
      <c r="AV36" s="53" t="s">
        <v>114</v>
      </c>
      <c r="AW36" s="53" t="s">
        <v>114</v>
      </c>
      <c r="AX36" s="53" t="s">
        <v>114</v>
      </c>
      <c r="AY36" s="53">
        <v>0</v>
      </c>
      <c r="AZ36" s="53" t="s">
        <v>114</v>
      </c>
      <c r="BA36" s="53" t="s">
        <v>114</v>
      </c>
      <c r="BB36" s="53" t="s">
        <v>114</v>
      </c>
      <c r="BC36" s="53">
        <v>0</v>
      </c>
      <c r="BD36" s="53" t="s">
        <v>114</v>
      </c>
      <c r="BE36" s="53">
        <v>0</v>
      </c>
      <c r="BF36" s="53" t="s">
        <v>114</v>
      </c>
      <c r="BG36" s="53" t="s">
        <v>114</v>
      </c>
      <c r="BH36" s="53" t="s">
        <v>114</v>
      </c>
      <c r="BI36" s="53" t="s">
        <v>114</v>
      </c>
      <c r="BJ36" s="53" t="s">
        <v>114</v>
      </c>
      <c r="BK36" s="53" t="s">
        <v>114</v>
      </c>
      <c r="BL36" s="53" t="s">
        <v>114</v>
      </c>
      <c r="BM36"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04938-2103-4F5C-97A4-163C7C9A40FF}">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155</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91</v>
      </c>
      <c r="J14" s="54" t="s">
        <v>143</v>
      </c>
      <c r="K14" s="54" t="s">
        <v>142</v>
      </c>
      <c r="L14" s="54" t="s">
        <v>141</v>
      </c>
      <c r="M14" s="54" t="s">
        <v>140</v>
      </c>
      <c r="N14" s="54" t="s">
        <v>139</v>
      </c>
      <c r="O14" s="54" t="s">
        <v>138</v>
      </c>
      <c r="P14" s="54" t="s">
        <v>137</v>
      </c>
      <c r="Q14" s="54" t="s">
        <v>91</v>
      </c>
      <c r="R14" s="54" t="s">
        <v>143</v>
      </c>
      <c r="S14" s="54" t="s">
        <v>142</v>
      </c>
      <c r="T14" s="54" t="s">
        <v>141</v>
      </c>
      <c r="U14" s="54" t="s">
        <v>140</v>
      </c>
      <c r="V14" s="54" t="s">
        <v>139</v>
      </c>
      <c r="W14" s="54" t="s">
        <v>138</v>
      </c>
      <c r="X14" s="54" t="s">
        <v>137</v>
      </c>
      <c r="Y14" s="54" t="s">
        <v>91</v>
      </c>
      <c r="Z14" s="54" t="s">
        <v>143</v>
      </c>
      <c r="AA14" s="54" t="s">
        <v>142</v>
      </c>
      <c r="AB14" s="54" t="s">
        <v>141</v>
      </c>
      <c r="AC14" s="54" t="s">
        <v>140</v>
      </c>
      <c r="AD14" s="54" t="s">
        <v>139</v>
      </c>
      <c r="AE14" s="54" t="s">
        <v>138</v>
      </c>
      <c r="AF14" s="54" t="s">
        <v>137</v>
      </c>
      <c r="AG14" s="54" t="s">
        <v>91</v>
      </c>
      <c r="AH14" s="54" t="s">
        <v>143</v>
      </c>
      <c r="AI14" s="54" t="s">
        <v>142</v>
      </c>
      <c r="AJ14" s="54" t="s">
        <v>141</v>
      </c>
      <c r="AK14" s="54" t="s">
        <v>140</v>
      </c>
      <c r="AL14" s="54" t="s">
        <v>139</v>
      </c>
      <c r="AM14" s="54" t="s">
        <v>138</v>
      </c>
      <c r="AN14" s="54" t="s">
        <v>137</v>
      </c>
      <c r="AO14" s="54" t="s">
        <v>91</v>
      </c>
      <c r="AP14" s="54" t="s">
        <v>143</v>
      </c>
      <c r="AQ14" s="54" t="s">
        <v>142</v>
      </c>
      <c r="AR14" s="54" t="s">
        <v>141</v>
      </c>
      <c r="AS14" s="54" t="s">
        <v>140</v>
      </c>
      <c r="AT14" s="54" t="s">
        <v>139</v>
      </c>
      <c r="AU14" s="54" t="s">
        <v>138</v>
      </c>
      <c r="AV14" s="54" t="s">
        <v>137</v>
      </c>
      <c r="AW14" s="54" t="s">
        <v>91</v>
      </c>
      <c r="AX14" s="54" t="s">
        <v>143</v>
      </c>
      <c r="AY14" s="54" t="s">
        <v>142</v>
      </c>
      <c r="AZ14" s="54" t="s">
        <v>141</v>
      </c>
      <c r="BA14" s="54" t="s">
        <v>140</v>
      </c>
      <c r="BB14" s="54" t="s">
        <v>139</v>
      </c>
      <c r="BC14" s="54" t="s">
        <v>138</v>
      </c>
      <c r="BD14" s="54" t="s">
        <v>137</v>
      </c>
      <c r="BE14" s="54" t="s">
        <v>91</v>
      </c>
      <c r="BF14" s="54" t="s">
        <v>143</v>
      </c>
      <c r="BG14" s="54" t="s">
        <v>142</v>
      </c>
      <c r="BH14" s="54" t="s">
        <v>141</v>
      </c>
      <c r="BI14" s="54" t="s">
        <v>140</v>
      </c>
      <c r="BJ14" s="54" t="s">
        <v>139</v>
      </c>
      <c r="BK14" s="54" t="s">
        <v>138</v>
      </c>
      <c r="BL14" s="54" t="s">
        <v>137</v>
      </c>
      <c r="BM14" s="54" t="s">
        <v>91</v>
      </c>
    </row>
    <row r="15" spans="1:65" ht="15" customHeight="1" x14ac:dyDescent="0.2">
      <c r="A15" s="53" t="s">
        <v>136</v>
      </c>
      <c r="B15" s="53" t="s">
        <v>114</v>
      </c>
      <c r="C15" s="53" t="s">
        <v>114</v>
      </c>
      <c r="D15" s="53" t="s">
        <v>114</v>
      </c>
      <c r="E15" s="53">
        <v>134</v>
      </c>
      <c r="F15" s="53" t="s">
        <v>114</v>
      </c>
      <c r="G15" s="53">
        <v>27</v>
      </c>
      <c r="H15" s="53" t="s">
        <v>114</v>
      </c>
      <c r="I15" s="53">
        <v>1</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t="s">
        <v>114</v>
      </c>
      <c r="AB15" s="53" t="s">
        <v>114</v>
      </c>
      <c r="AC15" s="53" t="s">
        <v>114</v>
      </c>
      <c r="AD15" s="53" t="s">
        <v>114</v>
      </c>
      <c r="AE15" s="53" t="s">
        <v>114</v>
      </c>
      <c r="AF15" s="53" t="s">
        <v>114</v>
      </c>
      <c r="AG15" s="53" t="s">
        <v>114</v>
      </c>
      <c r="AH15" s="53" t="s">
        <v>114</v>
      </c>
      <c r="AI15" s="53">
        <v>42</v>
      </c>
      <c r="AJ15" s="53" t="s">
        <v>114</v>
      </c>
      <c r="AK15" s="53">
        <v>74</v>
      </c>
      <c r="AL15" s="53" t="s">
        <v>114</v>
      </c>
      <c r="AM15" s="53" t="s">
        <v>114</v>
      </c>
      <c r="AN15" s="53" t="s">
        <v>114</v>
      </c>
      <c r="AO15" s="53">
        <v>0</v>
      </c>
      <c r="AP15" s="53" t="s">
        <v>114</v>
      </c>
      <c r="AQ15" s="53" t="s">
        <v>114</v>
      </c>
      <c r="AR15" s="53" t="s">
        <v>114</v>
      </c>
      <c r="AS15" s="53" t="s">
        <v>114</v>
      </c>
      <c r="AT15" s="53" t="s">
        <v>114</v>
      </c>
      <c r="AU15" s="53" t="s">
        <v>114</v>
      </c>
      <c r="AV15" s="53" t="s">
        <v>114</v>
      </c>
      <c r="AW15" s="53" t="s">
        <v>114</v>
      </c>
      <c r="AX15" s="53" t="s">
        <v>114</v>
      </c>
      <c r="AY15" s="53">
        <v>24</v>
      </c>
      <c r="AZ15" s="53" t="s">
        <v>114</v>
      </c>
      <c r="BA15" s="53" t="s">
        <v>114</v>
      </c>
      <c r="BB15" s="53" t="s">
        <v>114</v>
      </c>
      <c r="BC15" s="53">
        <v>17</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
      <c r="A16" s="53" t="s">
        <v>135</v>
      </c>
      <c r="B16" s="53" t="s">
        <v>114</v>
      </c>
      <c r="C16" s="53" t="s">
        <v>114</v>
      </c>
      <c r="D16" s="53" t="s">
        <v>114</v>
      </c>
      <c r="E16" s="53">
        <v>184</v>
      </c>
      <c r="F16" s="53" t="s">
        <v>114</v>
      </c>
      <c r="G16" s="53">
        <v>34</v>
      </c>
      <c r="H16" s="53" t="s">
        <v>114</v>
      </c>
      <c r="I16" s="53">
        <v>0</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t="s">
        <v>114</v>
      </c>
      <c r="AB16" s="53" t="s">
        <v>114</v>
      </c>
      <c r="AC16" s="53" t="s">
        <v>114</v>
      </c>
      <c r="AD16" s="53" t="s">
        <v>114</v>
      </c>
      <c r="AE16" s="53" t="s">
        <v>114</v>
      </c>
      <c r="AF16" s="53" t="s">
        <v>114</v>
      </c>
      <c r="AG16" s="53" t="s">
        <v>114</v>
      </c>
      <c r="AH16" s="53" t="s">
        <v>114</v>
      </c>
      <c r="AI16" s="53">
        <v>39</v>
      </c>
      <c r="AJ16" s="53" t="s">
        <v>114</v>
      </c>
      <c r="AK16" s="53">
        <v>81</v>
      </c>
      <c r="AL16" s="53" t="s">
        <v>114</v>
      </c>
      <c r="AM16" s="53" t="s">
        <v>114</v>
      </c>
      <c r="AN16" s="53" t="s">
        <v>114</v>
      </c>
      <c r="AO16" s="53">
        <v>0</v>
      </c>
      <c r="AP16" s="53" t="s">
        <v>114</v>
      </c>
      <c r="AQ16" s="53" t="s">
        <v>114</v>
      </c>
      <c r="AR16" s="53" t="s">
        <v>114</v>
      </c>
      <c r="AS16" s="53" t="s">
        <v>114</v>
      </c>
      <c r="AT16" s="53" t="s">
        <v>114</v>
      </c>
      <c r="AU16" s="53" t="s">
        <v>114</v>
      </c>
      <c r="AV16" s="53" t="s">
        <v>114</v>
      </c>
      <c r="AW16" s="53" t="s">
        <v>114</v>
      </c>
      <c r="AX16" s="53" t="s">
        <v>114</v>
      </c>
      <c r="AY16" s="53">
        <v>38</v>
      </c>
      <c r="AZ16" s="53" t="s">
        <v>114</v>
      </c>
      <c r="BA16" s="53" t="s">
        <v>114</v>
      </c>
      <c r="BB16" s="53" t="s">
        <v>114</v>
      </c>
      <c r="BC16" s="53">
        <v>15</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
      <c r="A17" s="53" t="s">
        <v>134</v>
      </c>
      <c r="B17" s="53" t="s">
        <v>114</v>
      </c>
      <c r="C17" s="53" t="s">
        <v>114</v>
      </c>
      <c r="D17" s="53" t="s">
        <v>114</v>
      </c>
      <c r="E17" s="53">
        <v>209</v>
      </c>
      <c r="F17" s="53" t="s">
        <v>114</v>
      </c>
      <c r="G17" s="53">
        <v>36</v>
      </c>
      <c r="H17" s="53" t="s">
        <v>114</v>
      </c>
      <c r="I17" s="53">
        <v>0</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t="s">
        <v>114</v>
      </c>
      <c r="AB17" s="53" t="s">
        <v>114</v>
      </c>
      <c r="AC17" s="53" t="s">
        <v>114</v>
      </c>
      <c r="AD17" s="53" t="s">
        <v>114</v>
      </c>
      <c r="AE17" s="53" t="s">
        <v>114</v>
      </c>
      <c r="AF17" s="53" t="s">
        <v>114</v>
      </c>
      <c r="AG17" s="53" t="s">
        <v>114</v>
      </c>
      <c r="AH17" s="53" t="s">
        <v>114</v>
      </c>
      <c r="AI17" s="53">
        <v>34</v>
      </c>
      <c r="AJ17" s="53" t="s">
        <v>114</v>
      </c>
      <c r="AK17" s="53">
        <v>55</v>
      </c>
      <c r="AL17" s="53" t="s">
        <v>114</v>
      </c>
      <c r="AM17" s="53" t="s">
        <v>114</v>
      </c>
      <c r="AN17" s="53" t="s">
        <v>114</v>
      </c>
      <c r="AO17" s="53">
        <v>0</v>
      </c>
      <c r="AP17" s="53" t="s">
        <v>114</v>
      </c>
      <c r="AQ17" s="53" t="s">
        <v>114</v>
      </c>
      <c r="AR17" s="53" t="s">
        <v>114</v>
      </c>
      <c r="AS17" s="53" t="s">
        <v>114</v>
      </c>
      <c r="AT17" s="53" t="s">
        <v>114</v>
      </c>
      <c r="AU17" s="53" t="s">
        <v>114</v>
      </c>
      <c r="AV17" s="53" t="s">
        <v>114</v>
      </c>
      <c r="AW17" s="53" t="s">
        <v>114</v>
      </c>
      <c r="AX17" s="53" t="s">
        <v>114</v>
      </c>
      <c r="AY17" s="53">
        <v>30</v>
      </c>
      <c r="AZ17" s="53" t="s">
        <v>114</v>
      </c>
      <c r="BA17" s="53" t="s">
        <v>114</v>
      </c>
      <c r="BB17" s="53" t="s">
        <v>114</v>
      </c>
      <c r="BC17" s="53">
        <v>21</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
      <c r="A18" s="53" t="s">
        <v>133</v>
      </c>
      <c r="B18" s="53" t="s">
        <v>114</v>
      </c>
      <c r="C18" s="53" t="s">
        <v>114</v>
      </c>
      <c r="D18" s="53" t="s">
        <v>114</v>
      </c>
      <c r="E18" s="53">
        <v>204</v>
      </c>
      <c r="F18" s="53" t="s">
        <v>114</v>
      </c>
      <c r="G18" s="53">
        <v>64</v>
      </c>
      <c r="H18" s="53" t="s">
        <v>114</v>
      </c>
      <c r="I18" s="53">
        <v>0</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t="s">
        <v>114</v>
      </c>
      <c r="AB18" s="53" t="s">
        <v>114</v>
      </c>
      <c r="AC18" s="53" t="s">
        <v>114</v>
      </c>
      <c r="AD18" s="53" t="s">
        <v>114</v>
      </c>
      <c r="AE18" s="53" t="s">
        <v>114</v>
      </c>
      <c r="AF18" s="53" t="s">
        <v>114</v>
      </c>
      <c r="AG18" s="53" t="s">
        <v>114</v>
      </c>
      <c r="AH18" s="53" t="s">
        <v>114</v>
      </c>
      <c r="AI18" s="53">
        <v>38</v>
      </c>
      <c r="AJ18" s="53" t="s">
        <v>114</v>
      </c>
      <c r="AK18" s="53">
        <v>83</v>
      </c>
      <c r="AL18" s="53" t="s">
        <v>114</v>
      </c>
      <c r="AM18" s="53" t="s">
        <v>114</v>
      </c>
      <c r="AN18" s="53" t="s">
        <v>114</v>
      </c>
      <c r="AO18" s="53">
        <v>0</v>
      </c>
      <c r="AP18" s="53" t="s">
        <v>114</v>
      </c>
      <c r="AQ18" s="53" t="s">
        <v>114</v>
      </c>
      <c r="AR18" s="53" t="s">
        <v>114</v>
      </c>
      <c r="AS18" s="53" t="s">
        <v>114</v>
      </c>
      <c r="AT18" s="53" t="s">
        <v>114</v>
      </c>
      <c r="AU18" s="53" t="s">
        <v>114</v>
      </c>
      <c r="AV18" s="53" t="s">
        <v>114</v>
      </c>
      <c r="AW18" s="53" t="s">
        <v>114</v>
      </c>
      <c r="AX18" s="53" t="s">
        <v>114</v>
      </c>
      <c r="AY18" s="53">
        <v>36</v>
      </c>
      <c r="AZ18" s="53" t="s">
        <v>114</v>
      </c>
      <c r="BA18" s="53" t="s">
        <v>114</v>
      </c>
      <c r="BB18" s="53" t="s">
        <v>114</v>
      </c>
      <c r="BC18" s="53">
        <v>22</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
      <c r="A19" s="53" t="s">
        <v>132</v>
      </c>
      <c r="B19" s="53" t="s">
        <v>114</v>
      </c>
      <c r="C19" s="53" t="s">
        <v>114</v>
      </c>
      <c r="D19" s="53" t="s">
        <v>114</v>
      </c>
      <c r="E19" s="53">
        <v>201</v>
      </c>
      <c r="F19" s="53" t="s">
        <v>114</v>
      </c>
      <c r="G19" s="53">
        <v>49</v>
      </c>
      <c r="H19" s="53" t="s">
        <v>114</v>
      </c>
      <c r="I19" s="53">
        <v>0</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t="s">
        <v>114</v>
      </c>
      <c r="AB19" s="53" t="s">
        <v>114</v>
      </c>
      <c r="AC19" s="53" t="s">
        <v>114</v>
      </c>
      <c r="AD19" s="53" t="s">
        <v>114</v>
      </c>
      <c r="AE19" s="53" t="s">
        <v>114</v>
      </c>
      <c r="AF19" s="53" t="s">
        <v>114</v>
      </c>
      <c r="AG19" s="53" t="s">
        <v>114</v>
      </c>
      <c r="AH19" s="53" t="s">
        <v>114</v>
      </c>
      <c r="AI19" s="53">
        <v>38</v>
      </c>
      <c r="AJ19" s="53" t="s">
        <v>114</v>
      </c>
      <c r="AK19" s="53">
        <v>90</v>
      </c>
      <c r="AL19" s="53" t="s">
        <v>114</v>
      </c>
      <c r="AM19" s="53" t="s">
        <v>114</v>
      </c>
      <c r="AN19" s="53" t="s">
        <v>114</v>
      </c>
      <c r="AO19" s="53">
        <v>0</v>
      </c>
      <c r="AP19" s="53" t="s">
        <v>114</v>
      </c>
      <c r="AQ19" s="53" t="s">
        <v>114</v>
      </c>
      <c r="AR19" s="53" t="s">
        <v>114</v>
      </c>
      <c r="AS19" s="53" t="s">
        <v>114</v>
      </c>
      <c r="AT19" s="53" t="s">
        <v>114</v>
      </c>
      <c r="AU19" s="53" t="s">
        <v>114</v>
      </c>
      <c r="AV19" s="53" t="s">
        <v>114</v>
      </c>
      <c r="AW19" s="53" t="s">
        <v>114</v>
      </c>
      <c r="AX19" s="53" t="s">
        <v>114</v>
      </c>
      <c r="AY19" s="53">
        <v>47</v>
      </c>
      <c r="AZ19" s="53" t="s">
        <v>114</v>
      </c>
      <c r="BA19" s="53" t="s">
        <v>114</v>
      </c>
      <c r="BB19" s="53" t="s">
        <v>114</v>
      </c>
      <c r="BC19" s="53">
        <v>29</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
      <c r="A20" s="53" t="s">
        <v>131</v>
      </c>
      <c r="B20" s="53" t="s">
        <v>114</v>
      </c>
      <c r="C20" s="53" t="s">
        <v>114</v>
      </c>
      <c r="D20" s="53" t="s">
        <v>114</v>
      </c>
      <c r="E20" s="53">
        <v>160</v>
      </c>
      <c r="F20" s="53" t="s">
        <v>114</v>
      </c>
      <c r="G20" s="53">
        <v>56</v>
      </c>
      <c r="H20" s="53" t="s">
        <v>114</v>
      </c>
      <c r="I20" s="53">
        <v>0</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t="s">
        <v>114</v>
      </c>
      <c r="AB20" s="53" t="s">
        <v>114</v>
      </c>
      <c r="AC20" s="53" t="s">
        <v>114</v>
      </c>
      <c r="AD20" s="53" t="s">
        <v>114</v>
      </c>
      <c r="AE20" s="53" t="s">
        <v>114</v>
      </c>
      <c r="AF20" s="53" t="s">
        <v>114</v>
      </c>
      <c r="AG20" s="53" t="s">
        <v>114</v>
      </c>
      <c r="AH20" s="53" t="s">
        <v>114</v>
      </c>
      <c r="AI20" s="53">
        <v>35</v>
      </c>
      <c r="AJ20" s="53" t="s">
        <v>114</v>
      </c>
      <c r="AK20" s="53">
        <v>100</v>
      </c>
      <c r="AL20" s="53" t="s">
        <v>114</v>
      </c>
      <c r="AM20" s="53" t="s">
        <v>114</v>
      </c>
      <c r="AN20" s="53" t="s">
        <v>114</v>
      </c>
      <c r="AO20" s="53">
        <v>0</v>
      </c>
      <c r="AP20" s="53" t="s">
        <v>114</v>
      </c>
      <c r="AQ20" s="53" t="s">
        <v>114</v>
      </c>
      <c r="AR20" s="53" t="s">
        <v>114</v>
      </c>
      <c r="AS20" s="53" t="s">
        <v>114</v>
      </c>
      <c r="AT20" s="53" t="s">
        <v>114</v>
      </c>
      <c r="AU20" s="53" t="s">
        <v>114</v>
      </c>
      <c r="AV20" s="53" t="s">
        <v>114</v>
      </c>
      <c r="AW20" s="53" t="s">
        <v>114</v>
      </c>
      <c r="AX20" s="53" t="s">
        <v>114</v>
      </c>
      <c r="AY20" s="53">
        <v>62</v>
      </c>
      <c r="AZ20" s="53" t="s">
        <v>114</v>
      </c>
      <c r="BA20" s="53" t="s">
        <v>114</v>
      </c>
      <c r="BB20" s="53" t="s">
        <v>114</v>
      </c>
      <c r="BC20" s="53">
        <v>22</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
      <c r="A21" s="53" t="s">
        <v>130</v>
      </c>
      <c r="B21" s="53" t="s">
        <v>114</v>
      </c>
      <c r="C21" s="53" t="s">
        <v>114</v>
      </c>
      <c r="D21" s="53" t="s">
        <v>114</v>
      </c>
      <c r="E21" s="53">
        <v>154</v>
      </c>
      <c r="F21" s="53" t="s">
        <v>114</v>
      </c>
      <c r="G21" s="53">
        <v>46</v>
      </c>
      <c r="H21" s="53" t="s">
        <v>114</v>
      </c>
      <c r="I21" s="53">
        <v>0</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t="s">
        <v>114</v>
      </c>
      <c r="AB21" s="53" t="s">
        <v>114</v>
      </c>
      <c r="AC21" s="53" t="s">
        <v>114</v>
      </c>
      <c r="AD21" s="53" t="s">
        <v>114</v>
      </c>
      <c r="AE21" s="53" t="s">
        <v>114</v>
      </c>
      <c r="AF21" s="53" t="s">
        <v>114</v>
      </c>
      <c r="AG21" s="53" t="s">
        <v>114</v>
      </c>
      <c r="AH21" s="53" t="s">
        <v>114</v>
      </c>
      <c r="AI21" s="53">
        <v>25</v>
      </c>
      <c r="AJ21" s="53" t="s">
        <v>114</v>
      </c>
      <c r="AK21" s="53">
        <v>120</v>
      </c>
      <c r="AL21" s="53" t="s">
        <v>114</v>
      </c>
      <c r="AM21" s="53" t="s">
        <v>114</v>
      </c>
      <c r="AN21" s="53" t="s">
        <v>114</v>
      </c>
      <c r="AO21" s="53">
        <v>0</v>
      </c>
      <c r="AP21" s="53" t="s">
        <v>114</v>
      </c>
      <c r="AQ21" s="53" t="s">
        <v>114</v>
      </c>
      <c r="AR21" s="53" t="s">
        <v>114</v>
      </c>
      <c r="AS21" s="53" t="s">
        <v>114</v>
      </c>
      <c r="AT21" s="53" t="s">
        <v>114</v>
      </c>
      <c r="AU21" s="53" t="s">
        <v>114</v>
      </c>
      <c r="AV21" s="53" t="s">
        <v>114</v>
      </c>
      <c r="AW21" s="53" t="s">
        <v>114</v>
      </c>
      <c r="AX21" s="53" t="s">
        <v>114</v>
      </c>
      <c r="AY21" s="53">
        <v>56</v>
      </c>
      <c r="AZ21" s="53" t="s">
        <v>114</v>
      </c>
      <c r="BA21" s="53" t="s">
        <v>114</v>
      </c>
      <c r="BB21" s="53" t="s">
        <v>114</v>
      </c>
      <c r="BC21" s="53">
        <v>24</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
      <c r="A22" s="53" t="s">
        <v>129</v>
      </c>
      <c r="B22" s="53" t="s">
        <v>114</v>
      </c>
      <c r="C22" s="53" t="s">
        <v>114</v>
      </c>
      <c r="D22" s="53" t="s">
        <v>114</v>
      </c>
      <c r="E22" s="53">
        <v>127</v>
      </c>
      <c r="F22" s="53" t="s">
        <v>114</v>
      </c>
      <c r="G22" s="53">
        <v>28</v>
      </c>
      <c r="H22" s="53" t="s">
        <v>114</v>
      </c>
      <c r="I22" s="53">
        <v>0</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t="s">
        <v>114</v>
      </c>
      <c r="AB22" s="53" t="s">
        <v>114</v>
      </c>
      <c r="AC22" s="53" t="s">
        <v>114</v>
      </c>
      <c r="AD22" s="53" t="s">
        <v>114</v>
      </c>
      <c r="AE22" s="53" t="s">
        <v>114</v>
      </c>
      <c r="AF22" s="53" t="s">
        <v>114</v>
      </c>
      <c r="AG22" s="53" t="s">
        <v>114</v>
      </c>
      <c r="AH22" s="53" t="s">
        <v>114</v>
      </c>
      <c r="AI22" s="53">
        <v>17</v>
      </c>
      <c r="AJ22" s="53" t="s">
        <v>114</v>
      </c>
      <c r="AK22" s="53">
        <v>90</v>
      </c>
      <c r="AL22" s="53" t="s">
        <v>114</v>
      </c>
      <c r="AM22" s="53" t="s">
        <v>114</v>
      </c>
      <c r="AN22" s="53" t="s">
        <v>114</v>
      </c>
      <c r="AO22" s="53">
        <v>0</v>
      </c>
      <c r="AP22" s="53" t="s">
        <v>114</v>
      </c>
      <c r="AQ22" s="53" t="s">
        <v>114</v>
      </c>
      <c r="AR22" s="53" t="s">
        <v>114</v>
      </c>
      <c r="AS22" s="53" t="s">
        <v>114</v>
      </c>
      <c r="AT22" s="53" t="s">
        <v>114</v>
      </c>
      <c r="AU22" s="53" t="s">
        <v>114</v>
      </c>
      <c r="AV22" s="53" t="s">
        <v>114</v>
      </c>
      <c r="AW22" s="53" t="s">
        <v>114</v>
      </c>
      <c r="AX22" s="53" t="s">
        <v>114</v>
      </c>
      <c r="AY22" s="53">
        <v>44</v>
      </c>
      <c r="AZ22" s="53" t="s">
        <v>114</v>
      </c>
      <c r="BA22" s="53" t="s">
        <v>114</v>
      </c>
      <c r="BB22" s="53" t="s">
        <v>114</v>
      </c>
      <c r="BC22" s="53">
        <v>20</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
      <c r="A23" s="53" t="s">
        <v>128</v>
      </c>
      <c r="B23" s="53" t="s">
        <v>114</v>
      </c>
      <c r="C23" s="53" t="s">
        <v>114</v>
      </c>
      <c r="D23" s="53" t="s">
        <v>114</v>
      </c>
      <c r="E23" s="53">
        <v>0</v>
      </c>
      <c r="F23" s="53" t="s">
        <v>114</v>
      </c>
      <c r="G23" s="53">
        <v>0</v>
      </c>
      <c r="H23" s="53" t="s">
        <v>114</v>
      </c>
      <c r="I23" s="53">
        <v>0</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t="s">
        <v>114</v>
      </c>
      <c r="AB23" s="53" t="s">
        <v>114</v>
      </c>
      <c r="AC23" s="53" t="s">
        <v>114</v>
      </c>
      <c r="AD23" s="53" t="s">
        <v>114</v>
      </c>
      <c r="AE23" s="53" t="s">
        <v>114</v>
      </c>
      <c r="AF23" s="53" t="s">
        <v>114</v>
      </c>
      <c r="AG23" s="53" t="s">
        <v>114</v>
      </c>
      <c r="AH23" s="53" t="s">
        <v>114</v>
      </c>
      <c r="AI23" s="53">
        <v>0</v>
      </c>
      <c r="AJ23" s="53" t="s">
        <v>114</v>
      </c>
      <c r="AK23" s="53">
        <v>0</v>
      </c>
      <c r="AL23" s="53" t="s">
        <v>114</v>
      </c>
      <c r="AM23" s="53" t="s">
        <v>114</v>
      </c>
      <c r="AN23" s="53" t="s">
        <v>114</v>
      </c>
      <c r="AO23" s="53">
        <v>0</v>
      </c>
      <c r="AP23" s="53" t="s">
        <v>114</v>
      </c>
      <c r="AQ23" s="53" t="s">
        <v>114</v>
      </c>
      <c r="AR23" s="53" t="s">
        <v>114</v>
      </c>
      <c r="AS23" s="53" t="s">
        <v>114</v>
      </c>
      <c r="AT23" s="53" t="s">
        <v>114</v>
      </c>
      <c r="AU23" s="53" t="s">
        <v>114</v>
      </c>
      <c r="AV23" s="53" t="s">
        <v>114</v>
      </c>
      <c r="AW23" s="53" t="s">
        <v>114</v>
      </c>
      <c r="AX23" s="53" t="s">
        <v>114</v>
      </c>
      <c r="AY23" s="53">
        <v>0</v>
      </c>
      <c r="AZ23" s="53" t="s">
        <v>114</v>
      </c>
      <c r="BA23" s="53" t="s">
        <v>114</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
      <c r="A24" s="53" t="s">
        <v>127</v>
      </c>
      <c r="B24" s="53" t="s">
        <v>114</v>
      </c>
      <c r="C24" s="53" t="s">
        <v>114</v>
      </c>
      <c r="D24" s="53" t="s">
        <v>114</v>
      </c>
      <c r="E24" s="53">
        <v>129</v>
      </c>
      <c r="F24" s="53" t="s">
        <v>114</v>
      </c>
      <c r="G24" s="53">
        <v>28</v>
      </c>
      <c r="H24" s="53" t="s">
        <v>114</v>
      </c>
      <c r="I24" s="53">
        <v>0</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t="s">
        <v>114</v>
      </c>
      <c r="AB24" s="53" t="s">
        <v>114</v>
      </c>
      <c r="AC24" s="53" t="s">
        <v>114</v>
      </c>
      <c r="AD24" s="53" t="s">
        <v>114</v>
      </c>
      <c r="AE24" s="53" t="s">
        <v>114</v>
      </c>
      <c r="AF24" s="53" t="s">
        <v>114</v>
      </c>
      <c r="AG24" s="53" t="s">
        <v>114</v>
      </c>
      <c r="AH24" s="53" t="s">
        <v>114</v>
      </c>
      <c r="AI24" s="53">
        <v>24</v>
      </c>
      <c r="AJ24" s="53" t="s">
        <v>114</v>
      </c>
      <c r="AK24" s="53">
        <v>160</v>
      </c>
      <c r="AL24" s="53" t="s">
        <v>114</v>
      </c>
      <c r="AM24" s="53" t="s">
        <v>114</v>
      </c>
      <c r="AN24" s="53" t="s">
        <v>114</v>
      </c>
      <c r="AO24" s="53">
        <v>0</v>
      </c>
      <c r="AP24" s="53" t="s">
        <v>114</v>
      </c>
      <c r="AQ24" s="53" t="s">
        <v>114</v>
      </c>
      <c r="AR24" s="53" t="s">
        <v>114</v>
      </c>
      <c r="AS24" s="53" t="s">
        <v>114</v>
      </c>
      <c r="AT24" s="53" t="s">
        <v>114</v>
      </c>
      <c r="AU24" s="53" t="s">
        <v>114</v>
      </c>
      <c r="AV24" s="53" t="s">
        <v>114</v>
      </c>
      <c r="AW24" s="53" t="s">
        <v>114</v>
      </c>
      <c r="AX24" s="53" t="s">
        <v>114</v>
      </c>
      <c r="AY24" s="53">
        <v>41</v>
      </c>
      <c r="AZ24" s="53" t="s">
        <v>114</v>
      </c>
      <c r="BA24" s="53" t="s">
        <v>114</v>
      </c>
      <c r="BB24" s="53" t="s">
        <v>114</v>
      </c>
      <c r="BC24" s="53">
        <v>24</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
      <c r="A25" s="53" t="s">
        <v>126</v>
      </c>
      <c r="B25" s="53" t="s">
        <v>114</v>
      </c>
      <c r="C25" s="53" t="s">
        <v>114</v>
      </c>
      <c r="D25" s="53" t="s">
        <v>114</v>
      </c>
      <c r="E25" s="53">
        <v>125</v>
      </c>
      <c r="F25" s="53" t="s">
        <v>114</v>
      </c>
      <c r="G25" s="53">
        <v>32</v>
      </c>
      <c r="H25" s="53" t="s">
        <v>114</v>
      </c>
      <c r="I25" s="53">
        <v>1</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t="s">
        <v>114</v>
      </c>
      <c r="AB25" s="53" t="s">
        <v>114</v>
      </c>
      <c r="AC25" s="53" t="s">
        <v>114</v>
      </c>
      <c r="AD25" s="53" t="s">
        <v>114</v>
      </c>
      <c r="AE25" s="53" t="s">
        <v>114</v>
      </c>
      <c r="AF25" s="53" t="s">
        <v>114</v>
      </c>
      <c r="AG25" s="53" t="s">
        <v>114</v>
      </c>
      <c r="AH25" s="53" t="s">
        <v>114</v>
      </c>
      <c r="AI25" s="53">
        <v>19</v>
      </c>
      <c r="AJ25" s="53" t="s">
        <v>114</v>
      </c>
      <c r="AK25" s="53">
        <v>142</v>
      </c>
      <c r="AL25" s="53" t="s">
        <v>114</v>
      </c>
      <c r="AM25" s="53" t="s">
        <v>114</v>
      </c>
      <c r="AN25" s="53" t="s">
        <v>114</v>
      </c>
      <c r="AO25" s="53">
        <v>0</v>
      </c>
      <c r="AP25" s="53" t="s">
        <v>114</v>
      </c>
      <c r="AQ25" s="53" t="s">
        <v>114</v>
      </c>
      <c r="AR25" s="53" t="s">
        <v>114</v>
      </c>
      <c r="AS25" s="53" t="s">
        <v>114</v>
      </c>
      <c r="AT25" s="53" t="s">
        <v>114</v>
      </c>
      <c r="AU25" s="53" t="s">
        <v>114</v>
      </c>
      <c r="AV25" s="53" t="s">
        <v>114</v>
      </c>
      <c r="AW25" s="53" t="s">
        <v>114</v>
      </c>
      <c r="AX25" s="53" t="s">
        <v>114</v>
      </c>
      <c r="AY25" s="53">
        <v>34</v>
      </c>
      <c r="AZ25" s="53" t="s">
        <v>114</v>
      </c>
      <c r="BA25" s="53" t="s">
        <v>114</v>
      </c>
      <c r="BB25" s="53" t="s">
        <v>114</v>
      </c>
      <c r="BC25" s="53">
        <v>24</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
      <c r="A26" s="53" t="s">
        <v>125</v>
      </c>
      <c r="B26" s="53" t="s">
        <v>114</v>
      </c>
      <c r="C26" s="53" t="s">
        <v>114</v>
      </c>
      <c r="D26" s="53" t="s">
        <v>114</v>
      </c>
      <c r="E26" s="53">
        <v>129</v>
      </c>
      <c r="F26" s="53" t="s">
        <v>114</v>
      </c>
      <c r="G26" s="53">
        <v>34</v>
      </c>
      <c r="H26" s="53" t="s">
        <v>114</v>
      </c>
      <c r="I26" s="53">
        <v>0</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t="s">
        <v>114</v>
      </c>
      <c r="AB26" s="53" t="s">
        <v>114</v>
      </c>
      <c r="AC26" s="53" t="s">
        <v>114</v>
      </c>
      <c r="AD26" s="53" t="s">
        <v>114</v>
      </c>
      <c r="AE26" s="53" t="s">
        <v>114</v>
      </c>
      <c r="AF26" s="53" t="s">
        <v>114</v>
      </c>
      <c r="AG26" s="53" t="s">
        <v>114</v>
      </c>
      <c r="AH26" s="53" t="s">
        <v>114</v>
      </c>
      <c r="AI26" s="53">
        <v>23</v>
      </c>
      <c r="AJ26" s="53" t="s">
        <v>114</v>
      </c>
      <c r="AK26" s="53">
        <v>148</v>
      </c>
      <c r="AL26" s="53" t="s">
        <v>114</v>
      </c>
      <c r="AM26" s="53" t="s">
        <v>114</v>
      </c>
      <c r="AN26" s="53" t="s">
        <v>114</v>
      </c>
      <c r="AO26" s="53">
        <v>0</v>
      </c>
      <c r="AP26" s="53" t="s">
        <v>114</v>
      </c>
      <c r="AQ26" s="53" t="s">
        <v>114</v>
      </c>
      <c r="AR26" s="53" t="s">
        <v>114</v>
      </c>
      <c r="AS26" s="53" t="s">
        <v>114</v>
      </c>
      <c r="AT26" s="53" t="s">
        <v>114</v>
      </c>
      <c r="AU26" s="53" t="s">
        <v>114</v>
      </c>
      <c r="AV26" s="53" t="s">
        <v>114</v>
      </c>
      <c r="AW26" s="53" t="s">
        <v>114</v>
      </c>
      <c r="AX26" s="53" t="s">
        <v>114</v>
      </c>
      <c r="AY26" s="53">
        <v>36</v>
      </c>
      <c r="AZ26" s="53" t="s">
        <v>114</v>
      </c>
      <c r="BA26" s="53" t="s">
        <v>114</v>
      </c>
      <c r="BB26" s="53" t="s">
        <v>114</v>
      </c>
      <c r="BC26" s="53">
        <v>19</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
      <c r="A27" s="53" t="s">
        <v>124</v>
      </c>
      <c r="B27" s="53" t="s">
        <v>114</v>
      </c>
      <c r="C27" s="53" t="s">
        <v>114</v>
      </c>
      <c r="D27" s="53" t="s">
        <v>114</v>
      </c>
      <c r="E27" s="53">
        <v>124</v>
      </c>
      <c r="F27" s="53" t="s">
        <v>114</v>
      </c>
      <c r="G27" s="53">
        <v>30</v>
      </c>
      <c r="H27" s="53" t="s">
        <v>114</v>
      </c>
      <c r="I27" s="53">
        <v>0</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t="s">
        <v>114</v>
      </c>
      <c r="AB27" s="53" t="s">
        <v>114</v>
      </c>
      <c r="AC27" s="53" t="s">
        <v>114</v>
      </c>
      <c r="AD27" s="53" t="s">
        <v>114</v>
      </c>
      <c r="AE27" s="53" t="s">
        <v>114</v>
      </c>
      <c r="AF27" s="53" t="s">
        <v>114</v>
      </c>
      <c r="AG27" s="53" t="s">
        <v>114</v>
      </c>
      <c r="AH27" s="53" t="s">
        <v>114</v>
      </c>
      <c r="AI27" s="53">
        <v>25</v>
      </c>
      <c r="AJ27" s="53" t="s">
        <v>114</v>
      </c>
      <c r="AK27" s="53">
        <v>147</v>
      </c>
      <c r="AL27" s="53" t="s">
        <v>114</v>
      </c>
      <c r="AM27" s="53" t="s">
        <v>114</v>
      </c>
      <c r="AN27" s="53" t="s">
        <v>114</v>
      </c>
      <c r="AO27" s="53">
        <v>0</v>
      </c>
      <c r="AP27" s="53" t="s">
        <v>114</v>
      </c>
      <c r="AQ27" s="53" t="s">
        <v>114</v>
      </c>
      <c r="AR27" s="53" t="s">
        <v>114</v>
      </c>
      <c r="AS27" s="53" t="s">
        <v>114</v>
      </c>
      <c r="AT27" s="53" t="s">
        <v>114</v>
      </c>
      <c r="AU27" s="53" t="s">
        <v>114</v>
      </c>
      <c r="AV27" s="53" t="s">
        <v>114</v>
      </c>
      <c r="AW27" s="53" t="s">
        <v>114</v>
      </c>
      <c r="AX27" s="53" t="s">
        <v>114</v>
      </c>
      <c r="AY27" s="53">
        <v>43</v>
      </c>
      <c r="AZ27" s="53" t="s">
        <v>114</v>
      </c>
      <c r="BA27" s="53" t="s">
        <v>114</v>
      </c>
      <c r="BB27" s="53" t="s">
        <v>114</v>
      </c>
      <c r="BC27" s="53">
        <v>17</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
      <c r="A28" s="53" t="s">
        <v>123</v>
      </c>
      <c r="B28" s="53" t="s">
        <v>114</v>
      </c>
      <c r="C28" s="53" t="s">
        <v>114</v>
      </c>
      <c r="D28" s="53" t="s">
        <v>114</v>
      </c>
      <c r="E28" s="53">
        <v>0</v>
      </c>
      <c r="F28" s="53" t="s">
        <v>114</v>
      </c>
      <c r="G28" s="53">
        <v>0</v>
      </c>
      <c r="H28" s="53" t="s">
        <v>114</v>
      </c>
      <c r="I28" s="53">
        <v>0</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t="s">
        <v>114</v>
      </c>
      <c r="AB28" s="53" t="s">
        <v>114</v>
      </c>
      <c r="AC28" s="53" t="s">
        <v>114</v>
      </c>
      <c r="AD28" s="53" t="s">
        <v>114</v>
      </c>
      <c r="AE28" s="53" t="s">
        <v>114</v>
      </c>
      <c r="AF28" s="53" t="s">
        <v>114</v>
      </c>
      <c r="AG28" s="53" t="s">
        <v>114</v>
      </c>
      <c r="AH28" s="53" t="s">
        <v>114</v>
      </c>
      <c r="AI28" s="53">
        <v>0</v>
      </c>
      <c r="AJ28" s="53" t="s">
        <v>114</v>
      </c>
      <c r="AK28" s="53">
        <v>0</v>
      </c>
      <c r="AL28" s="53" t="s">
        <v>114</v>
      </c>
      <c r="AM28" s="53" t="s">
        <v>114</v>
      </c>
      <c r="AN28" s="53" t="s">
        <v>114</v>
      </c>
      <c r="AO28" s="53">
        <v>0</v>
      </c>
      <c r="AP28" s="53" t="s">
        <v>114</v>
      </c>
      <c r="AQ28" s="53" t="s">
        <v>114</v>
      </c>
      <c r="AR28" s="53" t="s">
        <v>114</v>
      </c>
      <c r="AS28" s="53" t="s">
        <v>114</v>
      </c>
      <c r="AT28" s="53" t="s">
        <v>114</v>
      </c>
      <c r="AU28" s="53" t="s">
        <v>114</v>
      </c>
      <c r="AV28" s="53" t="s">
        <v>114</v>
      </c>
      <c r="AW28" s="53" t="s">
        <v>114</v>
      </c>
      <c r="AX28" s="53" t="s">
        <v>114</v>
      </c>
      <c r="AY28" s="53">
        <v>0</v>
      </c>
      <c r="AZ28" s="53" t="s">
        <v>114</v>
      </c>
      <c r="BA28" s="53" t="s">
        <v>114</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
      <c r="A29" s="53" t="s">
        <v>122</v>
      </c>
      <c r="B29" s="53" t="s">
        <v>114</v>
      </c>
      <c r="C29" s="53" t="s">
        <v>114</v>
      </c>
      <c r="D29" s="53" t="s">
        <v>114</v>
      </c>
      <c r="E29" s="53">
        <v>152</v>
      </c>
      <c r="F29" s="53" t="s">
        <v>114</v>
      </c>
      <c r="G29" s="53">
        <v>40</v>
      </c>
      <c r="H29" s="53" t="s">
        <v>114</v>
      </c>
      <c r="I29" s="53">
        <v>1</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t="s">
        <v>114</v>
      </c>
      <c r="AB29" s="53" t="s">
        <v>114</v>
      </c>
      <c r="AC29" s="53" t="s">
        <v>114</v>
      </c>
      <c r="AD29" s="53" t="s">
        <v>114</v>
      </c>
      <c r="AE29" s="53" t="s">
        <v>114</v>
      </c>
      <c r="AF29" s="53" t="s">
        <v>114</v>
      </c>
      <c r="AG29" s="53" t="s">
        <v>114</v>
      </c>
      <c r="AH29" s="53" t="s">
        <v>114</v>
      </c>
      <c r="AI29" s="53">
        <v>32</v>
      </c>
      <c r="AJ29" s="53" t="s">
        <v>114</v>
      </c>
      <c r="AK29" s="53">
        <v>180</v>
      </c>
      <c r="AL29" s="53" t="s">
        <v>114</v>
      </c>
      <c r="AM29" s="53" t="s">
        <v>114</v>
      </c>
      <c r="AN29" s="53" t="s">
        <v>114</v>
      </c>
      <c r="AO29" s="53">
        <v>0</v>
      </c>
      <c r="AP29" s="53" t="s">
        <v>114</v>
      </c>
      <c r="AQ29" s="53" t="s">
        <v>114</v>
      </c>
      <c r="AR29" s="53" t="s">
        <v>114</v>
      </c>
      <c r="AS29" s="53" t="s">
        <v>114</v>
      </c>
      <c r="AT29" s="53" t="s">
        <v>114</v>
      </c>
      <c r="AU29" s="53" t="s">
        <v>114</v>
      </c>
      <c r="AV29" s="53" t="s">
        <v>114</v>
      </c>
      <c r="AW29" s="53" t="s">
        <v>114</v>
      </c>
      <c r="AX29" s="53" t="s">
        <v>114</v>
      </c>
      <c r="AY29" s="53">
        <v>70</v>
      </c>
      <c r="AZ29" s="53" t="s">
        <v>114</v>
      </c>
      <c r="BA29" s="53" t="s">
        <v>114</v>
      </c>
      <c r="BB29" s="53" t="s">
        <v>114</v>
      </c>
      <c r="BC29" s="53">
        <v>43</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
      <c r="A30" s="53" t="s">
        <v>121</v>
      </c>
      <c r="B30" s="53" t="s">
        <v>114</v>
      </c>
      <c r="C30" s="53" t="s">
        <v>114</v>
      </c>
      <c r="D30" s="53" t="s">
        <v>114</v>
      </c>
      <c r="E30" s="53">
        <v>168</v>
      </c>
      <c r="F30" s="53" t="s">
        <v>114</v>
      </c>
      <c r="G30" s="53">
        <v>27</v>
      </c>
      <c r="H30" s="53" t="s">
        <v>114</v>
      </c>
      <c r="I30" s="53">
        <v>0</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t="s">
        <v>114</v>
      </c>
      <c r="AB30" s="53" t="s">
        <v>114</v>
      </c>
      <c r="AC30" s="53" t="s">
        <v>114</v>
      </c>
      <c r="AD30" s="53" t="s">
        <v>114</v>
      </c>
      <c r="AE30" s="53" t="s">
        <v>114</v>
      </c>
      <c r="AF30" s="53" t="s">
        <v>114</v>
      </c>
      <c r="AG30" s="53" t="s">
        <v>114</v>
      </c>
      <c r="AH30" s="53" t="s">
        <v>114</v>
      </c>
      <c r="AI30" s="53">
        <v>24</v>
      </c>
      <c r="AJ30" s="53" t="s">
        <v>114</v>
      </c>
      <c r="AK30" s="53">
        <v>168</v>
      </c>
      <c r="AL30" s="53" t="s">
        <v>114</v>
      </c>
      <c r="AM30" s="53" t="s">
        <v>114</v>
      </c>
      <c r="AN30" s="53" t="s">
        <v>114</v>
      </c>
      <c r="AO30" s="53">
        <v>0</v>
      </c>
      <c r="AP30" s="53" t="s">
        <v>114</v>
      </c>
      <c r="AQ30" s="53" t="s">
        <v>114</v>
      </c>
      <c r="AR30" s="53" t="s">
        <v>114</v>
      </c>
      <c r="AS30" s="53" t="s">
        <v>114</v>
      </c>
      <c r="AT30" s="53" t="s">
        <v>114</v>
      </c>
      <c r="AU30" s="53" t="s">
        <v>114</v>
      </c>
      <c r="AV30" s="53" t="s">
        <v>114</v>
      </c>
      <c r="AW30" s="53" t="s">
        <v>114</v>
      </c>
      <c r="AX30" s="53" t="s">
        <v>114</v>
      </c>
      <c r="AY30" s="53">
        <v>70</v>
      </c>
      <c r="AZ30" s="53" t="s">
        <v>114</v>
      </c>
      <c r="BA30" s="53" t="s">
        <v>114</v>
      </c>
      <c r="BB30" s="53" t="s">
        <v>114</v>
      </c>
      <c r="BC30" s="53">
        <v>36</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
      <c r="A31" s="53" t="s">
        <v>120</v>
      </c>
      <c r="B31" s="53" t="s">
        <v>114</v>
      </c>
      <c r="C31" s="53" t="s">
        <v>114</v>
      </c>
      <c r="D31" s="53" t="s">
        <v>114</v>
      </c>
      <c r="E31" s="53">
        <v>141</v>
      </c>
      <c r="F31" s="53" t="s">
        <v>114</v>
      </c>
      <c r="G31" s="53">
        <v>33</v>
      </c>
      <c r="H31" s="53" t="s">
        <v>114</v>
      </c>
      <c r="I31" s="53">
        <v>0</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t="s">
        <v>114</v>
      </c>
      <c r="AB31" s="53" t="s">
        <v>114</v>
      </c>
      <c r="AC31" s="53" t="s">
        <v>114</v>
      </c>
      <c r="AD31" s="53" t="s">
        <v>114</v>
      </c>
      <c r="AE31" s="53" t="s">
        <v>114</v>
      </c>
      <c r="AF31" s="53" t="s">
        <v>114</v>
      </c>
      <c r="AG31" s="53" t="s">
        <v>114</v>
      </c>
      <c r="AH31" s="53" t="s">
        <v>114</v>
      </c>
      <c r="AI31" s="53">
        <v>35</v>
      </c>
      <c r="AJ31" s="53" t="s">
        <v>114</v>
      </c>
      <c r="AK31" s="53">
        <v>187</v>
      </c>
      <c r="AL31" s="53" t="s">
        <v>114</v>
      </c>
      <c r="AM31" s="53" t="s">
        <v>114</v>
      </c>
      <c r="AN31" s="53" t="s">
        <v>114</v>
      </c>
      <c r="AO31" s="53">
        <v>0</v>
      </c>
      <c r="AP31" s="53" t="s">
        <v>114</v>
      </c>
      <c r="AQ31" s="53" t="s">
        <v>114</v>
      </c>
      <c r="AR31" s="53" t="s">
        <v>114</v>
      </c>
      <c r="AS31" s="53" t="s">
        <v>114</v>
      </c>
      <c r="AT31" s="53" t="s">
        <v>114</v>
      </c>
      <c r="AU31" s="53" t="s">
        <v>114</v>
      </c>
      <c r="AV31" s="53" t="s">
        <v>114</v>
      </c>
      <c r="AW31" s="53" t="s">
        <v>114</v>
      </c>
      <c r="AX31" s="53" t="s">
        <v>114</v>
      </c>
      <c r="AY31" s="53">
        <v>68</v>
      </c>
      <c r="AZ31" s="53" t="s">
        <v>114</v>
      </c>
      <c r="BA31" s="53" t="s">
        <v>114</v>
      </c>
      <c r="BB31" s="53" t="s">
        <v>114</v>
      </c>
      <c r="BC31" s="53">
        <v>44</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
      <c r="A32" s="53" t="s">
        <v>119</v>
      </c>
      <c r="B32" s="53" t="s">
        <v>114</v>
      </c>
      <c r="C32" s="53" t="s">
        <v>114</v>
      </c>
      <c r="D32" s="53" t="s">
        <v>114</v>
      </c>
      <c r="E32" s="53">
        <v>134</v>
      </c>
      <c r="F32" s="53" t="s">
        <v>114</v>
      </c>
      <c r="G32" s="53">
        <v>49</v>
      </c>
      <c r="H32" s="53" t="s">
        <v>114</v>
      </c>
      <c r="I32" s="53">
        <v>0</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t="s">
        <v>114</v>
      </c>
      <c r="AB32" s="53" t="s">
        <v>114</v>
      </c>
      <c r="AC32" s="53" t="s">
        <v>114</v>
      </c>
      <c r="AD32" s="53" t="s">
        <v>114</v>
      </c>
      <c r="AE32" s="53" t="s">
        <v>114</v>
      </c>
      <c r="AF32" s="53" t="s">
        <v>114</v>
      </c>
      <c r="AG32" s="53" t="s">
        <v>114</v>
      </c>
      <c r="AH32" s="53" t="s">
        <v>114</v>
      </c>
      <c r="AI32" s="53">
        <v>26</v>
      </c>
      <c r="AJ32" s="53" t="s">
        <v>114</v>
      </c>
      <c r="AK32" s="53">
        <v>195</v>
      </c>
      <c r="AL32" s="53" t="s">
        <v>114</v>
      </c>
      <c r="AM32" s="53" t="s">
        <v>114</v>
      </c>
      <c r="AN32" s="53" t="s">
        <v>114</v>
      </c>
      <c r="AO32" s="53">
        <v>0</v>
      </c>
      <c r="AP32" s="53" t="s">
        <v>114</v>
      </c>
      <c r="AQ32" s="53" t="s">
        <v>114</v>
      </c>
      <c r="AR32" s="53" t="s">
        <v>114</v>
      </c>
      <c r="AS32" s="53" t="s">
        <v>114</v>
      </c>
      <c r="AT32" s="53" t="s">
        <v>114</v>
      </c>
      <c r="AU32" s="53" t="s">
        <v>114</v>
      </c>
      <c r="AV32" s="53" t="s">
        <v>114</v>
      </c>
      <c r="AW32" s="53" t="s">
        <v>114</v>
      </c>
      <c r="AX32" s="53" t="s">
        <v>114</v>
      </c>
      <c r="AY32" s="53">
        <v>73</v>
      </c>
      <c r="AZ32" s="53" t="s">
        <v>114</v>
      </c>
      <c r="BA32" s="53" t="s">
        <v>114</v>
      </c>
      <c r="BB32" s="53" t="s">
        <v>114</v>
      </c>
      <c r="BC32" s="53">
        <v>55</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
      <c r="A33" s="53" t="s">
        <v>118</v>
      </c>
      <c r="B33" s="53" t="s">
        <v>114</v>
      </c>
      <c r="C33" s="53" t="s">
        <v>114</v>
      </c>
      <c r="D33" s="53" t="s">
        <v>114</v>
      </c>
      <c r="E33" s="53">
        <v>173</v>
      </c>
      <c r="F33" s="53" t="s">
        <v>114</v>
      </c>
      <c r="G33" s="53">
        <v>56</v>
      </c>
      <c r="H33" s="53" t="s">
        <v>114</v>
      </c>
      <c r="I33" s="53">
        <v>1</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t="s">
        <v>114</v>
      </c>
      <c r="AB33" s="53" t="s">
        <v>114</v>
      </c>
      <c r="AC33" s="53" t="s">
        <v>114</v>
      </c>
      <c r="AD33" s="53" t="s">
        <v>114</v>
      </c>
      <c r="AE33" s="53" t="s">
        <v>114</v>
      </c>
      <c r="AF33" s="53" t="s">
        <v>114</v>
      </c>
      <c r="AG33" s="53" t="s">
        <v>114</v>
      </c>
      <c r="AH33" s="53" t="s">
        <v>114</v>
      </c>
      <c r="AI33" s="53">
        <v>20</v>
      </c>
      <c r="AJ33" s="53" t="s">
        <v>114</v>
      </c>
      <c r="AK33" s="53">
        <v>156</v>
      </c>
      <c r="AL33" s="53" t="s">
        <v>114</v>
      </c>
      <c r="AM33" s="53" t="s">
        <v>114</v>
      </c>
      <c r="AN33" s="53" t="s">
        <v>114</v>
      </c>
      <c r="AO33" s="53">
        <v>0</v>
      </c>
      <c r="AP33" s="53" t="s">
        <v>114</v>
      </c>
      <c r="AQ33" s="53" t="s">
        <v>114</v>
      </c>
      <c r="AR33" s="53" t="s">
        <v>114</v>
      </c>
      <c r="AS33" s="53" t="s">
        <v>114</v>
      </c>
      <c r="AT33" s="53" t="s">
        <v>114</v>
      </c>
      <c r="AU33" s="53" t="s">
        <v>114</v>
      </c>
      <c r="AV33" s="53" t="s">
        <v>114</v>
      </c>
      <c r="AW33" s="53" t="s">
        <v>114</v>
      </c>
      <c r="AX33" s="53" t="s">
        <v>114</v>
      </c>
      <c r="AY33" s="53">
        <v>78</v>
      </c>
      <c r="AZ33" s="53" t="s">
        <v>114</v>
      </c>
      <c r="BA33" s="53" t="s">
        <v>114</v>
      </c>
      <c r="BB33" s="53" t="s">
        <v>114</v>
      </c>
      <c r="BC33" s="53">
        <v>41</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
      <c r="A34" s="53" t="s">
        <v>117</v>
      </c>
      <c r="B34" s="53" t="s">
        <v>114</v>
      </c>
      <c r="C34" s="53" t="s">
        <v>114</v>
      </c>
      <c r="D34" s="53" t="s">
        <v>114</v>
      </c>
      <c r="E34" s="53">
        <v>133</v>
      </c>
      <c r="F34" s="53" t="s">
        <v>114</v>
      </c>
      <c r="G34" s="53">
        <v>39</v>
      </c>
      <c r="H34" s="53" t="s">
        <v>114</v>
      </c>
      <c r="I34" s="53">
        <v>0</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t="s">
        <v>114</v>
      </c>
      <c r="AB34" s="53" t="s">
        <v>114</v>
      </c>
      <c r="AC34" s="53" t="s">
        <v>114</v>
      </c>
      <c r="AD34" s="53" t="s">
        <v>114</v>
      </c>
      <c r="AE34" s="53" t="s">
        <v>114</v>
      </c>
      <c r="AF34" s="53" t="s">
        <v>114</v>
      </c>
      <c r="AG34" s="53" t="s">
        <v>114</v>
      </c>
      <c r="AH34" s="53" t="s">
        <v>114</v>
      </c>
      <c r="AI34" s="53">
        <v>37</v>
      </c>
      <c r="AJ34" s="53" t="s">
        <v>114</v>
      </c>
      <c r="AK34" s="53">
        <v>167</v>
      </c>
      <c r="AL34" s="53" t="s">
        <v>114</v>
      </c>
      <c r="AM34" s="53" t="s">
        <v>114</v>
      </c>
      <c r="AN34" s="53" t="s">
        <v>114</v>
      </c>
      <c r="AO34" s="53">
        <v>0</v>
      </c>
      <c r="AP34" s="53" t="s">
        <v>114</v>
      </c>
      <c r="AQ34" s="53" t="s">
        <v>114</v>
      </c>
      <c r="AR34" s="53" t="s">
        <v>114</v>
      </c>
      <c r="AS34" s="53" t="s">
        <v>114</v>
      </c>
      <c r="AT34" s="53" t="s">
        <v>114</v>
      </c>
      <c r="AU34" s="53" t="s">
        <v>114</v>
      </c>
      <c r="AV34" s="53" t="s">
        <v>114</v>
      </c>
      <c r="AW34" s="53" t="s">
        <v>114</v>
      </c>
      <c r="AX34" s="53" t="s">
        <v>114</v>
      </c>
      <c r="AY34" s="53">
        <v>63</v>
      </c>
      <c r="AZ34" s="53" t="s">
        <v>114</v>
      </c>
      <c r="BA34" s="53" t="s">
        <v>114</v>
      </c>
      <c r="BB34" s="53" t="s">
        <v>114</v>
      </c>
      <c r="BC34" s="53">
        <v>53</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
      <c r="A35" s="53" t="s">
        <v>116</v>
      </c>
      <c r="B35" s="53" t="s">
        <v>114</v>
      </c>
      <c r="C35" s="53" t="s">
        <v>114</v>
      </c>
      <c r="D35" s="53" t="s">
        <v>114</v>
      </c>
      <c r="E35" s="53">
        <v>117</v>
      </c>
      <c r="F35" s="53" t="s">
        <v>114</v>
      </c>
      <c r="G35" s="53">
        <v>40</v>
      </c>
      <c r="H35" s="53" t="s">
        <v>114</v>
      </c>
      <c r="I35" s="53">
        <v>0</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t="s">
        <v>114</v>
      </c>
      <c r="AB35" s="53" t="s">
        <v>114</v>
      </c>
      <c r="AC35" s="53" t="s">
        <v>114</v>
      </c>
      <c r="AD35" s="53" t="s">
        <v>114</v>
      </c>
      <c r="AE35" s="53" t="s">
        <v>114</v>
      </c>
      <c r="AF35" s="53" t="s">
        <v>114</v>
      </c>
      <c r="AG35" s="53" t="s">
        <v>114</v>
      </c>
      <c r="AH35" s="53" t="s">
        <v>114</v>
      </c>
      <c r="AI35" s="53">
        <v>15</v>
      </c>
      <c r="AJ35" s="53" t="s">
        <v>114</v>
      </c>
      <c r="AK35" s="53">
        <v>165</v>
      </c>
      <c r="AL35" s="53" t="s">
        <v>114</v>
      </c>
      <c r="AM35" s="53" t="s">
        <v>114</v>
      </c>
      <c r="AN35" s="53" t="s">
        <v>114</v>
      </c>
      <c r="AO35" s="53">
        <v>0</v>
      </c>
      <c r="AP35" s="53" t="s">
        <v>114</v>
      </c>
      <c r="AQ35" s="53" t="s">
        <v>114</v>
      </c>
      <c r="AR35" s="53" t="s">
        <v>114</v>
      </c>
      <c r="AS35" s="53" t="s">
        <v>114</v>
      </c>
      <c r="AT35" s="53" t="s">
        <v>114</v>
      </c>
      <c r="AU35" s="53" t="s">
        <v>114</v>
      </c>
      <c r="AV35" s="53" t="s">
        <v>114</v>
      </c>
      <c r="AW35" s="53" t="s">
        <v>114</v>
      </c>
      <c r="AX35" s="53" t="s">
        <v>114</v>
      </c>
      <c r="AY35" s="53">
        <v>56</v>
      </c>
      <c r="AZ35" s="53" t="s">
        <v>114</v>
      </c>
      <c r="BA35" s="53" t="s">
        <v>114</v>
      </c>
      <c r="BB35" s="53" t="s">
        <v>114</v>
      </c>
      <c r="BC35" s="53">
        <v>21</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
      <c r="A36" s="53" t="s">
        <v>115</v>
      </c>
      <c r="B36" s="53" t="s">
        <v>114</v>
      </c>
      <c r="C36" s="53" t="s">
        <v>114</v>
      </c>
      <c r="D36" s="53" t="s">
        <v>114</v>
      </c>
      <c r="E36" s="53">
        <v>115</v>
      </c>
      <c r="F36" s="53" t="s">
        <v>114</v>
      </c>
      <c r="G36" s="53">
        <v>31</v>
      </c>
      <c r="H36" s="53" t="s">
        <v>114</v>
      </c>
      <c r="I36" s="53">
        <v>0</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t="s">
        <v>114</v>
      </c>
      <c r="AB36" s="53" t="s">
        <v>114</v>
      </c>
      <c r="AC36" s="53" t="s">
        <v>114</v>
      </c>
      <c r="AD36" s="53" t="s">
        <v>114</v>
      </c>
      <c r="AE36" s="53" t="s">
        <v>114</v>
      </c>
      <c r="AF36" s="53" t="s">
        <v>114</v>
      </c>
      <c r="AG36" s="53" t="s">
        <v>114</v>
      </c>
      <c r="AH36" s="53" t="s">
        <v>114</v>
      </c>
      <c r="AI36" s="53">
        <v>20</v>
      </c>
      <c r="AJ36" s="53" t="s">
        <v>114</v>
      </c>
      <c r="AK36" s="53">
        <v>139</v>
      </c>
      <c r="AL36" s="53" t="s">
        <v>114</v>
      </c>
      <c r="AM36" s="53" t="s">
        <v>114</v>
      </c>
      <c r="AN36" s="53" t="s">
        <v>114</v>
      </c>
      <c r="AO36" s="53">
        <v>0</v>
      </c>
      <c r="AP36" s="53" t="s">
        <v>114</v>
      </c>
      <c r="AQ36" s="53" t="s">
        <v>114</v>
      </c>
      <c r="AR36" s="53" t="s">
        <v>114</v>
      </c>
      <c r="AS36" s="53" t="s">
        <v>114</v>
      </c>
      <c r="AT36" s="53" t="s">
        <v>114</v>
      </c>
      <c r="AU36" s="53" t="s">
        <v>114</v>
      </c>
      <c r="AV36" s="53" t="s">
        <v>114</v>
      </c>
      <c r="AW36" s="53" t="s">
        <v>114</v>
      </c>
      <c r="AX36" s="53" t="s">
        <v>114</v>
      </c>
      <c r="AY36" s="53">
        <v>53</v>
      </c>
      <c r="AZ36" s="53" t="s">
        <v>114</v>
      </c>
      <c r="BA36" s="53" t="s">
        <v>114</v>
      </c>
      <c r="BB36" s="53" t="s">
        <v>114</v>
      </c>
      <c r="BC36" s="53">
        <v>33</v>
      </c>
      <c r="BD36" s="53" t="s">
        <v>114</v>
      </c>
      <c r="BE36" s="53">
        <v>0</v>
      </c>
      <c r="BF36" s="53" t="s">
        <v>114</v>
      </c>
      <c r="BG36" s="53" t="s">
        <v>114</v>
      </c>
      <c r="BH36" s="53" t="s">
        <v>114</v>
      </c>
      <c r="BI36" s="53" t="s">
        <v>114</v>
      </c>
      <c r="BJ36" s="53" t="s">
        <v>114</v>
      </c>
      <c r="BK36" s="53" t="s">
        <v>114</v>
      </c>
      <c r="BL36" s="53" t="s">
        <v>114</v>
      </c>
      <c r="BM36"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2023-10-05T00:44:46Z</dcterms:modified>
</cp:coreProperties>
</file>