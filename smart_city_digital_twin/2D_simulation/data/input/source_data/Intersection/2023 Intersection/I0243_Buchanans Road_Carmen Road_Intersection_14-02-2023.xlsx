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8CF84C4-7F64-4AA8-AE89-7648689FE08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446" i="4"/>
  <c r="I526" i="4"/>
  <c r="I606" i="4"/>
  <c r="I6" i="4"/>
  <c r="I86" i="4"/>
  <c r="I166" i="4"/>
  <c r="I246" i="4"/>
  <c r="I326" i="4"/>
  <c r="I386" i="4"/>
  <c r="I466" i="4"/>
  <c r="I546" i="4"/>
  <c r="I626" i="4"/>
  <c r="I26" i="4"/>
  <c r="I106" i="4"/>
  <c r="I186" i="4"/>
  <c r="I266" i="4"/>
  <c r="I406" i="4"/>
  <c r="I486" i="4"/>
  <c r="I566" i="4"/>
  <c r="I46" i="4"/>
  <c r="I126" i="4"/>
  <c r="I206" i="4"/>
  <c r="I286" i="4"/>
  <c r="I346" i="4"/>
  <c r="I426" i="4"/>
  <c r="I506" i="4"/>
  <c r="I586" i="4"/>
  <c r="I666" i="4"/>
  <c r="I746" i="4"/>
  <c r="I826" i="4"/>
  <c r="I686" i="4"/>
  <c r="I766" i="4"/>
  <c r="I706" i="4"/>
  <c r="I786" i="4"/>
  <c r="I646" i="4"/>
  <c r="I726" i="4"/>
  <c r="I806" i="4"/>
  <c r="I18" i="4"/>
  <c r="I98" i="4"/>
  <c r="I178" i="4"/>
  <c r="I258" i="4"/>
  <c r="I338" i="4"/>
  <c r="I398" i="4"/>
  <c r="I478" i="4"/>
  <c r="I558" i="4"/>
  <c r="I38" i="4"/>
  <c r="I118" i="4"/>
  <c r="I198" i="4"/>
  <c r="I278" i="4"/>
  <c r="I418" i="4"/>
  <c r="I498" i="4"/>
  <c r="I578" i="4"/>
  <c r="I58" i="4"/>
  <c r="I138" i="4"/>
  <c r="I218" i="4"/>
  <c r="I298" i="4"/>
  <c r="I358" i="4"/>
  <c r="I438" i="4"/>
  <c r="I518" i="4"/>
  <c r="I598" i="4"/>
  <c r="I78" i="4"/>
  <c r="I158" i="4"/>
  <c r="I238" i="4"/>
  <c r="I318" i="4"/>
  <c r="I378" i="4"/>
  <c r="I458" i="4"/>
  <c r="I538" i="4"/>
  <c r="I618" i="4"/>
  <c r="I698" i="4"/>
  <c r="I778" i="4"/>
  <c r="I638" i="4"/>
  <c r="I718" i="4"/>
  <c r="I798" i="4"/>
  <c r="I658" i="4"/>
  <c r="I738" i="4"/>
  <c r="I818" i="4"/>
  <c r="I678" i="4"/>
  <c r="I758" i="4"/>
  <c r="I838" i="4"/>
  <c r="I63" i="4"/>
  <c r="I143" i="4"/>
  <c r="I223" i="4"/>
  <c r="I263" i="4"/>
  <c r="I343" i="4"/>
  <c r="I423" i="4"/>
  <c r="I503" i="4"/>
  <c r="I583" i="4"/>
  <c r="I243" i="4"/>
  <c r="I703" i="4"/>
  <c r="I783" i="4"/>
  <c r="I3" i="4"/>
  <c r="I83" i="4"/>
  <c r="I163" i="4"/>
  <c r="I303" i="4"/>
  <c r="I363" i="4"/>
  <c r="I443" i="4"/>
  <c r="I523" i="4"/>
  <c r="I603" i="4"/>
  <c r="I283" i="4"/>
  <c r="I643" i="4"/>
  <c r="I723" i="4"/>
  <c r="I803" i="4"/>
  <c r="I23" i="4"/>
  <c r="I103" i="4"/>
  <c r="I183" i="4"/>
  <c r="I383" i="4"/>
  <c r="I463" i="4"/>
  <c r="I543" i="4"/>
  <c r="I623" i="4"/>
  <c r="I323" i="4"/>
  <c r="I663" i="4"/>
  <c r="I743" i="4"/>
  <c r="I43" i="4"/>
  <c r="I123" i="4"/>
  <c r="I203" i="4"/>
  <c r="I403" i="4"/>
  <c r="I483" i="4"/>
  <c r="I563" i="4"/>
  <c r="I683" i="4"/>
  <c r="I763" i="4"/>
  <c r="I823" i="4"/>
  <c r="I65" i="4"/>
  <c r="I145" i="4"/>
  <c r="I225" i="4"/>
  <c r="I385" i="4"/>
  <c r="I465" i="4"/>
  <c r="I545" i="4"/>
  <c r="I625" i="4"/>
  <c r="I5" i="4"/>
  <c r="I85" i="4"/>
  <c r="I165" i="4"/>
  <c r="I245" i="4"/>
  <c r="I405" i="4"/>
  <c r="I485" i="4"/>
  <c r="I565" i="4"/>
  <c r="I25" i="4"/>
  <c r="I105" i="4"/>
  <c r="I185" i="4"/>
  <c r="I265" i="4"/>
  <c r="I285" i="4"/>
  <c r="I345" i="4"/>
  <c r="I425" i="4"/>
  <c r="I505" i="4"/>
  <c r="I585" i="4"/>
  <c r="I45" i="4"/>
  <c r="I125" i="4"/>
  <c r="I205" i="4"/>
  <c r="I305" i="4"/>
  <c r="I325" i="4"/>
  <c r="I365" i="4"/>
  <c r="I445" i="4"/>
  <c r="I525" i="4"/>
  <c r="I605" i="4"/>
  <c r="I705" i="4"/>
  <c r="I785" i="4"/>
  <c r="I645" i="4"/>
  <c r="I725" i="4"/>
  <c r="I805" i="4"/>
  <c r="I665" i="4"/>
  <c r="I745" i="4"/>
  <c r="I825" i="4"/>
  <c r="I685" i="4"/>
  <c r="I765" i="4"/>
  <c r="I33" i="4"/>
  <c r="I113" i="4"/>
  <c r="I193" i="4"/>
  <c r="I313" i="4"/>
  <c r="I333" i="4"/>
  <c r="I353" i="4"/>
  <c r="I433" i="4"/>
  <c r="I513" i="4"/>
  <c r="I593" i="4"/>
  <c r="I53" i="4"/>
  <c r="I133" i="4"/>
  <c r="I213" i="4"/>
  <c r="I373" i="4"/>
  <c r="I453" i="4"/>
  <c r="I533" i="4"/>
  <c r="I613" i="4"/>
  <c r="I73" i="4"/>
  <c r="I153" i="4"/>
  <c r="I233" i="4"/>
  <c r="I253" i="4"/>
  <c r="I393" i="4"/>
  <c r="I473" i="4"/>
  <c r="I553" i="4"/>
  <c r="I13" i="4"/>
  <c r="I93" i="4"/>
  <c r="I173" i="4"/>
  <c r="I273" i="4"/>
  <c r="I293" i="4"/>
  <c r="I413" i="4"/>
  <c r="I493" i="4"/>
  <c r="I573" i="4"/>
  <c r="I673" i="4"/>
  <c r="I753" i="4"/>
  <c r="I833" i="4"/>
  <c r="I693" i="4"/>
  <c r="I773" i="4"/>
  <c r="I633" i="4"/>
  <c r="I713" i="4"/>
  <c r="I793" i="4"/>
  <c r="I653" i="4"/>
  <c r="I733" i="4"/>
  <c r="I813" i="4"/>
  <c r="I50" i="4"/>
  <c r="I130" i="4"/>
  <c r="I210" i="4"/>
  <c r="I290" i="4"/>
  <c r="I350" i="4"/>
  <c r="I430" i="4"/>
  <c r="I510" i="4"/>
  <c r="I590" i="4"/>
  <c r="I70" i="4"/>
  <c r="I150" i="4"/>
  <c r="I230" i="4"/>
  <c r="I310" i="4"/>
  <c r="I370" i="4"/>
  <c r="I450" i="4"/>
  <c r="I530" i="4"/>
  <c r="I610" i="4"/>
  <c r="I10" i="4"/>
  <c r="I90" i="4"/>
  <c r="I170" i="4"/>
  <c r="I250" i="4"/>
  <c r="I330" i="4"/>
  <c r="I390" i="4"/>
  <c r="I470" i="4"/>
  <c r="I550" i="4"/>
  <c r="I30" i="4"/>
  <c r="I110" i="4"/>
  <c r="I190" i="4"/>
  <c r="I270" i="4"/>
  <c r="I410" i="4"/>
  <c r="I490" i="4"/>
  <c r="I570" i="4"/>
  <c r="I650" i="4"/>
  <c r="I730" i="4"/>
  <c r="I810" i="4"/>
  <c r="I670" i="4"/>
  <c r="I750" i="4"/>
  <c r="I830" i="4"/>
  <c r="I690" i="4"/>
  <c r="I770" i="4"/>
  <c r="I630" i="4"/>
  <c r="I710" i="4"/>
  <c r="I790" i="4"/>
  <c r="I47" i="4"/>
  <c r="I127" i="4"/>
  <c r="I207" i="4"/>
  <c r="I327" i="4"/>
  <c r="I407" i="4"/>
  <c r="I487" i="4"/>
  <c r="I567" i="4"/>
  <c r="I307" i="4"/>
  <c r="I687" i="4"/>
  <c r="I767" i="4"/>
  <c r="I67" i="4"/>
  <c r="I147" i="4"/>
  <c r="I347" i="4"/>
  <c r="I427" i="4"/>
  <c r="I507" i="4"/>
  <c r="I587" i="4"/>
  <c r="I627" i="4"/>
  <c r="I707" i="4"/>
  <c r="I787" i="4"/>
  <c r="I7" i="4"/>
  <c r="I87" i="4"/>
  <c r="I167" i="4"/>
  <c r="I247" i="4"/>
  <c r="I227" i="4"/>
  <c r="I367" i="4"/>
  <c r="I447" i="4"/>
  <c r="I527" i="4"/>
  <c r="I607" i="4"/>
  <c r="I647" i="4"/>
  <c r="I727" i="4"/>
  <c r="I807" i="4"/>
  <c r="I27" i="4"/>
  <c r="I107" i="4"/>
  <c r="I187" i="4"/>
  <c r="I287" i="4"/>
  <c r="I387" i="4"/>
  <c r="I467" i="4"/>
  <c r="I547" i="4"/>
  <c r="I267" i="4"/>
  <c r="I667" i="4"/>
  <c r="I747" i="4"/>
  <c r="I827" i="4"/>
  <c r="I20" i="4"/>
  <c r="I100" i="4"/>
  <c r="I180" i="4"/>
  <c r="I260" i="4"/>
  <c r="I340" i="4"/>
  <c r="I420" i="4"/>
  <c r="I500" i="4"/>
  <c r="I580" i="4"/>
  <c r="I40" i="4"/>
  <c r="I120" i="4"/>
  <c r="I200" i="4"/>
  <c r="I280" i="4"/>
  <c r="I360" i="4"/>
  <c r="I440" i="4"/>
  <c r="I520" i="4"/>
  <c r="I600" i="4"/>
  <c r="I60" i="4"/>
  <c r="I140" i="4"/>
  <c r="I220" i="4"/>
  <c r="I300" i="4"/>
  <c r="I380" i="4"/>
  <c r="I460" i="4"/>
  <c r="I540" i="4"/>
  <c r="I620" i="4"/>
  <c r="I80" i="4"/>
  <c r="I160" i="4"/>
  <c r="I240" i="4"/>
  <c r="I320" i="4"/>
  <c r="I400" i="4"/>
  <c r="I480" i="4"/>
  <c r="I560" i="4"/>
  <c r="I680" i="4"/>
  <c r="I760" i="4"/>
  <c r="I840" i="4"/>
  <c r="I700" i="4"/>
  <c r="I780" i="4"/>
  <c r="I640" i="4"/>
  <c r="I720" i="4"/>
  <c r="I800" i="4"/>
  <c r="I660" i="4"/>
  <c r="I740" i="4"/>
  <c r="I820" i="4"/>
  <c r="I2" i="4"/>
  <c r="I82" i="4"/>
  <c r="I162" i="4"/>
  <c r="I242" i="4"/>
  <c r="I322" i="4"/>
  <c r="I382" i="4"/>
  <c r="I462" i="4"/>
  <c r="I542" i="4"/>
  <c r="I622" i="4"/>
  <c r="I22" i="4"/>
  <c r="I102" i="4"/>
  <c r="I182" i="4"/>
  <c r="I262" i="4"/>
  <c r="I402" i="4"/>
  <c r="I482" i="4"/>
  <c r="I562" i="4"/>
  <c r="I42" i="4"/>
  <c r="I122" i="4"/>
  <c r="I202" i="4"/>
  <c r="I282" i="4"/>
  <c r="I342" i="4"/>
  <c r="I422" i="4"/>
  <c r="I502" i="4"/>
  <c r="I582" i="4"/>
  <c r="I62" i="4"/>
  <c r="I142" i="4"/>
  <c r="I222" i="4"/>
  <c r="I302" i="4"/>
  <c r="I362" i="4"/>
  <c r="I442" i="4"/>
  <c r="I522" i="4"/>
  <c r="I602" i="4"/>
  <c r="I682" i="4"/>
  <c r="I762" i="4"/>
  <c r="I702" i="4"/>
  <c r="I782" i="4"/>
  <c r="I642" i="4"/>
  <c r="I722" i="4"/>
  <c r="I802" i="4"/>
  <c r="I662" i="4"/>
  <c r="I742" i="4"/>
  <c r="I822" i="4"/>
  <c r="I34" i="4"/>
  <c r="I114" i="4"/>
  <c r="I194" i="4"/>
  <c r="I274" i="4"/>
  <c r="I414" i="4"/>
  <c r="I494" i="4"/>
  <c r="I574" i="4"/>
  <c r="I54" i="4"/>
  <c r="I134" i="4"/>
  <c r="I214" i="4"/>
  <c r="I294" i="4"/>
  <c r="I354" i="4"/>
  <c r="I434" i="4"/>
  <c r="I514" i="4"/>
  <c r="I594" i="4"/>
  <c r="I74" i="4"/>
  <c r="I154" i="4"/>
  <c r="I234" i="4"/>
  <c r="I314" i="4"/>
  <c r="I374" i="4"/>
  <c r="I454" i="4"/>
  <c r="I534" i="4"/>
  <c r="I614" i="4"/>
  <c r="I14" i="4"/>
  <c r="I94" i="4"/>
  <c r="I174" i="4"/>
  <c r="I254" i="4"/>
  <c r="I334" i="4"/>
  <c r="I394" i="4"/>
  <c r="I474" i="4"/>
  <c r="I554" i="4"/>
  <c r="I634" i="4"/>
  <c r="I714" i="4"/>
  <c r="I794" i="4"/>
  <c r="I654" i="4"/>
  <c r="I734" i="4"/>
  <c r="I814" i="4"/>
  <c r="I674" i="4"/>
  <c r="I754" i="4"/>
  <c r="I834" i="4"/>
  <c r="I694" i="4"/>
  <c r="I774" i="4"/>
  <c r="I31" i="4"/>
  <c r="I111" i="4"/>
  <c r="I191" i="4"/>
  <c r="I391" i="4"/>
  <c r="I471" i="4"/>
  <c r="I551" i="4"/>
  <c r="I671" i="4"/>
  <c r="I751" i="4"/>
  <c r="I831" i="4"/>
  <c r="I51" i="4"/>
  <c r="I131" i="4"/>
  <c r="I211" i="4"/>
  <c r="I271" i="4"/>
  <c r="I411" i="4"/>
  <c r="I491" i="4"/>
  <c r="I571" i="4"/>
  <c r="I251" i="4"/>
  <c r="I691" i="4"/>
  <c r="I771" i="4"/>
  <c r="I71" i="4"/>
  <c r="I151" i="4"/>
  <c r="I311" i="4"/>
  <c r="I351" i="4"/>
  <c r="I431" i="4"/>
  <c r="I511" i="4"/>
  <c r="I591" i="4"/>
  <c r="I291" i="4"/>
  <c r="I631" i="4"/>
  <c r="I711" i="4"/>
  <c r="I791" i="4"/>
  <c r="I11" i="4"/>
  <c r="I91" i="4"/>
  <c r="I171" i="4"/>
  <c r="I371" i="4"/>
  <c r="I451" i="4"/>
  <c r="I531" i="4"/>
  <c r="I611" i="4"/>
  <c r="I231" i="4"/>
  <c r="I331" i="4"/>
  <c r="I651" i="4"/>
  <c r="I731" i="4"/>
  <c r="I811" i="4"/>
  <c r="I68" i="4"/>
  <c r="I148" i="4"/>
  <c r="I228" i="4"/>
  <c r="I308" i="4"/>
  <c r="I388" i="4"/>
  <c r="I468" i="4"/>
  <c r="I548" i="4"/>
  <c r="I8" i="4"/>
  <c r="I88" i="4"/>
  <c r="I168" i="4"/>
  <c r="I248" i="4"/>
  <c r="I328" i="4"/>
  <c r="I408" i="4"/>
  <c r="I488" i="4"/>
  <c r="I568" i="4"/>
  <c r="I28" i="4"/>
  <c r="I108" i="4"/>
  <c r="I188" i="4"/>
  <c r="I268" i="4"/>
  <c r="I348" i="4"/>
  <c r="I428" i="4"/>
  <c r="I508" i="4"/>
  <c r="I588" i="4"/>
  <c r="I48" i="4"/>
  <c r="I128" i="4"/>
  <c r="I208" i="4"/>
  <c r="I288" i="4"/>
  <c r="I368" i="4"/>
  <c r="I448" i="4"/>
  <c r="I528" i="4"/>
  <c r="I608" i="4"/>
  <c r="I648" i="4"/>
  <c r="I728" i="4"/>
  <c r="I808" i="4"/>
  <c r="I668" i="4"/>
  <c r="I748" i="4"/>
  <c r="I828" i="4"/>
  <c r="I688" i="4"/>
  <c r="I768" i="4"/>
  <c r="I628" i="4"/>
  <c r="I708" i="4"/>
  <c r="I788" i="4"/>
  <c r="I4" i="4"/>
  <c r="I84" i="4"/>
  <c r="I164" i="4"/>
  <c r="I244" i="4"/>
  <c r="I324" i="4"/>
  <c r="I404" i="4"/>
  <c r="I484" i="4"/>
  <c r="I564" i="4"/>
  <c r="I24" i="4"/>
  <c r="I104" i="4"/>
  <c r="I184" i="4"/>
  <c r="I264" i="4"/>
  <c r="I344" i="4"/>
  <c r="I424" i="4"/>
  <c r="I504" i="4"/>
  <c r="I584" i="4"/>
  <c r="I44" i="4"/>
  <c r="I124" i="4"/>
  <c r="I204" i="4"/>
  <c r="I284" i="4"/>
  <c r="I364" i="4"/>
  <c r="I444" i="4"/>
  <c r="I524" i="4"/>
  <c r="I604" i="4"/>
  <c r="I64" i="4"/>
  <c r="I144" i="4"/>
  <c r="I224" i="4"/>
  <c r="I304" i="4"/>
  <c r="I384" i="4"/>
  <c r="I464" i="4"/>
  <c r="I544" i="4"/>
  <c r="I624" i="4"/>
  <c r="I664" i="4"/>
  <c r="I744" i="4"/>
  <c r="I824" i="4"/>
  <c r="I684" i="4"/>
  <c r="I764" i="4"/>
  <c r="I704" i="4"/>
  <c r="I784" i="4"/>
  <c r="I644" i="4"/>
  <c r="I724" i="4"/>
  <c r="I804" i="4"/>
  <c r="I52" i="4"/>
  <c r="I132" i="4"/>
  <c r="I212" i="4"/>
  <c r="I292" i="4"/>
  <c r="I372" i="4"/>
  <c r="I452" i="4"/>
  <c r="I532" i="4"/>
  <c r="I612" i="4"/>
  <c r="I72" i="4"/>
  <c r="I152" i="4"/>
  <c r="I232" i="4"/>
  <c r="I312" i="4"/>
  <c r="I392" i="4"/>
  <c r="I472" i="4"/>
  <c r="I552" i="4"/>
  <c r="I12" i="4"/>
  <c r="I92" i="4"/>
  <c r="I172" i="4"/>
  <c r="I252" i="4"/>
  <c r="I332" i="4"/>
  <c r="I412" i="4"/>
  <c r="I492" i="4"/>
  <c r="I572" i="4"/>
  <c r="I32" i="4"/>
  <c r="I112" i="4"/>
  <c r="I192" i="4"/>
  <c r="I272" i="4"/>
  <c r="I352" i="4"/>
  <c r="I432" i="4"/>
  <c r="I512" i="4"/>
  <c r="I592" i="4"/>
  <c r="I632" i="4"/>
  <c r="I712" i="4"/>
  <c r="I792" i="4"/>
  <c r="I652" i="4"/>
  <c r="I732" i="4"/>
  <c r="I812" i="4"/>
  <c r="I672" i="4"/>
  <c r="I752" i="4"/>
  <c r="I832" i="4"/>
  <c r="I692" i="4"/>
  <c r="I772" i="4"/>
  <c r="I15" i="4"/>
  <c r="I95" i="4"/>
  <c r="I175" i="4"/>
  <c r="I295" i="4"/>
  <c r="I375" i="4"/>
  <c r="I455" i="4"/>
  <c r="I535" i="4"/>
  <c r="I615" i="4"/>
  <c r="I275" i="4"/>
  <c r="I235" i="4"/>
  <c r="I655" i="4"/>
  <c r="I735" i="4"/>
  <c r="I815" i="4"/>
  <c r="I35" i="4"/>
  <c r="I115" i="4"/>
  <c r="I195" i="4"/>
  <c r="I335" i="4"/>
  <c r="I395" i="4"/>
  <c r="I475" i="4"/>
  <c r="I555" i="4"/>
  <c r="I315" i="4"/>
  <c r="I675" i="4"/>
  <c r="I755" i="4"/>
  <c r="I835" i="4"/>
  <c r="I55" i="4"/>
  <c r="I135" i="4"/>
  <c r="I215" i="4"/>
  <c r="I415" i="4"/>
  <c r="I495" i="4"/>
  <c r="I575" i="4"/>
  <c r="I695" i="4"/>
  <c r="I775" i="4"/>
  <c r="I75" i="4"/>
  <c r="I155" i="4"/>
  <c r="I255" i="4"/>
  <c r="I355" i="4"/>
  <c r="I435" i="4"/>
  <c r="I515" i="4"/>
  <c r="I595" i="4"/>
  <c r="I635" i="4"/>
  <c r="I715" i="4"/>
  <c r="I795" i="4"/>
  <c r="I49" i="4"/>
  <c r="I129" i="4"/>
  <c r="I209" i="4"/>
  <c r="I249" i="4"/>
  <c r="I269" i="4"/>
  <c r="I369" i="4"/>
  <c r="I449" i="4"/>
  <c r="I529" i="4"/>
  <c r="I609" i="4"/>
  <c r="I69" i="4"/>
  <c r="I149" i="4"/>
  <c r="I229" i="4"/>
  <c r="I289" i="4"/>
  <c r="I309" i="4"/>
  <c r="I389" i="4"/>
  <c r="I469" i="4"/>
  <c r="I549" i="4"/>
  <c r="I9" i="4"/>
  <c r="I89" i="4"/>
  <c r="I169" i="4"/>
  <c r="I329" i="4"/>
  <c r="I409" i="4"/>
  <c r="I489" i="4"/>
  <c r="I569" i="4"/>
  <c r="I29" i="4"/>
  <c r="I109" i="4"/>
  <c r="I189" i="4"/>
  <c r="I349" i="4"/>
  <c r="I429" i="4"/>
  <c r="I509" i="4"/>
  <c r="I589" i="4"/>
  <c r="I689" i="4"/>
  <c r="I769" i="4"/>
  <c r="I629" i="4"/>
  <c r="I709" i="4"/>
  <c r="I789" i="4"/>
  <c r="I649" i="4"/>
  <c r="I729" i="4"/>
  <c r="I809" i="4"/>
  <c r="I669" i="4"/>
  <c r="I749" i="4"/>
  <c r="I829" i="4"/>
  <c r="I81" i="4"/>
  <c r="I161" i="4"/>
  <c r="I281" i="4"/>
  <c r="I301" i="4"/>
  <c r="I401" i="4"/>
  <c r="I481" i="4"/>
  <c r="I561" i="4"/>
  <c r="I21" i="4"/>
  <c r="I101" i="4"/>
  <c r="I181" i="4"/>
  <c r="I321" i="4"/>
  <c r="I341" i="4"/>
  <c r="I421" i="4"/>
  <c r="I501" i="4"/>
  <c r="I581" i="4"/>
  <c r="I41" i="4"/>
  <c r="I121" i="4"/>
  <c r="I201" i="4"/>
  <c r="I361" i="4"/>
  <c r="I441" i="4"/>
  <c r="I521" i="4"/>
  <c r="I601" i="4"/>
  <c r="I61" i="4"/>
  <c r="I141" i="4"/>
  <c r="I221" i="4"/>
  <c r="I241" i="4"/>
  <c r="I261" i="4"/>
  <c r="I381" i="4"/>
  <c r="I461" i="4"/>
  <c r="I541" i="4"/>
  <c r="I621" i="4"/>
  <c r="I641" i="4"/>
  <c r="I721" i="4"/>
  <c r="I801" i="4"/>
  <c r="I661" i="4"/>
  <c r="I741" i="4"/>
  <c r="I821" i="4"/>
  <c r="I681" i="4"/>
  <c r="I761" i="4"/>
  <c r="I841" i="4"/>
  <c r="I701" i="4"/>
  <c r="I781" i="4"/>
  <c r="I17" i="4"/>
  <c r="I97" i="4"/>
  <c r="I177" i="4"/>
  <c r="I417" i="4"/>
  <c r="I497" i="4"/>
  <c r="I577" i="4"/>
  <c r="I37" i="4"/>
  <c r="I117" i="4"/>
  <c r="I197" i="4"/>
  <c r="I257" i="4"/>
  <c r="I277" i="4"/>
  <c r="I357" i="4"/>
  <c r="I437" i="4"/>
  <c r="I517" i="4"/>
  <c r="I597" i="4"/>
  <c r="I57" i="4"/>
  <c r="I137" i="4"/>
  <c r="I217" i="4"/>
  <c r="I297" i="4"/>
  <c r="I317" i="4"/>
  <c r="I377" i="4"/>
  <c r="I457" i="4"/>
  <c r="I537" i="4"/>
  <c r="I617" i="4"/>
  <c r="I77" i="4"/>
  <c r="I157" i="4"/>
  <c r="I237" i="4"/>
  <c r="I337" i="4"/>
  <c r="I397" i="4"/>
  <c r="I477" i="4"/>
  <c r="I557" i="4"/>
  <c r="I657" i="4"/>
  <c r="I737" i="4"/>
  <c r="I817" i="4"/>
  <c r="I677" i="4"/>
  <c r="I757" i="4"/>
  <c r="I837" i="4"/>
  <c r="I697" i="4"/>
  <c r="I777" i="4"/>
  <c r="I637" i="4"/>
  <c r="I717" i="4"/>
  <c r="I797" i="4"/>
  <c r="I36" i="4"/>
  <c r="I116" i="4"/>
  <c r="I196" i="4"/>
  <c r="I276" i="4"/>
  <c r="I356" i="4"/>
  <c r="I436" i="4"/>
  <c r="I516" i="4"/>
  <c r="I596" i="4"/>
  <c r="I56" i="4"/>
  <c r="I136" i="4"/>
  <c r="I216" i="4"/>
  <c r="I296" i="4"/>
  <c r="I376" i="4"/>
  <c r="I456" i="4"/>
  <c r="I536" i="4"/>
  <c r="I616" i="4"/>
  <c r="I76" i="4"/>
  <c r="I156" i="4"/>
  <c r="I236" i="4"/>
  <c r="I316" i="4"/>
  <c r="I396" i="4"/>
  <c r="I476" i="4"/>
  <c r="I556" i="4"/>
  <c r="I16" i="4"/>
  <c r="I96" i="4"/>
  <c r="I176" i="4"/>
  <c r="I256" i="4"/>
  <c r="I336" i="4"/>
  <c r="I416" i="4"/>
  <c r="I496" i="4"/>
  <c r="I576" i="4"/>
  <c r="I696" i="4"/>
  <c r="I776" i="4"/>
  <c r="I636" i="4"/>
  <c r="I716" i="4"/>
  <c r="I796" i="4"/>
  <c r="I656" i="4"/>
  <c r="I736" i="4"/>
  <c r="I816" i="4"/>
  <c r="I676" i="4"/>
  <c r="I756" i="4"/>
  <c r="I836" i="4"/>
  <c r="I79" i="4"/>
  <c r="I159" i="4"/>
  <c r="I359" i="4"/>
  <c r="I439" i="4"/>
  <c r="I519" i="4"/>
  <c r="I599" i="4"/>
  <c r="I339" i="4"/>
  <c r="I639" i="4"/>
  <c r="I719" i="4"/>
  <c r="I799" i="4"/>
  <c r="I19" i="4"/>
  <c r="I99" i="4"/>
  <c r="I179" i="4"/>
  <c r="I239" i="4"/>
  <c r="I379" i="4"/>
  <c r="I459" i="4"/>
  <c r="I539" i="4"/>
  <c r="I619" i="4"/>
  <c r="I659" i="4"/>
  <c r="I739" i="4"/>
  <c r="I819" i="4"/>
  <c r="I39" i="4"/>
  <c r="I119" i="4"/>
  <c r="I199" i="4"/>
  <c r="I279" i="4"/>
  <c r="I399" i="4"/>
  <c r="I479" i="4"/>
  <c r="I559" i="4"/>
  <c r="I259" i="4"/>
  <c r="I679" i="4"/>
  <c r="I759" i="4"/>
  <c r="I59" i="4"/>
  <c r="I139" i="4"/>
  <c r="I219" i="4"/>
  <c r="I319" i="4"/>
  <c r="I419" i="4"/>
  <c r="I499" i="4"/>
  <c r="I579" i="4"/>
  <c r="I299" i="4"/>
  <c r="I699" i="4"/>
  <c r="I77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<sst xmlns="http://schemas.openxmlformats.org/spreadsheetml/2006/main" count="9382" uniqueCount="184">
  <si>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</si>
  <si>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</si>
  <si>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</si>
  <si>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</si>
  <si>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</si>
  <si>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</si>
  <si>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</si>
  <si>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</si>
  <si>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</si>
  <si>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</si>
  <si>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</si>
  <si>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</si>
  <si>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</si>
  <si>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</si>
  <si>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</si>
  <si>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</si>
  <si>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</si>
  <si>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</si>
  <si>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</si>
  <si>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</si>
  <si>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</si>
  <si>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</si>
  <si>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</si>
  <si>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</si>
  <si>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</si>
  <si>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</si>
  <si>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</si>
  <si>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</si>
  <si>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</si>
  <si>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</si>
  <si>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</si>
  <si>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</si>
  <si>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</si>
  <si>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</si>
  <si>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</si>
  <si>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</si>
  <si>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</si>
  <si>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</si>
  <si>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</si>
  <si>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</si>
  <si>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</si>
  <si>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</si>
  <si>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</si>
  <si>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</si>
  <si>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</si>
  <si>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</si>
  <si>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</si>
  <si>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</si>
  <si>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</si>
  <si>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</si>
  <si>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</si>
  <si>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</si>
  <si>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</si>
  <si>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</si>
  <si>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</si>
  <si>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</si>
  <si>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</si>
  <si>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</si>
  <si>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</si>
  <si>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</si>
  <si>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</si>
  <si>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</si>
  <si>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</si>
  <si>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</si>
  <si>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</si>
  <si>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</si>
  <si>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</si>
  <si>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</si>
  <si>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</si>
  <si>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</si>
  <si>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</si>
  <si>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</si>
  <si>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</si>
  <si>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</si>
  <si>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</si>
  <si>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</si>
  <si>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</si>
  <si>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</si>
  <si>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</si>
  <si>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</si>
  <si>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</si>
  <si>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</si>
  <si>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</si>
  <si>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</si>
  <si>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</si>
  <si>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</si>
  <si>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</si>
  <si>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</si>
  <si>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</si>
  <si>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</si>
  <si>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</si>
  <si>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</si>
  <si>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Buchanans Road East</t>
  </si>
  <si>
    <t>Right into Buchanans Road East</t>
  </si>
  <si>
    <t>Buchanans Road_Carmen Road_Intersection</t>
  </si>
  <si>
    <t>Carmen Road North</t>
  </si>
  <si>
    <t>Carmen Road South</t>
  </si>
  <si>
    <t>Buchanans Road West</t>
  </si>
  <si>
    <t>U-Turn</t>
  </si>
  <si>
    <t>Left into Buchanans Road East</t>
  </si>
  <si>
    <t>Thru to Carmen Road South</t>
  </si>
  <si>
    <t>Right into Buchanans Road West</t>
  </si>
  <si>
    <t>Left into Carmen Road South</t>
  </si>
  <si>
    <t>Thru to Buchanans Road West</t>
  </si>
  <si>
    <t>Right into Carmen Road North</t>
  </si>
  <si>
    <t>Left into Buchanans Road West</t>
  </si>
  <si>
    <t>Thru to Carmen Road North</t>
  </si>
  <si>
    <t>Left into Carmen Road North</t>
  </si>
  <si>
    <t>Thru to Buchanans Road East</t>
  </si>
  <si>
    <t>Right into Carmen Road South</t>
  </si>
  <si>
    <t>Buchanans Road_Carmen Road_Intersection      Fine      14/02/2023</t>
  </si>
  <si>
    <t>Carmen Road North Total</t>
  </si>
  <si>
    <t>Buchanans Road East Total</t>
  </si>
  <si>
    <t>Carmen Road South Total</t>
  </si>
  <si>
    <t>Buchanans Road West Total</t>
  </si>
  <si>
    <t>Left into Buchanans Road East Total</t>
  </si>
  <si>
    <t>Thru to Carmen Road South Total</t>
  </si>
  <si>
    <t>Right into Buchanans Road West Total</t>
  </si>
  <si>
    <t>U-Turn Total</t>
  </si>
  <si>
    <t>Left into Carmen Road South Total</t>
  </si>
  <si>
    <t>Thru to Buchanans Road West Total</t>
  </si>
  <si>
    <t>Right into Carmen Road North Total</t>
  </si>
  <si>
    <t>Left into Buchanans Road West Total</t>
  </si>
  <si>
    <t>Thru to Carmen Road North Total</t>
  </si>
  <si>
    <t>Right into Buchanans Road East Total</t>
  </si>
  <si>
    <t>Left into Carmen Road North Total</t>
  </si>
  <si>
    <t>Thru to Buchanans Road East Total</t>
  </si>
  <si>
    <t>Right into Carmen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</si>
  <si>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</si>
  <si>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</si>
  <si>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</si>
  <si>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</si>
  <si>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</si>
  <si>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</si>
  <si>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</si>
  <si>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</si>
  <si>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</si>
  <si>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</si>
  <si>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</si>
  <si>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</si>
  <si>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</si>
  <si>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</si>
  <si>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</si>
  <si>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</si>
  <si>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</si>
  <si>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</si>
  <si>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</si>
  <si>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</si>
  <si>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</si>
  <si>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</si>
  <si>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</si>
  <si>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</si>
  <si>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</si>
  <si>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</si>
  <si>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</si>
  <si>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</si>
  <si>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</si>
  <si>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</si>
  <si>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</si>
  <si>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</si>
  <si>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</si>
  <si>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</si>
  <si>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</si>
  <si>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</si>
  <si>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</si>
  <si>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</si>
  <si>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</si>
  <si>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</si>
  <si>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Buchanans Rd Eastbound</t>
  </si>
  <si>
    <t>Carmen Rd Northbound</t>
  </si>
  <si>
    <t>Buchanans Rd Westbound</t>
  </si>
  <si>
    <t>Carmen Rd Southbound</t>
  </si>
  <si>
    <t>Lights</t>
  </si>
  <si>
    <t>Classification</t>
  </si>
  <si>
    <t>Road</t>
  </si>
  <si>
    <t>Type</t>
  </si>
  <si>
    <t>Project</t>
  </si>
  <si>
    <t>Site Code</t>
  </si>
  <si>
    <t>02/14/2023</t>
  </si>
  <si>
    <t>Start Date</t>
  </si>
  <si>
    <t>CCC I0243 Buchanans Rd - Carmen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</si>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</sst>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C75C6DE-D296-4B8A-93E0-95AA150B881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[I0243_Buchanans Road_Carmen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61</c:v>
                </c:pt>
                <c:pt idx="2">
                  <c:v>76</c:v>
                </c:pt>
                <c:pt idx="3">
                  <c:v>76</c:v>
                </c:pt>
                <c:pt idx="4">
                  <c:v>68</c:v>
                </c:pt>
                <c:pt idx="5">
                  <c:v>93</c:v>
                </c:pt>
                <c:pt idx="6">
                  <c:v>80</c:v>
                </c:pt>
                <c:pt idx="7">
                  <c:v>62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Buchanans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131</c:v>
                </c:pt>
                <c:pt idx="2">
                  <c:v>151</c:v>
                </c:pt>
                <c:pt idx="3">
                  <c:v>131</c:v>
                </c:pt>
                <c:pt idx="4">
                  <c:v>133</c:v>
                </c:pt>
                <c:pt idx="5">
                  <c:v>121</c:v>
                </c:pt>
                <c:pt idx="6">
                  <c:v>136</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Carmen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323</c:v>
                </c:pt>
                <c:pt idx="1">
                  <c:v>384</c:v>
                </c:pt>
                <c:pt idx="2">
                  <c:v>312</c:v>
                </c:pt>
                <c:pt idx="3">
                  <c:v>372</c:v>
                </c:pt>
                <c:pt idx="4">
                  <c:v>300</c:v>
                </c:pt>
                <c:pt idx="5">
                  <c:v>323</c:v>
                </c:pt>
                <c:pt idx="6">
                  <c:v>315</c:v>
                </c:pt>
                <c:pt idx="7">
                  <c:v>296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Carmen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190</c:v>
                </c:pt>
                <c:pt idx="1">
                  <c:v>248</c:v>
                </c:pt>
                <c:pt idx="2">
                  <c:v>248</c:v>
                </c:pt>
                <c:pt idx="3">
                  <c:v>254</c:v>
                </c:pt>
                <c:pt idx="4">
                  <c:v>262</c:v>
                </c:pt>
                <c:pt idx="5">
                  <c:v>259</c:v>
                </c:pt>
                <c:pt idx="6">
                  <c:v>293</c:v>
                </c:pt>
                <c:pt idx="7">
                  <c:v>215</c:v>
                </c:pt>
              </c:numCache>
            </c:numRef>
          </c:val>
          <c:smooth val="0"/>
          <c:extLst>
            <c:ext xmlns:c16="http://schemas.microsoft.com/office/drawing/2014/chart" uri="{C3380CC4-5D6E-409C-BE32-E72D297353CC}">
              <c16:uniqueId val="{00000000-E734-4189-A488-89B82054AB0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[I0243_Buchanans Road_Carmen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119</c:v>
                </c:pt>
                <c:pt idx="2">
                  <c:v>124</c:v>
                </c:pt>
                <c:pt idx="3">
                  <c:v>110</c:v>
                </c:pt>
                <c:pt idx="4">
                  <c:v>120</c:v>
                </c:pt>
                <c:pt idx="5">
                  <c:v>104</c:v>
                </c:pt>
                <c:pt idx="6">
                  <c:v>99</c:v>
                </c:pt>
                <c:pt idx="7">
                  <c:v>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Buchanans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71</c:v>
                </c:pt>
                <c:pt idx="2">
                  <c:v>81</c:v>
                </c:pt>
                <c:pt idx="3">
                  <c:v>72</c:v>
                </c:pt>
                <c:pt idx="4">
                  <c:v>72</c:v>
                </c:pt>
                <c:pt idx="5">
                  <c:v>114</c:v>
                </c:pt>
                <c:pt idx="6">
                  <c:v>95</c:v>
                </c:pt>
                <c:pt idx="7">
                  <c:v>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Carmen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230</c:v>
                </c:pt>
                <c:pt idx="1">
                  <c:v>260</c:v>
                </c:pt>
                <c:pt idx="2">
                  <c:v>287</c:v>
                </c:pt>
                <c:pt idx="3">
                  <c:v>262</c:v>
                </c:pt>
                <c:pt idx="4">
                  <c:v>271</c:v>
                </c:pt>
                <c:pt idx="5">
                  <c:v>259</c:v>
                </c:pt>
                <c:pt idx="6">
                  <c:v>310</c:v>
                </c:pt>
                <c:pt idx="7">
                  <c:v>207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Carmen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314</c:v>
                </c:pt>
                <c:pt idx="1">
                  <c:v>374</c:v>
                </c:pt>
                <c:pt idx="2">
                  <c:v>295</c:v>
                </c:pt>
                <c:pt idx="3">
                  <c:v>389</c:v>
                </c:pt>
                <c:pt idx="4">
                  <c:v>300</c:v>
                </c:pt>
                <c:pt idx="5">
                  <c:v>319</c:v>
                </c:pt>
                <c:pt idx="6">
                  <c:v>320</c:v>
                </c:pt>
                <c:pt idx="7">
                  <c:v>305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[I0243_Buchanans Road_Carmen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705</c:v>
                </c:pt>
                <c:pt idx="1">
                  <c:v>824</c:v>
                </c:pt>
                <c:pt idx="2">
                  <c:v>787</c:v>
                </c:pt>
                <c:pt idx="3">
                  <c:v>833</c:v>
                </c:pt>
                <c:pt idx="4">
                  <c:v>763</c:v>
                </c:pt>
                <c:pt idx="5">
                  <c:v>796</c:v>
                </c:pt>
                <c:pt idx="6">
                  <c:v>824</c:v>
                </c:pt>
                <c:pt idx="7">
                  <c:v>675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[I0243_Buchanans Road_Carmen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705</c:v>
                </c:pt>
                <c:pt idx="1">
                  <c:v>824</c:v>
                </c:pt>
                <c:pt idx="2">
                  <c:v>787</c:v>
                </c:pt>
                <c:pt idx="3">
                  <c:v>833</c:v>
                </c:pt>
                <c:pt idx="4">
                  <c:v>763</c:v>
                </c:pt>
                <c:pt idx="5">
                  <c:v>796</c:v>
                </c:pt>
                <c:pt idx="6">
                  <c:v>824</c:v>
                </c:pt>
                <c:pt idx="7">
                  <c:v>675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833</c:v>
                </c:pt>
                <c:pt idx="4">
                  <c:v>763</c:v>
                </c:pt>
                <c:pt idx="5">
                  <c:v>796</c:v>
                </c:pt>
                <c:pt idx="6">
                  <c:v>824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1159984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37042</xdr:colOff>
      <xdr:row>5</xdr:row>
      <xdr:rowOff>3175</xdr:rowOff>
    </xdr:from>
    <xdr:to>
      <xdr:col>20</xdr:col>
      <xdr:colOff>392692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6049708333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97"/>
    </cacheField>
    <cacheField name="Peak" numFmtId="0">
      <sharedItems containsSemiMixedTypes="0" containsString="0" containsNumber="1" containsInteger="1" minValue="0" maxValue="99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60505810185" createdVersion="5" refreshedVersion="8" minRefreshableVersion="3" recordCount="840" xr:uid="{00000000-000A-0000-FFFF-FFFF01000000}">
  <cacheSource type="worksheet">
    <worksheetSource name="tblPivotData"/>
  </cacheSource>
  <cacheFields count="9">
    <cacheField name="Approach" numFmtId="0">
      <sharedItems count="7">
        <s v="Carmen Road North"/>
        <s v="Buchanans Road East"/>
        <s v="Carmen Road South"/>
        <s v="Buchanans Road West"/>
        <s v="Great south Rd (North)" u="1"/>
        <s v="Great south Rd (South)" u="1"/>
        <s v="Grange Rd" u="1"/>
      </sharedItems>
    </cacheField>
    <cacheField name="Movement" numFmtId="0">
      <sharedItems count="21">
        <s v="Left into Buchanans Road East"/>
        <s v="Thru to Carmen Road South"/>
        <s v="Right into Buchanans Road West"/>
        <s v="U-Turn"/>
        <s v="Left into Carmen Road South"/>
        <s v="Thru to Buchanans Road West"/>
        <s v="Right into Carmen Road North"/>
        <s v="Left into Buchanans Road West"/>
        <s v="Thru to Carmen Road North"/>
        <s v="Right into Buchanans Road East"/>
        <s v="Left into Carmen Road North"/>
        <s v="Thru to Buchanans Road East"/>
        <s v="Right into Carmen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uchanans Road East"/>
        <s v="Carmen Road South"/>
        <s v="Buchanans Road West"/>
        <s v="Carme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05"/>
    <n v="0"/>
  </r>
  <r>
    <x v="0"/>
    <x v="1"/>
    <n v="824"/>
    <n v="0"/>
  </r>
  <r>
    <x v="0"/>
    <x v="2"/>
    <n v="787"/>
    <n v="0"/>
  </r>
  <r>
    <x v="0"/>
    <x v="3"/>
    <n v="833"/>
    <n v="833"/>
  </r>
  <r>
    <x v="0"/>
    <x v="4"/>
    <n v="763"/>
    <n v="763"/>
  </r>
  <r>
    <x v="0"/>
    <x v="5"/>
    <n v="796"/>
    <n v="796"/>
  </r>
  <r>
    <x v="0"/>
    <x v="6"/>
    <n v="824"/>
    <n v="824"/>
  </r>
  <r>
    <x v="0"/>
    <x v="7"/>
    <n v="675"/>
    <n v="0"/>
  </r>
  <r>
    <x v="1"/>
    <x v="8"/>
    <n v="611"/>
    <n v="611"/>
  </r>
  <r>
    <x v="1"/>
    <x v="9"/>
    <n v="689"/>
    <n v="689"/>
  </r>
  <r>
    <x v="1"/>
    <x v="10"/>
    <n v="635"/>
    <n v="635"/>
  </r>
  <r>
    <x v="1"/>
    <x v="11"/>
    <n v="678"/>
    <n v="678"/>
  </r>
  <r>
    <x v="2"/>
    <x v="12"/>
    <n v="905"/>
    <n v="0"/>
  </r>
  <r>
    <x v="2"/>
    <x v="13"/>
    <n v="884"/>
    <n v="884"/>
  </r>
  <r>
    <x v="2"/>
    <x v="14"/>
    <n v="997"/>
    <n v="997"/>
  </r>
  <r>
    <x v="2"/>
    <x v="15"/>
    <n v="880"/>
    <n v="880"/>
  </r>
  <r>
    <x v="2"/>
    <x v="16"/>
    <n v="911"/>
    <n v="911"/>
  </r>
  <r>
    <x v="2"/>
    <x v="17"/>
    <n v="836"/>
    <n v="0"/>
  </r>
  <r>
    <x v="2"/>
    <x v="18"/>
    <n v="807"/>
    <n v="0"/>
  </r>
  <r>
    <x v="2"/>
    <x v="19"/>
    <n v="60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6"/>
    <x v="0"/>
    <x v="0"/>
  </r>
  <r>
    <x v="0"/>
    <x v="0"/>
    <x v="0"/>
    <x v="0"/>
    <x v="0"/>
    <x v="1"/>
    <n v="26"/>
    <x v="1"/>
    <x v="0"/>
  </r>
  <r>
    <x v="0"/>
    <x v="0"/>
    <x v="0"/>
    <x v="0"/>
    <x v="0"/>
    <x v="2"/>
    <n v="18"/>
    <x v="2"/>
    <x v="0"/>
  </r>
  <r>
    <x v="0"/>
    <x v="0"/>
    <x v="0"/>
    <x v="0"/>
    <x v="0"/>
    <x v="3"/>
    <n v="25"/>
    <x v="3"/>
    <x v="1"/>
  </r>
  <r>
    <x v="0"/>
    <x v="0"/>
    <x v="0"/>
    <x v="0"/>
    <x v="0"/>
    <x v="4"/>
    <n v="15"/>
    <x v="4"/>
    <x v="1"/>
  </r>
  <r>
    <x v="0"/>
    <x v="0"/>
    <x v="0"/>
    <x v="0"/>
    <x v="0"/>
    <x v="5"/>
    <n v="20"/>
    <x v="5"/>
    <x v="1"/>
  </r>
  <r>
    <x v="0"/>
    <x v="0"/>
    <x v="0"/>
    <x v="0"/>
    <x v="0"/>
    <x v="6"/>
    <n v="24"/>
    <x v="6"/>
    <x v="1"/>
  </r>
  <r>
    <x v="0"/>
    <x v="0"/>
    <x v="0"/>
    <x v="0"/>
    <x v="0"/>
    <x v="7"/>
    <n v="12"/>
    <x v="7"/>
    <x v="0"/>
  </r>
  <r>
    <x v="0"/>
    <x v="0"/>
    <x v="0"/>
    <x v="0"/>
    <x v="1"/>
    <x v="8"/>
    <n v="9"/>
    <x v="8"/>
    <x v="1"/>
  </r>
  <r>
    <x v="0"/>
    <x v="0"/>
    <x v="0"/>
    <x v="0"/>
    <x v="1"/>
    <x v="9"/>
    <n v="9"/>
    <x v="9"/>
    <x v="1"/>
  </r>
  <r>
    <x v="0"/>
    <x v="0"/>
    <x v="0"/>
    <x v="0"/>
    <x v="1"/>
    <x v="10"/>
    <n v="10"/>
    <x v="10"/>
    <x v="1"/>
  </r>
  <r>
    <x v="0"/>
    <x v="0"/>
    <x v="0"/>
    <x v="0"/>
    <x v="1"/>
    <x v="11"/>
    <n v="9"/>
    <x v="11"/>
    <x v="1"/>
  </r>
  <r>
    <x v="0"/>
    <x v="0"/>
    <x v="0"/>
    <x v="0"/>
    <x v="2"/>
    <x v="12"/>
    <n v="16"/>
    <x v="12"/>
    <x v="0"/>
  </r>
  <r>
    <x v="0"/>
    <x v="0"/>
    <x v="0"/>
    <x v="0"/>
    <x v="2"/>
    <x v="13"/>
    <n v="12"/>
    <x v="13"/>
    <x v="1"/>
  </r>
  <r>
    <x v="0"/>
    <x v="0"/>
    <x v="0"/>
    <x v="0"/>
    <x v="2"/>
    <x v="14"/>
    <n v="22"/>
    <x v="14"/>
    <x v="1"/>
  </r>
  <r>
    <x v="0"/>
    <x v="0"/>
    <x v="0"/>
    <x v="0"/>
    <x v="2"/>
    <x v="15"/>
    <n v="18"/>
    <x v="15"/>
    <x v="1"/>
  </r>
  <r>
    <x v="0"/>
    <x v="0"/>
    <x v="0"/>
    <x v="0"/>
    <x v="2"/>
    <x v="16"/>
    <n v="19"/>
    <x v="16"/>
    <x v="1"/>
  </r>
  <r>
    <x v="0"/>
    <x v="0"/>
    <x v="0"/>
    <x v="0"/>
    <x v="2"/>
    <x v="17"/>
    <n v="21"/>
    <x v="17"/>
    <x v="0"/>
  </r>
  <r>
    <x v="0"/>
    <x v="0"/>
    <x v="0"/>
    <x v="0"/>
    <x v="2"/>
    <x v="18"/>
    <n v="23"/>
    <x v="18"/>
    <x v="0"/>
  </r>
  <r>
    <x v="0"/>
    <x v="0"/>
    <x v="0"/>
    <x v="0"/>
    <x v="2"/>
    <x v="19"/>
    <n v="12"/>
    <x v="19"/>
    <x v="0"/>
  </r>
  <r>
    <x v="0"/>
    <x v="0"/>
    <x v="0"/>
    <x v="1"/>
    <x v="0"/>
    <x v="0"/>
    <n v="1"/>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1"/>
    <x v="6"/>
    <x v="1"/>
  </r>
  <r>
    <x v="0"/>
    <x v="0"/>
    <x v="0"/>
    <x v="1"/>
    <x v="0"/>
    <x v="7"/>
    <n v="1"/>
    <x v="7"/>
    <x v="0"/>
  </r>
  <r>
    <x v="0"/>
    <x v="0"/>
    <x v="0"/>
    <x v="1"/>
    <x v="1"/>
    <x v="8"/>
    <n v="0"/>
    <x v="8"/>
    <x v="1"/>
  </r>
  <r>
    <x v="0"/>
    <x v="0"/>
    <x v="0"/>
    <x v="1"/>
    <x v="1"/>
    <x v="9"/>
    <n v="0"/>
    <x v="9"/>
    <x v="1"/>
  </r>
  <r>
    <x v="0"/>
    <x v="0"/>
    <x v="0"/>
    <x v="1"/>
    <x v="1"/>
    <x v="10"/>
    <n v="1"/>
    <x v="10"/>
    <x v="1"/>
  </r>
  <r>
    <x v="0"/>
    <x v="0"/>
    <x v="0"/>
    <x v="1"/>
    <x v="1"/>
    <x v="11"/>
    <n v="1"/>
    <x v="11"/>
    <x v="1"/>
  </r>
  <r>
    <x v="0"/>
    <x v="0"/>
    <x v="0"/>
    <x v="1"/>
    <x v="2"/>
    <x v="12"/>
    <n v="0"/>
    <x v="12"/>
    <x v="0"/>
  </r>
  <r>
    <x v="0"/>
    <x v="0"/>
    <x v="0"/>
    <x v="1"/>
    <x v="2"/>
    <x v="13"/>
    <n v="1"/>
    <x v="13"/>
    <x v="1"/>
  </r>
  <r>
    <x v="0"/>
    <x v="0"/>
    <x v="0"/>
    <x v="1"/>
    <x v="2"/>
    <x v="14"/>
    <n v="1"/>
    <x v="14"/>
    <x v="1"/>
  </r>
  <r>
    <x v="0"/>
    <x v="0"/>
    <x v="0"/>
    <x v="1"/>
    <x v="2"/>
    <x v="15"/>
    <n v="0"/>
    <x v="15"/>
    <x v="1"/>
  </r>
  <r>
    <x v="0"/>
    <x v="0"/>
    <x v="0"/>
    <x v="1"/>
    <x v="2"/>
    <x v="16"/>
    <n v="0"/>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62"/>
    <x v="0"/>
    <x v="0"/>
  </r>
  <r>
    <x v="0"/>
    <x v="1"/>
    <x v="1"/>
    <x v="0"/>
    <x v="0"/>
    <x v="1"/>
    <n v="303"/>
    <x v="1"/>
    <x v="0"/>
  </r>
  <r>
    <x v="0"/>
    <x v="1"/>
    <x v="1"/>
    <x v="0"/>
    <x v="0"/>
    <x v="2"/>
    <n v="245"/>
    <x v="2"/>
    <x v="0"/>
  </r>
  <r>
    <x v="0"/>
    <x v="1"/>
    <x v="1"/>
    <x v="0"/>
    <x v="0"/>
    <x v="3"/>
    <n v="298"/>
    <x v="3"/>
    <x v="1"/>
  </r>
  <r>
    <x v="0"/>
    <x v="1"/>
    <x v="1"/>
    <x v="0"/>
    <x v="0"/>
    <x v="4"/>
    <n v="234"/>
    <x v="4"/>
    <x v="1"/>
  </r>
  <r>
    <x v="0"/>
    <x v="1"/>
    <x v="1"/>
    <x v="0"/>
    <x v="0"/>
    <x v="5"/>
    <n v="243"/>
    <x v="5"/>
    <x v="1"/>
  </r>
  <r>
    <x v="0"/>
    <x v="1"/>
    <x v="1"/>
    <x v="0"/>
    <x v="0"/>
    <x v="6"/>
    <n v="236"/>
    <x v="6"/>
    <x v="1"/>
  </r>
  <r>
    <x v="0"/>
    <x v="1"/>
    <x v="1"/>
    <x v="0"/>
    <x v="0"/>
    <x v="7"/>
    <n v="221"/>
    <x v="7"/>
    <x v="0"/>
  </r>
  <r>
    <x v="0"/>
    <x v="1"/>
    <x v="1"/>
    <x v="0"/>
    <x v="1"/>
    <x v="8"/>
    <n v="173"/>
    <x v="8"/>
    <x v="1"/>
  </r>
  <r>
    <x v="0"/>
    <x v="1"/>
    <x v="1"/>
    <x v="0"/>
    <x v="1"/>
    <x v="9"/>
    <n v="216"/>
    <x v="9"/>
    <x v="1"/>
  </r>
  <r>
    <x v="0"/>
    <x v="1"/>
    <x v="1"/>
    <x v="0"/>
    <x v="1"/>
    <x v="10"/>
    <n v="174"/>
    <x v="10"/>
    <x v="1"/>
  </r>
  <r>
    <x v="0"/>
    <x v="1"/>
    <x v="1"/>
    <x v="0"/>
    <x v="1"/>
    <x v="11"/>
    <n v="189"/>
    <x v="11"/>
    <x v="1"/>
  </r>
  <r>
    <x v="0"/>
    <x v="1"/>
    <x v="1"/>
    <x v="0"/>
    <x v="2"/>
    <x v="12"/>
    <n v="192"/>
    <x v="12"/>
    <x v="0"/>
  </r>
  <r>
    <x v="0"/>
    <x v="1"/>
    <x v="1"/>
    <x v="0"/>
    <x v="2"/>
    <x v="13"/>
    <n v="236"/>
    <x v="13"/>
    <x v="1"/>
  </r>
  <r>
    <x v="0"/>
    <x v="1"/>
    <x v="1"/>
    <x v="0"/>
    <x v="2"/>
    <x v="14"/>
    <n v="263"/>
    <x v="14"/>
    <x v="1"/>
  </r>
  <r>
    <x v="0"/>
    <x v="1"/>
    <x v="1"/>
    <x v="0"/>
    <x v="2"/>
    <x v="15"/>
    <n v="206"/>
    <x v="15"/>
    <x v="1"/>
  </r>
  <r>
    <x v="0"/>
    <x v="1"/>
    <x v="1"/>
    <x v="0"/>
    <x v="2"/>
    <x v="16"/>
    <n v="239"/>
    <x v="16"/>
    <x v="1"/>
  </r>
  <r>
    <x v="0"/>
    <x v="1"/>
    <x v="1"/>
    <x v="0"/>
    <x v="2"/>
    <x v="17"/>
    <n v="209"/>
    <x v="17"/>
    <x v="0"/>
  </r>
  <r>
    <x v="0"/>
    <x v="1"/>
    <x v="1"/>
    <x v="0"/>
    <x v="2"/>
    <x v="18"/>
    <n v="209"/>
    <x v="18"/>
    <x v="0"/>
  </r>
  <r>
    <x v="0"/>
    <x v="1"/>
    <x v="1"/>
    <x v="0"/>
    <x v="2"/>
    <x v="19"/>
    <n v="177"/>
    <x v="19"/>
    <x v="0"/>
  </r>
  <r>
    <x v="0"/>
    <x v="1"/>
    <x v="1"/>
    <x v="1"/>
    <x v="0"/>
    <x v="0"/>
    <n v="13"/>
    <x v="0"/>
    <x v="0"/>
  </r>
  <r>
    <x v="0"/>
    <x v="1"/>
    <x v="1"/>
    <x v="1"/>
    <x v="0"/>
    <x v="1"/>
    <n v="21"/>
    <x v="1"/>
    <x v="0"/>
  </r>
  <r>
    <x v="0"/>
    <x v="1"/>
    <x v="1"/>
    <x v="1"/>
    <x v="0"/>
    <x v="2"/>
    <n v="12"/>
    <x v="2"/>
    <x v="0"/>
  </r>
  <r>
    <x v="0"/>
    <x v="1"/>
    <x v="1"/>
    <x v="1"/>
    <x v="0"/>
    <x v="3"/>
    <n v="20"/>
    <x v="3"/>
    <x v="1"/>
  </r>
  <r>
    <x v="0"/>
    <x v="1"/>
    <x v="1"/>
    <x v="1"/>
    <x v="0"/>
    <x v="4"/>
    <n v="19"/>
    <x v="4"/>
    <x v="1"/>
  </r>
  <r>
    <x v="0"/>
    <x v="1"/>
    <x v="1"/>
    <x v="1"/>
    <x v="0"/>
    <x v="5"/>
    <n v="18"/>
    <x v="5"/>
    <x v="1"/>
  </r>
  <r>
    <x v="0"/>
    <x v="1"/>
    <x v="1"/>
    <x v="1"/>
    <x v="0"/>
    <x v="6"/>
    <n v="22"/>
    <x v="6"/>
    <x v="1"/>
  </r>
  <r>
    <x v="0"/>
    <x v="1"/>
    <x v="1"/>
    <x v="1"/>
    <x v="0"/>
    <x v="7"/>
    <n v="28"/>
    <x v="7"/>
    <x v="0"/>
  </r>
  <r>
    <x v="0"/>
    <x v="1"/>
    <x v="1"/>
    <x v="1"/>
    <x v="1"/>
    <x v="8"/>
    <n v="15"/>
    <x v="8"/>
    <x v="1"/>
  </r>
  <r>
    <x v="0"/>
    <x v="1"/>
    <x v="1"/>
    <x v="1"/>
    <x v="1"/>
    <x v="9"/>
    <n v="21"/>
    <x v="9"/>
    <x v="1"/>
  </r>
  <r>
    <x v="0"/>
    <x v="1"/>
    <x v="1"/>
    <x v="1"/>
    <x v="1"/>
    <x v="10"/>
    <n v="16"/>
    <x v="10"/>
    <x v="1"/>
  </r>
  <r>
    <x v="0"/>
    <x v="1"/>
    <x v="1"/>
    <x v="1"/>
    <x v="1"/>
    <x v="11"/>
    <n v="17"/>
    <x v="11"/>
    <x v="1"/>
  </r>
  <r>
    <x v="0"/>
    <x v="1"/>
    <x v="1"/>
    <x v="1"/>
    <x v="2"/>
    <x v="12"/>
    <n v="18"/>
    <x v="12"/>
    <x v="0"/>
  </r>
  <r>
    <x v="0"/>
    <x v="1"/>
    <x v="1"/>
    <x v="1"/>
    <x v="2"/>
    <x v="13"/>
    <n v="10"/>
    <x v="13"/>
    <x v="1"/>
  </r>
  <r>
    <x v="0"/>
    <x v="1"/>
    <x v="1"/>
    <x v="1"/>
    <x v="2"/>
    <x v="14"/>
    <n v="12"/>
    <x v="14"/>
    <x v="1"/>
  </r>
  <r>
    <x v="0"/>
    <x v="1"/>
    <x v="1"/>
    <x v="1"/>
    <x v="2"/>
    <x v="15"/>
    <n v="10"/>
    <x v="15"/>
    <x v="1"/>
  </r>
  <r>
    <x v="0"/>
    <x v="1"/>
    <x v="1"/>
    <x v="1"/>
    <x v="2"/>
    <x v="16"/>
    <n v="6"/>
    <x v="16"/>
    <x v="1"/>
  </r>
  <r>
    <x v="0"/>
    <x v="1"/>
    <x v="1"/>
    <x v="1"/>
    <x v="2"/>
    <x v="17"/>
    <n v="10"/>
    <x v="17"/>
    <x v="0"/>
  </r>
  <r>
    <x v="0"/>
    <x v="1"/>
    <x v="1"/>
    <x v="1"/>
    <x v="2"/>
    <x v="18"/>
    <n v="8"/>
    <x v="18"/>
    <x v="0"/>
  </r>
  <r>
    <x v="0"/>
    <x v="1"/>
    <x v="1"/>
    <x v="1"/>
    <x v="2"/>
    <x v="19"/>
    <n v="10"/>
    <x v="19"/>
    <x v="0"/>
  </r>
  <r>
    <x v="0"/>
    <x v="1"/>
    <x v="1"/>
    <x v="2"/>
    <x v="0"/>
    <x v="0"/>
    <n v="0"/>
    <x v="0"/>
    <x v="0"/>
  </r>
  <r>
    <x v="0"/>
    <x v="1"/>
    <x v="1"/>
    <x v="2"/>
    <x v="0"/>
    <x v="1"/>
    <n v="0"/>
    <x v="1"/>
    <x v="0"/>
  </r>
  <r>
    <x v="0"/>
    <x v="1"/>
    <x v="1"/>
    <x v="2"/>
    <x v="0"/>
    <x v="2"/>
    <n v="1"/>
    <x v="2"/>
    <x v="0"/>
  </r>
  <r>
    <x v="0"/>
    <x v="1"/>
    <x v="1"/>
    <x v="2"/>
    <x v="0"/>
    <x v="3"/>
    <n v="2"/>
    <x v="3"/>
    <x v="1"/>
  </r>
  <r>
    <x v="0"/>
    <x v="1"/>
    <x v="1"/>
    <x v="2"/>
    <x v="0"/>
    <x v="4"/>
    <n v="0"/>
    <x v="4"/>
    <x v="1"/>
  </r>
  <r>
    <x v="0"/>
    <x v="1"/>
    <x v="1"/>
    <x v="2"/>
    <x v="0"/>
    <x v="5"/>
    <n v="0"/>
    <x v="5"/>
    <x v="1"/>
  </r>
  <r>
    <x v="0"/>
    <x v="1"/>
    <x v="1"/>
    <x v="2"/>
    <x v="0"/>
    <x v="6"/>
    <n v="0"/>
    <x v="6"/>
    <x v="1"/>
  </r>
  <r>
    <x v="0"/>
    <x v="1"/>
    <x v="1"/>
    <x v="2"/>
    <x v="0"/>
    <x v="7"/>
    <n v="2"/>
    <x v="7"/>
    <x v="0"/>
  </r>
  <r>
    <x v="0"/>
    <x v="1"/>
    <x v="1"/>
    <x v="2"/>
    <x v="1"/>
    <x v="8"/>
    <n v="0"/>
    <x v="8"/>
    <x v="1"/>
  </r>
  <r>
    <x v="0"/>
    <x v="1"/>
    <x v="1"/>
    <x v="2"/>
    <x v="1"/>
    <x v="9"/>
    <n v="1"/>
    <x v="9"/>
    <x v="1"/>
  </r>
  <r>
    <x v="0"/>
    <x v="1"/>
    <x v="1"/>
    <x v="2"/>
    <x v="1"/>
    <x v="10"/>
    <n v="0"/>
    <x v="10"/>
    <x v="1"/>
  </r>
  <r>
    <x v="0"/>
    <x v="1"/>
    <x v="1"/>
    <x v="2"/>
    <x v="1"/>
    <x v="11"/>
    <n v="0"/>
    <x v="11"/>
    <x v="1"/>
  </r>
  <r>
    <x v="0"/>
    <x v="1"/>
    <x v="1"/>
    <x v="2"/>
    <x v="2"/>
    <x v="12"/>
    <n v="1"/>
    <x v="12"/>
    <x v="0"/>
  </r>
  <r>
    <x v="0"/>
    <x v="1"/>
    <x v="1"/>
    <x v="2"/>
    <x v="2"/>
    <x v="13"/>
    <n v="2"/>
    <x v="13"/>
    <x v="1"/>
  </r>
  <r>
    <x v="0"/>
    <x v="1"/>
    <x v="1"/>
    <x v="2"/>
    <x v="2"/>
    <x v="14"/>
    <n v="0"/>
    <x v="14"/>
    <x v="1"/>
  </r>
  <r>
    <x v="0"/>
    <x v="1"/>
    <x v="1"/>
    <x v="2"/>
    <x v="2"/>
    <x v="15"/>
    <n v="1"/>
    <x v="15"/>
    <x v="1"/>
  </r>
  <r>
    <x v="0"/>
    <x v="1"/>
    <x v="1"/>
    <x v="2"/>
    <x v="2"/>
    <x v="16"/>
    <n v="0"/>
    <x v="16"/>
    <x v="1"/>
  </r>
  <r>
    <x v="0"/>
    <x v="1"/>
    <x v="1"/>
    <x v="2"/>
    <x v="2"/>
    <x v="17"/>
    <n v="0"/>
    <x v="17"/>
    <x v="0"/>
  </r>
  <r>
    <x v="0"/>
    <x v="1"/>
    <x v="1"/>
    <x v="2"/>
    <x v="2"/>
    <x v="18"/>
    <n v="1"/>
    <x v="18"/>
    <x v="0"/>
  </r>
  <r>
    <x v="0"/>
    <x v="1"/>
    <x v="1"/>
    <x v="2"/>
    <x v="2"/>
    <x v="19"/>
    <n v="0"/>
    <x v="19"/>
    <x v="0"/>
  </r>
  <r>
    <x v="0"/>
    <x v="2"/>
    <x v="2"/>
    <x v="0"/>
    <x v="0"/>
    <x v="0"/>
    <n v="29"/>
    <x v="0"/>
    <x v="0"/>
  </r>
  <r>
    <x v="0"/>
    <x v="2"/>
    <x v="2"/>
    <x v="0"/>
    <x v="0"/>
    <x v="1"/>
    <n v="33"/>
    <x v="1"/>
    <x v="0"/>
  </r>
  <r>
    <x v="0"/>
    <x v="2"/>
    <x v="2"/>
    <x v="0"/>
    <x v="0"/>
    <x v="2"/>
    <n v="36"/>
    <x v="2"/>
    <x v="0"/>
  </r>
  <r>
    <x v="0"/>
    <x v="2"/>
    <x v="2"/>
    <x v="0"/>
    <x v="0"/>
    <x v="3"/>
    <n v="26"/>
    <x v="3"/>
    <x v="1"/>
  </r>
  <r>
    <x v="0"/>
    <x v="2"/>
    <x v="2"/>
    <x v="0"/>
    <x v="0"/>
    <x v="4"/>
    <n v="30"/>
    <x v="4"/>
    <x v="1"/>
  </r>
  <r>
    <x v="0"/>
    <x v="2"/>
    <x v="2"/>
    <x v="0"/>
    <x v="0"/>
    <x v="5"/>
    <n v="41"/>
    <x v="5"/>
    <x v="1"/>
  </r>
  <r>
    <x v="0"/>
    <x v="2"/>
    <x v="2"/>
    <x v="0"/>
    <x v="0"/>
    <x v="6"/>
    <n v="30"/>
    <x v="6"/>
    <x v="1"/>
  </r>
  <r>
    <x v="0"/>
    <x v="2"/>
    <x v="2"/>
    <x v="0"/>
    <x v="0"/>
    <x v="7"/>
    <n v="29"/>
    <x v="7"/>
    <x v="0"/>
  </r>
  <r>
    <x v="0"/>
    <x v="2"/>
    <x v="2"/>
    <x v="0"/>
    <x v="1"/>
    <x v="8"/>
    <n v="25"/>
    <x v="8"/>
    <x v="1"/>
  </r>
  <r>
    <x v="0"/>
    <x v="2"/>
    <x v="2"/>
    <x v="0"/>
    <x v="1"/>
    <x v="9"/>
    <n v="20"/>
    <x v="9"/>
    <x v="1"/>
  </r>
  <r>
    <x v="0"/>
    <x v="2"/>
    <x v="2"/>
    <x v="0"/>
    <x v="1"/>
    <x v="10"/>
    <n v="31"/>
    <x v="10"/>
    <x v="1"/>
  </r>
  <r>
    <x v="0"/>
    <x v="2"/>
    <x v="2"/>
    <x v="0"/>
    <x v="1"/>
    <x v="11"/>
    <n v="26"/>
    <x v="11"/>
    <x v="1"/>
  </r>
  <r>
    <x v="0"/>
    <x v="2"/>
    <x v="2"/>
    <x v="0"/>
    <x v="2"/>
    <x v="12"/>
    <n v="45"/>
    <x v="12"/>
    <x v="0"/>
  </r>
  <r>
    <x v="0"/>
    <x v="2"/>
    <x v="2"/>
    <x v="0"/>
    <x v="2"/>
    <x v="13"/>
    <n v="37"/>
    <x v="13"/>
    <x v="1"/>
  </r>
  <r>
    <x v="0"/>
    <x v="2"/>
    <x v="2"/>
    <x v="0"/>
    <x v="2"/>
    <x v="14"/>
    <n v="64"/>
    <x v="14"/>
    <x v="1"/>
  </r>
  <r>
    <x v="0"/>
    <x v="2"/>
    <x v="2"/>
    <x v="0"/>
    <x v="2"/>
    <x v="15"/>
    <n v="44"/>
    <x v="15"/>
    <x v="1"/>
  </r>
  <r>
    <x v="0"/>
    <x v="2"/>
    <x v="2"/>
    <x v="0"/>
    <x v="2"/>
    <x v="16"/>
    <n v="50"/>
    <x v="16"/>
    <x v="1"/>
  </r>
  <r>
    <x v="0"/>
    <x v="2"/>
    <x v="2"/>
    <x v="0"/>
    <x v="2"/>
    <x v="17"/>
    <n v="36"/>
    <x v="17"/>
    <x v="0"/>
  </r>
  <r>
    <x v="0"/>
    <x v="2"/>
    <x v="2"/>
    <x v="0"/>
    <x v="2"/>
    <x v="18"/>
    <n v="40"/>
    <x v="18"/>
    <x v="0"/>
  </r>
  <r>
    <x v="0"/>
    <x v="2"/>
    <x v="2"/>
    <x v="0"/>
    <x v="2"/>
    <x v="19"/>
    <n v="36"/>
    <x v="19"/>
    <x v="0"/>
  </r>
  <r>
    <x v="0"/>
    <x v="2"/>
    <x v="2"/>
    <x v="1"/>
    <x v="0"/>
    <x v="0"/>
    <n v="2"/>
    <x v="0"/>
    <x v="0"/>
  </r>
  <r>
    <x v="0"/>
    <x v="2"/>
    <x v="2"/>
    <x v="1"/>
    <x v="0"/>
    <x v="1"/>
    <n v="1"/>
    <x v="1"/>
    <x v="0"/>
  </r>
  <r>
    <x v="0"/>
    <x v="2"/>
    <x v="2"/>
    <x v="1"/>
    <x v="0"/>
    <x v="2"/>
    <n v="0"/>
    <x v="2"/>
    <x v="0"/>
  </r>
  <r>
    <x v="0"/>
    <x v="2"/>
    <x v="2"/>
    <x v="1"/>
    <x v="0"/>
    <x v="3"/>
    <n v="1"/>
    <x v="3"/>
    <x v="1"/>
  </r>
  <r>
    <x v="0"/>
    <x v="2"/>
    <x v="2"/>
    <x v="1"/>
    <x v="0"/>
    <x v="4"/>
    <n v="2"/>
    <x v="4"/>
    <x v="1"/>
  </r>
  <r>
    <x v="0"/>
    <x v="2"/>
    <x v="2"/>
    <x v="1"/>
    <x v="0"/>
    <x v="5"/>
    <n v="0"/>
    <x v="5"/>
    <x v="1"/>
  </r>
  <r>
    <x v="0"/>
    <x v="2"/>
    <x v="2"/>
    <x v="1"/>
    <x v="0"/>
    <x v="6"/>
    <n v="2"/>
    <x v="6"/>
    <x v="1"/>
  </r>
  <r>
    <x v="0"/>
    <x v="2"/>
    <x v="2"/>
    <x v="1"/>
    <x v="0"/>
    <x v="7"/>
    <n v="3"/>
    <x v="7"/>
    <x v="0"/>
  </r>
  <r>
    <x v="0"/>
    <x v="2"/>
    <x v="2"/>
    <x v="1"/>
    <x v="1"/>
    <x v="8"/>
    <n v="1"/>
    <x v="8"/>
    <x v="1"/>
  </r>
  <r>
    <x v="0"/>
    <x v="2"/>
    <x v="2"/>
    <x v="1"/>
    <x v="1"/>
    <x v="9"/>
    <n v="3"/>
    <x v="9"/>
    <x v="1"/>
  </r>
  <r>
    <x v="0"/>
    <x v="2"/>
    <x v="2"/>
    <x v="1"/>
    <x v="1"/>
    <x v="10"/>
    <n v="3"/>
    <x v="10"/>
    <x v="1"/>
  </r>
  <r>
    <x v="0"/>
    <x v="2"/>
    <x v="2"/>
    <x v="1"/>
    <x v="1"/>
    <x v="11"/>
    <n v="3"/>
    <x v="11"/>
    <x v="1"/>
  </r>
  <r>
    <x v="0"/>
    <x v="2"/>
    <x v="2"/>
    <x v="1"/>
    <x v="2"/>
    <x v="12"/>
    <n v="2"/>
    <x v="12"/>
    <x v="0"/>
  </r>
  <r>
    <x v="0"/>
    <x v="2"/>
    <x v="2"/>
    <x v="1"/>
    <x v="2"/>
    <x v="13"/>
    <n v="6"/>
    <x v="13"/>
    <x v="1"/>
  </r>
  <r>
    <x v="0"/>
    <x v="2"/>
    <x v="2"/>
    <x v="1"/>
    <x v="2"/>
    <x v="14"/>
    <n v="1"/>
    <x v="14"/>
    <x v="1"/>
  </r>
  <r>
    <x v="0"/>
    <x v="2"/>
    <x v="2"/>
    <x v="1"/>
    <x v="2"/>
    <x v="15"/>
    <n v="1"/>
    <x v="15"/>
    <x v="1"/>
  </r>
  <r>
    <x v="0"/>
    <x v="2"/>
    <x v="2"/>
    <x v="1"/>
    <x v="2"/>
    <x v="16"/>
    <n v="2"/>
    <x v="16"/>
    <x v="1"/>
  </r>
  <r>
    <x v="0"/>
    <x v="2"/>
    <x v="2"/>
    <x v="1"/>
    <x v="2"/>
    <x v="17"/>
    <n v="0"/>
    <x v="17"/>
    <x v="0"/>
  </r>
  <r>
    <x v="0"/>
    <x v="2"/>
    <x v="2"/>
    <x v="1"/>
    <x v="2"/>
    <x v="18"/>
    <n v="2"/>
    <x v="18"/>
    <x v="0"/>
  </r>
  <r>
    <x v="0"/>
    <x v="2"/>
    <x v="2"/>
    <x v="1"/>
    <x v="2"/>
    <x v="19"/>
    <n v="4"/>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1"/>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1"/>
    <x v="12"/>
    <x v="0"/>
  </r>
  <r>
    <x v="0"/>
    <x v="3"/>
    <x v="3"/>
    <x v="0"/>
    <x v="2"/>
    <x v="13"/>
    <n v="0"/>
    <x v="13"/>
    <x v="1"/>
  </r>
  <r>
    <x v="0"/>
    <x v="3"/>
    <x v="3"/>
    <x v="0"/>
    <x v="2"/>
    <x v="14"/>
    <n v="0"/>
    <x v="14"/>
    <x v="1"/>
  </r>
  <r>
    <x v="0"/>
    <x v="3"/>
    <x v="3"/>
    <x v="0"/>
    <x v="2"/>
    <x v="15"/>
    <n v="0"/>
    <x v="15"/>
    <x v="1"/>
  </r>
  <r>
    <x v="0"/>
    <x v="3"/>
    <x v="3"/>
    <x v="0"/>
    <x v="2"/>
    <x v="16"/>
    <n v="1"/>
    <x v="16"/>
    <x v="1"/>
  </r>
  <r>
    <x v="0"/>
    <x v="3"/>
    <x v="3"/>
    <x v="0"/>
    <x v="2"/>
    <x v="17"/>
    <n v="0"/>
    <x v="17"/>
    <x v="0"/>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21"/>
    <x v="0"/>
    <x v="0"/>
  </r>
  <r>
    <x v="1"/>
    <x v="4"/>
    <x v="1"/>
    <x v="0"/>
    <x v="0"/>
    <x v="1"/>
    <n v="21"/>
    <x v="1"/>
    <x v="0"/>
  </r>
  <r>
    <x v="1"/>
    <x v="4"/>
    <x v="1"/>
    <x v="0"/>
    <x v="0"/>
    <x v="2"/>
    <n v="17"/>
    <x v="2"/>
    <x v="0"/>
  </r>
  <r>
    <x v="1"/>
    <x v="4"/>
    <x v="1"/>
    <x v="0"/>
    <x v="0"/>
    <x v="3"/>
    <n v="29"/>
    <x v="3"/>
    <x v="1"/>
  </r>
  <r>
    <x v="1"/>
    <x v="4"/>
    <x v="1"/>
    <x v="0"/>
    <x v="0"/>
    <x v="4"/>
    <n v="24"/>
    <x v="4"/>
    <x v="1"/>
  </r>
  <r>
    <x v="1"/>
    <x v="4"/>
    <x v="1"/>
    <x v="0"/>
    <x v="0"/>
    <x v="5"/>
    <n v="28"/>
    <x v="5"/>
    <x v="1"/>
  </r>
  <r>
    <x v="1"/>
    <x v="4"/>
    <x v="1"/>
    <x v="0"/>
    <x v="0"/>
    <x v="6"/>
    <n v="24"/>
    <x v="6"/>
    <x v="1"/>
  </r>
  <r>
    <x v="1"/>
    <x v="4"/>
    <x v="1"/>
    <x v="0"/>
    <x v="0"/>
    <x v="7"/>
    <n v="18"/>
    <x v="7"/>
    <x v="0"/>
  </r>
  <r>
    <x v="1"/>
    <x v="4"/>
    <x v="1"/>
    <x v="0"/>
    <x v="1"/>
    <x v="8"/>
    <n v="18"/>
    <x v="8"/>
    <x v="1"/>
  </r>
  <r>
    <x v="1"/>
    <x v="4"/>
    <x v="1"/>
    <x v="0"/>
    <x v="1"/>
    <x v="9"/>
    <n v="22"/>
    <x v="9"/>
    <x v="1"/>
  </r>
  <r>
    <x v="1"/>
    <x v="4"/>
    <x v="1"/>
    <x v="0"/>
    <x v="1"/>
    <x v="10"/>
    <n v="26"/>
    <x v="10"/>
    <x v="1"/>
  </r>
  <r>
    <x v="1"/>
    <x v="4"/>
    <x v="1"/>
    <x v="0"/>
    <x v="1"/>
    <x v="11"/>
    <n v="31"/>
    <x v="11"/>
    <x v="1"/>
  </r>
  <r>
    <x v="1"/>
    <x v="4"/>
    <x v="1"/>
    <x v="0"/>
    <x v="2"/>
    <x v="12"/>
    <n v="22"/>
    <x v="12"/>
    <x v="0"/>
  </r>
  <r>
    <x v="1"/>
    <x v="4"/>
    <x v="1"/>
    <x v="0"/>
    <x v="2"/>
    <x v="13"/>
    <n v="33"/>
    <x v="13"/>
    <x v="1"/>
  </r>
  <r>
    <x v="1"/>
    <x v="4"/>
    <x v="1"/>
    <x v="0"/>
    <x v="2"/>
    <x v="14"/>
    <n v="32"/>
    <x v="14"/>
    <x v="1"/>
  </r>
  <r>
    <x v="1"/>
    <x v="4"/>
    <x v="1"/>
    <x v="0"/>
    <x v="2"/>
    <x v="15"/>
    <n v="21"/>
    <x v="15"/>
    <x v="1"/>
  </r>
  <r>
    <x v="1"/>
    <x v="4"/>
    <x v="1"/>
    <x v="0"/>
    <x v="2"/>
    <x v="16"/>
    <n v="32"/>
    <x v="16"/>
    <x v="1"/>
  </r>
  <r>
    <x v="1"/>
    <x v="4"/>
    <x v="1"/>
    <x v="0"/>
    <x v="2"/>
    <x v="17"/>
    <n v="21"/>
    <x v="17"/>
    <x v="0"/>
  </r>
  <r>
    <x v="1"/>
    <x v="4"/>
    <x v="1"/>
    <x v="0"/>
    <x v="2"/>
    <x v="18"/>
    <n v="27"/>
    <x v="18"/>
    <x v="0"/>
  </r>
  <r>
    <x v="1"/>
    <x v="4"/>
    <x v="1"/>
    <x v="0"/>
    <x v="2"/>
    <x v="19"/>
    <n v="13"/>
    <x v="19"/>
    <x v="0"/>
  </r>
  <r>
    <x v="1"/>
    <x v="4"/>
    <x v="1"/>
    <x v="1"/>
    <x v="0"/>
    <x v="0"/>
    <n v="1"/>
    <x v="0"/>
    <x v="0"/>
  </r>
  <r>
    <x v="1"/>
    <x v="4"/>
    <x v="1"/>
    <x v="1"/>
    <x v="0"/>
    <x v="1"/>
    <n v="0"/>
    <x v="1"/>
    <x v="0"/>
  </r>
  <r>
    <x v="1"/>
    <x v="4"/>
    <x v="1"/>
    <x v="1"/>
    <x v="0"/>
    <x v="2"/>
    <n v="0"/>
    <x v="2"/>
    <x v="0"/>
  </r>
  <r>
    <x v="1"/>
    <x v="4"/>
    <x v="1"/>
    <x v="1"/>
    <x v="0"/>
    <x v="3"/>
    <n v="1"/>
    <x v="3"/>
    <x v="1"/>
  </r>
  <r>
    <x v="1"/>
    <x v="4"/>
    <x v="1"/>
    <x v="1"/>
    <x v="0"/>
    <x v="4"/>
    <n v="1"/>
    <x v="4"/>
    <x v="1"/>
  </r>
  <r>
    <x v="1"/>
    <x v="4"/>
    <x v="1"/>
    <x v="1"/>
    <x v="0"/>
    <x v="5"/>
    <n v="0"/>
    <x v="5"/>
    <x v="1"/>
  </r>
  <r>
    <x v="1"/>
    <x v="4"/>
    <x v="1"/>
    <x v="1"/>
    <x v="0"/>
    <x v="6"/>
    <n v="3"/>
    <x v="6"/>
    <x v="1"/>
  </r>
  <r>
    <x v="1"/>
    <x v="4"/>
    <x v="1"/>
    <x v="1"/>
    <x v="0"/>
    <x v="7"/>
    <n v="1"/>
    <x v="7"/>
    <x v="0"/>
  </r>
  <r>
    <x v="1"/>
    <x v="4"/>
    <x v="1"/>
    <x v="1"/>
    <x v="1"/>
    <x v="8"/>
    <n v="0"/>
    <x v="8"/>
    <x v="1"/>
  </r>
  <r>
    <x v="1"/>
    <x v="4"/>
    <x v="1"/>
    <x v="1"/>
    <x v="1"/>
    <x v="9"/>
    <n v="2"/>
    <x v="9"/>
    <x v="1"/>
  </r>
  <r>
    <x v="1"/>
    <x v="4"/>
    <x v="1"/>
    <x v="1"/>
    <x v="1"/>
    <x v="10"/>
    <n v="2"/>
    <x v="10"/>
    <x v="1"/>
  </r>
  <r>
    <x v="1"/>
    <x v="4"/>
    <x v="1"/>
    <x v="1"/>
    <x v="1"/>
    <x v="11"/>
    <n v="0"/>
    <x v="11"/>
    <x v="1"/>
  </r>
  <r>
    <x v="1"/>
    <x v="4"/>
    <x v="1"/>
    <x v="1"/>
    <x v="2"/>
    <x v="12"/>
    <n v="0"/>
    <x v="12"/>
    <x v="0"/>
  </r>
  <r>
    <x v="1"/>
    <x v="4"/>
    <x v="1"/>
    <x v="1"/>
    <x v="2"/>
    <x v="13"/>
    <n v="1"/>
    <x v="13"/>
    <x v="1"/>
  </r>
  <r>
    <x v="1"/>
    <x v="4"/>
    <x v="1"/>
    <x v="1"/>
    <x v="2"/>
    <x v="14"/>
    <n v="1"/>
    <x v="14"/>
    <x v="1"/>
  </r>
  <r>
    <x v="1"/>
    <x v="4"/>
    <x v="1"/>
    <x v="1"/>
    <x v="2"/>
    <x v="15"/>
    <n v="0"/>
    <x v="15"/>
    <x v="1"/>
  </r>
  <r>
    <x v="1"/>
    <x v="4"/>
    <x v="1"/>
    <x v="1"/>
    <x v="2"/>
    <x v="16"/>
    <n v="0"/>
    <x v="16"/>
    <x v="1"/>
  </r>
  <r>
    <x v="1"/>
    <x v="4"/>
    <x v="1"/>
    <x v="1"/>
    <x v="2"/>
    <x v="17"/>
    <n v="1"/>
    <x v="17"/>
    <x v="0"/>
  </r>
  <r>
    <x v="1"/>
    <x v="4"/>
    <x v="1"/>
    <x v="1"/>
    <x v="2"/>
    <x v="18"/>
    <n v="0"/>
    <x v="18"/>
    <x v="0"/>
  </r>
  <r>
    <x v="1"/>
    <x v="4"/>
    <x v="1"/>
    <x v="1"/>
    <x v="2"/>
    <x v="19"/>
    <n v="3"/>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32"/>
    <x v="0"/>
    <x v="0"/>
  </r>
  <r>
    <x v="1"/>
    <x v="5"/>
    <x v="2"/>
    <x v="0"/>
    <x v="0"/>
    <x v="1"/>
    <n v="24"/>
    <x v="1"/>
    <x v="0"/>
  </r>
  <r>
    <x v="1"/>
    <x v="5"/>
    <x v="2"/>
    <x v="0"/>
    <x v="0"/>
    <x v="2"/>
    <n v="37"/>
    <x v="2"/>
    <x v="0"/>
  </r>
  <r>
    <x v="1"/>
    <x v="5"/>
    <x v="2"/>
    <x v="0"/>
    <x v="0"/>
    <x v="3"/>
    <n v="29"/>
    <x v="3"/>
    <x v="1"/>
  </r>
  <r>
    <x v="1"/>
    <x v="5"/>
    <x v="2"/>
    <x v="0"/>
    <x v="0"/>
    <x v="4"/>
    <n v="28"/>
    <x v="4"/>
    <x v="1"/>
  </r>
  <r>
    <x v="1"/>
    <x v="5"/>
    <x v="2"/>
    <x v="0"/>
    <x v="0"/>
    <x v="5"/>
    <n v="43"/>
    <x v="5"/>
    <x v="1"/>
  </r>
  <r>
    <x v="1"/>
    <x v="5"/>
    <x v="2"/>
    <x v="0"/>
    <x v="0"/>
    <x v="6"/>
    <n v="36"/>
    <x v="6"/>
    <x v="1"/>
  </r>
  <r>
    <x v="1"/>
    <x v="5"/>
    <x v="2"/>
    <x v="0"/>
    <x v="0"/>
    <x v="7"/>
    <n v="28"/>
    <x v="7"/>
    <x v="0"/>
  </r>
  <r>
    <x v="1"/>
    <x v="5"/>
    <x v="2"/>
    <x v="0"/>
    <x v="1"/>
    <x v="8"/>
    <n v="39"/>
    <x v="8"/>
    <x v="1"/>
  </r>
  <r>
    <x v="1"/>
    <x v="5"/>
    <x v="2"/>
    <x v="0"/>
    <x v="1"/>
    <x v="9"/>
    <n v="54"/>
    <x v="9"/>
    <x v="1"/>
  </r>
  <r>
    <x v="1"/>
    <x v="5"/>
    <x v="2"/>
    <x v="0"/>
    <x v="1"/>
    <x v="10"/>
    <n v="35"/>
    <x v="10"/>
    <x v="1"/>
  </r>
  <r>
    <x v="1"/>
    <x v="5"/>
    <x v="2"/>
    <x v="0"/>
    <x v="1"/>
    <x v="11"/>
    <n v="45"/>
    <x v="11"/>
    <x v="1"/>
  </r>
  <r>
    <x v="1"/>
    <x v="5"/>
    <x v="2"/>
    <x v="0"/>
    <x v="2"/>
    <x v="12"/>
    <n v="72"/>
    <x v="12"/>
    <x v="0"/>
  </r>
  <r>
    <x v="1"/>
    <x v="5"/>
    <x v="2"/>
    <x v="0"/>
    <x v="2"/>
    <x v="13"/>
    <n v="81"/>
    <x v="13"/>
    <x v="1"/>
  </r>
  <r>
    <x v="1"/>
    <x v="5"/>
    <x v="2"/>
    <x v="0"/>
    <x v="2"/>
    <x v="14"/>
    <n v="88"/>
    <x v="14"/>
    <x v="1"/>
  </r>
  <r>
    <x v="1"/>
    <x v="5"/>
    <x v="2"/>
    <x v="0"/>
    <x v="2"/>
    <x v="15"/>
    <n v="87"/>
    <x v="15"/>
    <x v="1"/>
  </r>
  <r>
    <x v="1"/>
    <x v="5"/>
    <x v="2"/>
    <x v="0"/>
    <x v="2"/>
    <x v="16"/>
    <n v="100"/>
    <x v="16"/>
    <x v="1"/>
  </r>
  <r>
    <x v="1"/>
    <x v="5"/>
    <x v="2"/>
    <x v="0"/>
    <x v="2"/>
    <x v="17"/>
    <n v="87"/>
    <x v="17"/>
    <x v="0"/>
  </r>
  <r>
    <x v="1"/>
    <x v="5"/>
    <x v="2"/>
    <x v="0"/>
    <x v="2"/>
    <x v="18"/>
    <n v="73"/>
    <x v="18"/>
    <x v="0"/>
  </r>
  <r>
    <x v="1"/>
    <x v="5"/>
    <x v="2"/>
    <x v="0"/>
    <x v="2"/>
    <x v="19"/>
    <n v="54"/>
    <x v="19"/>
    <x v="0"/>
  </r>
  <r>
    <x v="1"/>
    <x v="5"/>
    <x v="2"/>
    <x v="1"/>
    <x v="0"/>
    <x v="0"/>
    <n v="2"/>
    <x v="0"/>
    <x v="0"/>
  </r>
  <r>
    <x v="1"/>
    <x v="5"/>
    <x v="2"/>
    <x v="1"/>
    <x v="0"/>
    <x v="1"/>
    <n v="1"/>
    <x v="1"/>
    <x v="0"/>
  </r>
  <r>
    <x v="1"/>
    <x v="5"/>
    <x v="2"/>
    <x v="1"/>
    <x v="0"/>
    <x v="2"/>
    <n v="1"/>
    <x v="2"/>
    <x v="0"/>
  </r>
  <r>
    <x v="1"/>
    <x v="5"/>
    <x v="2"/>
    <x v="1"/>
    <x v="0"/>
    <x v="3"/>
    <n v="2"/>
    <x v="3"/>
    <x v="1"/>
  </r>
  <r>
    <x v="1"/>
    <x v="5"/>
    <x v="2"/>
    <x v="1"/>
    <x v="0"/>
    <x v="4"/>
    <n v="0"/>
    <x v="4"/>
    <x v="1"/>
  </r>
  <r>
    <x v="1"/>
    <x v="5"/>
    <x v="2"/>
    <x v="1"/>
    <x v="0"/>
    <x v="5"/>
    <n v="5"/>
    <x v="5"/>
    <x v="1"/>
  </r>
  <r>
    <x v="1"/>
    <x v="5"/>
    <x v="2"/>
    <x v="1"/>
    <x v="0"/>
    <x v="6"/>
    <n v="4"/>
    <x v="6"/>
    <x v="1"/>
  </r>
  <r>
    <x v="1"/>
    <x v="5"/>
    <x v="2"/>
    <x v="1"/>
    <x v="0"/>
    <x v="7"/>
    <n v="1"/>
    <x v="7"/>
    <x v="0"/>
  </r>
  <r>
    <x v="1"/>
    <x v="5"/>
    <x v="2"/>
    <x v="1"/>
    <x v="1"/>
    <x v="8"/>
    <n v="2"/>
    <x v="8"/>
    <x v="1"/>
  </r>
  <r>
    <x v="1"/>
    <x v="5"/>
    <x v="2"/>
    <x v="1"/>
    <x v="1"/>
    <x v="9"/>
    <n v="3"/>
    <x v="9"/>
    <x v="1"/>
  </r>
  <r>
    <x v="1"/>
    <x v="5"/>
    <x v="2"/>
    <x v="1"/>
    <x v="1"/>
    <x v="10"/>
    <n v="3"/>
    <x v="10"/>
    <x v="1"/>
  </r>
  <r>
    <x v="1"/>
    <x v="5"/>
    <x v="2"/>
    <x v="1"/>
    <x v="1"/>
    <x v="11"/>
    <n v="6"/>
    <x v="11"/>
    <x v="1"/>
  </r>
  <r>
    <x v="1"/>
    <x v="5"/>
    <x v="2"/>
    <x v="1"/>
    <x v="2"/>
    <x v="12"/>
    <n v="2"/>
    <x v="12"/>
    <x v="0"/>
  </r>
  <r>
    <x v="1"/>
    <x v="5"/>
    <x v="2"/>
    <x v="1"/>
    <x v="2"/>
    <x v="13"/>
    <n v="8"/>
    <x v="13"/>
    <x v="1"/>
  </r>
  <r>
    <x v="1"/>
    <x v="5"/>
    <x v="2"/>
    <x v="1"/>
    <x v="2"/>
    <x v="14"/>
    <n v="1"/>
    <x v="14"/>
    <x v="1"/>
  </r>
  <r>
    <x v="1"/>
    <x v="5"/>
    <x v="2"/>
    <x v="1"/>
    <x v="2"/>
    <x v="15"/>
    <n v="4"/>
    <x v="15"/>
    <x v="1"/>
  </r>
  <r>
    <x v="1"/>
    <x v="5"/>
    <x v="2"/>
    <x v="1"/>
    <x v="2"/>
    <x v="16"/>
    <n v="4"/>
    <x v="16"/>
    <x v="1"/>
  </r>
  <r>
    <x v="1"/>
    <x v="5"/>
    <x v="2"/>
    <x v="1"/>
    <x v="2"/>
    <x v="17"/>
    <n v="1"/>
    <x v="17"/>
    <x v="0"/>
  </r>
  <r>
    <x v="1"/>
    <x v="5"/>
    <x v="2"/>
    <x v="1"/>
    <x v="2"/>
    <x v="18"/>
    <n v="1"/>
    <x v="18"/>
    <x v="0"/>
  </r>
  <r>
    <x v="1"/>
    <x v="5"/>
    <x v="2"/>
    <x v="1"/>
    <x v="2"/>
    <x v="19"/>
    <n v="3"/>
    <x v="19"/>
    <x v="0"/>
  </r>
  <r>
    <x v="1"/>
    <x v="5"/>
    <x v="2"/>
    <x v="2"/>
    <x v="0"/>
    <x v="0"/>
    <n v="0"/>
    <x v="0"/>
    <x v="0"/>
  </r>
  <r>
    <x v="1"/>
    <x v="5"/>
    <x v="2"/>
    <x v="2"/>
    <x v="0"/>
    <x v="1"/>
    <n v="0"/>
    <x v="1"/>
    <x v="0"/>
  </r>
  <r>
    <x v="1"/>
    <x v="5"/>
    <x v="2"/>
    <x v="2"/>
    <x v="0"/>
    <x v="2"/>
    <n v="0"/>
    <x v="2"/>
    <x v="0"/>
  </r>
  <r>
    <x v="1"/>
    <x v="5"/>
    <x v="2"/>
    <x v="2"/>
    <x v="0"/>
    <x v="3"/>
    <n v="1"/>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1"/>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1"/>
    <x v="15"/>
    <x v="1"/>
  </r>
  <r>
    <x v="1"/>
    <x v="5"/>
    <x v="2"/>
    <x v="2"/>
    <x v="2"/>
    <x v="16"/>
    <n v="0"/>
    <x v="16"/>
    <x v="1"/>
  </r>
  <r>
    <x v="1"/>
    <x v="5"/>
    <x v="2"/>
    <x v="2"/>
    <x v="2"/>
    <x v="17"/>
    <n v="2"/>
    <x v="17"/>
    <x v="0"/>
  </r>
  <r>
    <x v="1"/>
    <x v="5"/>
    <x v="2"/>
    <x v="2"/>
    <x v="2"/>
    <x v="18"/>
    <n v="0"/>
    <x v="18"/>
    <x v="0"/>
  </r>
  <r>
    <x v="1"/>
    <x v="5"/>
    <x v="2"/>
    <x v="2"/>
    <x v="2"/>
    <x v="19"/>
    <n v="0"/>
    <x v="19"/>
    <x v="0"/>
  </r>
  <r>
    <x v="1"/>
    <x v="6"/>
    <x v="3"/>
    <x v="0"/>
    <x v="0"/>
    <x v="0"/>
    <n v="17"/>
    <x v="0"/>
    <x v="0"/>
  </r>
  <r>
    <x v="1"/>
    <x v="6"/>
    <x v="3"/>
    <x v="0"/>
    <x v="0"/>
    <x v="1"/>
    <n v="13"/>
    <x v="1"/>
    <x v="0"/>
  </r>
  <r>
    <x v="1"/>
    <x v="6"/>
    <x v="3"/>
    <x v="0"/>
    <x v="0"/>
    <x v="2"/>
    <n v="19"/>
    <x v="2"/>
    <x v="0"/>
  </r>
  <r>
    <x v="1"/>
    <x v="6"/>
    <x v="3"/>
    <x v="0"/>
    <x v="0"/>
    <x v="3"/>
    <n v="13"/>
    <x v="3"/>
    <x v="1"/>
  </r>
  <r>
    <x v="1"/>
    <x v="6"/>
    <x v="3"/>
    <x v="0"/>
    <x v="0"/>
    <x v="4"/>
    <n v="13"/>
    <x v="4"/>
    <x v="1"/>
  </r>
  <r>
    <x v="1"/>
    <x v="6"/>
    <x v="3"/>
    <x v="0"/>
    <x v="0"/>
    <x v="5"/>
    <n v="14"/>
    <x v="5"/>
    <x v="1"/>
  </r>
  <r>
    <x v="1"/>
    <x v="6"/>
    <x v="3"/>
    <x v="0"/>
    <x v="0"/>
    <x v="6"/>
    <n v="11"/>
    <x v="6"/>
    <x v="1"/>
  </r>
  <r>
    <x v="1"/>
    <x v="6"/>
    <x v="3"/>
    <x v="0"/>
    <x v="0"/>
    <x v="7"/>
    <n v="13"/>
    <x v="7"/>
    <x v="0"/>
  </r>
  <r>
    <x v="1"/>
    <x v="6"/>
    <x v="3"/>
    <x v="0"/>
    <x v="1"/>
    <x v="8"/>
    <n v="13"/>
    <x v="8"/>
    <x v="1"/>
  </r>
  <r>
    <x v="1"/>
    <x v="6"/>
    <x v="3"/>
    <x v="0"/>
    <x v="1"/>
    <x v="9"/>
    <n v="14"/>
    <x v="9"/>
    <x v="1"/>
  </r>
  <r>
    <x v="1"/>
    <x v="6"/>
    <x v="3"/>
    <x v="0"/>
    <x v="1"/>
    <x v="10"/>
    <n v="19"/>
    <x v="10"/>
    <x v="1"/>
  </r>
  <r>
    <x v="1"/>
    <x v="6"/>
    <x v="3"/>
    <x v="0"/>
    <x v="1"/>
    <x v="11"/>
    <n v="19"/>
    <x v="11"/>
    <x v="1"/>
  </r>
  <r>
    <x v="1"/>
    <x v="6"/>
    <x v="3"/>
    <x v="0"/>
    <x v="2"/>
    <x v="12"/>
    <n v="38"/>
    <x v="12"/>
    <x v="0"/>
  </r>
  <r>
    <x v="1"/>
    <x v="6"/>
    <x v="3"/>
    <x v="0"/>
    <x v="2"/>
    <x v="13"/>
    <n v="18"/>
    <x v="13"/>
    <x v="1"/>
  </r>
  <r>
    <x v="1"/>
    <x v="6"/>
    <x v="3"/>
    <x v="0"/>
    <x v="2"/>
    <x v="14"/>
    <n v="29"/>
    <x v="14"/>
    <x v="1"/>
  </r>
  <r>
    <x v="1"/>
    <x v="6"/>
    <x v="3"/>
    <x v="0"/>
    <x v="2"/>
    <x v="15"/>
    <n v="35"/>
    <x v="15"/>
    <x v="1"/>
  </r>
  <r>
    <x v="1"/>
    <x v="6"/>
    <x v="3"/>
    <x v="0"/>
    <x v="2"/>
    <x v="16"/>
    <n v="28"/>
    <x v="16"/>
    <x v="1"/>
  </r>
  <r>
    <x v="1"/>
    <x v="6"/>
    <x v="3"/>
    <x v="0"/>
    <x v="2"/>
    <x v="17"/>
    <n v="17"/>
    <x v="17"/>
    <x v="0"/>
  </r>
  <r>
    <x v="1"/>
    <x v="6"/>
    <x v="3"/>
    <x v="0"/>
    <x v="2"/>
    <x v="18"/>
    <n v="19"/>
    <x v="18"/>
    <x v="0"/>
  </r>
  <r>
    <x v="1"/>
    <x v="6"/>
    <x v="3"/>
    <x v="0"/>
    <x v="2"/>
    <x v="19"/>
    <n v="13"/>
    <x v="19"/>
    <x v="0"/>
  </r>
  <r>
    <x v="1"/>
    <x v="6"/>
    <x v="3"/>
    <x v="1"/>
    <x v="0"/>
    <x v="0"/>
    <n v="0"/>
    <x v="0"/>
    <x v="0"/>
  </r>
  <r>
    <x v="1"/>
    <x v="6"/>
    <x v="3"/>
    <x v="1"/>
    <x v="0"/>
    <x v="1"/>
    <n v="2"/>
    <x v="1"/>
    <x v="0"/>
  </r>
  <r>
    <x v="1"/>
    <x v="6"/>
    <x v="3"/>
    <x v="1"/>
    <x v="0"/>
    <x v="2"/>
    <n v="2"/>
    <x v="2"/>
    <x v="0"/>
  </r>
  <r>
    <x v="1"/>
    <x v="6"/>
    <x v="3"/>
    <x v="1"/>
    <x v="0"/>
    <x v="3"/>
    <n v="1"/>
    <x v="3"/>
    <x v="1"/>
  </r>
  <r>
    <x v="1"/>
    <x v="6"/>
    <x v="3"/>
    <x v="1"/>
    <x v="0"/>
    <x v="4"/>
    <n v="2"/>
    <x v="4"/>
    <x v="1"/>
  </r>
  <r>
    <x v="1"/>
    <x v="6"/>
    <x v="3"/>
    <x v="1"/>
    <x v="0"/>
    <x v="5"/>
    <n v="3"/>
    <x v="5"/>
    <x v="1"/>
  </r>
  <r>
    <x v="1"/>
    <x v="6"/>
    <x v="3"/>
    <x v="1"/>
    <x v="0"/>
    <x v="6"/>
    <n v="2"/>
    <x v="6"/>
    <x v="1"/>
  </r>
  <r>
    <x v="1"/>
    <x v="6"/>
    <x v="3"/>
    <x v="1"/>
    <x v="0"/>
    <x v="7"/>
    <n v="1"/>
    <x v="7"/>
    <x v="0"/>
  </r>
  <r>
    <x v="1"/>
    <x v="6"/>
    <x v="3"/>
    <x v="1"/>
    <x v="1"/>
    <x v="8"/>
    <n v="1"/>
    <x v="8"/>
    <x v="1"/>
  </r>
  <r>
    <x v="1"/>
    <x v="6"/>
    <x v="3"/>
    <x v="1"/>
    <x v="1"/>
    <x v="9"/>
    <n v="1"/>
    <x v="9"/>
    <x v="1"/>
  </r>
  <r>
    <x v="1"/>
    <x v="6"/>
    <x v="3"/>
    <x v="1"/>
    <x v="1"/>
    <x v="10"/>
    <n v="2"/>
    <x v="10"/>
    <x v="1"/>
  </r>
  <r>
    <x v="1"/>
    <x v="6"/>
    <x v="3"/>
    <x v="1"/>
    <x v="1"/>
    <x v="11"/>
    <n v="2"/>
    <x v="11"/>
    <x v="1"/>
  </r>
  <r>
    <x v="1"/>
    <x v="6"/>
    <x v="3"/>
    <x v="1"/>
    <x v="2"/>
    <x v="12"/>
    <n v="5"/>
    <x v="12"/>
    <x v="0"/>
  </r>
  <r>
    <x v="1"/>
    <x v="6"/>
    <x v="3"/>
    <x v="1"/>
    <x v="2"/>
    <x v="13"/>
    <n v="0"/>
    <x v="13"/>
    <x v="1"/>
  </r>
  <r>
    <x v="1"/>
    <x v="6"/>
    <x v="3"/>
    <x v="1"/>
    <x v="2"/>
    <x v="14"/>
    <n v="0"/>
    <x v="14"/>
    <x v="1"/>
  </r>
  <r>
    <x v="1"/>
    <x v="6"/>
    <x v="3"/>
    <x v="1"/>
    <x v="2"/>
    <x v="15"/>
    <n v="0"/>
    <x v="15"/>
    <x v="1"/>
  </r>
  <r>
    <x v="1"/>
    <x v="6"/>
    <x v="3"/>
    <x v="1"/>
    <x v="2"/>
    <x v="16"/>
    <n v="0"/>
    <x v="16"/>
    <x v="1"/>
  </r>
  <r>
    <x v="1"/>
    <x v="6"/>
    <x v="3"/>
    <x v="1"/>
    <x v="2"/>
    <x v="17"/>
    <n v="1"/>
    <x v="17"/>
    <x v="0"/>
  </r>
  <r>
    <x v="1"/>
    <x v="6"/>
    <x v="3"/>
    <x v="1"/>
    <x v="2"/>
    <x v="18"/>
    <n v="2"/>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8"/>
    <x v="0"/>
    <x v="0"/>
  </r>
  <r>
    <x v="2"/>
    <x v="7"/>
    <x v="2"/>
    <x v="0"/>
    <x v="0"/>
    <x v="1"/>
    <n v="12"/>
    <x v="1"/>
    <x v="0"/>
  </r>
  <r>
    <x v="2"/>
    <x v="7"/>
    <x v="2"/>
    <x v="0"/>
    <x v="0"/>
    <x v="2"/>
    <n v="6"/>
    <x v="2"/>
    <x v="0"/>
  </r>
  <r>
    <x v="2"/>
    <x v="7"/>
    <x v="2"/>
    <x v="0"/>
    <x v="0"/>
    <x v="3"/>
    <n v="11"/>
    <x v="3"/>
    <x v="1"/>
  </r>
  <r>
    <x v="2"/>
    <x v="7"/>
    <x v="2"/>
    <x v="0"/>
    <x v="0"/>
    <x v="4"/>
    <n v="10"/>
    <x v="4"/>
    <x v="1"/>
  </r>
  <r>
    <x v="2"/>
    <x v="7"/>
    <x v="2"/>
    <x v="0"/>
    <x v="0"/>
    <x v="5"/>
    <n v="25"/>
    <x v="5"/>
    <x v="1"/>
  </r>
  <r>
    <x v="2"/>
    <x v="7"/>
    <x v="2"/>
    <x v="0"/>
    <x v="0"/>
    <x v="6"/>
    <n v="22"/>
    <x v="6"/>
    <x v="1"/>
  </r>
  <r>
    <x v="2"/>
    <x v="7"/>
    <x v="2"/>
    <x v="0"/>
    <x v="0"/>
    <x v="7"/>
    <n v="23"/>
    <x v="7"/>
    <x v="0"/>
  </r>
  <r>
    <x v="2"/>
    <x v="7"/>
    <x v="2"/>
    <x v="0"/>
    <x v="1"/>
    <x v="8"/>
    <n v="20"/>
    <x v="8"/>
    <x v="1"/>
  </r>
  <r>
    <x v="2"/>
    <x v="7"/>
    <x v="2"/>
    <x v="0"/>
    <x v="1"/>
    <x v="9"/>
    <n v="21"/>
    <x v="9"/>
    <x v="1"/>
  </r>
  <r>
    <x v="2"/>
    <x v="7"/>
    <x v="2"/>
    <x v="0"/>
    <x v="1"/>
    <x v="10"/>
    <n v="20"/>
    <x v="10"/>
    <x v="1"/>
  </r>
  <r>
    <x v="2"/>
    <x v="7"/>
    <x v="2"/>
    <x v="0"/>
    <x v="1"/>
    <x v="11"/>
    <n v="20"/>
    <x v="11"/>
    <x v="1"/>
  </r>
  <r>
    <x v="2"/>
    <x v="7"/>
    <x v="2"/>
    <x v="0"/>
    <x v="2"/>
    <x v="12"/>
    <n v="41"/>
    <x v="12"/>
    <x v="0"/>
  </r>
  <r>
    <x v="2"/>
    <x v="7"/>
    <x v="2"/>
    <x v="0"/>
    <x v="2"/>
    <x v="13"/>
    <n v="41"/>
    <x v="13"/>
    <x v="1"/>
  </r>
  <r>
    <x v="2"/>
    <x v="7"/>
    <x v="2"/>
    <x v="0"/>
    <x v="2"/>
    <x v="14"/>
    <n v="64"/>
    <x v="14"/>
    <x v="1"/>
  </r>
  <r>
    <x v="2"/>
    <x v="7"/>
    <x v="2"/>
    <x v="0"/>
    <x v="2"/>
    <x v="15"/>
    <n v="66"/>
    <x v="15"/>
    <x v="1"/>
  </r>
  <r>
    <x v="2"/>
    <x v="7"/>
    <x v="2"/>
    <x v="0"/>
    <x v="2"/>
    <x v="16"/>
    <n v="72"/>
    <x v="16"/>
    <x v="1"/>
  </r>
  <r>
    <x v="2"/>
    <x v="7"/>
    <x v="2"/>
    <x v="0"/>
    <x v="2"/>
    <x v="17"/>
    <n v="71"/>
    <x v="17"/>
    <x v="0"/>
  </r>
  <r>
    <x v="2"/>
    <x v="7"/>
    <x v="2"/>
    <x v="0"/>
    <x v="2"/>
    <x v="18"/>
    <n v="66"/>
    <x v="18"/>
    <x v="0"/>
  </r>
  <r>
    <x v="2"/>
    <x v="7"/>
    <x v="2"/>
    <x v="0"/>
    <x v="2"/>
    <x v="19"/>
    <n v="39"/>
    <x v="19"/>
    <x v="0"/>
  </r>
  <r>
    <x v="2"/>
    <x v="7"/>
    <x v="2"/>
    <x v="1"/>
    <x v="0"/>
    <x v="0"/>
    <n v="1"/>
    <x v="0"/>
    <x v="0"/>
  </r>
  <r>
    <x v="2"/>
    <x v="7"/>
    <x v="2"/>
    <x v="1"/>
    <x v="0"/>
    <x v="1"/>
    <n v="0"/>
    <x v="1"/>
    <x v="0"/>
  </r>
  <r>
    <x v="2"/>
    <x v="7"/>
    <x v="2"/>
    <x v="1"/>
    <x v="0"/>
    <x v="2"/>
    <n v="1"/>
    <x v="2"/>
    <x v="0"/>
  </r>
  <r>
    <x v="2"/>
    <x v="7"/>
    <x v="2"/>
    <x v="1"/>
    <x v="0"/>
    <x v="3"/>
    <n v="2"/>
    <x v="3"/>
    <x v="1"/>
  </r>
  <r>
    <x v="2"/>
    <x v="7"/>
    <x v="2"/>
    <x v="1"/>
    <x v="0"/>
    <x v="4"/>
    <n v="2"/>
    <x v="4"/>
    <x v="1"/>
  </r>
  <r>
    <x v="2"/>
    <x v="7"/>
    <x v="2"/>
    <x v="1"/>
    <x v="0"/>
    <x v="5"/>
    <n v="0"/>
    <x v="5"/>
    <x v="1"/>
  </r>
  <r>
    <x v="2"/>
    <x v="7"/>
    <x v="2"/>
    <x v="1"/>
    <x v="0"/>
    <x v="6"/>
    <n v="1"/>
    <x v="6"/>
    <x v="1"/>
  </r>
  <r>
    <x v="2"/>
    <x v="7"/>
    <x v="2"/>
    <x v="1"/>
    <x v="0"/>
    <x v="7"/>
    <n v="1"/>
    <x v="7"/>
    <x v="0"/>
  </r>
  <r>
    <x v="2"/>
    <x v="7"/>
    <x v="2"/>
    <x v="1"/>
    <x v="1"/>
    <x v="8"/>
    <n v="1"/>
    <x v="8"/>
    <x v="1"/>
  </r>
  <r>
    <x v="2"/>
    <x v="7"/>
    <x v="2"/>
    <x v="1"/>
    <x v="1"/>
    <x v="9"/>
    <n v="0"/>
    <x v="9"/>
    <x v="1"/>
  </r>
  <r>
    <x v="2"/>
    <x v="7"/>
    <x v="2"/>
    <x v="1"/>
    <x v="1"/>
    <x v="10"/>
    <n v="0"/>
    <x v="10"/>
    <x v="1"/>
  </r>
  <r>
    <x v="2"/>
    <x v="7"/>
    <x v="2"/>
    <x v="1"/>
    <x v="1"/>
    <x v="11"/>
    <n v="2"/>
    <x v="11"/>
    <x v="1"/>
  </r>
  <r>
    <x v="2"/>
    <x v="7"/>
    <x v="2"/>
    <x v="1"/>
    <x v="2"/>
    <x v="12"/>
    <n v="0"/>
    <x v="12"/>
    <x v="0"/>
  </r>
  <r>
    <x v="2"/>
    <x v="7"/>
    <x v="2"/>
    <x v="1"/>
    <x v="2"/>
    <x v="13"/>
    <n v="0"/>
    <x v="13"/>
    <x v="1"/>
  </r>
  <r>
    <x v="2"/>
    <x v="7"/>
    <x v="2"/>
    <x v="1"/>
    <x v="2"/>
    <x v="14"/>
    <n v="1"/>
    <x v="14"/>
    <x v="1"/>
  </r>
  <r>
    <x v="2"/>
    <x v="7"/>
    <x v="2"/>
    <x v="1"/>
    <x v="2"/>
    <x v="15"/>
    <n v="1"/>
    <x v="15"/>
    <x v="1"/>
  </r>
  <r>
    <x v="2"/>
    <x v="7"/>
    <x v="2"/>
    <x v="1"/>
    <x v="2"/>
    <x v="16"/>
    <n v="1"/>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1"/>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54"/>
    <x v="0"/>
    <x v="0"/>
  </r>
  <r>
    <x v="2"/>
    <x v="8"/>
    <x v="3"/>
    <x v="0"/>
    <x v="0"/>
    <x v="1"/>
    <n v="193"/>
    <x v="1"/>
    <x v="0"/>
  </r>
  <r>
    <x v="2"/>
    <x v="8"/>
    <x v="3"/>
    <x v="0"/>
    <x v="0"/>
    <x v="2"/>
    <n v="208"/>
    <x v="2"/>
    <x v="0"/>
  </r>
  <r>
    <x v="2"/>
    <x v="8"/>
    <x v="3"/>
    <x v="0"/>
    <x v="0"/>
    <x v="3"/>
    <n v="209"/>
    <x v="3"/>
    <x v="1"/>
  </r>
  <r>
    <x v="2"/>
    <x v="8"/>
    <x v="3"/>
    <x v="0"/>
    <x v="0"/>
    <x v="4"/>
    <n v="208"/>
    <x v="4"/>
    <x v="1"/>
  </r>
  <r>
    <x v="2"/>
    <x v="8"/>
    <x v="3"/>
    <x v="0"/>
    <x v="0"/>
    <x v="5"/>
    <n v="200"/>
    <x v="5"/>
    <x v="1"/>
  </r>
  <r>
    <x v="2"/>
    <x v="8"/>
    <x v="3"/>
    <x v="0"/>
    <x v="0"/>
    <x v="6"/>
    <n v="224"/>
    <x v="6"/>
    <x v="1"/>
  </r>
  <r>
    <x v="2"/>
    <x v="8"/>
    <x v="3"/>
    <x v="0"/>
    <x v="0"/>
    <x v="7"/>
    <n v="145"/>
    <x v="7"/>
    <x v="0"/>
  </r>
  <r>
    <x v="2"/>
    <x v="8"/>
    <x v="3"/>
    <x v="0"/>
    <x v="1"/>
    <x v="8"/>
    <n v="175"/>
    <x v="8"/>
    <x v="1"/>
  </r>
  <r>
    <x v="2"/>
    <x v="8"/>
    <x v="3"/>
    <x v="0"/>
    <x v="1"/>
    <x v="9"/>
    <n v="178"/>
    <x v="9"/>
    <x v="1"/>
  </r>
  <r>
    <x v="2"/>
    <x v="8"/>
    <x v="3"/>
    <x v="0"/>
    <x v="1"/>
    <x v="10"/>
    <n v="169"/>
    <x v="10"/>
    <x v="1"/>
  </r>
  <r>
    <x v="2"/>
    <x v="8"/>
    <x v="3"/>
    <x v="0"/>
    <x v="1"/>
    <x v="11"/>
    <n v="178"/>
    <x v="11"/>
    <x v="1"/>
  </r>
  <r>
    <x v="2"/>
    <x v="8"/>
    <x v="3"/>
    <x v="0"/>
    <x v="2"/>
    <x v="12"/>
    <n v="318"/>
    <x v="12"/>
    <x v="0"/>
  </r>
  <r>
    <x v="2"/>
    <x v="8"/>
    <x v="3"/>
    <x v="0"/>
    <x v="2"/>
    <x v="13"/>
    <n v="266"/>
    <x v="13"/>
    <x v="1"/>
  </r>
  <r>
    <x v="2"/>
    <x v="8"/>
    <x v="3"/>
    <x v="0"/>
    <x v="2"/>
    <x v="14"/>
    <n v="282"/>
    <x v="14"/>
    <x v="1"/>
  </r>
  <r>
    <x v="2"/>
    <x v="8"/>
    <x v="3"/>
    <x v="0"/>
    <x v="2"/>
    <x v="15"/>
    <n v="264"/>
    <x v="15"/>
    <x v="1"/>
  </r>
  <r>
    <x v="2"/>
    <x v="8"/>
    <x v="3"/>
    <x v="0"/>
    <x v="2"/>
    <x v="16"/>
    <n v="231"/>
    <x v="16"/>
    <x v="1"/>
  </r>
  <r>
    <x v="2"/>
    <x v="8"/>
    <x v="3"/>
    <x v="0"/>
    <x v="2"/>
    <x v="17"/>
    <n v="221"/>
    <x v="17"/>
    <x v="0"/>
  </r>
  <r>
    <x v="2"/>
    <x v="8"/>
    <x v="3"/>
    <x v="0"/>
    <x v="2"/>
    <x v="18"/>
    <n v="208"/>
    <x v="18"/>
    <x v="0"/>
  </r>
  <r>
    <x v="2"/>
    <x v="8"/>
    <x v="3"/>
    <x v="0"/>
    <x v="2"/>
    <x v="19"/>
    <n v="143"/>
    <x v="19"/>
    <x v="0"/>
  </r>
  <r>
    <x v="2"/>
    <x v="8"/>
    <x v="3"/>
    <x v="1"/>
    <x v="0"/>
    <x v="0"/>
    <n v="15"/>
    <x v="0"/>
    <x v="0"/>
  </r>
  <r>
    <x v="2"/>
    <x v="8"/>
    <x v="3"/>
    <x v="1"/>
    <x v="0"/>
    <x v="1"/>
    <n v="17"/>
    <x v="1"/>
    <x v="0"/>
  </r>
  <r>
    <x v="2"/>
    <x v="8"/>
    <x v="3"/>
    <x v="1"/>
    <x v="0"/>
    <x v="2"/>
    <n v="18"/>
    <x v="2"/>
    <x v="0"/>
  </r>
  <r>
    <x v="2"/>
    <x v="8"/>
    <x v="3"/>
    <x v="1"/>
    <x v="0"/>
    <x v="3"/>
    <n v="13"/>
    <x v="3"/>
    <x v="1"/>
  </r>
  <r>
    <x v="2"/>
    <x v="8"/>
    <x v="3"/>
    <x v="1"/>
    <x v="0"/>
    <x v="4"/>
    <n v="14"/>
    <x v="4"/>
    <x v="1"/>
  </r>
  <r>
    <x v="2"/>
    <x v="8"/>
    <x v="3"/>
    <x v="1"/>
    <x v="0"/>
    <x v="5"/>
    <n v="13"/>
    <x v="5"/>
    <x v="1"/>
  </r>
  <r>
    <x v="2"/>
    <x v="8"/>
    <x v="3"/>
    <x v="1"/>
    <x v="0"/>
    <x v="6"/>
    <n v="30"/>
    <x v="6"/>
    <x v="1"/>
  </r>
  <r>
    <x v="2"/>
    <x v="8"/>
    <x v="3"/>
    <x v="1"/>
    <x v="0"/>
    <x v="7"/>
    <n v="21"/>
    <x v="7"/>
    <x v="0"/>
  </r>
  <r>
    <x v="2"/>
    <x v="8"/>
    <x v="3"/>
    <x v="1"/>
    <x v="1"/>
    <x v="8"/>
    <n v="18"/>
    <x v="8"/>
    <x v="1"/>
  </r>
  <r>
    <x v="2"/>
    <x v="8"/>
    <x v="3"/>
    <x v="1"/>
    <x v="1"/>
    <x v="9"/>
    <n v="10"/>
    <x v="9"/>
    <x v="1"/>
  </r>
  <r>
    <x v="2"/>
    <x v="8"/>
    <x v="3"/>
    <x v="1"/>
    <x v="1"/>
    <x v="10"/>
    <n v="19"/>
    <x v="10"/>
    <x v="1"/>
  </r>
  <r>
    <x v="2"/>
    <x v="8"/>
    <x v="3"/>
    <x v="1"/>
    <x v="1"/>
    <x v="11"/>
    <n v="16"/>
    <x v="11"/>
    <x v="1"/>
  </r>
  <r>
    <x v="2"/>
    <x v="8"/>
    <x v="3"/>
    <x v="1"/>
    <x v="2"/>
    <x v="12"/>
    <n v="17"/>
    <x v="12"/>
    <x v="0"/>
  </r>
  <r>
    <x v="2"/>
    <x v="8"/>
    <x v="3"/>
    <x v="1"/>
    <x v="2"/>
    <x v="13"/>
    <n v="9"/>
    <x v="13"/>
    <x v="1"/>
  </r>
  <r>
    <x v="2"/>
    <x v="8"/>
    <x v="3"/>
    <x v="1"/>
    <x v="2"/>
    <x v="14"/>
    <n v="14"/>
    <x v="14"/>
    <x v="1"/>
  </r>
  <r>
    <x v="2"/>
    <x v="8"/>
    <x v="3"/>
    <x v="1"/>
    <x v="2"/>
    <x v="15"/>
    <n v="10"/>
    <x v="15"/>
    <x v="1"/>
  </r>
  <r>
    <x v="2"/>
    <x v="8"/>
    <x v="3"/>
    <x v="1"/>
    <x v="2"/>
    <x v="16"/>
    <n v="8"/>
    <x v="16"/>
    <x v="1"/>
  </r>
  <r>
    <x v="2"/>
    <x v="8"/>
    <x v="3"/>
    <x v="1"/>
    <x v="2"/>
    <x v="17"/>
    <n v="6"/>
    <x v="17"/>
    <x v="0"/>
  </r>
  <r>
    <x v="2"/>
    <x v="8"/>
    <x v="3"/>
    <x v="1"/>
    <x v="2"/>
    <x v="18"/>
    <n v="6"/>
    <x v="18"/>
    <x v="0"/>
  </r>
  <r>
    <x v="2"/>
    <x v="8"/>
    <x v="3"/>
    <x v="1"/>
    <x v="2"/>
    <x v="19"/>
    <n v="6"/>
    <x v="19"/>
    <x v="0"/>
  </r>
  <r>
    <x v="2"/>
    <x v="8"/>
    <x v="3"/>
    <x v="2"/>
    <x v="0"/>
    <x v="0"/>
    <n v="0"/>
    <x v="0"/>
    <x v="0"/>
  </r>
  <r>
    <x v="2"/>
    <x v="8"/>
    <x v="3"/>
    <x v="2"/>
    <x v="0"/>
    <x v="1"/>
    <n v="0"/>
    <x v="1"/>
    <x v="0"/>
  </r>
  <r>
    <x v="2"/>
    <x v="8"/>
    <x v="3"/>
    <x v="2"/>
    <x v="0"/>
    <x v="2"/>
    <n v="1"/>
    <x v="2"/>
    <x v="0"/>
  </r>
  <r>
    <x v="2"/>
    <x v="8"/>
    <x v="3"/>
    <x v="2"/>
    <x v="0"/>
    <x v="3"/>
    <n v="1"/>
    <x v="3"/>
    <x v="1"/>
  </r>
  <r>
    <x v="2"/>
    <x v="8"/>
    <x v="3"/>
    <x v="2"/>
    <x v="0"/>
    <x v="4"/>
    <n v="2"/>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2"/>
    <x v="13"/>
    <x v="1"/>
  </r>
  <r>
    <x v="2"/>
    <x v="8"/>
    <x v="3"/>
    <x v="2"/>
    <x v="2"/>
    <x v="14"/>
    <n v="1"/>
    <x v="14"/>
    <x v="1"/>
  </r>
  <r>
    <x v="2"/>
    <x v="8"/>
    <x v="3"/>
    <x v="2"/>
    <x v="2"/>
    <x v="15"/>
    <n v="1"/>
    <x v="15"/>
    <x v="1"/>
  </r>
  <r>
    <x v="2"/>
    <x v="8"/>
    <x v="3"/>
    <x v="2"/>
    <x v="2"/>
    <x v="16"/>
    <n v="0"/>
    <x v="16"/>
    <x v="1"/>
  </r>
  <r>
    <x v="2"/>
    <x v="8"/>
    <x v="3"/>
    <x v="2"/>
    <x v="2"/>
    <x v="17"/>
    <n v="0"/>
    <x v="17"/>
    <x v="0"/>
  </r>
  <r>
    <x v="2"/>
    <x v="8"/>
    <x v="3"/>
    <x v="2"/>
    <x v="2"/>
    <x v="18"/>
    <n v="2"/>
    <x v="18"/>
    <x v="0"/>
  </r>
  <r>
    <x v="2"/>
    <x v="8"/>
    <x v="3"/>
    <x v="2"/>
    <x v="2"/>
    <x v="19"/>
    <n v="1"/>
    <x v="19"/>
    <x v="0"/>
  </r>
  <r>
    <x v="2"/>
    <x v="9"/>
    <x v="0"/>
    <x v="0"/>
    <x v="0"/>
    <x v="0"/>
    <n v="10"/>
    <x v="0"/>
    <x v="0"/>
  </r>
  <r>
    <x v="2"/>
    <x v="9"/>
    <x v="0"/>
    <x v="0"/>
    <x v="0"/>
    <x v="1"/>
    <n v="22"/>
    <x v="1"/>
    <x v="0"/>
  </r>
  <r>
    <x v="2"/>
    <x v="9"/>
    <x v="0"/>
    <x v="0"/>
    <x v="0"/>
    <x v="2"/>
    <n v="12"/>
    <x v="2"/>
    <x v="0"/>
  </r>
  <r>
    <x v="2"/>
    <x v="9"/>
    <x v="0"/>
    <x v="0"/>
    <x v="0"/>
    <x v="3"/>
    <n v="15"/>
    <x v="3"/>
    <x v="1"/>
  </r>
  <r>
    <x v="2"/>
    <x v="9"/>
    <x v="0"/>
    <x v="0"/>
    <x v="0"/>
    <x v="4"/>
    <n v="22"/>
    <x v="4"/>
    <x v="1"/>
  </r>
  <r>
    <x v="2"/>
    <x v="9"/>
    <x v="0"/>
    <x v="0"/>
    <x v="0"/>
    <x v="5"/>
    <n v="16"/>
    <x v="5"/>
    <x v="1"/>
  </r>
  <r>
    <x v="2"/>
    <x v="9"/>
    <x v="0"/>
    <x v="0"/>
    <x v="0"/>
    <x v="6"/>
    <n v="12"/>
    <x v="6"/>
    <x v="1"/>
  </r>
  <r>
    <x v="2"/>
    <x v="9"/>
    <x v="0"/>
    <x v="0"/>
    <x v="0"/>
    <x v="7"/>
    <n v="19"/>
    <x v="7"/>
    <x v="0"/>
  </r>
  <r>
    <x v="2"/>
    <x v="9"/>
    <x v="0"/>
    <x v="0"/>
    <x v="1"/>
    <x v="8"/>
    <n v="20"/>
    <x v="8"/>
    <x v="1"/>
  </r>
  <r>
    <x v="2"/>
    <x v="9"/>
    <x v="0"/>
    <x v="0"/>
    <x v="1"/>
    <x v="9"/>
    <n v="18"/>
    <x v="9"/>
    <x v="1"/>
  </r>
  <r>
    <x v="2"/>
    <x v="9"/>
    <x v="0"/>
    <x v="0"/>
    <x v="1"/>
    <x v="10"/>
    <n v="24"/>
    <x v="10"/>
    <x v="1"/>
  </r>
  <r>
    <x v="2"/>
    <x v="9"/>
    <x v="0"/>
    <x v="0"/>
    <x v="1"/>
    <x v="11"/>
    <n v="28"/>
    <x v="11"/>
    <x v="1"/>
  </r>
  <r>
    <x v="2"/>
    <x v="9"/>
    <x v="0"/>
    <x v="0"/>
    <x v="2"/>
    <x v="12"/>
    <n v="16"/>
    <x v="12"/>
    <x v="0"/>
  </r>
  <r>
    <x v="2"/>
    <x v="9"/>
    <x v="0"/>
    <x v="0"/>
    <x v="2"/>
    <x v="13"/>
    <n v="15"/>
    <x v="13"/>
    <x v="1"/>
  </r>
  <r>
    <x v="2"/>
    <x v="9"/>
    <x v="0"/>
    <x v="0"/>
    <x v="2"/>
    <x v="14"/>
    <n v="26"/>
    <x v="14"/>
    <x v="1"/>
  </r>
  <r>
    <x v="2"/>
    <x v="9"/>
    <x v="0"/>
    <x v="0"/>
    <x v="2"/>
    <x v="15"/>
    <n v="17"/>
    <x v="15"/>
    <x v="1"/>
  </r>
  <r>
    <x v="2"/>
    <x v="9"/>
    <x v="0"/>
    <x v="0"/>
    <x v="2"/>
    <x v="16"/>
    <n v="28"/>
    <x v="16"/>
    <x v="1"/>
  </r>
  <r>
    <x v="2"/>
    <x v="9"/>
    <x v="0"/>
    <x v="0"/>
    <x v="2"/>
    <x v="17"/>
    <n v="39"/>
    <x v="17"/>
    <x v="0"/>
  </r>
  <r>
    <x v="2"/>
    <x v="9"/>
    <x v="0"/>
    <x v="0"/>
    <x v="2"/>
    <x v="18"/>
    <n v="26"/>
    <x v="18"/>
    <x v="0"/>
  </r>
  <r>
    <x v="2"/>
    <x v="9"/>
    <x v="0"/>
    <x v="0"/>
    <x v="2"/>
    <x v="19"/>
    <n v="10"/>
    <x v="19"/>
    <x v="0"/>
  </r>
  <r>
    <x v="2"/>
    <x v="9"/>
    <x v="0"/>
    <x v="1"/>
    <x v="0"/>
    <x v="0"/>
    <n v="1"/>
    <x v="0"/>
    <x v="0"/>
  </r>
  <r>
    <x v="2"/>
    <x v="9"/>
    <x v="0"/>
    <x v="1"/>
    <x v="0"/>
    <x v="1"/>
    <n v="2"/>
    <x v="1"/>
    <x v="0"/>
  </r>
  <r>
    <x v="2"/>
    <x v="9"/>
    <x v="0"/>
    <x v="1"/>
    <x v="0"/>
    <x v="2"/>
    <n v="2"/>
    <x v="2"/>
    <x v="0"/>
  </r>
  <r>
    <x v="2"/>
    <x v="9"/>
    <x v="0"/>
    <x v="1"/>
    <x v="0"/>
    <x v="3"/>
    <n v="0"/>
    <x v="3"/>
    <x v="1"/>
  </r>
  <r>
    <x v="2"/>
    <x v="9"/>
    <x v="0"/>
    <x v="1"/>
    <x v="0"/>
    <x v="4"/>
    <n v="1"/>
    <x v="4"/>
    <x v="1"/>
  </r>
  <r>
    <x v="2"/>
    <x v="9"/>
    <x v="0"/>
    <x v="1"/>
    <x v="0"/>
    <x v="5"/>
    <n v="1"/>
    <x v="5"/>
    <x v="1"/>
  </r>
  <r>
    <x v="2"/>
    <x v="9"/>
    <x v="0"/>
    <x v="1"/>
    <x v="0"/>
    <x v="6"/>
    <n v="1"/>
    <x v="6"/>
    <x v="1"/>
  </r>
  <r>
    <x v="2"/>
    <x v="9"/>
    <x v="0"/>
    <x v="1"/>
    <x v="0"/>
    <x v="7"/>
    <n v="3"/>
    <x v="7"/>
    <x v="0"/>
  </r>
  <r>
    <x v="2"/>
    <x v="9"/>
    <x v="0"/>
    <x v="1"/>
    <x v="1"/>
    <x v="8"/>
    <n v="1"/>
    <x v="8"/>
    <x v="1"/>
  </r>
  <r>
    <x v="2"/>
    <x v="9"/>
    <x v="0"/>
    <x v="1"/>
    <x v="1"/>
    <x v="9"/>
    <n v="1"/>
    <x v="9"/>
    <x v="1"/>
  </r>
  <r>
    <x v="2"/>
    <x v="9"/>
    <x v="0"/>
    <x v="1"/>
    <x v="1"/>
    <x v="10"/>
    <n v="1"/>
    <x v="10"/>
    <x v="1"/>
  </r>
  <r>
    <x v="2"/>
    <x v="9"/>
    <x v="0"/>
    <x v="1"/>
    <x v="1"/>
    <x v="11"/>
    <n v="1"/>
    <x v="11"/>
    <x v="1"/>
  </r>
  <r>
    <x v="2"/>
    <x v="9"/>
    <x v="0"/>
    <x v="1"/>
    <x v="2"/>
    <x v="12"/>
    <n v="1"/>
    <x v="12"/>
    <x v="0"/>
  </r>
  <r>
    <x v="2"/>
    <x v="9"/>
    <x v="0"/>
    <x v="1"/>
    <x v="2"/>
    <x v="13"/>
    <n v="0"/>
    <x v="13"/>
    <x v="1"/>
  </r>
  <r>
    <x v="2"/>
    <x v="9"/>
    <x v="0"/>
    <x v="1"/>
    <x v="2"/>
    <x v="14"/>
    <n v="1"/>
    <x v="14"/>
    <x v="1"/>
  </r>
  <r>
    <x v="2"/>
    <x v="9"/>
    <x v="0"/>
    <x v="1"/>
    <x v="2"/>
    <x v="15"/>
    <n v="0"/>
    <x v="15"/>
    <x v="1"/>
  </r>
  <r>
    <x v="2"/>
    <x v="9"/>
    <x v="0"/>
    <x v="1"/>
    <x v="2"/>
    <x v="16"/>
    <n v="0"/>
    <x v="16"/>
    <x v="1"/>
  </r>
  <r>
    <x v="2"/>
    <x v="9"/>
    <x v="0"/>
    <x v="1"/>
    <x v="2"/>
    <x v="17"/>
    <n v="2"/>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1"/>
    <x v="0"/>
    <x v="0"/>
  </r>
  <r>
    <x v="2"/>
    <x v="3"/>
    <x v="1"/>
    <x v="0"/>
    <x v="0"/>
    <x v="1"/>
    <n v="2"/>
    <x v="1"/>
    <x v="0"/>
  </r>
  <r>
    <x v="2"/>
    <x v="3"/>
    <x v="1"/>
    <x v="0"/>
    <x v="0"/>
    <x v="2"/>
    <n v="0"/>
    <x v="2"/>
    <x v="0"/>
  </r>
  <r>
    <x v="2"/>
    <x v="3"/>
    <x v="1"/>
    <x v="0"/>
    <x v="0"/>
    <x v="3"/>
    <n v="3"/>
    <x v="3"/>
    <x v="1"/>
  </r>
  <r>
    <x v="2"/>
    <x v="3"/>
    <x v="1"/>
    <x v="0"/>
    <x v="0"/>
    <x v="4"/>
    <n v="3"/>
    <x v="4"/>
    <x v="1"/>
  </r>
  <r>
    <x v="2"/>
    <x v="3"/>
    <x v="1"/>
    <x v="0"/>
    <x v="0"/>
    <x v="5"/>
    <n v="4"/>
    <x v="5"/>
    <x v="1"/>
  </r>
  <r>
    <x v="2"/>
    <x v="3"/>
    <x v="1"/>
    <x v="0"/>
    <x v="0"/>
    <x v="6"/>
    <n v="3"/>
    <x v="6"/>
    <x v="1"/>
  </r>
  <r>
    <x v="2"/>
    <x v="3"/>
    <x v="1"/>
    <x v="0"/>
    <x v="0"/>
    <x v="7"/>
    <n v="2"/>
    <x v="7"/>
    <x v="0"/>
  </r>
  <r>
    <x v="2"/>
    <x v="3"/>
    <x v="1"/>
    <x v="0"/>
    <x v="1"/>
    <x v="8"/>
    <n v="2"/>
    <x v="8"/>
    <x v="1"/>
  </r>
  <r>
    <x v="2"/>
    <x v="3"/>
    <x v="1"/>
    <x v="0"/>
    <x v="1"/>
    <x v="9"/>
    <n v="2"/>
    <x v="9"/>
    <x v="1"/>
  </r>
  <r>
    <x v="2"/>
    <x v="3"/>
    <x v="1"/>
    <x v="0"/>
    <x v="1"/>
    <x v="10"/>
    <n v="1"/>
    <x v="10"/>
    <x v="1"/>
  </r>
  <r>
    <x v="2"/>
    <x v="3"/>
    <x v="1"/>
    <x v="0"/>
    <x v="1"/>
    <x v="11"/>
    <n v="2"/>
    <x v="11"/>
    <x v="1"/>
  </r>
  <r>
    <x v="2"/>
    <x v="3"/>
    <x v="1"/>
    <x v="0"/>
    <x v="2"/>
    <x v="12"/>
    <n v="3"/>
    <x v="12"/>
    <x v="0"/>
  </r>
  <r>
    <x v="2"/>
    <x v="3"/>
    <x v="1"/>
    <x v="0"/>
    <x v="2"/>
    <x v="13"/>
    <n v="3"/>
    <x v="13"/>
    <x v="1"/>
  </r>
  <r>
    <x v="2"/>
    <x v="3"/>
    <x v="1"/>
    <x v="0"/>
    <x v="2"/>
    <x v="14"/>
    <n v="2"/>
    <x v="14"/>
    <x v="1"/>
  </r>
  <r>
    <x v="2"/>
    <x v="3"/>
    <x v="1"/>
    <x v="0"/>
    <x v="2"/>
    <x v="15"/>
    <n v="1"/>
    <x v="15"/>
    <x v="1"/>
  </r>
  <r>
    <x v="2"/>
    <x v="3"/>
    <x v="1"/>
    <x v="0"/>
    <x v="2"/>
    <x v="16"/>
    <n v="2"/>
    <x v="16"/>
    <x v="1"/>
  </r>
  <r>
    <x v="2"/>
    <x v="3"/>
    <x v="1"/>
    <x v="0"/>
    <x v="2"/>
    <x v="17"/>
    <n v="0"/>
    <x v="17"/>
    <x v="0"/>
  </r>
  <r>
    <x v="2"/>
    <x v="3"/>
    <x v="1"/>
    <x v="0"/>
    <x v="2"/>
    <x v="18"/>
    <n v="3"/>
    <x v="18"/>
    <x v="0"/>
  </r>
  <r>
    <x v="2"/>
    <x v="3"/>
    <x v="1"/>
    <x v="0"/>
    <x v="2"/>
    <x v="19"/>
    <n v="1"/>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1"/>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37"/>
    <x v="0"/>
    <x v="0"/>
  </r>
  <r>
    <x v="3"/>
    <x v="10"/>
    <x v="3"/>
    <x v="0"/>
    <x v="0"/>
    <x v="1"/>
    <n v="33"/>
    <x v="1"/>
    <x v="0"/>
  </r>
  <r>
    <x v="3"/>
    <x v="10"/>
    <x v="3"/>
    <x v="0"/>
    <x v="0"/>
    <x v="2"/>
    <n v="37"/>
    <x v="2"/>
    <x v="0"/>
  </r>
  <r>
    <x v="3"/>
    <x v="10"/>
    <x v="3"/>
    <x v="0"/>
    <x v="0"/>
    <x v="3"/>
    <n v="23"/>
    <x v="3"/>
    <x v="1"/>
  </r>
  <r>
    <x v="3"/>
    <x v="10"/>
    <x v="3"/>
    <x v="0"/>
    <x v="0"/>
    <x v="4"/>
    <n v="29"/>
    <x v="4"/>
    <x v="1"/>
  </r>
  <r>
    <x v="3"/>
    <x v="10"/>
    <x v="3"/>
    <x v="0"/>
    <x v="0"/>
    <x v="5"/>
    <n v="26"/>
    <x v="5"/>
    <x v="1"/>
  </r>
  <r>
    <x v="3"/>
    <x v="10"/>
    <x v="3"/>
    <x v="0"/>
    <x v="0"/>
    <x v="6"/>
    <n v="42"/>
    <x v="6"/>
    <x v="1"/>
  </r>
  <r>
    <x v="3"/>
    <x v="10"/>
    <x v="3"/>
    <x v="0"/>
    <x v="0"/>
    <x v="7"/>
    <n v="27"/>
    <x v="7"/>
    <x v="0"/>
  </r>
  <r>
    <x v="3"/>
    <x v="10"/>
    <x v="3"/>
    <x v="0"/>
    <x v="1"/>
    <x v="8"/>
    <n v="29"/>
    <x v="8"/>
    <x v="1"/>
  </r>
  <r>
    <x v="3"/>
    <x v="10"/>
    <x v="3"/>
    <x v="0"/>
    <x v="1"/>
    <x v="9"/>
    <n v="27"/>
    <x v="9"/>
    <x v="1"/>
  </r>
  <r>
    <x v="3"/>
    <x v="10"/>
    <x v="3"/>
    <x v="0"/>
    <x v="1"/>
    <x v="10"/>
    <n v="20"/>
    <x v="10"/>
    <x v="1"/>
  </r>
  <r>
    <x v="3"/>
    <x v="10"/>
    <x v="3"/>
    <x v="0"/>
    <x v="1"/>
    <x v="11"/>
    <n v="17"/>
    <x v="11"/>
    <x v="1"/>
  </r>
  <r>
    <x v="3"/>
    <x v="10"/>
    <x v="3"/>
    <x v="0"/>
    <x v="2"/>
    <x v="12"/>
    <n v="37"/>
    <x v="12"/>
    <x v="0"/>
  </r>
  <r>
    <x v="3"/>
    <x v="10"/>
    <x v="3"/>
    <x v="0"/>
    <x v="2"/>
    <x v="13"/>
    <n v="40"/>
    <x v="13"/>
    <x v="1"/>
  </r>
  <r>
    <x v="3"/>
    <x v="10"/>
    <x v="3"/>
    <x v="0"/>
    <x v="2"/>
    <x v="14"/>
    <n v="33"/>
    <x v="14"/>
    <x v="1"/>
  </r>
  <r>
    <x v="3"/>
    <x v="10"/>
    <x v="3"/>
    <x v="0"/>
    <x v="2"/>
    <x v="15"/>
    <n v="26"/>
    <x v="15"/>
    <x v="1"/>
  </r>
  <r>
    <x v="3"/>
    <x v="10"/>
    <x v="3"/>
    <x v="0"/>
    <x v="2"/>
    <x v="16"/>
    <n v="24"/>
    <x v="16"/>
    <x v="1"/>
  </r>
  <r>
    <x v="3"/>
    <x v="10"/>
    <x v="3"/>
    <x v="0"/>
    <x v="2"/>
    <x v="17"/>
    <n v="26"/>
    <x v="17"/>
    <x v="0"/>
  </r>
  <r>
    <x v="3"/>
    <x v="10"/>
    <x v="3"/>
    <x v="0"/>
    <x v="2"/>
    <x v="18"/>
    <n v="23"/>
    <x v="18"/>
    <x v="0"/>
  </r>
  <r>
    <x v="3"/>
    <x v="10"/>
    <x v="3"/>
    <x v="0"/>
    <x v="2"/>
    <x v="19"/>
    <n v="23"/>
    <x v="19"/>
    <x v="0"/>
  </r>
  <r>
    <x v="3"/>
    <x v="10"/>
    <x v="3"/>
    <x v="1"/>
    <x v="0"/>
    <x v="0"/>
    <n v="7"/>
    <x v="0"/>
    <x v="0"/>
  </r>
  <r>
    <x v="3"/>
    <x v="10"/>
    <x v="3"/>
    <x v="1"/>
    <x v="0"/>
    <x v="1"/>
    <n v="1"/>
    <x v="1"/>
    <x v="0"/>
  </r>
  <r>
    <x v="3"/>
    <x v="10"/>
    <x v="3"/>
    <x v="1"/>
    <x v="0"/>
    <x v="2"/>
    <n v="2"/>
    <x v="2"/>
    <x v="0"/>
  </r>
  <r>
    <x v="3"/>
    <x v="10"/>
    <x v="3"/>
    <x v="1"/>
    <x v="0"/>
    <x v="3"/>
    <n v="2"/>
    <x v="3"/>
    <x v="1"/>
  </r>
  <r>
    <x v="3"/>
    <x v="10"/>
    <x v="3"/>
    <x v="1"/>
    <x v="0"/>
    <x v="4"/>
    <n v="3"/>
    <x v="4"/>
    <x v="1"/>
  </r>
  <r>
    <x v="3"/>
    <x v="10"/>
    <x v="3"/>
    <x v="1"/>
    <x v="0"/>
    <x v="5"/>
    <n v="3"/>
    <x v="5"/>
    <x v="1"/>
  </r>
  <r>
    <x v="3"/>
    <x v="10"/>
    <x v="3"/>
    <x v="1"/>
    <x v="0"/>
    <x v="6"/>
    <n v="1"/>
    <x v="6"/>
    <x v="1"/>
  </r>
  <r>
    <x v="3"/>
    <x v="10"/>
    <x v="3"/>
    <x v="1"/>
    <x v="0"/>
    <x v="7"/>
    <n v="0"/>
    <x v="7"/>
    <x v="0"/>
  </r>
  <r>
    <x v="3"/>
    <x v="10"/>
    <x v="3"/>
    <x v="1"/>
    <x v="1"/>
    <x v="8"/>
    <n v="1"/>
    <x v="8"/>
    <x v="1"/>
  </r>
  <r>
    <x v="3"/>
    <x v="10"/>
    <x v="3"/>
    <x v="1"/>
    <x v="1"/>
    <x v="9"/>
    <n v="1"/>
    <x v="9"/>
    <x v="1"/>
  </r>
  <r>
    <x v="3"/>
    <x v="10"/>
    <x v="3"/>
    <x v="1"/>
    <x v="1"/>
    <x v="10"/>
    <n v="3"/>
    <x v="10"/>
    <x v="1"/>
  </r>
  <r>
    <x v="3"/>
    <x v="10"/>
    <x v="3"/>
    <x v="1"/>
    <x v="1"/>
    <x v="11"/>
    <n v="4"/>
    <x v="11"/>
    <x v="1"/>
  </r>
  <r>
    <x v="3"/>
    <x v="10"/>
    <x v="3"/>
    <x v="1"/>
    <x v="2"/>
    <x v="12"/>
    <n v="1"/>
    <x v="12"/>
    <x v="0"/>
  </r>
  <r>
    <x v="3"/>
    <x v="10"/>
    <x v="3"/>
    <x v="1"/>
    <x v="2"/>
    <x v="13"/>
    <n v="0"/>
    <x v="13"/>
    <x v="1"/>
  </r>
  <r>
    <x v="3"/>
    <x v="10"/>
    <x v="3"/>
    <x v="1"/>
    <x v="2"/>
    <x v="14"/>
    <n v="0"/>
    <x v="14"/>
    <x v="1"/>
  </r>
  <r>
    <x v="3"/>
    <x v="10"/>
    <x v="3"/>
    <x v="1"/>
    <x v="2"/>
    <x v="15"/>
    <n v="3"/>
    <x v="15"/>
    <x v="1"/>
  </r>
  <r>
    <x v="3"/>
    <x v="10"/>
    <x v="3"/>
    <x v="1"/>
    <x v="2"/>
    <x v="16"/>
    <n v="1"/>
    <x v="16"/>
    <x v="1"/>
  </r>
  <r>
    <x v="3"/>
    <x v="10"/>
    <x v="3"/>
    <x v="1"/>
    <x v="2"/>
    <x v="17"/>
    <n v="0"/>
    <x v="17"/>
    <x v="0"/>
  </r>
  <r>
    <x v="3"/>
    <x v="10"/>
    <x v="3"/>
    <x v="1"/>
    <x v="2"/>
    <x v="18"/>
    <n v="0"/>
    <x v="18"/>
    <x v="0"/>
  </r>
  <r>
    <x v="3"/>
    <x v="10"/>
    <x v="3"/>
    <x v="1"/>
    <x v="2"/>
    <x v="19"/>
    <n v="0"/>
    <x v="19"/>
    <x v="0"/>
  </r>
  <r>
    <x v="3"/>
    <x v="10"/>
    <x v="3"/>
    <x v="2"/>
    <x v="0"/>
    <x v="0"/>
    <n v="0"/>
    <x v="0"/>
    <x v="0"/>
  </r>
  <r>
    <x v="3"/>
    <x v="10"/>
    <x v="3"/>
    <x v="2"/>
    <x v="0"/>
    <x v="1"/>
    <n v="1"/>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1"/>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55"/>
    <x v="0"/>
    <x v="0"/>
  </r>
  <r>
    <x v="3"/>
    <x v="11"/>
    <x v="0"/>
    <x v="0"/>
    <x v="0"/>
    <x v="1"/>
    <n v="67"/>
    <x v="1"/>
    <x v="0"/>
  </r>
  <r>
    <x v="3"/>
    <x v="11"/>
    <x v="0"/>
    <x v="0"/>
    <x v="0"/>
    <x v="2"/>
    <n v="89"/>
    <x v="2"/>
    <x v="0"/>
  </r>
  <r>
    <x v="3"/>
    <x v="11"/>
    <x v="0"/>
    <x v="0"/>
    <x v="0"/>
    <x v="3"/>
    <n v="67"/>
    <x v="3"/>
    <x v="1"/>
  </r>
  <r>
    <x v="3"/>
    <x v="11"/>
    <x v="0"/>
    <x v="0"/>
    <x v="0"/>
    <x v="4"/>
    <n v="80"/>
    <x v="4"/>
    <x v="1"/>
  </r>
  <r>
    <x v="3"/>
    <x v="11"/>
    <x v="0"/>
    <x v="0"/>
    <x v="0"/>
    <x v="5"/>
    <n v="65"/>
    <x v="5"/>
    <x v="1"/>
  </r>
  <r>
    <x v="3"/>
    <x v="11"/>
    <x v="0"/>
    <x v="0"/>
    <x v="0"/>
    <x v="6"/>
    <n v="60"/>
    <x v="6"/>
    <x v="1"/>
  </r>
  <r>
    <x v="3"/>
    <x v="11"/>
    <x v="0"/>
    <x v="0"/>
    <x v="0"/>
    <x v="7"/>
    <n v="37"/>
    <x v="7"/>
    <x v="0"/>
  </r>
  <r>
    <x v="3"/>
    <x v="11"/>
    <x v="0"/>
    <x v="0"/>
    <x v="1"/>
    <x v="8"/>
    <n v="27"/>
    <x v="8"/>
    <x v="1"/>
  </r>
  <r>
    <x v="3"/>
    <x v="11"/>
    <x v="0"/>
    <x v="0"/>
    <x v="1"/>
    <x v="9"/>
    <n v="31"/>
    <x v="9"/>
    <x v="1"/>
  </r>
  <r>
    <x v="3"/>
    <x v="11"/>
    <x v="0"/>
    <x v="0"/>
    <x v="1"/>
    <x v="10"/>
    <n v="34"/>
    <x v="10"/>
    <x v="1"/>
  </r>
  <r>
    <x v="3"/>
    <x v="11"/>
    <x v="0"/>
    <x v="0"/>
    <x v="1"/>
    <x v="11"/>
    <n v="33"/>
    <x v="11"/>
    <x v="1"/>
  </r>
  <r>
    <x v="3"/>
    <x v="11"/>
    <x v="0"/>
    <x v="0"/>
    <x v="2"/>
    <x v="12"/>
    <n v="26"/>
    <x v="12"/>
    <x v="0"/>
  </r>
  <r>
    <x v="3"/>
    <x v="11"/>
    <x v="0"/>
    <x v="0"/>
    <x v="2"/>
    <x v="13"/>
    <n v="36"/>
    <x v="13"/>
    <x v="1"/>
  </r>
  <r>
    <x v="3"/>
    <x v="11"/>
    <x v="0"/>
    <x v="0"/>
    <x v="2"/>
    <x v="14"/>
    <n v="35"/>
    <x v="14"/>
    <x v="1"/>
  </r>
  <r>
    <x v="3"/>
    <x v="11"/>
    <x v="0"/>
    <x v="0"/>
    <x v="2"/>
    <x v="15"/>
    <n v="43"/>
    <x v="15"/>
    <x v="1"/>
  </r>
  <r>
    <x v="3"/>
    <x v="11"/>
    <x v="0"/>
    <x v="0"/>
    <x v="2"/>
    <x v="16"/>
    <n v="41"/>
    <x v="16"/>
    <x v="1"/>
  </r>
  <r>
    <x v="3"/>
    <x v="11"/>
    <x v="0"/>
    <x v="0"/>
    <x v="2"/>
    <x v="17"/>
    <n v="43"/>
    <x v="17"/>
    <x v="0"/>
  </r>
  <r>
    <x v="3"/>
    <x v="11"/>
    <x v="0"/>
    <x v="0"/>
    <x v="2"/>
    <x v="18"/>
    <n v="43"/>
    <x v="18"/>
    <x v="0"/>
  </r>
  <r>
    <x v="3"/>
    <x v="11"/>
    <x v="0"/>
    <x v="0"/>
    <x v="2"/>
    <x v="19"/>
    <n v="31"/>
    <x v="19"/>
    <x v="0"/>
  </r>
  <r>
    <x v="3"/>
    <x v="11"/>
    <x v="0"/>
    <x v="1"/>
    <x v="0"/>
    <x v="0"/>
    <n v="3"/>
    <x v="0"/>
    <x v="0"/>
  </r>
  <r>
    <x v="3"/>
    <x v="11"/>
    <x v="0"/>
    <x v="1"/>
    <x v="0"/>
    <x v="1"/>
    <n v="2"/>
    <x v="1"/>
    <x v="0"/>
  </r>
  <r>
    <x v="3"/>
    <x v="11"/>
    <x v="0"/>
    <x v="1"/>
    <x v="0"/>
    <x v="2"/>
    <n v="3"/>
    <x v="2"/>
    <x v="0"/>
  </r>
  <r>
    <x v="3"/>
    <x v="11"/>
    <x v="0"/>
    <x v="1"/>
    <x v="0"/>
    <x v="3"/>
    <n v="3"/>
    <x v="3"/>
    <x v="1"/>
  </r>
  <r>
    <x v="3"/>
    <x v="11"/>
    <x v="0"/>
    <x v="1"/>
    <x v="0"/>
    <x v="4"/>
    <n v="2"/>
    <x v="4"/>
    <x v="1"/>
  </r>
  <r>
    <x v="3"/>
    <x v="11"/>
    <x v="0"/>
    <x v="1"/>
    <x v="0"/>
    <x v="5"/>
    <n v="1"/>
    <x v="5"/>
    <x v="1"/>
  </r>
  <r>
    <x v="3"/>
    <x v="11"/>
    <x v="0"/>
    <x v="1"/>
    <x v="0"/>
    <x v="6"/>
    <n v="1"/>
    <x v="6"/>
    <x v="1"/>
  </r>
  <r>
    <x v="3"/>
    <x v="11"/>
    <x v="0"/>
    <x v="1"/>
    <x v="0"/>
    <x v="7"/>
    <n v="3"/>
    <x v="7"/>
    <x v="0"/>
  </r>
  <r>
    <x v="3"/>
    <x v="11"/>
    <x v="0"/>
    <x v="1"/>
    <x v="1"/>
    <x v="8"/>
    <n v="1"/>
    <x v="8"/>
    <x v="1"/>
  </r>
  <r>
    <x v="3"/>
    <x v="11"/>
    <x v="0"/>
    <x v="1"/>
    <x v="1"/>
    <x v="9"/>
    <n v="3"/>
    <x v="9"/>
    <x v="1"/>
  </r>
  <r>
    <x v="3"/>
    <x v="11"/>
    <x v="0"/>
    <x v="1"/>
    <x v="1"/>
    <x v="10"/>
    <n v="3"/>
    <x v="10"/>
    <x v="1"/>
  </r>
  <r>
    <x v="3"/>
    <x v="11"/>
    <x v="0"/>
    <x v="1"/>
    <x v="1"/>
    <x v="11"/>
    <n v="5"/>
    <x v="11"/>
    <x v="1"/>
  </r>
  <r>
    <x v="3"/>
    <x v="11"/>
    <x v="0"/>
    <x v="1"/>
    <x v="2"/>
    <x v="12"/>
    <n v="5"/>
    <x v="12"/>
    <x v="0"/>
  </r>
  <r>
    <x v="3"/>
    <x v="11"/>
    <x v="0"/>
    <x v="1"/>
    <x v="2"/>
    <x v="13"/>
    <n v="1"/>
    <x v="13"/>
    <x v="1"/>
  </r>
  <r>
    <x v="3"/>
    <x v="11"/>
    <x v="0"/>
    <x v="1"/>
    <x v="2"/>
    <x v="14"/>
    <n v="2"/>
    <x v="14"/>
    <x v="1"/>
  </r>
  <r>
    <x v="3"/>
    <x v="11"/>
    <x v="0"/>
    <x v="1"/>
    <x v="2"/>
    <x v="15"/>
    <n v="2"/>
    <x v="15"/>
    <x v="1"/>
  </r>
  <r>
    <x v="3"/>
    <x v="11"/>
    <x v="0"/>
    <x v="1"/>
    <x v="2"/>
    <x v="16"/>
    <n v="2"/>
    <x v="16"/>
    <x v="1"/>
  </r>
  <r>
    <x v="3"/>
    <x v="11"/>
    <x v="0"/>
    <x v="1"/>
    <x v="2"/>
    <x v="17"/>
    <n v="1"/>
    <x v="17"/>
    <x v="0"/>
  </r>
  <r>
    <x v="3"/>
    <x v="11"/>
    <x v="0"/>
    <x v="1"/>
    <x v="2"/>
    <x v="18"/>
    <n v="0"/>
    <x v="18"/>
    <x v="0"/>
  </r>
  <r>
    <x v="3"/>
    <x v="11"/>
    <x v="0"/>
    <x v="1"/>
    <x v="2"/>
    <x v="19"/>
    <n v="3"/>
    <x v="19"/>
    <x v="0"/>
  </r>
  <r>
    <x v="3"/>
    <x v="11"/>
    <x v="0"/>
    <x v="2"/>
    <x v="0"/>
    <x v="0"/>
    <n v="1"/>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2"/>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1"/>
    <x v="16"/>
    <x v="1"/>
  </r>
  <r>
    <x v="3"/>
    <x v="11"/>
    <x v="0"/>
    <x v="2"/>
    <x v="2"/>
    <x v="17"/>
    <n v="0"/>
    <x v="17"/>
    <x v="0"/>
  </r>
  <r>
    <x v="3"/>
    <x v="11"/>
    <x v="0"/>
    <x v="2"/>
    <x v="2"/>
    <x v="18"/>
    <n v="0"/>
    <x v="18"/>
    <x v="0"/>
  </r>
  <r>
    <x v="3"/>
    <x v="11"/>
    <x v="0"/>
    <x v="2"/>
    <x v="2"/>
    <x v="19"/>
    <n v="0"/>
    <x v="19"/>
    <x v="0"/>
  </r>
  <r>
    <x v="3"/>
    <x v="12"/>
    <x v="1"/>
    <x v="0"/>
    <x v="0"/>
    <x v="0"/>
    <n v="15"/>
    <x v="0"/>
    <x v="0"/>
  </r>
  <r>
    <x v="3"/>
    <x v="12"/>
    <x v="1"/>
    <x v="0"/>
    <x v="0"/>
    <x v="1"/>
    <n v="26"/>
    <x v="1"/>
    <x v="0"/>
  </r>
  <r>
    <x v="3"/>
    <x v="12"/>
    <x v="1"/>
    <x v="0"/>
    <x v="0"/>
    <x v="2"/>
    <n v="18"/>
    <x v="2"/>
    <x v="0"/>
  </r>
  <r>
    <x v="3"/>
    <x v="12"/>
    <x v="1"/>
    <x v="0"/>
    <x v="0"/>
    <x v="3"/>
    <n v="36"/>
    <x v="3"/>
    <x v="1"/>
  </r>
  <r>
    <x v="3"/>
    <x v="12"/>
    <x v="1"/>
    <x v="0"/>
    <x v="0"/>
    <x v="4"/>
    <n v="16"/>
    <x v="4"/>
    <x v="1"/>
  </r>
  <r>
    <x v="3"/>
    <x v="12"/>
    <x v="1"/>
    <x v="0"/>
    <x v="0"/>
    <x v="5"/>
    <n v="22"/>
    <x v="5"/>
    <x v="1"/>
  </r>
  <r>
    <x v="3"/>
    <x v="12"/>
    <x v="1"/>
    <x v="0"/>
    <x v="0"/>
    <x v="6"/>
    <n v="30"/>
    <x v="6"/>
    <x v="1"/>
  </r>
  <r>
    <x v="3"/>
    <x v="12"/>
    <x v="1"/>
    <x v="0"/>
    <x v="0"/>
    <x v="7"/>
    <n v="33"/>
    <x v="7"/>
    <x v="0"/>
  </r>
  <r>
    <x v="3"/>
    <x v="12"/>
    <x v="1"/>
    <x v="0"/>
    <x v="1"/>
    <x v="8"/>
    <n v="19"/>
    <x v="8"/>
    <x v="1"/>
  </r>
  <r>
    <x v="3"/>
    <x v="12"/>
    <x v="1"/>
    <x v="0"/>
    <x v="1"/>
    <x v="9"/>
    <n v="25"/>
    <x v="9"/>
    <x v="1"/>
  </r>
  <r>
    <x v="3"/>
    <x v="12"/>
    <x v="1"/>
    <x v="0"/>
    <x v="1"/>
    <x v="10"/>
    <n v="18"/>
    <x v="10"/>
    <x v="1"/>
  </r>
  <r>
    <x v="3"/>
    <x v="12"/>
    <x v="1"/>
    <x v="0"/>
    <x v="1"/>
    <x v="11"/>
    <n v="21"/>
    <x v="11"/>
    <x v="1"/>
  </r>
  <r>
    <x v="3"/>
    <x v="12"/>
    <x v="1"/>
    <x v="0"/>
    <x v="2"/>
    <x v="12"/>
    <n v="25"/>
    <x v="12"/>
    <x v="0"/>
  </r>
  <r>
    <x v="3"/>
    <x v="12"/>
    <x v="1"/>
    <x v="0"/>
    <x v="2"/>
    <x v="13"/>
    <n v="26"/>
    <x v="13"/>
    <x v="1"/>
  </r>
  <r>
    <x v="3"/>
    <x v="12"/>
    <x v="1"/>
    <x v="0"/>
    <x v="2"/>
    <x v="14"/>
    <n v="22"/>
    <x v="14"/>
    <x v="1"/>
  </r>
  <r>
    <x v="3"/>
    <x v="12"/>
    <x v="1"/>
    <x v="0"/>
    <x v="2"/>
    <x v="15"/>
    <n v="16"/>
    <x v="15"/>
    <x v="1"/>
  </r>
  <r>
    <x v="3"/>
    <x v="12"/>
    <x v="1"/>
    <x v="0"/>
    <x v="2"/>
    <x v="16"/>
    <n v="19"/>
    <x v="16"/>
    <x v="1"/>
  </r>
  <r>
    <x v="3"/>
    <x v="12"/>
    <x v="1"/>
    <x v="0"/>
    <x v="2"/>
    <x v="17"/>
    <n v="20"/>
    <x v="17"/>
    <x v="0"/>
  </r>
  <r>
    <x v="3"/>
    <x v="12"/>
    <x v="1"/>
    <x v="0"/>
    <x v="2"/>
    <x v="18"/>
    <n v="25"/>
    <x v="18"/>
    <x v="0"/>
  </r>
  <r>
    <x v="3"/>
    <x v="12"/>
    <x v="1"/>
    <x v="0"/>
    <x v="2"/>
    <x v="19"/>
    <n v="26"/>
    <x v="19"/>
    <x v="0"/>
  </r>
  <r>
    <x v="3"/>
    <x v="12"/>
    <x v="1"/>
    <x v="1"/>
    <x v="0"/>
    <x v="0"/>
    <n v="1"/>
    <x v="0"/>
    <x v="0"/>
  </r>
  <r>
    <x v="3"/>
    <x v="12"/>
    <x v="1"/>
    <x v="1"/>
    <x v="0"/>
    <x v="1"/>
    <n v="1"/>
    <x v="1"/>
    <x v="0"/>
  </r>
  <r>
    <x v="3"/>
    <x v="12"/>
    <x v="1"/>
    <x v="1"/>
    <x v="0"/>
    <x v="2"/>
    <n v="2"/>
    <x v="2"/>
    <x v="0"/>
  </r>
  <r>
    <x v="3"/>
    <x v="12"/>
    <x v="1"/>
    <x v="1"/>
    <x v="0"/>
    <x v="3"/>
    <n v="0"/>
    <x v="3"/>
    <x v="1"/>
  </r>
  <r>
    <x v="3"/>
    <x v="12"/>
    <x v="1"/>
    <x v="1"/>
    <x v="0"/>
    <x v="4"/>
    <n v="2"/>
    <x v="4"/>
    <x v="1"/>
  </r>
  <r>
    <x v="3"/>
    <x v="12"/>
    <x v="1"/>
    <x v="1"/>
    <x v="0"/>
    <x v="5"/>
    <n v="4"/>
    <x v="5"/>
    <x v="1"/>
  </r>
  <r>
    <x v="3"/>
    <x v="12"/>
    <x v="1"/>
    <x v="1"/>
    <x v="0"/>
    <x v="6"/>
    <n v="2"/>
    <x v="6"/>
    <x v="1"/>
  </r>
  <r>
    <x v="3"/>
    <x v="12"/>
    <x v="1"/>
    <x v="1"/>
    <x v="0"/>
    <x v="7"/>
    <n v="0"/>
    <x v="7"/>
    <x v="0"/>
  </r>
  <r>
    <x v="3"/>
    <x v="12"/>
    <x v="1"/>
    <x v="1"/>
    <x v="1"/>
    <x v="8"/>
    <n v="1"/>
    <x v="8"/>
    <x v="1"/>
  </r>
  <r>
    <x v="3"/>
    <x v="12"/>
    <x v="1"/>
    <x v="1"/>
    <x v="1"/>
    <x v="9"/>
    <n v="3"/>
    <x v="9"/>
    <x v="1"/>
  </r>
  <r>
    <x v="3"/>
    <x v="12"/>
    <x v="1"/>
    <x v="1"/>
    <x v="1"/>
    <x v="10"/>
    <n v="1"/>
    <x v="10"/>
    <x v="1"/>
  </r>
  <r>
    <x v="3"/>
    <x v="12"/>
    <x v="1"/>
    <x v="1"/>
    <x v="1"/>
    <x v="11"/>
    <n v="3"/>
    <x v="11"/>
    <x v="1"/>
  </r>
  <r>
    <x v="3"/>
    <x v="12"/>
    <x v="1"/>
    <x v="1"/>
    <x v="2"/>
    <x v="12"/>
    <n v="0"/>
    <x v="12"/>
    <x v="0"/>
  </r>
  <r>
    <x v="3"/>
    <x v="12"/>
    <x v="1"/>
    <x v="1"/>
    <x v="2"/>
    <x v="13"/>
    <n v="0"/>
    <x v="13"/>
    <x v="1"/>
  </r>
  <r>
    <x v="3"/>
    <x v="12"/>
    <x v="1"/>
    <x v="1"/>
    <x v="2"/>
    <x v="14"/>
    <n v="0"/>
    <x v="14"/>
    <x v="1"/>
  </r>
  <r>
    <x v="3"/>
    <x v="12"/>
    <x v="1"/>
    <x v="1"/>
    <x v="2"/>
    <x v="15"/>
    <n v="1"/>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1"/>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7"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99</v>
      </c>
      <c r="D22" t="s">
        <v>27</v>
      </c>
      <c r="E22" s="1" t="s">
        <v>92</v>
      </c>
    </row>
    <row r="23" spans="2:10" x14ac:dyDescent="0.25">
      <c r="B23" t="s">
        <v>21</v>
      </c>
      <c r="C23" s="1" t="s">
        <v>100</v>
      </c>
      <c r="D23" t="s">
        <v>27</v>
      </c>
      <c r="E23" s="1" t="s">
        <v>96</v>
      </c>
    </row>
    <row r="24" spans="2:10" x14ac:dyDescent="0.25">
      <c r="B24" t="s">
        <v>22</v>
      </c>
      <c r="C24" s="1" t="s">
        <v>101</v>
      </c>
      <c r="D24" t="s">
        <v>27</v>
      </c>
      <c r="E24" s="1" t="s">
        <v>97</v>
      </c>
    </row>
    <row r="25" spans="2:10" x14ac:dyDescent="0.25">
      <c r="B25" t="s">
        <v>23</v>
      </c>
      <c r="C25" s="1" t="s">
        <v>98</v>
      </c>
      <c r="D25" t="s">
        <v>27</v>
      </c>
      <c r="E25" s="1" t="s">
        <v>95</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102</v>
      </c>
      <c r="D33" t="s">
        <v>27</v>
      </c>
      <c r="E33" s="1" t="s">
        <v>96</v>
      </c>
    </row>
    <row r="34" spans="2:5" x14ac:dyDescent="0.25">
      <c r="B34" t="s">
        <v>21</v>
      </c>
      <c r="C34" s="1" t="s">
        <v>103</v>
      </c>
      <c r="D34" t="s">
        <v>27</v>
      </c>
      <c r="E34" s="1" t="s">
        <v>97</v>
      </c>
    </row>
    <row r="35" spans="2:5" x14ac:dyDescent="0.25">
      <c r="B35" t="s">
        <v>22</v>
      </c>
      <c r="C35" s="1" t="s">
        <v>104</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105</v>
      </c>
      <c r="D44" t="s">
        <v>27</v>
      </c>
      <c r="E44" s="1" t="s">
        <v>97</v>
      </c>
    </row>
    <row r="45" spans="2:5" x14ac:dyDescent="0.25">
      <c r="B45" t="s">
        <v>21</v>
      </c>
      <c r="C45" s="1" t="s">
        <v>106</v>
      </c>
      <c r="D45" t="s">
        <v>27</v>
      </c>
      <c r="E45" s="1" t="s">
        <v>95</v>
      </c>
    </row>
    <row r="46" spans="2:5" x14ac:dyDescent="0.25">
      <c r="B46" t="s">
        <v>22</v>
      </c>
      <c r="C46" s="1" t="s">
        <v>93</v>
      </c>
      <c r="D46" t="s">
        <v>27</v>
      </c>
      <c r="E46" s="1" t="s">
        <v>92</v>
      </c>
    </row>
    <row r="47" spans="2:5" x14ac:dyDescent="0.25">
      <c r="B47" t="s">
        <v>23</v>
      </c>
      <c r="C47" s="1" t="s">
        <v>98</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95</v>
      </c>
    </row>
    <row r="56" spans="2:5" x14ac:dyDescent="0.25">
      <c r="B56" t="s">
        <v>21</v>
      </c>
      <c r="C56" s="1" t="s">
        <v>108</v>
      </c>
      <c r="D56" t="s">
        <v>27</v>
      </c>
      <c r="E56" s="1" t="s">
        <v>92</v>
      </c>
    </row>
    <row r="57" spans="2:5" x14ac:dyDescent="0.25">
      <c r="B57" t="s">
        <v>22</v>
      </c>
      <c r="C57" s="1" t="s">
        <v>109</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Carmen Road North</v>
      </c>
      <c r="C4" s="1" t="str">
        <f>Input!C31</f>
        <v>Buchanans Road East</v>
      </c>
      <c r="D4" s="1" t="str">
        <f>Input!C42</f>
        <v>Carmen Road South</v>
      </c>
      <c r="E4" s="1" t="str">
        <f>Input!C53</f>
        <v>Buchanans Road West</v>
      </c>
      <c r="F4" s="1">
        <f>Input!C64</f>
        <v>0</v>
      </c>
      <c r="G4" s="1">
        <f>Input!C75</f>
        <v>0</v>
      </c>
      <c r="H4" s="1">
        <f>Input!C86</f>
        <v>0</v>
      </c>
    </row>
    <row r="6" spans="2:8" x14ac:dyDescent="0.25">
      <c r="B6" t="s">
        <v>18</v>
      </c>
    </row>
    <row r="8" spans="2:8" x14ac:dyDescent="0.25">
      <c r="B8" s="1" t="str">
        <f>Input!C22</f>
        <v>Left into Buchanans Road East</v>
      </c>
      <c r="C8" s="1" t="str">
        <f>Input!C33</f>
        <v>Left into Carmen Road South</v>
      </c>
      <c r="D8" s="1" t="str">
        <f>Input!C44</f>
        <v>Left into Buchanans Road West</v>
      </c>
      <c r="E8" s="1" t="str">
        <f>Input!C55</f>
        <v>Left into Carmen Road North</v>
      </c>
      <c r="F8" s="1">
        <f>Input!C66</f>
        <v>0</v>
      </c>
      <c r="G8" s="1">
        <f>Input!C77</f>
        <v>0</v>
      </c>
      <c r="H8" s="1">
        <f>Input!C88</f>
        <v>0</v>
      </c>
    </row>
    <row r="9" spans="2:8" x14ac:dyDescent="0.25">
      <c r="B9" s="1" t="str">
        <f>Input!C23</f>
        <v>Thru to Carmen Road South</v>
      </c>
      <c r="C9" s="1" t="str">
        <f>Input!C34</f>
        <v>Thru to Buchanans Road West</v>
      </c>
      <c r="D9" s="1" t="str">
        <f>Input!C45</f>
        <v>Thru to Carmen Road North</v>
      </c>
      <c r="E9" s="1" t="str">
        <f>Input!C56</f>
        <v>Thru to Buchanans Road East</v>
      </c>
      <c r="F9" s="1">
        <f>Input!C67</f>
        <v>0</v>
      </c>
      <c r="G9" s="1">
        <f>Input!C78</f>
        <v>0</v>
      </c>
      <c r="H9" s="1">
        <f>Input!C89</f>
        <v>0</v>
      </c>
    </row>
    <row r="10" spans="2:8" x14ac:dyDescent="0.25">
      <c r="B10" s="1" t="str">
        <f>Input!C24</f>
        <v>Right into Buchanans Road West</v>
      </c>
      <c r="C10" s="1" t="str">
        <f>Input!C35</f>
        <v>Right into Carmen Road North</v>
      </c>
      <c r="D10" s="1" t="str">
        <f>Input!C46</f>
        <v>Right into Buchanans Road East</v>
      </c>
      <c r="E10" s="1" t="str">
        <f>Input!C57</f>
        <v>Right into Carmen Road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Buchanans Road East</v>
      </c>
      <c r="C18" s="1" t="str">
        <f>Input!E33</f>
        <v>Carmen Road South</v>
      </c>
      <c r="D18" s="1" t="str">
        <f>Input!E44</f>
        <v>Buchanans Road West</v>
      </c>
      <c r="E18" s="1" t="str">
        <f>Input!E55</f>
        <v>Carmen Road North</v>
      </c>
      <c r="F18" s="1">
        <f>Input!E66</f>
        <v>0</v>
      </c>
      <c r="G18" s="1">
        <f>Input!E77</f>
        <v>0</v>
      </c>
      <c r="H18" s="1">
        <f>Input!E88</f>
        <v>0</v>
      </c>
    </row>
    <row r="19" spans="2:8" x14ac:dyDescent="0.25">
      <c r="B19" s="1" t="str">
        <f>Input!E23</f>
        <v>Carmen Road South</v>
      </c>
      <c r="C19" s="1" t="str">
        <f>Input!E34</f>
        <v>Buchanans Road West</v>
      </c>
      <c r="D19" s="1" t="str">
        <f>Input!E45</f>
        <v>Carmen Road North</v>
      </c>
      <c r="E19" s="1" t="str">
        <f>Input!E56</f>
        <v>Buchanans Road East</v>
      </c>
      <c r="F19" s="1">
        <f>Input!E67</f>
        <v>0</v>
      </c>
      <c r="G19" s="1">
        <f>Input!E78</f>
        <v>0</v>
      </c>
      <c r="H19" s="1">
        <f>Input!E89</f>
        <v>0</v>
      </c>
    </row>
    <row r="20" spans="2:8" x14ac:dyDescent="0.25">
      <c r="B20" s="1" t="str">
        <f>Input!E24</f>
        <v>Buchanans Road West</v>
      </c>
      <c r="C20" s="1" t="str">
        <f>Input!E35</f>
        <v>Carmen Road North</v>
      </c>
      <c r="D20" s="1" t="str">
        <f>Input!E46</f>
        <v>Buchanans Road East</v>
      </c>
      <c r="E20" s="1" t="str">
        <f>Input!E57</f>
        <v>Carmen Road South</v>
      </c>
      <c r="F20" s="1">
        <f>Input!E68</f>
        <v>0</v>
      </c>
      <c r="G20" s="1">
        <f>Input!E79</f>
        <v>0</v>
      </c>
      <c r="H20" s="1">
        <f>Input!E90</f>
        <v>0</v>
      </c>
    </row>
    <row r="21" spans="2:8" x14ac:dyDescent="0.25">
      <c r="B21" s="1" t="str">
        <f>Input!E25</f>
        <v>Carmen Road North</v>
      </c>
      <c r="C21" s="1">
        <f>Input!E36</f>
        <v>0</v>
      </c>
      <c r="D21" s="1" t="str">
        <f>Input!E47</f>
        <v>Carmen Road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95</v>
      </c>
      <c r="D5" s="18"/>
      <c r="E5" s="20"/>
      <c r="F5" s="26"/>
      <c r="G5" s="18"/>
      <c r="H5" s="20"/>
      <c r="I5" s="26"/>
      <c r="J5" s="18"/>
      <c r="K5" s="20"/>
      <c r="L5" s="26"/>
      <c r="M5" s="18"/>
      <c r="N5" s="20"/>
      <c r="O5" s="29" t="s">
        <v>92</v>
      </c>
      <c r="P5" s="18"/>
      <c r="Q5" s="20"/>
      <c r="R5" s="26"/>
      <c r="S5" s="18"/>
      <c r="T5" s="20"/>
      <c r="U5" s="26"/>
      <c r="V5" s="18"/>
      <c r="W5" s="20"/>
      <c r="X5" s="29" t="s">
        <v>96</v>
      </c>
      <c r="Y5" s="18"/>
      <c r="Z5" s="20"/>
      <c r="AA5" s="26"/>
      <c r="AB5" s="18"/>
      <c r="AC5" s="20"/>
      <c r="AD5" s="26"/>
      <c r="AE5" s="18"/>
      <c r="AF5" s="20"/>
      <c r="AG5" s="26"/>
      <c r="AH5" s="18"/>
      <c r="AI5" s="20"/>
      <c r="AJ5" s="29" t="s">
        <v>97</v>
      </c>
      <c r="AK5" s="18"/>
      <c r="AL5" s="20"/>
      <c r="AM5" s="26"/>
      <c r="AN5" s="18"/>
      <c r="AO5" s="20"/>
      <c r="AP5" s="26"/>
      <c r="AQ5" s="18"/>
      <c r="AR5" s="32"/>
    </row>
    <row r="6" spans="1:44" x14ac:dyDescent="0.25">
      <c r="C6" s="30" t="s">
        <v>99</v>
      </c>
      <c r="D6" s="19"/>
      <c r="E6" s="21"/>
      <c r="F6" s="27" t="s">
        <v>100</v>
      </c>
      <c r="G6" s="19"/>
      <c r="H6" s="21"/>
      <c r="I6" s="27" t="s">
        <v>101</v>
      </c>
      <c r="J6" s="19"/>
      <c r="K6" s="21"/>
      <c r="L6" s="27" t="s">
        <v>98</v>
      </c>
      <c r="M6" s="19"/>
      <c r="N6" s="21"/>
      <c r="O6" s="30" t="s">
        <v>102</v>
      </c>
      <c r="P6" s="19"/>
      <c r="Q6" s="21"/>
      <c r="R6" s="27" t="s">
        <v>103</v>
      </c>
      <c r="S6" s="19"/>
      <c r="T6" s="21"/>
      <c r="U6" s="27" t="s">
        <v>104</v>
      </c>
      <c r="V6" s="19"/>
      <c r="W6" s="21"/>
      <c r="X6" s="30" t="s">
        <v>105</v>
      </c>
      <c r="Y6" s="19"/>
      <c r="Z6" s="21"/>
      <c r="AA6" s="27" t="s">
        <v>106</v>
      </c>
      <c r="AB6" s="19"/>
      <c r="AC6" s="21"/>
      <c r="AD6" s="27" t="s">
        <v>93</v>
      </c>
      <c r="AE6" s="19"/>
      <c r="AF6" s="21"/>
      <c r="AG6" s="27" t="s">
        <v>98</v>
      </c>
      <c r="AH6" s="19"/>
      <c r="AI6" s="21"/>
      <c r="AJ6" s="30" t="s">
        <v>107</v>
      </c>
      <c r="AK6" s="19"/>
      <c r="AL6" s="21"/>
      <c r="AM6" s="27" t="s">
        <v>108</v>
      </c>
      <c r="AN6" s="19"/>
      <c r="AO6" s="21"/>
      <c r="AP6" s="27" t="s">
        <v>109</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16</v>
      </c>
      <c r="D8">
        <v>1</v>
      </c>
      <c r="E8">
        <v>0</v>
      </c>
      <c r="F8" s="28">
        <v>262</v>
      </c>
      <c r="G8">
        <v>13</v>
      </c>
      <c r="H8">
        <v>0</v>
      </c>
      <c r="I8" s="28">
        <v>29</v>
      </c>
      <c r="J8">
        <v>2</v>
      </c>
      <c r="K8">
        <v>0</v>
      </c>
      <c r="L8" s="28">
        <v>0</v>
      </c>
      <c r="M8">
        <v>0</v>
      </c>
      <c r="N8">
        <v>0</v>
      </c>
      <c r="O8" s="31">
        <v>21</v>
      </c>
      <c r="P8">
        <v>1</v>
      </c>
      <c r="Q8">
        <v>0</v>
      </c>
      <c r="R8" s="28">
        <v>32</v>
      </c>
      <c r="S8">
        <v>2</v>
      </c>
      <c r="T8">
        <v>0</v>
      </c>
      <c r="U8" s="28">
        <v>17</v>
      </c>
      <c r="V8">
        <v>0</v>
      </c>
      <c r="W8">
        <v>0</v>
      </c>
      <c r="X8" s="31">
        <v>8</v>
      </c>
      <c r="Y8">
        <v>1</v>
      </c>
      <c r="Z8">
        <v>0</v>
      </c>
      <c r="AA8" s="28">
        <v>154</v>
      </c>
      <c r="AB8">
        <v>15</v>
      </c>
      <c r="AC8">
        <v>0</v>
      </c>
      <c r="AD8" s="28">
        <v>10</v>
      </c>
      <c r="AE8">
        <v>1</v>
      </c>
      <c r="AF8">
        <v>0</v>
      </c>
      <c r="AG8" s="28">
        <v>1</v>
      </c>
      <c r="AH8">
        <v>0</v>
      </c>
      <c r="AI8">
        <v>0</v>
      </c>
      <c r="AJ8" s="31">
        <v>37</v>
      </c>
      <c r="AK8">
        <v>7</v>
      </c>
      <c r="AL8">
        <v>0</v>
      </c>
      <c r="AM8" s="28">
        <v>55</v>
      </c>
      <c r="AN8">
        <v>3</v>
      </c>
      <c r="AO8">
        <v>1</v>
      </c>
      <c r="AP8" s="28">
        <v>15</v>
      </c>
      <c r="AQ8">
        <v>1</v>
      </c>
      <c r="AR8" s="34">
        <v>0</v>
      </c>
    </row>
    <row r="9" spans="1:44" x14ac:dyDescent="0.25">
      <c r="A9" s="2" t="s">
        <v>43</v>
      </c>
      <c r="B9" s="7">
        <v>0.30208333333333331</v>
      </c>
      <c r="C9" s="31">
        <v>26</v>
      </c>
      <c r="D9">
        <v>0</v>
      </c>
      <c r="E9">
        <v>0</v>
      </c>
      <c r="F9" s="28">
        <v>303</v>
      </c>
      <c r="G9">
        <v>21</v>
      </c>
      <c r="H9">
        <v>0</v>
      </c>
      <c r="I9" s="28">
        <v>33</v>
      </c>
      <c r="J9">
        <v>1</v>
      </c>
      <c r="K9">
        <v>0</v>
      </c>
      <c r="L9" s="28">
        <v>0</v>
      </c>
      <c r="M9">
        <v>0</v>
      </c>
      <c r="N9">
        <v>0</v>
      </c>
      <c r="O9" s="31">
        <v>21</v>
      </c>
      <c r="P9">
        <v>0</v>
      </c>
      <c r="Q9">
        <v>0</v>
      </c>
      <c r="R9" s="28">
        <v>24</v>
      </c>
      <c r="S9">
        <v>1</v>
      </c>
      <c r="T9">
        <v>0</v>
      </c>
      <c r="U9" s="28">
        <v>13</v>
      </c>
      <c r="V9">
        <v>2</v>
      </c>
      <c r="W9">
        <v>0</v>
      </c>
      <c r="X9" s="31">
        <v>12</v>
      </c>
      <c r="Y9">
        <v>0</v>
      </c>
      <c r="Z9">
        <v>0</v>
      </c>
      <c r="AA9" s="28">
        <v>193</v>
      </c>
      <c r="AB9">
        <v>17</v>
      </c>
      <c r="AC9">
        <v>0</v>
      </c>
      <c r="AD9" s="28">
        <v>22</v>
      </c>
      <c r="AE9">
        <v>2</v>
      </c>
      <c r="AF9">
        <v>0</v>
      </c>
      <c r="AG9" s="28">
        <v>2</v>
      </c>
      <c r="AH9">
        <v>0</v>
      </c>
      <c r="AI9">
        <v>0</v>
      </c>
      <c r="AJ9" s="31">
        <v>33</v>
      </c>
      <c r="AK9">
        <v>1</v>
      </c>
      <c r="AL9">
        <v>1</v>
      </c>
      <c r="AM9" s="28">
        <v>67</v>
      </c>
      <c r="AN9">
        <v>2</v>
      </c>
      <c r="AO9">
        <v>0</v>
      </c>
      <c r="AP9" s="28">
        <v>26</v>
      </c>
      <c r="AQ9">
        <v>1</v>
      </c>
      <c r="AR9" s="34">
        <v>0</v>
      </c>
    </row>
    <row r="10" spans="1:44" x14ac:dyDescent="0.25">
      <c r="A10" s="2" t="s">
        <v>43</v>
      </c>
      <c r="B10" s="7">
        <v>0.3125</v>
      </c>
      <c r="C10" s="31">
        <v>18</v>
      </c>
      <c r="D10">
        <v>0</v>
      </c>
      <c r="E10">
        <v>0</v>
      </c>
      <c r="F10" s="28">
        <v>245</v>
      </c>
      <c r="G10">
        <v>12</v>
      </c>
      <c r="H10">
        <v>1</v>
      </c>
      <c r="I10" s="28">
        <v>36</v>
      </c>
      <c r="J10">
        <v>0</v>
      </c>
      <c r="K10">
        <v>0</v>
      </c>
      <c r="L10" s="28">
        <v>0</v>
      </c>
      <c r="M10">
        <v>0</v>
      </c>
      <c r="N10">
        <v>0</v>
      </c>
      <c r="O10" s="31">
        <v>17</v>
      </c>
      <c r="P10">
        <v>0</v>
      </c>
      <c r="Q10">
        <v>0</v>
      </c>
      <c r="R10" s="28">
        <v>37</v>
      </c>
      <c r="S10">
        <v>1</v>
      </c>
      <c r="T10">
        <v>0</v>
      </c>
      <c r="U10" s="28">
        <v>19</v>
      </c>
      <c r="V10">
        <v>2</v>
      </c>
      <c r="W10">
        <v>0</v>
      </c>
      <c r="X10" s="31">
        <v>6</v>
      </c>
      <c r="Y10">
        <v>1</v>
      </c>
      <c r="Z10">
        <v>0</v>
      </c>
      <c r="AA10" s="28">
        <v>208</v>
      </c>
      <c r="AB10">
        <v>18</v>
      </c>
      <c r="AC10">
        <v>1</v>
      </c>
      <c r="AD10" s="28">
        <v>12</v>
      </c>
      <c r="AE10">
        <v>2</v>
      </c>
      <c r="AF10">
        <v>0</v>
      </c>
      <c r="AG10" s="28">
        <v>0</v>
      </c>
      <c r="AH10">
        <v>0</v>
      </c>
      <c r="AI10">
        <v>0</v>
      </c>
      <c r="AJ10" s="31">
        <v>37</v>
      </c>
      <c r="AK10">
        <v>2</v>
      </c>
      <c r="AL10">
        <v>0</v>
      </c>
      <c r="AM10" s="28">
        <v>89</v>
      </c>
      <c r="AN10">
        <v>3</v>
      </c>
      <c r="AO10">
        <v>0</v>
      </c>
      <c r="AP10" s="28">
        <v>18</v>
      </c>
      <c r="AQ10">
        <v>2</v>
      </c>
      <c r="AR10" s="34">
        <v>0</v>
      </c>
    </row>
    <row r="11" spans="1:44" x14ac:dyDescent="0.25">
      <c r="A11" s="2" t="s">
        <v>43</v>
      </c>
      <c r="B11" s="7">
        <v>0.32291666666666669</v>
      </c>
      <c r="C11" s="31">
        <v>25</v>
      </c>
      <c r="D11">
        <v>0</v>
      </c>
      <c r="E11">
        <v>0</v>
      </c>
      <c r="F11" s="28">
        <v>298</v>
      </c>
      <c r="G11">
        <v>20</v>
      </c>
      <c r="H11">
        <v>2</v>
      </c>
      <c r="I11" s="28">
        <v>26</v>
      </c>
      <c r="J11">
        <v>1</v>
      </c>
      <c r="K11">
        <v>0</v>
      </c>
      <c r="L11" s="28">
        <v>0</v>
      </c>
      <c r="M11">
        <v>0</v>
      </c>
      <c r="N11">
        <v>0</v>
      </c>
      <c r="O11" s="31">
        <v>29</v>
      </c>
      <c r="P11">
        <v>1</v>
      </c>
      <c r="Q11">
        <v>0</v>
      </c>
      <c r="R11" s="28">
        <v>29</v>
      </c>
      <c r="S11">
        <v>2</v>
      </c>
      <c r="T11">
        <v>1</v>
      </c>
      <c r="U11" s="28">
        <v>13</v>
      </c>
      <c r="V11">
        <v>1</v>
      </c>
      <c r="W11">
        <v>0</v>
      </c>
      <c r="X11" s="31">
        <v>11</v>
      </c>
      <c r="Y11">
        <v>2</v>
      </c>
      <c r="Z11">
        <v>0</v>
      </c>
      <c r="AA11" s="28">
        <v>209</v>
      </c>
      <c r="AB11">
        <v>13</v>
      </c>
      <c r="AC11">
        <v>1</v>
      </c>
      <c r="AD11" s="28">
        <v>15</v>
      </c>
      <c r="AE11">
        <v>0</v>
      </c>
      <c r="AF11">
        <v>0</v>
      </c>
      <c r="AG11" s="28">
        <v>3</v>
      </c>
      <c r="AH11">
        <v>0</v>
      </c>
      <c r="AI11">
        <v>0</v>
      </c>
      <c r="AJ11" s="31">
        <v>23</v>
      </c>
      <c r="AK11">
        <v>2</v>
      </c>
      <c r="AL11">
        <v>0</v>
      </c>
      <c r="AM11" s="28">
        <v>67</v>
      </c>
      <c r="AN11">
        <v>3</v>
      </c>
      <c r="AO11">
        <v>0</v>
      </c>
      <c r="AP11" s="28">
        <v>36</v>
      </c>
      <c r="AQ11">
        <v>0</v>
      </c>
      <c r="AR11" s="34">
        <v>0</v>
      </c>
    </row>
    <row r="12" spans="1:44" x14ac:dyDescent="0.25">
      <c r="A12" s="2" t="s">
        <v>43</v>
      </c>
      <c r="B12" s="7">
        <v>0.33333333333333331</v>
      </c>
      <c r="C12" s="31">
        <v>15</v>
      </c>
      <c r="D12">
        <v>0</v>
      </c>
      <c r="E12">
        <v>0</v>
      </c>
      <c r="F12" s="28">
        <v>234</v>
      </c>
      <c r="G12">
        <v>19</v>
      </c>
      <c r="H12">
        <v>0</v>
      </c>
      <c r="I12" s="28">
        <v>30</v>
      </c>
      <c r="J12">
        <v>2</v>
      </c>
      <c r="K12">
        <v>0</v>
      </c>
      <c r="L12" s="28">
        <v>0</v>
      </c>
      <c r="M12">
        <v>0</v>
      </c>
      <c r="N12">
        <v>0</v>
      </c>
      <c r="O12" s="31">
        <v>24</v>
      </c>
      <c r="P12">
        <v>1</v>
      </c>
      <c r="Q12">
        <v>0</v>
      </c>
      <c r="R12" s="28">
        <v>28</v>
      </c>
      <c r="S12">
        <v>0</v>
      </c>
      <c r="T12">
        <v>0</v>
      </c>
      <c r="U12" s="28">
        <v>13</v>
      </c>
      <c r="V12">
        <v>2</v>
      </c>
      <c r="W12">
        <v>0</v>
      </c>
      <c r="X12" s="31">
        <v>10</v>
      </c>
      <c r="Y12">
        <v>2</v>
      </c>
      <c r="Z12">
        <v>0</v>
      </c>
      <c r="AA12" s="28">
        <v>208</v>
      </c>
      <c r="AB12">
        <v>14</v>
      </c>
      <c r="AC12">
        <v>2</v>
      </c>
      <c r="AD12" s="28">
        <v>22</v>
      </c>
      <c r="AE12">
        <v>1</v>
      </c>
      <c r="AF12">
        <v>0</v>
      </c>
      <c r="AG12" s="28">
        <v>3</v>
      </c>
      <c r="AH12">
        <v>0</v>
      </c>
      <c r="AI12">
        <v>0</v>
      </c>
      <c r="AJ12" s="31">
        <v>29</v>
      </c>
      <c r="AK12">
        <v>3</v>
      </c>
      <c r="AL12">
        <v>0</v>
      </c>
      <c r="AM12" s="28">
        <v>80</v>
      </c>
      <c r="AN12">
        <v>2</v>
      </c>
      <c r="AO12">
        <v>0</v>
      </c>
      <c r="AP12" s="28">
        <v>16</v>
      </c>
      <c r="AQ12">
        <v>2</v>
      </c>
      <c r="AR12" s="34">
        <v>1</v>
      </c>
    </row>
    <row r="13" spans="1:44" x14ac:dyDescent="0.25">
      <c r="A13" s="2" t="s">
        <v>43</v>
      </c>
      <c r="B13" s="7">
        <v>0.34375</v>
      </c>
      <c r="C13" s="31">
        <v>20</v>
      </c>
      <c r="D13">
        <v>1</v>
      </c>
      <c r="E13">
        <v>0</v>
      </c>
      <c r="F13" s="28">
        <v>243</v>
      </c>
      <c r="G13">
        <v>18</v>
      </c>
      <c r="H13">
        <v>0</v>
      </c>
      <c r="I13" s="28">
        <v>41</v>
      </c>
      <c r="J13">
        <v>0</v>
      </c>
      <c r="K13">
        <v>0</v>
      </c>
      <c r="L13" s="28">
        <v>0</v>
      </c>
      <c r="M13">
        <v>0</v>
      </c>
      <c r="N13">
        <v>0</v>
      </c>
      <c r="O13" s="31">
        <v>28</v>
      </c>
      <c r="P13">
        <v>0</v>
      </c>
      <c r="Q13">
        <v>0</v>
      </c>
      <c r="R13" s="28">
        <v>43</v>
      </c>
      <c r="S13">
        <v>5</v>
      </c>
      <c r="T13">
        <v>0</v>
      </c>
      <c r="U13" s="28">
        <v>14</v>
      </c>
      <c r="V13">
        <v>3</v>
      </c>
      <c r="W13">
        <v>0</v>
      </c>
      <c r="X13" s="31">
        <v>25</v>
      </c>
      <c r="Y13">
        <v>0</v>
      </c>
      <c r="Z13">
        <v>0</v>
      </c>
      <c r="AA13" s="28">
        <v>200</v>
      </c>
      <c r="AB13">
        <v>13</v>
      </c>
      <c r="AC13">
        <v>0</v>
      </c>
      <c r="AD13" s="28">
        <v>16</v>
      </c>
      <c r="AE13">
        <v>1</v>
      </c>
      <c r="AF13">
        <v>0</v>
      </c>
      <c r="AG13" s="28">
        <v>4</v>
      </c>
      <c r="AH13">
        <v>0</v>
      </c>
      <c r="AI13">
        <v>0</v>
      </c>
      <c r="AJ13" s="31">
        <v>26</v>
      </c>
      <c r="AK13">
        <v>3</v>
      </c>
      <c r="AL13">
        <v>0</v>
      </c>
      <c r="AM13" s="28">
        <v>65</v>
      </c>
      <c r="AN13">
        <v>1</v>
      </c>
      <c r="AO13">
        <v>0</v>
      </c>
      <c r="AP13" s="28">
        <v>22</v>
      </c>
      <c r="AQ13">
        <v>4</v>
      </c>
      <c r="AR13" s="34">
        <v>0</v>
      </c>
    </row>
    <row r="14" spans="1:44" x14ac:dyDescent="0.25">
      <c r="A14" s="2" t="s">
        <v>43</v>
      </c>
      <c r="B14" s="7">
        <v>0.35416666666666669</v>
      </c>
      <c r="C14" s="31">
        <v>24</v>
      </c>
      <c r="D14">
        <v>1</v>
      </c>
      <c r="E14">
        <v>0</v>
      </c>
      <c r="F14" s="28">
        <v>236</v>
      </c>
      <c r="G14">
        <v>22</v>
      </c>
      <c r="H14">
        <v>0</v>
      </c>
      <c r="I14" s="28">
        <v>30</v>
      </c>
      <c r="J14">
        <v>2</v>
      </c>
      <c r="K14">
        <v>0</v>
      </c>
      <c r="L14" s="28">
        <v>0</v>
      </c>
      <c r="M14">
        <v>0</v>
      </c>
      <c r="N14">
        <v>0</v>
      </c>
      <c r="O14" s="31">
        <v>24</v>
      </c>
      <c r="P14">
        <v>3</v>
      </c>
      <c r="Q14">
        <v>0</v>
      </c>
      <c r="R14" s="28">
        <v>36</v>
      </c>
      <c r="S14">
        <v>4</v>
      </c>
      <c r="T14">
        <v>0</v>
      </c>
      <c r="U14" s="28">
        <v>11</v>
      </c>
      <c r="V14">
        <v>2</v>
      </c>
      <c r="W14">
        <v>0</v>
      </c>
      <c r="X14" s="31">
        <v>22</v>
      </c>
      <c r="Y14">
        <v>1</v>
      </c>
      <c r="Z14">
        <v>0</v>
      </c>
      <c r="AA14" s="28">
        <v>224</v>
      </c>
      <c r="AB14">
        <v>30</v>
      </c>
      <c r="AC14">
        <v>0</v>
      </c>
      <c r="AD14" s="28">
        <v>12</v>
      </c>
      <c r="AE14">
        <v>1</v>
      </c>
      <c r="AF14">
        <v>0</v>
      </c>
      <c r="AG14" s="28">
        <v>3</v>
      </c>
      <c r="AH14">
        <v>0</v>
      </c>
      <c r="AI14">
        <v>0</v>
      </c>
      <c r="AJ14" s="31">
        <v>42</v>
      </c>
      <c r="AK14">
        <v>1</v>
      </c>
      <c r="AL14">
        <v>0</v>
      </c>
      <c r="AM14" s="28">
        <v>60</v>
      </c>
      <c r="AN14">
        <v>1</v>
      </c>
      <c r="AO14">
        <v>0</v>
      </c>
      <c r="AP14" s="28">
        <v>30</v>
      </c>
      <c r="AQ14">
        <v>2</v>
      </c>
      <c r="AR14" s="34">
        <v>0</v>
      </c>
    </row>
    <row r="15" spans="1:44" ht="15.75" thickBot="1" x14ac:dyDescent="0.3">
      <c r="A15" s="2" t="s">
        <v>43</v>
      </c>
      <c r="B15" s="7">
        <v>0.36458333333333331</v>
      </c>
      <c r="C15" s="31">
        <v>12</v>
      </c>
      <c r="D15">
        <v>1</v>
      </c>
      <c r="E15">
        <v>0</v>
      </c>
      <c r="F15" s="28">
        <v>221</v>
      </c>
      <c r="G15">
        <v>28</v>
      </c>
      <c r="H15">
        <v>2</v>
      </c>
      <c r="I15" s="28">
        <v>29</v>
      </c>
      <c r="J15">
        <v>3</v>
      </c>
      <c r="K15">
        <v>0</v>
      </c>
      <c r="L15" s="28">
        <v>0</v>
      </c>
      <c r="M15">
        <v>0</v>
      </c>
      <c r="N15">
        <v>0</v>
      </c>
      <c r="O15" s="31">
        <v>18</v>
      </c>
      <c r="P15">
        <v>1</v>
      </c>
      <c r="Q15">
        <v>0</v>
      </c>
      <c r="R15" s="28">
        <v>28</v>
      </c>
      <c r="S15">
        <v>1</v>
      </c>
      <c r="T15">
        <v>0</v>
      </c>
      <c r="U15" s="28">
        <v>13</v>
      </c>
      <c r="V15">
        <v>1</v>
      </c>
      <c r="W15">
        <v>0</v>
      </c>
      <c r="X15" s="31">
        <v>23</v>
      </c>
      <c r="Y15">
        <v>1</v>
      </c>
      <c r="Z15">
        <v>1</v>
      </c>
      <c r="AA15" s="28">
        <v>145</v>
      </c>
      <c r="AB15">
        <v>21</v>
      </c>
      <c r="AC15">
        <v>0</v>
      </c>
      <c r="AD15" s="28">
        <v>19</v>
      </c>
      <c r="AE15">
        <v>3</v>
      </c>
      <c r="AF15">
        <v>0</v>
      </c>
      <c r="AG15" s="28">
        <v>2</v>
      </c>
      <c r="AH15">
        <v>0</v>
      </c>
      <c r="AI15">
        <v>0</v>
      </c>
      <c r="AJ15" s="31">
        <v>27</v>
      </c>
      <c r="AK15">
        <v>0</v>
      </c>
      <c r="AL15">
        <v>0</v>
      </c>
      <c r="AM15" s="28">
        <v>37</v>
      </c>
      <c r="AN15">
        <v>3</v>
      </c>
      <c r="AO15">
        <v>2</v>
      </c>
      <c r="AP15" s="28">
        <v>33</v>
      </c>
      <c r="AQ15">
        <v>0</v>
      </c>
      <c r="AR15" s="34">
        <v>0</v>
      </c>
    </row>
    <row r="16" spans="1:44"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25">
      <c r="A17" s="2" t="s">
        <v>91</v>
      </c>
      <c r="B17" s="7">
        <v>0.54166666666666663</v>
      </c>
      <c r="C17" s="31">
        <v>9</v>
      </c>
      <c r="D17">
        <v>0</v>
      </c>
      <c r="E17">
        <v>0</v>
      </c>
      <c r="F17" s="28">
        <v>173</v>
      </c>
      <c r="G17">
        <v>15</v>
      </c>
      <c r="H17">
        <v>0</v>
      </c>
      <c r="I17" s="28">
        <v>25</v>
      </c>
      <c r="J17">
        <v>1</v>
      </c>
      <c r="K17">
        <v>0</v>
      </c>
      <c r="L17" s="28">
        <v>0</v>
      </c>
      <c r="M17">
        <v>0</v>
      </c>
      <c r="N17">
        <v>0</v>
      </c>
      <c r="O17" s="31">
        <v>18</v>
      </c>
      <c r="P17">
        <v>0</v>
      </c>
      <c r="Q17">
        <v>0</v>
      </c>
      <c r="R17" s="28">
        <v>39</v>
      </c>
      <c r="S17">
        <v>2</v>
      </c>
      <c r="T17">
        <v>0</v>
      </c>
      <c r="U17" s="28">
        <v>13</v>
      </c>
      <c r="V17">
        <v>1</v>
      </c>
      <c r="W17">
        <v>0</v>
      </c>
      <c r="X17" s="31">
        <v>20</v>
      </c>
      <c r="Y17">
        <v>1</v>
      </c>
      <c r="Z17">
        <v>0</v>
      </c>
      <c r="AA17" s="28">
        <v>175</v>
      </c>
      <c r="AB17">
        <v>18</v>
      </c>
      <c r="AC17">
        <v>0</v>
      </c>
      <c r="AD17" s="28">
        <v>20</v>
      </c>
      <c r="AE17">
        <v>1</v>
      </c>
      <c r="AF17">
        <v>0</v>
      </c>
      <c r="AG17" s="28">
        <v>2</v>
      </c>
      <c r="AH17">
        <v>0</v>
      </c>
      <c r="AI17">
        <v>0</v>
      </c>
      <c r="AJ17" s="31">
        <v>29</v>
      </c>
      <c r="AK17">
        <v>1</v>
      </c>
      <c r="AL17">
        <v>0</v>
      </c>
      <c r="AM17" s="28">
        <v>27</v>
      </c>
      <c r="AN17">
        <v>1</v>
      </c>
      <c r="AO17">
        <v>0</v>
      </c>
      <c r="AP17" s="28">
        <v>19</v>
      </c>
      <c r="AQ17">
        <v>1</v>
      </c>
      <c r="AR17" s="34">
        <v>0</v>
      </c>
    </row>
    <row r="18" spans="1:44" x14ac:dyDescent="0.25">
      <c r="A18" s="2" t="s">
        <v>91</v>
      </c>
      <c r="B18" s="7">
        <v>0.55208333333333337</v>
      </c>
      <c r="C18" s="31">
        <v>9</v>
      </c>
      <c r="D18">
        <v>0</v>
      </c>
      <c r="E18">
        <v>1</v>
      </c>
      <c r="F18" s="28">
        <v>216</v>
      </c>
      <c r="G18">
        <v>21</v>
      </c>
      <c r="H18">
        <v>1</v>
      </c>
      <c r="I18" s="28">
        <v>20</v>
      </c>
      <c r="J18">
        <v>3</v>
      </c>
      <c r="K18">
        <v>0</v>
      </c>
      <c r="L18" s="28">
        <v>0</v>
      </c>
      <c r="M18">
        <v>0</v>
      </c>
      <c r="N18">
        <v>0</v>
      </c>
      <c r="O18" s="31">
        <v>22</v>
      </c>
      <c r="P18">
        <v>2</v>
      </c>
      <c r="Q18">
        <v>0</v>
      </c>
      <c r="R18" s="28">
        <v>54</v>
      </c>
      <c r="S18">
        <v>3</v>
      </c>
      <c r="T18">
        <v>1</v>
      </c>
      <c r="U18" s="28">
        <v>14</v>
      </c>
      <c r="V18">
        <v>1</v>
      </c>
      <c r="W18">
        <v>0</v>
      </c>
      <c r="X18" s="31">
        <v>21</v>
      </c>
      <c r="Y18">
        <v>0</v>
      </c>
      <c r="Z18">
        <v>0</v>
      </c>
      <c r="AA18" s="28">
        <v>178</v>
      </c>
      <c r="AB18">
        <v>10</v>
      </c>
      <c r="AC18">
        <v>0</v>
      </c>
      <c r="AD18" s="28">
        <v>18</v>
      </c>
      <c r="AE18">
        <v>1</v>
      </c>
      <c r="AF18">
        <v>0</v>
      </c>
      <c r="AG18" s="28">
        <v>2</v>
      </c>
      <c r="AH18">
        <v>0</v>
      </c>
      <c r="AI18">
        <v>0</v>
      </c>
      <c r="AJ18" s="31">
        <v>27</v>
      </c>
      <c r="AK18">
        <v>1</v>
      </c>
      <c r="AL18">
        <v>1</v>
      </c>
      <c r="AM18" s="28">
        <v>31</v>
      </c>
      <c r="AN18">
        <v>3</v>
      </c>
      <c r="AO18">
        <v>0</v>
      </c>
      <c r="AP18" s="28">
        <v>25</v>
      </c>
      <c r="AQ18">
        <v>3</v>
      </c>
      <c r="AR18" s="34">
        <v>0</v>
      </c>
    </row>
    <row r="19" spans="1:44" x14ac:dyDescent="0.25">
      <c r="A19" s="2" t="s">
        <v>91</v>
      </c>
      <c r="B19" s="7">
        <v>0.5625</v>
      </c>
      <c r="C19" s="31">
        <v>10</v>
      </c>
      <c r="D19">
        <v>1</v>
      </c>
      <c r="E19">
        <v>0</v>
      </c>
      <c r="F19" s="28">
        <v>174</v>
      </c>
      <c r="G19">
        <v>16</v>
      </c>
      <c r="H19">
        <v>0</v>
      </c>
      <c r="I19" s="28">
        <v>31</v>
      </c>
      <c r="J19">
        <v>3</v>
      </c>
      <c r="K19">
        <v>0</v>
      </c>
      <c r="L19" s="28">
        <v>0</v>
      </c>
      <c r="M19">
        <v>0</v>
      </c>
      <c r="N19">
        <v>0</v>
      </c>
      <c r="O19" s="31">
        <v>26</v>
      </c>
      <c r="P19">
        <v>2</v>
      </c>
      <c r="Q19">
        <v>0</v>
      </c>
      <c r="R19" s="28">
        <v>35</v>
      </c>
      <c r="S19">
        <v>3</v>
      </c>
      <c r="T19">
        <v>0</v>
      </c>
      <c r="U19" s="28">
        <v>19</v>
      </c>
      <c r="V19">
        <v>2</v>
      </c>
      <c r="W19">
        <v>0</v>
      </c>
      <c r="X19" s="31">
        <v>20</v>
      </c>
      <c r="Y19">
        <v>0</v>
      </c>
      <c r="Z19">
        <v>0</v>
      </c>
      <c r="AA19" s="28">
        <v>169</v>
      </c>
      <c r="AB19">
        <v>19</v>
      </c>
      <c r="AC19">
        <v>0</v>
      </c>
      <c r="AD19" s="28">
        <v>24</v>
      </c>
      <c r="AE19">
        <v>1</v>
      </c>
      <c r="AF19">
        <v>0</v>
      </c>
      <c r="AG19" s="28">
        <v>1</v>
      </c>
      <c r="AH19">
        <v>0</v>
      </c>
      <c r="AI19">
        <v>0</v>
      </c>
      <c r="AJ19" s="31">
        <v>20</v>
      </c>
      <c r="AK19">
        <v>3</v>
      </c>
      <c r="AL19">
        <v>0</v>
      </c>
      <c r="AM19" s="28">
        <v>34</v>
      </c>
      <c r="AN19">
        <v>3</v>
      </c>
      <c r="AO19">
        <v>0</v>
      </c>
      <c r="AP19" s="28">
        <v>18</v>
      </c>
      <c r="AQ19">
        <v>1</v>
      </c>
      <c r="AR19" s="34">
        <v>0</v>
      </c>
    </row>
    <row r="20" spans="1:44" ht="15.75" thickBot="1" x14ac:dyDescent="0.3">
      <c r="A20" s="2" t="s">
        <v>91</v>
      </c>
      <c r="B20" s="7">
        <v>0.57291666666666663</v>
      </c>
      <c r="C20" s="31">
        <v>9</v>
      </c>
      <c r="D20">
        <v>1</v>
      </c>
      <c r="E20">
        <v>0</v>
      </c>
      <c r="F20" s="28">
        <v>189</v>
      </c>
      <c r="G20">
        <v>17</v>
      </c>
      <c r="H20">
        <v>0</v>
      </c>
      <c r="I20" s="28">
        <v>26</v>
      </c>
      <c r="J20">
        <v>3</v>
      </c>
      <c r="K20">
        <v>0</v>
      </c>
      <c r="L20" s="28">
        <v>0</v>
      </c>
      <c r="M20">
        <v>0</v>
      </c>
      <c r="N20">
        <v>0</v>
      </c>
      <c r="O20" s="31">
        <v>31</v>
      </c>
      <c r="P20">
        <v>0</v>
      </c>
      <c r="Q20">
        <v>0</v>
      </c>
      <c r="R20" s="28">
        <v>45</v>
      </c>
      <c r="S20">
        <v>6</v>
      </c>
      <c r="T20">
        <v>0</v>
      </c>
      <c r="U20" s="28">
        <v>19</v>
      </c>
      <c r="V20">
        <v>2</v>
      </c>
      <c r="W20">
        <v>0</v>
      </c>
      <c r="X20" s="31">
        <v>20</v>
      </c>
      <c r="Y20">
        <v>2</v>
      </c>
      <c r="Z20">
        <v>0</v>
      </c>
      <c r="AA20" s="28">
        <v>178</v>
      </c>
      <c r="AB20">
        <v>16</v>
      </c>
      <c r="AC20">
        <v>0</v>
      </c>
      <c r="AD20" s="28">
        <v>28</v>
      </c>
      <c r="AE20">
        <v>1</v>
      </c>
      <c r="AF20">
        <v>0</v>
      </c>
      <c r="AG20" s="28">
        <v>2</v>
      </c>
      <c r="AH20">
        <v>0</v>
      </c>
      <c r="AI20">
        <v>0</v>
      </c>
      <c r="AJ20" s="31">
        <v>17</v>
      </c>
      <c r="AK20">
        <v>4</v>
      </c>
      <c r="AL20">
        <v>0</v>
      </c>
      <c r="AM20" s="28">
        <v>33</v>
      </c>
      <c r="AN20">
        <v>5</v>
      </c>
      <c r="AO20">
        <v>0</v>
      </c>
      <c r="AP20" s="28">
        <v>21</v>
      </c>
      <c r="AQ20">
        <v>3</v>
      </c>
      <c r="AR20" s="34">
        <v>0</v>
      </c>
    </row>
    <row r="21" spans="1:44"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25">
      <c r="A22" s="2" t="s">
        <v>44</v>
      </c>
      <c r="B22" s="7">
        <v>0.66666666666666663</v>
      </c>
      <c r="C22" s="31">
        <v>16</v>
      </c>
      <c r="D22">
        <v>0</v>
      </c>
      <c r="E22">
        <v>0</v>
      </c>
      <c r="F22" s="28">
        <v>192</v>
      </c>
      <c r="G22">
        <v>18</v>
      </c>
      <c r="H22">
        <v>1</v>
      </c>
      <c r="I22" s="28">
        <v>45</v>
      </c>
      <c r="J22">
        <v>2</v>
      </c>
      <c r="K22">
        <v>0</v>
      </c>
      <c r="L22" s="28">
        <v>1</v>
      </c>
      <c r="M22">
        <v>0</v>
      </c>
      <c r="N22">
        <v>0</v>
      </c>
      <c r="O22" s="31">
        <v>22</v>
      </c>
      <c r="P22">
        <v>0</v>
      </c>
      <c r="Q22">
        <v>0</v>
      </c>
      <c r="R22" s="28">
        <v>72</v>
      </c>
      <c r="S22">
        <v>2</v>
      </c>
      <c r="T22">
        <v>0</v>
      </c>
      <c r="U22" s="28">
        <v>38</v>
      </c>
      <c r="V22">
        <v>5</v>
      </c>
      <c r="W22">
        <v>0</v>
      </c>
      <c r="X22" s="31">
        <v>41</v>
      </c>
      <c r="Y22">
        <v>0</v>
      </c>
      <c r="Z22">
        <v>0</v>
      </c>
      <c r="AA22" s="28">
        <v>318</v>
      </c>
      <c r="AB22">
        <v>17</v>
      </c>
      <c r="AC22">
        <v>0</v>
      </c>
      <c r="AD22" s="28">
        <v>16</v>
      </c>
      <c r="AE22">
        <v>1</v>
      </c>
      <c r="AF22">
        <v>0</v>
      </c>
      <c r="AG22" s="28">
        <v>3</v>
      </c>
      <c r="AH22">
        <v>1</v>
      </c>
      <c r="AI22">
        <v>0</v>
      </c>
      <c r="AJ22" s="31">
        <v>37</v>
      </c>
      <c r="AK22">
        <v>1</v>
      </c>
      <c r="AL22">
        <v>0</v>
      </c>
      <c r="AM22" s="28">
        <v>26</v>
      </c>
      <c r="AN22">
        <v>5</v>
      </c>
      <c r="AO22">
        <v>0</v>
      </c>
      <c r="AP22" s="28">
        <v>25</v>
      </c>
      <c r="AQ22">
        <v>0</v>
      </c>
      <c r="AR22" s="34">
        <v>0</v>
      </c>
    </row>
    <row r="23" spans="1:44" x14ac:dyDescent="0.25">
      <c r="A23" s="2" t="s">
        <v>44</v>
      </c>
      <c r="B23" s="7">
        <v>0.67708333333333337</v>
      </c>
      <c r="C23" s="31">
        <v>12</v>
      </c>
      <c r="D23">
        <v>1</v>
      </c>
      <c r="E23">
        <v>0</v>
      </c>
      <c r="F23" s="28">
        <v>236</v>
      </c>
      <c r="G23">
        <v>10</v>
      </c>
      <c r="H23">
        <v>2</v>
      </c>
      <c r="I23" s="28">
        <v>37</v>
      </c>
      <c r="J23">
        <v>6</v>
      </c>
      <c r="K23">
        <v>0</v>
      </c>
      <c r="L23" s="28">
        <v>0</v>
      </c>
      <c r="M23">
        <v>0</v>
      </c>
      <c r="N23">
        <v>0</v>
      </c>
      <c r="O23" s="31">
        <v>33</v>
      </c>
      <c r="P23">
        <v>1</v>
      </c>
      <c r="Q23">
        <v>0</v>
      </c>
      <c r="R23" s="28">
        <v>81</v>
      </c>
      <c r="S23">
        <v>8</v>
      </c>
      <c r="T23">
        <v>0</v>
      </c>
      <c r="U23" s="28">
        <v>18</v>
      </c>
      <c r="V23">
        <v>0</v>
      </c>
      <c r="W23">
        <v>0</v>
      </c>
      <c r="X23" s="31">
        <v>41</v>
      </c>
      <c r="Y23">
        <v>0</v>
      </c>
      <c r="Z23">
        <v>0</v>
      </c>
      <c r="AA23" s="28">
        <v>266</v>
      </c>
      <c r="AB23">
        <v>9</v>
      </c>
      <c r="AC23">
        <v>2</v>
      </c>
      <c r="AD23" s="28">
        <v>15</v>
      </c>
      <c r="AE23">
        <v>0</v>
      </c>
      <c r="AF23">
        <v>0</v>
      </c>
      <c r="AG23" s="28">
        <v>3</v>
      </c>
      <c r="AH23">
        <v>0</v>
      </c>
      <c r="AI23">
        <v>0</v>
      </c>
      <c r="AJ23" s="31">
        <v>40</v>
      </c>
      <c r="AK23">
        <v>0</v>
      </c>
      <c r="AL23">
        <v>0</v>
      </c>
      <c r="AM23" s="28">
        <v>36</v>
      </c>
      <c r="AN23">
        <v>1</v>
      </c>
      <c r="AO23">
        <v>0</v>
      </c>
      <c r="AP23" s="28">
        <v>26</v>
      </c>
      <c r="AQ23">
        <v>0</v>
      </c>
      <c r="AR23" s="34">
        <v>0</v>
      </c>
    </row>
    <row r="24" spans="1:44" x14ac:dyDescent="0.25">
      <c r="A24" s="2" t="s">
        <v>44</v>
      </c>
      <c r="B24" s="7">
        <v>0.6875</v>
      </c>
      <c r="C24" s="31">
        <v>22</v>
      </c>
      <c r="D24">
        <v>1</v>
      </c>
      <c r="E24">
        <v>0</v>
      </c>
      <c r="F24" s="28">
        <v>263</v>
      </c>
      <c r="G24">
        <v>12</v>
      </c>
      <c r="H24">
        <v>0</v>
      </c>
      <c r="I24" s="28">
        <v>64</v>
      </c>
      <c r="J24">
        <v>1</v>
      </c>
      <c r="K24">
        <v>0</v>
      </c>
      <c r="L24" s="28">
        <v>0</v>
      </c>
      <c r="M24">
        <v>0</v>
      </c>
      <c r="N24">
        <v>0</v>
      </c>
      <c r="O24" s="31">
        <v>32</v>
      </c>
      <c r="P24">
        <v>1</v>
      </c>
      <c r="Q24">
        <v>0</v>
      </c>
      <c r="R24" s="28">
        <v>88</v>
      </c>
      <c r="S24">
        <v>1</v>
      </c>
      <c r="T24">
        <v>0</v>
      </c>
      <c r="U24" s="28">
        <v>29</v>
      </c>
      <c r="V24">
        <v>0</v>
      </c>
      <c r="W24">
        <v>0</v>
      </c>
      <c r="X24" s="31">
        <v>64</v>
      </c>
      <c r="Y24">
        <v>1</v>
      </c>
      <c r="Z24">
        <v>0</v>
      </c>
      <c r="AA24" s="28">
        <v>282</v>
      </c>
      <c r="AB24">
        <v>14</v>
      </c>
      <c r="AC24">
        <v>1</v>
      </c>
      <c r="AD24" s="28">
        <v>26</v>
      </c>
      <c r="AE24">
        <v>1</v>
      </c>
      <c r="AF24">
        <v>0</v>
      </c>
      <c r="AG24" s="28">
        <v>2</v>
      </c>
      <c r="AH24">
        <v>0</v>
      </c>
      <c r="AI24">
        <v>0</v>
      </c>
      <c r="AJ24" s="31">
        <v>33</v>
      </c>
      <c r="AK24">
        <v>0</v>
      </c>
      <c r="AL24">
        <v>0</v>
      </c>
      <c r="AM24" s="28">
        <v>35</v>
      </c>
      <c r="AN24">
        <v>2</v>
      </c>
      <c r="AO24">
        <v>0</v>
      </c>
      <c r="AP24" s="28">
        <v>22</v>
      </c>
      <c r="AQ24">
        <v>0</v>
      </c>
      <c r="AR24" s="34">
        <v>0</v>
      </c>
    </row>
    <row r="25" spans="1:44" x14ac:dyDescent="0.25">
      <c r="A25" s="2" t="s">
        <v>44</v>
      </c>
      <c r="B25" s="7">
        <v>0.69791666666666663</v>
      </c>
      <c r="C25" s="31">
        <v>18</v>
      </c>
      <c r="D25">
        <v>0</v>
      </c>
      <c r="E25">
        <v>0</v>
      </c>
      <c r="F25" s="28">
        <v>206</v>
      </c>
      <c r="G25">
        <v>10</v>
      </c>
      <c r="H25">
        <v>1</v>
      </c>
      <c r="I25" s="28">
        <v>44</v>
      </c>
      <c r="J25">
        <v>1</v>
      </c>
      <c r="K25">
        <v>1</v>
      </c>
      <c r="L25" s="28">
        <v>0</v>
      </c>
      <c r="M25">
        <v>0</v>
      </c>
      <c r="N25">
        <v>0</v>
      </c>
      <c r="O25" s="31">
        <v>21</v>
      </c>
      <c r="P25">
        <v>0</v>
      </c>
      <c r="Q25">
        <v>0</v>
      </c>
      <c r="R25" s="28">
        <v>87</v>
      </c>
      <c r="S25">
        <v>4</v>
      </c>
      <c r="T25">
        <v>1</v>
      </c>
      <c r="U25" s="28">
        <v>35</v>
      </c>
      <c r="V25">
        <v>0</v>
      </c>
      <c r="W25">
        <v>0</v>
      </c>
      <c r="X25" s="31">
        <v>66</v>
      </c>
      <c r="Y25">
        <v>1</v>
      </c>
      <c r="Z25">
        <v>0</v>
      </c>
      <c r="AA25" s="28">
        <v>264</v>
      </c>
      <c r="AB25">
        <v>10</v>
      </c>
      <c r="AC25">
        <v>1</v>
      </c>
      <c r="AD25" s="28">
        <v>17</v>
      </c>
      <c r="AE25">
        <v>0</v>
      </c>
      <c r="AF25">
        <v>0</v>
      </c>
      <c r="AG25" s="28">
        <v>1</v>
      </c>
      <c r="AH25">
        <v>0</v>
      </c>
      <c r="AI25">
        <v>0</v>
      </c>
      <c r="AJ25" s="31">
        <v>26</v>
      </c>
      <c r="AK25">
        <v>3</v>
      </c>
      <c r="AL25">
        <v>0</v>
      </c>
      <c r="AM25" s="28">
        <v>43</v>
      </c>
      <c r="AN25">
        <v>2</v>
      </c>
      <c r="AO25">
        <v>0</v>
      </c>
      <c r="AP25" s="28">
        <v>16</v>
      </c>
      <c r="AQ25">
        <v>1</v>
      </c>
      <c r="AR25" s="34">
        <v>0</v>
      </c>
    </row>
    <row r="26" spans="1:44" x14ac:dyDescent="0.25">
      <c r="A26" s="2" t="s">
        <v>44</v>
      </c>
      <c r="B26" s="7">
        <v>0.70833333333333337</v>
      </c>
      <c r="C26" s="31">
        <v>19</v>
      </c>
      <c r="D26">
        <v>0</v>
      </c>
      <c r="E26">
        <v>0</v>
      </c>
      <c r="F26" s="28">
        <v>239</v>
      </c>
      <c r="G26">
        <v>6</v>
      </c>
      <c r="H26">
        <v>0</v>
      </c>
      <c r="I26" s="28">
        <v>50</v>
      </c>
      <c r="J26">
        <v>2</v>
      </c>
      <c r="K26">
        <v>0</v>
      </c>
      <c r="L26" s="28">
        <v>1</v>
      </c>
      <c r="M26">
        <v>0</v>
      </c>
      <c r="N26">
        <v>0</v>
      </c>
      <c r="O26" s="31">
        <v>32</v>
      </c>
      <c r="P26">
        <v>0</v>
      </c>
      <c r="Q26">
        <v>0</v>
      </c>
      <c r="R26" s="28">
        <v>100</v>
      </c>
      <c r="S26">
        <v>4</v>
      </c>
      <c r="T26">
        <v>0</v>
      </c>
      <c r="U26" s="28">
        <v>28</v>
      </c>
      <c r="V26">
        <v>0</v>
      </c>
      <c r="W26">
        <v>0</v>
      </c>
      <c r="X26" s="31">
        <v>72</v>
      </c>
      <c r="Y26">
        <v>1</v>
      </c>
      <c r="Z26">
        <v>0</v>
      </c>
      <c r="AA26" s="28">
        <v>231</v>
      </c>
      <c r="AB26">
        <v>8</v>
      </c>
      <c r="AC26">
        <v>0</v>
      </c>
      <c r="AD26" s="28">
        <v>28</v>
      </c>
      <c r="AE26">
        <v>0</v>
      </c>
      <c r="AF26">
        <v>0</v>
      </c>
      <c r="AG26" s="28">
        <v>2</v>
      </c>
      <c r="AH26">
        <v>0</v>
      </c>
      <c r="AI26">
        <v>0</v>
      </c>
      <c r="AJ26" s="31">
        <v>24</v>
      </c>
      <c r="AK26">
        <v>1</v>
      </c>
      <c r="AL26">
        <v>0</v>
      </c>
      <c r="AM26" s="28">
        <v>41</v>
      </c>
      <c r="AN26">
        <v>2</v>
      </c>
      <c r="AO26">
        <v>1</v>
      </c>
      <c r="AP26" s="28">
        <v>19</v>
      </c>
      <c r="AQ26">
        <v>0</v>
      </c>
      <c r="AR26" s="34">
        <v>0</v>
      </c>
    </row>
    <row r="27" spans="1:44" x14ac:dyDescent="0.25">
      <c r="A27" s="2" t="s">
        <v>44</v>
      </c>
      <c r="B27" s="7">
        <v>0.71875</v>
      </c>
      <c r="C27" s="31">
        <v>21</v>
      </c>
      <c r="D27">
        <v>1</v>
      </c>
      <c r="E27">
        <v>0</v>
      </c>
      <c r="F27" s="28">
        <v>209</v>
      </c>
      <c r="G27">
        <v>10</v>
      </c>
      <c r="H27">
        <v>0</v>
      </c>
      <c r="I27" s="28">
        <v>36</v>
      </c>
      <c r="J27">
        <v>0</v>
      </c>
      <c r="K27">
        <v>0</v>
      </c>
      <c r="L27" s="28">
        <v>0</v>
      </c>
      <c r="M27">
        <v>0</v>
      </c>
      <c r="N27">
        <v>0</v>
      </c>
      <c r="O27" s="31">
        <v>21</v>
      </c>
      <c r="P27">
        <v>1</v>
      </c>
      <c r="Q27">
        <v>0</v>
      </c>
      <c r="R27" s="28">
        <v>87</v>
      </c>
      <c r="S27">
        <v>1</v>
      </c>
      <c r="T27">
        <v>2</v>
      </c>
      <c r="U27" s="28">
        <v>17</v>
      </c>
      <c r="V27">
        <v>1</v>
      </c>
      <c r="W27">
        <v>0</v>
      </c>
      <c r="X27" s="31">
        <v>71</v>
      </c>
      <c r="Y27">
        <v>0</v>
      </c>
      <c r="Z27">
        <v>0</v>
      </c>
      <c r="AA27" s="28">
        <v>221</v>
      </c>
      <c r="AB27">
        <v>6</v>
      </c>
      <c r="AC27">
        <v>0</v>
      </c>
      <c r="AD27" s="28">
        <v>39</v>
      </c>
      <c r="AE27">
        <v>2</v>
      </c>
      <c r="AF27">
        <v>0</v>
      </c>
      <c r="AG27" s="28">
        <v>0</v>
      </c>
      <c r="AH27">
        <v>0</v>
      </c>
      <c r="AI27">
        <v>0</v>
      </c>
      <c r="AJ27" s="31">
        <v>26</v>
      </c>
      <c r="AK27">
        <v>0</v>
      </c>
      <c r="AL27">
        <v>0</v>
      </c>
      <c r="AM27" s="28">
        <v>43</v>
      </c>
      <c r="AN27">
        <v>1</v>
      </c>
      <c r="AO27">
        <v>0</v>
      </c>
      <c r="AP27" s="28">
        <v>20</v>
      </c>
      <c r="AQ27">
        <v>0</v>
      </c>
      <c r="AR27" s="34">
        <v>0</v>
      </c>
    </row>
    <row r="28" spans="1:44" x14ac:dyDescent="0.25">
      <c r="A28" s="2" t="s">
        <v>44</v>
      </c>
      <c r="B28" s="7">
        <v>0.72916666666666663</v>
      </c>
      <c r="C28" s="31">
        <v>23</v>
      </c>
      <c r="D28">
        <v>0</v>
      </c>
      <c r="E28">
        <v>0</v>
      </c>
      <c r="F28" s="28">
        <v>209</v>
      </c>
      <c r="G28">
        <v>8</v>
      </c>
      <c r="H28">
        <v>1</v>
      </c>
      <c r="I28" s="28">
        <v>40</v>
      </c>
      <c r="J28">
        <v>2</v>
      </c>
      <c r="K28">
        <v>0</v>
      </c>
      <c r="L28" s="28">
        <v>0</v>
      </c>
      <c r="M28">
        <v>0</v>
      </c>
      <c r="N28">
        <v>0</v>
      </c>
      <c r="O28" s="31">
        <v>27</v>
      </c>
      <c r="P28">
        <v>0</v>
      </c>
      <c r="Q28">
        <v>0</v>
      </c>
      <c r="R28" s="28">
        <v>73</v>
      </c>
      <c r="S28">
        <v>1</v>
      </c>
      <c r="T28">
        <v>0</v>
      </c>
      <c r="U28" s="28">
        <v>19</v>
      </c>
      <c r="V28">
        <v>2</v>
      </c>
      <c r="W28">
        <v>0</v>
      </c>
      <c r="X28" s="31">
        <v>66</v>
      </c>
      <c r="Y28">
        <v>0</v>
      </c>
      <c r="Z28">
        <v>0</v>
      </c>
      <c r="AA28" s="28">
        <v>208</v>
      </c>
      <c r="AB28">
        <v>6</v>
      </c>
      <c r="AC28">
        <v>2</v>
      </c>
      <c r="AD28" s="28">
        <v>26</v>
      </c>
      <c r="AE28">
        <v>0</v>
      </c>
      <c r="AF28">
        <v>0</v>
      </c>
      <c r="AG28" s="28">
        <v>3</v>
      </c>
      <c r="AH28">
        <v>0</v>
      </c>
      <c r="AI28">
        <v>0</v>
      </c>
      <c r="AJ28" s="31">
        <v>23</v>
      </c>
      <c r="AK28">
        <v>0</v>
      </c>
      <c r="AL28">
        <v>0</v>
      </c>
      <c r="AM28" s="28">
        <v>43</v>
      </c>
      <c r="AN28">
        <v>0</v>
      </c>
      <c r="AO28">
        <v>0</v>
      </c>
      <c r="AP28" s="28">
        <v>25</v>
      </c>
      <c r="AQ28">
        <v>0</v>
      </c>
      <c r="AR28" s="34">
        <v>0</v>
      </c>
    </row>
    <row r="29" spans="1:44" ht="15.75" thickBot="1" x14ac:dyDescent="0.3">
      <c r="A29" s="23" t="s">
        <v>44</v>
      </c>
      <c r="B29" s="48">
        <v>0.73958333333333337</v>
      </c>
      <c r="C29" s="39">
        <v>12</v>
      </c>
      <c r="D29" s="38">
        <v>0</v>
      </c>
      <c r="E29" s="38">
        <v>0</v>
      </c>
      <c r="F29" s="40">
        <v>177</v>
      </c>
      <c r="G29" s="38">
        <v>10</v>
      </c>
      <c r="H29" s="38">
        <v>0</v>
      </c>
      <c r="I29" s="40">
        <v>36</v>
      </c>
      <c r="J29" s="38">
        <v>4</v>
      </c>
      <c r="K29" s="38">
        <v>0</v>
      </c>
      <c r="L29" s="40">
        <v>1</v>
      </c>
      <c r="M29" s="38">
        <v>0</v>
      </c>
      <c r="N29" s="38">
        <v>0</v>
      </c>
      <c r="O29" s="39">
        <v>13</v>
      </c>
      <c r="P29" s="38">
        <v>3</v>
      </c>
      <c r="Q29" s="38">
        <v>0</v>
      </c>
      <c r="R29" s="40">
        <v>54</v>
      </c>
      <c r="S29" s="38">
        <v>3</v>
      </c>
      <c r="T29" s="38">
        <v>0</v>
      </c>
      <c r="U29" s="40">
        <v>13</v>
      </c>
      <c r="V29" s="38">
        <v>0</v>
      </c>
      <c r="W29" s="38">
        <v>0</v>
      </c>
      <c r="X29" s="39">
        <v>39</v>
      </c>
      <c r="Y29" s="38">
        <v>0</v>
      </c>
      <c r="Z29" s="38">
        <v>0</v>
      </c>
      <c r="AA29" s="40">
        <v>143</v>
      </c>
      <c r="AB29" s="38">
        <v>6</v>
      </c>
      <c r="AC29" s="38">
        <v>1</v>
      </c>
      <c r="AD29" s="40">
        <v>10</v>
      </c>
      <c r="AE29" s="38">
        <v>0</v>
      </c>
      <c r="AF29" s="38">
        <v>0</v>
      </c>
      <c r="AG29" s="40">
        <v>1</v>
      </c>
      <c r="AH29" s="38">
        <v>0</v>
      </c>
      <c r="AI29" s="38">
        <v>0</v>
      </c>
      <c r="AJ29" s="39">
        <v>23</v>
      </c>
      <c r="AK29" s="38">
        <v>0</v>
      </c>
      <c r="AL29" s="38">
        <v>0</v>
      </c>
      <c r="AM29" s="40">
        <v>31</v>
      </c>
      <c r="AN29" s="38">
        <v>3</v>
      </c>
      <c r="AO29" s="38">
        <v>0</v>
      </c>
      <c r="AP29" s="40">
        <v>26</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99</v>
      </c>
      <c r="C2" t="s">
        <v>92</v>
      </c>
      <c r="D2" t="s">
        <v>79</v>
      </c>
      <c r="E2" t="s">
        <v>43</v>
      </c>
      <c r="F2" s="6">
        <v>0.29166666666666669</v>
      </c>
      <c r="G2">
        <v>16</v>
      </c>
      <c r="H2" s="6">
        <f>FLOOR(tblPivotData[[#This Row],[Time]],Summary!$B$6/1440)</f>
        <v>0.29166666666666663</v>
      </c>
      <c r="I2">
        <f>INDEX(PeakCalc!$L$10:$L$303,MATCH(tblPivotData[[#This Row],[Time]],PeakCalc!$G$10:$G$303,0))</f>
        <v>0</v>
      </c>
    </row>
    <row r="3" spans="1:9" x14ac:dyDescent="0.25">
      <c r="A3" t="s">
        <v>95</v>
      </c>
      <c r="B3" t="s">
        <v>99</v>
      </c>
      <c r="C3" t="s">
        <v>92</v>
      </c>
      <c r="D3" t="s">
        <v>79</v>
      </c>
      <c r="E3" t="s">
        <v>43</v>
      </c>
      <c r="F3" s="6">
        <v>0.30208333333333331</v>
      </c>
      <c r="G3">
        <v>26</v>
      </c>
      <c r="H3" s="6">
        <f>FLOOR(tblPivotData[[#This Row],[Time]],Summary!$B$6/1440)</f>
        <v>0.30208333333333331</v>
      </c>
      <c r="I3">
        <f>INDEX(PeakCalc!$L$10:$L$303,MATCH(tblPivotData[[#This Row],[Time]],PeakCalc!$G$10:$G$303,0))</f>
        <v>0</v>
      </c>
    </row>
    <row r="4" spans="1:9" x14ac:dyDescent="0.25">
      <c r="A4" t="s">
        <v>95</v>
      </c>
      <c r="B4" t="s">
        <v>99</v>
      </c>
      <c r="C4" t="s">
        <v>92</v>
      </c>
      <c r="D4" t="s">
        <v>79</v>
      </c>
      <c r="E4" t="s">
        <v>43</v>
      </c>
      <c r="F4" s="6">
        <v>0.3125</v>
      </c>
      <c r="G4">
        <v>18</v>
      </c>
      <c r="H4" s="6">
        <f>FLOOR(tblPivotData[[#This Row],[Time]],Summary!$B$6/1440)</f>
        <v>0.3125</v>
      </c>
      <c r="I4">
        <f>INDEX(PeakCalc!$L$10:$L$303,MATCH(tblPivotData[[#This Row],[Time]],PeakCalc!$G$10:$G$303,0))</f>
        <v>0</v>
      </c>
    </row>
    <row r="5" spans="1:9" x14ac:dyDescent="0.25">
      <c r="A5" t="s">
        <v>95</v>
      </c>
      <c r="B5" t="s">
        <v>99</v>
      </c>
      <c r="C5" t="s">
        <v>92</v>
      </c>
      <c r="D5" t="s">
        <v>79</v>
      </c>
      <c r="E5" t="s">
        <v>43</v>
      </c>
      <c r="F5" s="6">
        <v>0.32291666666666669</v>
      </c>
      <c r="G5">
        <v>25</v>
      </c>
      <c r="H5" s="6">
        <f>FLOOR(tblPivotData[[#This Row],[Time]],Summary!$B$6/1440)</f>
        <v>0.32291666666666663</v>
      </c>
      <c r="I5">
        <f>INDEX(PeakCalc!$L$10:$L$303,MATCH(tblPivotData[[#This Row],[Time]],PeakCalc!$G$10:$G$303,0))</f>
        <v>1</v>
      </c>
    </row>
    <row r="6" spans="1:9" x14ac:dyDescent="0.25">
      <c r="A6" t="s">
        <v>95</v>
      </c>
      <c r="B6" t="s">
        <v>99</v>
      </c>
      <c r="C6" t="s">
        <v>92</v>
      </c>
      <c r="D6" t="s">
        <v>79</v>
      </c>
      <c r="E6" t="s">
        <v>43</v>
      </c>
      <c r="F6" s="6">
        <v>0.33333333333333331</v>
      </c>
      <c r="G6">
        <v>15</v>
      </c>
      <c r="H6" s="6">
        <f>FLOOR(tblPivotData[[#This Row],[Time]],Summary!$B$6/1440)</f>
        <v>0.33333333333333331</v>
      </c>
      <c r="I6">
        <f>INDEX(PeakCalc!$L$10:$L$303,MATCH(tblPivotData[[#This Row],[Time]],PeakCalc!$G$10:$G$303,0))</f>
        <v>1</v>
      </c>
    </row>
    <row r="7" spans="1:9" x14ac:dyDescent="0.25">
      <c r="A7" t="s">
        <v>95</v>
      </c>
      <c r="B7" t="s">
        <v>99</v>
      </c>
      <c r="C7" t="s">
        <v>92</v>
      </c>
      <c r="D7" t="s">
        <v>79</v>
      </c>
      <c r="E7" t="s">
        <v>43</v>
      </c>
      <c r="F7" s="6">
        <v>0.34375</v>
      </c>
      <c r="G7">
        <v>20</v>
      </c>
      <c r="H7" s="6">
        <f>FLOOR(tblPivotData[[#This Row],[Time]],Summary!$B$6/1440)</f>
        <v>0.34375</v>
      </c>
      <c r="I7">
        <f>INDEX(PeakCalc!$L$10:$L$303,MATCH(tblPivotData[[#This Row],[Time]],PeakCalc!$G$10:$G$303,0))</f>
        <v>1</v>
      </c>
    </row>
    <row r="8" spans="1:9" x14ac:dyDescent="0.25">
      <c r="A8" t="s">
        <v>95</v>
      </c>
      <c r="B8" t="s">
        <v>99</v>
      </c>
      <c r="C8" t="s">
        <v>92</v>
      </c>
      <c r="D8" t="s">
        <v>79</v>
      </c>
      <c r="E8" t="s">
        <v>43</v>
      </c>
      <c r="F8" s="6">
        <v>0.35416666666666669</v>
      </c>
      <c r="G8">
        <v>24</v>
      </c>
      <c r="H8" s="6">
        <f>FLOOR(tblPivotData[[#This Row],[Time]],Summary!$B$6/1440)</f>
        <v>0.35416666666666663</v>
      </c>
      <c r="I8">
        <f>INDEX(PeakCalc!$L$10:$L$303,MATCH(tblPivotData[[#This Row],[Time]],PeakCalc!$G$10:$G$303,0))</f>
        <v>1</v>
      </c>
    </row>
    <row r="9" spans="1:9" x14ac:dyDescent="0.25">
      <c r="A9" t="s">
        <v>95</v>
      </c>
      <c r="B9" t="s">
        <v>99</v>
      </c>
      <c r="C9" t="s">
        <v>92</v>
      </c>
      <c r="D9" t="s">
        <v>79</v>
      </c>
      <c r="E9" t="s">
        <v>43</v>
      </c>
      <c r="F9" s="6">
        <v>0.36458333333333331</v>
      </c>
      <c r="G9">
        <v>12</v>
      </c>
      <c r="H9" s="6">
        <f>FLOOR(tblPivotData[[#This Row],[Time]],Summary!$B$6/1440)</f>
        <v>0.36458333333333331</v>
      </c>
      <c r="I9">
        <f>INDEX(PeakCalc!$L$10:$L$303,MATCH(tblPivotData[[#This Row],[Time]],PeakCalc!$G$10:$G$303,0))</f>
        <v>0</v>
      </c>
    </row>
    <row r="10" spans="1:9" x14ac:dyDescent="0.25">
      <c r="A10" t="s">
        <v>95</v>
      </c>
      <c r="B10" t="s">
        <v>99</v>
      </c>
      <c r="C10" t="s">
        <v>92</v>
      </c>
      <c r="D10" t="s">
        <v>79</v>
      </c>
      <c r="E10" t="s">
        <v>91</v>
      </c>
      <c r="F10" s="6">
        <v>0.54166666666666663</v>
      </c>
      <c r="G10">
        <v>9</v>
      </c>
      <c r="H10" s="6">
        <f>FLOOR(tblPivotData[[#This Row],[Time]],Summary!$B$6/1440)</f>
        <v>0.54166666666666663</v>
      </c>
      <c r="I10">
        <f>INDEX(PeakCalc!$L$10:$L$303,MATCH(tblPivotData[[#This Row],[Time]],PeakCalc!$G$10:$G$303,0))</f>
        <v>1</v>
      </c>
    </row>
    <row r="11" spans="1:9" x14ac:dyDescent="0.25">
      <c r="A11" t="s">
        <v>95</v>
      </c>
      <c r="B11" t="s">
        <v>99</v>
      </c>
      <c r="C11" t="s">
        <v>92</v>
      </c>
      <c r="D11" t="s">
        <v>79</v>
      </c>
      <c r="E11" t="s">
        <v>91</v>
      </c>
      <c r="F11" s="6">
        <v>0.55208333333333337</v>
      </c>
      <c r="G11">
        <v>9</v>
      </c>
      <c r="H11" s="6">
        <f>FLOOR(tblPivotData[[#This Row],[Time]],Summary!$B$6/1440)</f>
        <v>0.55208333333333326</v>
      </c>
      <c r="I11">
        <f>INDEX(PeakCalc!$L$10:$L$303,MATCH(tblPivotData[[#This Row],[Time]],PeakCalc!$G$10:$G$303,0))</f>
        <v>1</v>
      </c>
    </row>
    <row r="12" spans="1:9" x14ac:dyDescent="0.25">
      <c r="A12" t="s">
        <v>95</v>
      </c>
      <c r="B12" t="s">
        <v>99</v>
      </c>
      <c r="C12" t="s">
        <v>92</v>
      </c>
      <c r="D12" t="s">
        <v>79</v>
      </c>
      <c r="E12" t="s">
        <v>91</v>
      </c>
      <c r="F12" s="6">
        <v>0.5625</v>
      </c>
      <c r="G12">
        <v>10</v>
      </c>
      <c r="H12" s="6">
        <f>FLOOR(tblPivotData[[#This Row],[Time]],Summary!$B$6/1440)</f>
        <v>0.5625</v>
      </c>
      <c r="I12">
        <f>INDEX(PeakCalc!$L$10:$L$303,MATCH(tblPivotData[[#This Row],[Time]],PeakCalc!$G$10:$G$303,0))</f>
        <v>1</v>
      </c>
    </row>
    <row r="13" spans="1:9" x14ac:dyDescent="0.25">
      <c r="A13" t="s">
        <v>95</v>
      </c>
      <c r="B13" t="s">
        <v>99</v>
      </c>
      <c r="C13" t="s">
        <v>92</v>
      </c>
      <c r="D13" t="s">
        <v>79</v>
      </c>
      <c r="E13" t="s">
        <v>91</v>
      </c>
      <c r="F13" s="6">
        <v>0.57291666666666663</v>
      </c>
      <c r="G13">
        <v>9</v>
      </c>
      <c r="H13" s="6">
        <f>FLOOR(tblPivotData[[#This Row],[Time]],Summary!$B$6/1440)</f>
        <v>0.57291666666666663</v>
      </c>
      <c r="I13">
        <f>INDEX(PeakCalc!$L$10:$L$303,MATCH(tblPivotData[[#This Row],[Time]],PeakCalc!$G$10:$G$303,0))</f>
        <v>1</v>
      </c>
    </row>
    <row r="14" spans="1:9" x14ac:dyDescent="0.25">
      <c r="A14" t="s">
        <v>95</v>
      </c>
      <c r="B14" t="s">
        <v>99</v>
      </c>
      <c r="C14" t="s">
        <v>92</v>
      </c>
      <c r="D14" t="s">
        <v>79</v>
      </c>
      <c r="E14" t="s">
        <v>44</v>
      </c>
      <c r="F14" s="6">
        <v>0.66666666666666663</v>
      </c>
      <c r="G14">
        <v>16</v>
      </c>
      <c r="H14" s="6">
        <f>FLOOR(tblPivotData[[#This Row],[Time]],Summary!$B$6/1440)</f>
        <v>0.66666666666666663</v>
      </c>
      <c r="I14">
        <f>INDEX(PeakCalc!$L$10:$L$303,MATCH(tblPivotData[[#This Row],[Time]],PeakCalc!$G$10:$G$303,0))</f>
        <v>0</v>
      </c>
    </row>
    <row r="15" spans="1:9" x14ac:dyDescent="0.25">
      <c r="A15" t="s">
        <v>95</v>
      </c>
      <c r="B15" t="s">
        <v>99</v>
      </c>
      <c r="C15" t="s">
        <v>92</v>
      </c>
      <c r="D15" t="s">
        <v>79</v>
      </c>
      <c r="E15" t="s">
        <v>44</v>
      </c>
      <c r="F15" s="6">
        <v>0.67708333333333337</v>
      </c>
      <c r="G15">
        <v>12</v>
      </c>
      <c r="H15" s="6">
        <f>FLOOR(tblPivotData[[#This Row],[Time]],Summary!$B$6/1440)</f>
        <v>0.67708333333333326</v>
      </c>
      <c r="I15">
        <f>INDEX(PeakCalc!$L$10:$L$303,MATCH(tblPivotData[[#This Row],[Time]],PeakCalc!$G$10:$G$303,0))</f>
        <v>1</v>
      </c>
    </row>
    <row r="16" spans="1:9" x14ac:dyDescent="0.25">
      <c r="A16" t="s">
        <v>95</v>
      </c>
      <c r="B16" t="s">
        <v>99</v>
      </c>
      <c r="C16" t="s">
        <v>92</v>
      </c>
      <c r="D16" t="s">
        <v>79</v>
      </c>
      <c r="E16" t="s">
        <v>44</v>
      </c>
      <c r="F16" s="6">
        <v>0.6875</v>
      </c>
      <c r="G16">
        <v>22</v>
      </c>
      <c r="H16" s="6">
        <f>FLOOR(tblPivotData[[#This Row],[Time]],Summary!$B$6/1440)</f>
        <v>0.6875</v>
      </c>
      <c r="I16">
        <f>INDEX(PeakCalc!$L$10:$L$303,MATCH(tblPivotData[[#This Row],[Time]],PeakCalc!$G$10:$G$303,0))</f>
        <v>1</v>
      </c>
    </row>
    <row r="17" spans="1:9" x14ac:dyDescent="0.25">
      <c r="A17" t="s">
        <v>95</v>
      </c>
      <c r="B17" t="s">
        <v>99</v>
      </c>
      <c r="C17" t="s">
        <v>92</v>
      </c>
      <c r="D17" t="s">
        <v>79</v>
      </c>
      <c r="E17" t="s">
        <v>44</v>
      </c>
      <c r="F17" s="6">
        <v>0.69791666666666663</v>
      </c>
      <c r="G17">
        <v>18</v>
      </c>
      <c r="H17" s="6">
        <f>FLOOR(tblPivotData[[#This Row],[Time]],Summary!$B$6/1440)</f>
        <v>0.69791666666666663</v>
      </c>
      <c r="I17">
        <f>INDEX(PeakCalc!$L$10:$L$303,MATCH(tblPivotData[[#This Row],[Time]],PeakCalc!$G$10:$G$303,0))</f>
        <v>1</v>
      </c>
    </row>
    <row r="18" spans="1:9" x14ac:dyDescent="0.25">
      <c r="A18" t="s">
        <v>95</v>
      </c>
      <c r="B18" t="s">
        <v>99</v>
      </c>
      <c r="C18" t="s">
        <v>92</v>
      </c>
      <c r="D18" t="s">
        <v>79</v>
      </c>
      <c r="E18" t="s">
        <v>44</v>
      </c>
      <c r="F18" s="6">
        <v>0.70833333333333337</v>
      </c>
      <c r="G18">
        <v>19</v>
      </c>
      <c r="H18" s="6">
        <f>FLOOR(tblPivotData[[#This Row],[Time]],Summary!$B$6/1440)</f>
        <v>0.70833333333333326</v>
      </c>
      <c r="I18">
        <f>INDEX(PeakCalc!$L$10:$L$303,MATCH(tblPivotData[[#This Row],[Time]],PeakCalc!$G$10:$G$303,0))</f>
        <v>1</v>
      </c>
    </row>
    <row r="19" spans="1:9" x14ac:dyDescent="0.25">
      <c r="A19" t="s">
        <v>95</v>
      </c>
      <c r="B19" t="s">
        <v>99</v>
      </c>
      <c r="C19" t="s">
        <v>92</v>
      </c>
      <c r="D19" t="s">
        <v>79</v>
      </c>
      <c r="E19" t="s">
        <v>44</v>
      </c>
      <c r="F19" s="6">
        <v>0.71875</v>
      </c>
      <c r="G19">
        <v>21</v>
      </c>
      <c r="H19" s="6">
        <f>FLOOR(tblPivotData[[#This Row],[Time]],Summary!$B$6/1440)</f>
        <v>0.71875</v>
      </c>
      <c r="I19">
        <f>INDEX(PeakCalc!$L$10:$L$303,MATCH(tblPivotData[[#This Row],[Time]],PeakCalc!$G$10:$G$303,0))</f>
        <v>0</v>
      </c>
    </row>
    <row r="20" spans="1:9" x14ac:dyDescent="0.25">
      <c r="A20" t="s">
        <v>95</v>
      </c>
      <c r="B20" t="s">
        <v>99</v>
      </c>
      <c r="C20" t="s">
        <v>92</v>
      </c>
      <c r="D20" t="s">
        <v>79</v>
      </c>
      <c r="E20" t="s">
        <v>44</v>
      </c>
      <c r="F20" s="6">
        <v>0.72916666666666663</v>
      </c>
      <c r="G20">
        <v>23</v>
      </c>
      <c r="H20" s="6">
        <f>FLOOR(tblPivotData[[#This Row],[Time]],Summary!$B$6/1440)</f>
        <v>0.72916666666666663</v>
      </c>
      <c r="I20">
        <f>INDEX(PeakCalc!$L$10:$L$303,MATCH(tblPivotData[[#This Row],[Time]],PeakCalc!$G$10:$G$303,0))</f>
        <v>0</v>
      </c>
    </row>
    <row r="21" spans="1:9" x14ac:dyDescent="0.25">
      <c r="A21" t="s">
        <v>95</v>
      </c>
      <c r="B21" t="s">
        <v>99</v>
      </c>
      <c r="C21" t="s">
        <v>92</v>
      </c>
      <c r="D21" t="s">
        <v>79</v>
      </c>
      <c r="E21" t="s">
        <v>44</v>
      </c>
      <c r="F21" s="6">
        <v>0.73958333333333337</v>
      </c>
      <c r="G21">
        <v>12</v>
      </c>
      <c r="H21" s="6">
        <f>FLOOR(tblPivotData[[#This Row],[Time]],Summary!$B$6/1440)</f>
        <v>0.73958333333333326</v>
      </c>
      <c r="I21">
        <f>INDEX(PeakCalc!$L$10:$L$303,MATCH(tblPivotData[[#This Row],[Time]],PeakCalc!$G$10:$G$303,0))</f>
        <v>0</v>
      </c>
    </row>
    <row r="22" spans="1:9" x14ac:dyDescent="0.25">
      <c r="A22" t="s">
        <v>95</v>
      </c>
      <c r="B22" t="s">
        <v>99</v>
      </c>
      <c r="C22" t="s">
        <v>92</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95</v>
      </c>
      <c r="B23" t="s">
        <v>99</v>
      </c>
      <c r="C23" t="s">
        <v>92</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95</v>
      </c>
      <c r="B24" t="s">
        <v>99</v>
      </c>
      <c r="C24" t="s">
        <v>92</v>
      </c>
      <c r="D24" t="s">
        <v>89</v>
      </c>
      <c r="E24" t="s">
        <v>43</v>
      </c>
      <c r="F24" s="6">
        <v>0.3125</v>
      </c>
      <c r="G24">
        <v>0</v>
      </c>
      <c r="H24" s="6">
        <f>FLOOR(tblPivotData[[#This Row],[Time]],Summary!$B$6/1440)</f>
        <v>0.3125</v>
      </c>
      <c r="I24">
        <f>INDEX(PeakCalc!$L$10:$L$303,MATCH(tblPivotData[[#This Row],[Time]],PeakCalc!$G$10:$G$303,0))</f>
        <v>0</v>
      </c>
    </row>
    <row r="25" spans="1:9" x14ac:dyDescent="0.25">
      <c r="A25" t="s">
        <v>95</v>
      </c>
      <c r="B25" t="s">
        <v>99</v>
      </c>
      <c r="C25" t="s">
        <v>92</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95</v>
      </c>
      <c r="B26" t="s">
        <v>99</v>
      </c>
      <c r="C26" t="s">
        <v>92</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95</v>
      </c>
      <c r="B27" t="s">
        <v>99</v>
      </c>
      <c r="C27" t="s">
        <v>92</v>
      </c>
      <c r="D27" t="s">
        <v>89</v>
      </c>
      <c r="E27" t="s">
        <v>43</v>
      </c>
      <c r="F27" s="6">
        <v>0.34375</v>
      </c>
      <c r="G27">
        <v>1</v>
      </c>
      <c r="H27" s="6">
        <f>FLOOR(tblPivotData[[#This Row],[Time]],Summary!$B$6/1440)</f>
        <v>0.34375</v>
      </c>
      <c r="I27">
        <f>INDEX(PeakCalc!$L$10:$L$303,MATCH(tblPivotData[[#This Row],[Time]],PeakCalc!$G$10:$G$303,0))</f>
        <v>1</v>
      </c>
    </row>
    <row r="28" spans="1:9" x14ac:dyDescent="0.25">
      <c r="A28" t="s">
        <v>95</v>
      </c>
      <c r="B28" t="s">
        <v>99</v>
      </c>
      <c r="C28" t="s">
        <v>92</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95</v>
      </c>
      <c r="B29" t="s">
        <v>99</v>
      </c>
      <c r="C29" t="s">
        <v>92</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95</v>
      </c>
      <c r="B30" t="s">
        <v>99</v>
      </c>
      <c r="C30" t="s">
        <v>92</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95</v>
      </c>
      <c r="B31" t="s">
        <v>99</v>
      </c>
      <c r="C31" t="s">
        <v>92</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95</v>
      </c>
      <c r="B32" t="s">
        <v>99</v>
      </c>
      <c r="C32" t="s">
        <v>92</v>
      </c>
      <c r="D32" t="s">
        <v>89</v>
      </c>
      <c r="E32" t="s">
        <v>91</v>
      </c>
      <c r="F32" s="6">
        <v>0.5625</v>
      </c>
      <c r="G32">
        <v>1</v>
      </c>
      <c r="H32" s="6">
        <f>FLOOR(tblPivotData[[#This Row],[Time]],Summary!$B$6/1440)</f>
        <v>0.5625</v>
      </c>
      <c r="I32">
        <f>INDEX(PeakCalc!$L$10:$L$303,MATCH(tblPivotData[[#This Row],[Time]],PeakCalc!$G$10:$G$303,0))</f>
        <v>1</v>
      </c>
    </row>
    <row r="33" spans="1:9" x14ac:dyDescent="0.25">
      <c r="A33" t="s">
        <v>95</v>
      </c>
      <c r="B33" t="s">
        <v>99</v>
      </c>
      <c r="C33" t="s">
        <v>92</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95</v>
      </c>
      <c r="B34" t="s">
        <v>99</v>
      </c>
      <c r="C34" t="s">
        <v>92</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95</v>
      </c>
      <c r="B35" t="s">
        <v>99</v>
      </c>
      <c r="C35" t="s">
        <v>92</v>
      </c>
      <c r="D35" t="s">
        <v>89</v>
      </c>
      <c r="E35" t="s">
        <v>44</v>
      </c>
      <c r="F35" s="6">
        <v>0.67708333333333337</v>
      </c>
      <c r="G35">
        <v>1</v>
      </c>
      <c r="H35" s="6">
        <f>FLOOR(tblPivotData[[#This Row],[Time]],Summary!$B$6/1440)</f>
        <v>0.67708333333333326</v>
      </c>
      <c r="I35">
        <f>INDEX(PeakCalc!$L$10:$L$303,MATCH(tblPivotData[[#This Row],[Time]],PeakCalc!$G$10:$G$303,0))</f>
        <v>1</v>
      </c>
    </row>
    <row r="36" spans="1:9" x14ac:dyDescent="0.25">
      <c r="A36" t="s">
        <v>95</v>
      </c>
      <c r="B36" t="s">
        <v>99</v>
      </c>
      <c r="C36" t="s">
        <v>92</v>
      </c>
      <c r="D36" t="s">
        <v>89</v>
      </c>
      <c r="E36" t="s">
        <v>44</v>
      </c>
      <c r="F36" s="6">
        <v>0.6875</v>
      </c>
      <c r="G36">
        <v>1</v>
      </c>
      <c r="H36" s="6">
        <f>FLOOR(tblPivotData[[#This Row],[Time]],Summary!$B$6/1440)</f>
        <v>0.6875</v>
      </c>
      <c r="I36">
        <f>INDEX(PeakCalc!$L$10:$L$303,MATCH(tblPivotData[[#This Row],[Time]],PeakCalc!$G$10:$G$303,0))</f>
        <v>1</v>
      </c>
    </row>
    <row r="37" spans="1:9" x14ac:dyDescent="0.25">
      <c r="A37" t="s">
        <v>95</v>
      </c>
      <c r="B37" t="s">
        <v>99</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95</v>
      </c>
      <c r="B38" t="s">
        <v>99</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95</v>
      </c>
      <c r="B39" t="s">
        <v>99</v>
      </c>
      <c r="C39" t="s">
        <v>92</v>
      </c>
      <c r="D39" t="s">
        <v>89</v>
      </c>
      <c r="E39" t="s">
        <v>44</v>
      </c>
      <c r="F39" s="6">
        <v>0.71875</v>
      </c>
      <c r="G39">
        <v>1</v>
      </c>
      <c r="H39" s="6">
        <f>FLOOR(tblPivotData[[#This Row],[Time]],Summary!$B$6/1440)</f>
        <v>0.71875</v>
      </c>
      <c r="I39">
        <f>INDEX(PeakCalc!$L$10:$L$303,MATCH(tblPivotData[[#This Row],[Time]],PeakCalc!$G$10:$G$303,0))</f>
        <v>0</v>
      </c>
    </row>
    <row r="40" spans="1:9" x14ac:dyDescent="0.25">
      <c r="A40" t="s">
        <v>95</v>
      </c>
      <c r="B40" t="s">
        <v>99</v>
      </c>
      <c r="C40" t="s">
        <v>92</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95</v>
      </c>
      <c r="B41" t="s">
        <v>99</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95</v>
      </c>
      <c r="B42" t="s">
        <v>99</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95</v>
      </c>
      <c r="B43" t="s">
        <v>99</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95</v>
      </c>
      <c r="B44" t="s">
        <v>99</v>
      </c>
      <c r="C44" t="s">
        <v>92</v>
      </c>
      <c r="D44" t="s">
        <v>90</v>
      </c>
      <c r="E44" t="s">
        <v>43</v>
      </c>
      <c r="F44" s="6">
        <v>0.3125</v>
      </c>
      <c r="G44">
        <v>0</v>
      </c>
      <c r="H44" s="6">
        <f>FLOOR(tblPivotData[[#This Row],[Time]],Summary!$B$6/1440)</f>
        <v>0.3125</v>
      </c>
      <c r="I44">
        <f>INDEX(PeakCalc!$L$10:$L$303,MATCH(tblPivotData[[#This Row],[Time]],PeakCalc!$G$10:$G$303,0))</f>
        <v>0</v>
      </c>
    </row>
    <row r="45" spans="1:9" x14ac:dyDescent="0.25">
      <c r="A45" t="s">
        <v>95</v>
      </c>
      <c r="B45" t="s">
        <v>99</v>
      </c>
      <c r="C45" t="s">
        <v>92</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95</v>
      </c>
      <c r="B46" t="s">
        <v>99</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95</v>
      </c>
      <c r="B47" t="s">
        <v>99</v>
      </c>
      <c r="C47" t="s">
        <v>92</v>
      </c>
      <c r="D47" t="s">
        <v>90</v>
      </c>
      <c r="E47" t="s">
        <v>43</v>
      </c>
      <c r="F47" s="6">
        <v>0.34375</v>
      </c>
      <c r="G47">
        <v>0</v>
      </c>
      <c r="H47" s="6">
        <f>FLOOR(tblPivotData[[#This Row],[Time]],Summary!$B$6/1440)</f>
        <v>0.34375</v>
      </c>
      <c r="I47">
        <f>INDEX(PeakCalc!$L$10:$L$303,MATCH(tblPivotData[[#This Row],[Time]],PeakCalc!$G$10:$G$303,0))</f>
        <v>1</v>
      </c>
    </row>
    <row r="48" spans="1:9" x14ac:dyDescent="0.25">
      <c r="A48" t="s">
        <v>95</v>
      </c>
      <c r="B48" t="s">
        <v>99</v>
      </c>
      <c r="C48" t="s">
        <v>92</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95</v>
      </c>
      <c r="B49" t="s">
        <v>99</v>
      </c>
      <c r="C49" t="s">
        <v>92</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95</v>
      </c>
      <c r="B50" t="s">
        <v>99</v>
      </c>
      <c r="C50" t="s">
        <v>92</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95</v>
      </c>
      <c r="B51" t="s">
        <v>99</v>
      </c>
      <c r="C51" t="s">
        <v>92</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95</v>
      </c>
      <c r="B52" t="s">
        <v>99</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95</v>
      </c>
      <c r="B53" t="s">
        <v>99</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95</v>
      </c>
      <c r="B54" t="s">
        <v>99</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95</v>
      </c>
      <c r="B55" t="s">
        <v>99</v>
      </c>
      <c r="C55" t="s">
        <v>92</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95</v>
      </c>
      <c r="B56" t="s">
        <v>99</v>
      </c>
      <c r="C56" t="s">
        <v>92</v>
      </c>
      <c r="D56" t="s">
        <v>90</v>
      </c>
      <c r="E56" t="s">
        <v>44</v>
      </c>
      <c r="F56" s="6">
        <v>0.6875</v>
      </c>
      <c r="G56">
        <v>0</v>
      </c>
      <c r="H56" s="6">
        <f>FLOOR(tblPivotData[[#This Row],[Time]],Summary!$B$6/1440)</f>
        <v>0.6875</v>
      </c>
      <c r="I56">
        <f>INDEX(PeakCalc!$L$10:$L$303,MATCH(tblPivotData[[#This Row],[Time]],PeakCalc!$G$10:$G$303,0))</f>
        <v>1</v>
      </c>
    </row>
    <row r="57" spans="1:9" x14ac:dyDescent="0.25">
      <c r="A57" t="s">
        <v>95</v>
      </c>
      <c r="B57" t="s">
        <v>99</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95</v>
      </c>
      <c r="B58" t="s">
        <v>99</v>
      </c>
      <c r="C58" t="s">
        <v>92</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95</v>
      </c>
      <c r="B59" t="s">
        <v>99</v>
      </c>
      <c r="C59" t="s">
        <v>92</v>
      </c>
      <c r="D59" t="s">
        <v>90</v>
      </c>
      <c r="E59" t="s">
        <v>44</v>
      </c>
      <c r="F59" s="6">
        <v>0.71875</v>
      </c>
      <c r="G59">
        <v>0</v>
      </c>
      <c r="H59" s="6">
        <f>FLOOR(tblPivotData[[#This Row],[Time]],Summary!$B$6/1440)</f>
        <v>0.71875</v>
      </c>
      <c r="I59">
        <f>INDEX(PeakCalc!$L$10:$L$303,MATCH(tblPivotData[[#This Row],[Time]],PeakCalc!$G$10:$G$303,0))</f>
        <v>0</v>
      </c>
    </row>
    <row r="60" spans="1:9" x14ac:dyDescent="0.25">
      <c r="A60" t="s">
        <v>95</v>
      </c>
      <c r="B60" t="s">
        <v>99</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95</v>
      </c>
      <c r="B61" t="s">
        <v>99</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95</v>
      </c>
      <c r="B62" t="s">
        <v>100</v>
      </c>
      <c r="C62" t="s">
        <v>96</v>
      </c>
      <c r="D62" t="s">
        <v>79</v>
      </c>
      <c r="E62" t="s">
        <v>43</v>
      </c>
      <c r="F62" s="6">
        <v>0.29166666666666669</v>
      </c>
      <c r="G62">
        <v>262</v>
      </c>
      <c r="H62" s="6">
        <f>FLOOR(tblPivotData[[#This Row],[Time]],Summary!$B$6/1440)</f>
        <v>0.29166666666666663</v>
      </c>
      <c r="I62">
        <f>INDEX(PeakCalc!$L$10:$L$303,MATCH(tblPivotData[[#This Row],[Time]],PeakCalc!$G$10:$G$303,0))</f>
        <v>0</v>
      </c>
    </row>
    <row r="63" spans="1:9" x14ac:dyDescent="0.25">
      <c r="A63" t="s">
        <v>95</v>
      </c>
      <c r="B63" t="s">
        <v>100</v>
      </c>
      <c r="C63" t="s">
        <v>96</v>
      </c>
      <c r="D63" t="s">
        <v>79</v>
      </c>
      <c r="E63" t="s">
        <v>43</v>
      </c>
      <c r="F63" s="6">
        <v>0.30208333333333331</v>
      </c>
      <c r="G63">
        <v>303</v>
      </c>
      <c r="H63" s="6">
        <f>FLOOR(tblPivotData[[#This Row],[Time]],Summary!$B$6/1440)</f>
        <v>0.30208333333333331</v>
      </c>
      <c r="I63">
        <f>INDEX(PeakCalc!$L$10:$L$303,MATCH(tblPivotData[[#This Row],[Time]],PeakCalc!$G$10:$G$303,0))</f>
        <v>0</v>
      </c>
    </row>
    <row r="64" spans="1:9" x14ac:dyDescent="0.25">
      <c r="A64" t="s">
        <v>95</v>
      </c>
      <c r="B64" t="s">
        <v>100</v>
      </c>
      <c r="C64" t="s">
        <v>96</v>
      </c>
      <c r="D64" t="s">
        <v>79</v>
      </c>
      <c r="E64" t="s">
        <v>43</v>
      </c>
      <c r="F64" s="6">
        <v>0.3125</v>
      </c>
      <c r="G64">
        <v>245</v>
      </c>
      <c r="H64" s="6">
        <f>FLOOR(tblPivotData[[#This Row],[Time]],Summary!$B$6/1440)</f>
        <v>0.3125</v>
      </c>
      <c r="I64">
        <f>INDEX(PeakCalc!$L$10:$L$303,MATCH(tblPivotData[[#This Row],[Time]],PeakCalc!$G$10:$G$303,0))</f>
        <v>0</v>
      </c>
    </row>
    <row r="65" spans="1:9" x14ac:dyDescent="0.25">
      <c r="A65" t="s">
        <v>95</v>
      </c>
      <c r="B65" t="s">
        <v>100</v>
      </c>
      <c r="C65" t="s">
        <v>96</v>
      </c>
      <c r="D65" t="s">
        <v>79</v>
      </c>
      <c r="E65" t="s">
        <v>43</v>
      </c>
      <c r="F65" s="6">
        <v>0.32291666666666669</v>
      </c>
      <c r="G65">
        <v>298</v>
      </c>
      <c r="H65" s="6">
        <f>FLOOR(tblPivotData[[#This Row],[Time]],Summary!$B$6/1440)</f>
        <v>0.32291666666666663</v>
      </c>
      <c r="I65">
        <f>INDEX(PeakCalc!$L$10:$L$303,MATCH(tblPivotData[[#This Row],[Time]],PeakCalc!$G$10:$G$303,0))</f>
        <v>1</v>
      </c>
    </row>
    <row r="66" spans="1:9" x14ac:dyDescent="0.25">
      <c r="A66" t="s">
        <v>95</v>
      </c>
      <c r="B66" t="s">
        <v>100</v>
      </c>
      <c r="C66" t="s">
        <v>96</v>
      </c>
      <c r="D66" t="s">
        <v>79</v>
      </c>
      <c r="E66" t="s">
        <v>43</v>
      </c>
      <c r="F66" s="6">
        <v>0.33333333333333331</v>
      </c>
      <c r="G66">
        <v>234</v>
      </c>
      <c r="H66" s="6">
        <f>FLOOR(tblPivotData[[#This Row],[Time]],Summary!$B$6/1440)</f>
        <v>0.33333333333333331</v>
      </c>
      <c r="I66">
        <f>INDEX(PeakCalc!$L$10:$L$303,MATCH(tblPivotData[[#This Row],[Time]],PeakCalc!$G$10:$G$303,0))</f>
        <v>1</v>
      </c>
    </row>
    <row r="67" spans="1:9" x14ac:dyDescent="0.25">
      <c r="A67" t="s">
        <v>95</v>
      </c>
      <c r="B67" t="s">
        <v>100</v>
      </c>
      <c r="C67" t="s">
        <v>96</v>
      </c>
      <c r="D67" t="s">
        <v>79</v>
      </c>
      <c r="E67" t="s">
        <v>43</v>
      </c>
      <c r="F67" s="6">
        <v>0.34375</v>
      </c>
      <c r="G67">
        <v>243</v>
      </c>
      <c r="H67" s="6">
        <f>FLOOR(tblPivotData[[#This Row],[Time]],Summary!$B$6/1440)</f>
        <v>0.34375</v>
      </c>
      <c r="I67">
        <f>INDEX(PeakCalc!$L$10:$L$303,MATCH(tblPivotData[[#This Row],[Time]],PeakCalc!$G$10:$G$303,0))</f>
        <v>1</v>
      </c>
    </row>
    <row r="68" spans="1:9" x14ac:dyDescent="0.25">
      <c r="A68" t="s">
        <v>95</v>
      </c>
      <c r="B68" t="s">
        <v>100</v>
      </c>
      <c r="C68" t="s">
        <v>96</v>
      </c>
      <c r="D68" t="s">
        <v>79</v>
      </c>
      <c r="E68" t="s">
        <v>43</v>
      </c>
      <c r="F68" s="6">
        <v>0.35416666666666669</v>
      </c>
      <c r="G68">
        <v>236</v>
      </c>
      <c r="H68" s="6">
        <f>FLOOR(tblPivotData[[#This Row],[Time]],Summary!$B$6/1440)</f>
        <v>0.35416666666666663</v>
      </c>
      <c r="I68">
        <f>INDEX(PeakCalc!$L$10:$L$303,MATCH(tblPivotData[[#This Row],[Time]],PeakCalc!$G$10:$G$303,0))</f>
        <v>1</v>
      </c>
    </row>
    <row r="69" spans="1:9" x14ac:dyDescent="0.25">
      <c r="A69" t="s">
        <v>95</v>
      </c>
      <c r="B69" t="s">
        <v>100</v>
      </c>
      <c r="C69" t="s">
        <v>96</v>
      </c>
      <c r="D69" t="s">
        <v>79</v>
      </c>
      <c r="E69" t="s">
        <v>43</v>
      </c>
      <c r="F69" s="6">
        <v>0.36458333333333331</v>
      </c>
      <c r="G69">
        <v>221</v>
      </c>
      <c r="H69" s="6">
        <f>FLOOR(tblPivotData[[#This Row],[Time]],Summary!$B$6/1440)</f>
        <v>0.36458333333333331</v>
      </c>
      <c r="I69">
        <f>INDEX(PeakCalc!$L$10:$L$303,MATCH(tblPivotData[[#This Row],[Time]],PeakCalc!$G$10:$G$303,0))</f>
        <v>0</v>
      </c>
    </row>
    <row r="70" spans="1:9" x14ac:dyDescent="0.25">
      <c r="A70" t="s">
        <v>95</v>
      </c>
      <c r="B70" t="s">
        <v>100</v>
      </c>
      <c r="C70" t="s">
        <v>96</v>
      </c>
      <c r="D70" t="s">
        <v>79</v>
      </c>
      <c r="E70" t="s">
        <v>91</v>
      </c>
      <c r="F70" s="6">
        <v>0.54166666666666663</v>
      </c>
      <c r="G70">
        <v>173</v>
      </c>
      <c r="H70" s="6">
        <f>FLOOR(tblPivotData[[#This Row],[Time]],Summary!$B$6/1440)</f>
        <v>0.54166666666666663</v>
      </c>
      <c r="I70">
        <f>INDEX(PeakCalc!$L$10:$L$303,MATCH(tblPivotData[[#This Row],[Time]],PeakCalc!$G$10:$G$303,0))</f>
        <v>1</v>
      </c>
    </row>
    <row r="71" spans="1:9" x14ac:dyDescent="0.25">
      <c r="A71" t="s">
        <v>95</v>
      </c>
      <c r="B71" t="s">
        <v>100</v>
      </c>
      <c r="C71" t="s">
        <v>96</v>
      </c>
      <c r="D71" t="s">
        <v>79</v>
      </c>
      <c r="E71" t="s">
        <v>91</v>
      </c>
      <c r="F71" s="6">
        <v>0.55208333333333337</v>
      </c>
      <c r="G71">
        <v>216</v>
      </c>
      <c r="H71" s="6">
        <f>FLOOR(tblPivotData[[#This Row],[Time]],Summary!$B$6/1440)</f>
        <v>0.55208333333333326</v>
      </c>
      <c r="I71">
        <f>INDEX(PeakCalc!$L$10:$L$303,MATCH(tblPivotData[[#This Row],[Time]],PeakCalc!$G$10:$G$303,0))</f>
        <v>1</v>
      </c>
    </row>
    <row r="72" spans="1:9" x14ac:dyDescent="0.25">
      <c r="A72" t="s">
        <v>95</v>
      </c>
      <c r="B72" t="s">
        <v>100</v>
      </c>
      <c r="C72" t="s">
        <v>96</v>
      </c>
      <c r="D72" t="s">
        <v>79</v>
      </c>
      <c r="E72" t="s">
        <v>91</v>
      </c>
      <c r="F72" s="6">
        <v>0.5625</v>
      </c>
      <c r="G72">
        <v>174</v>
      </c>
      <c r="H72" s="6">
        <f>FLOOR(tblPivotData[[#This Row],[Time]],Summary!$B$6/1440)</f>
        <v>0.5625</v>
      </c>
      <c r="I72">
        <f>INDEX(PeakCalc!$L$10:$L$303,MATCH(tblPivotData[[#This Row],[Time]],PeakCalc!$G$10:$G$303,0))</f>
        <v>1</v>
      </c>
    </row>
    <row r="73" spans="1:9" x14ac:dyDescent="0.25">
      <c r="A73" t="s">
        <v>95</v>
      </c>
      <c r="B73" t="s">
        <v>100</v>
      </c>
      <c r="C73" t="s">
        <v>96</v>
      </c>
      <c r="D73" t="s">
        <v>79</v>
      </c>
      <c r="E73" t="s">
        <v>91</v>
      </c>
      <c r="F73" s="6">
        <v>0.57291666666666663</v>
      </c>
      <c r="G73">
        <v>189</v>
      </c>
      <c r="H73" s="6">
        <f>FLOOR(tblPivotData[[#This Row],[Time]],Summary!$B$6/1440)</f>
        <v>0.57291666666666663</v>
      </c>
      <c r="I73">
        <f>INDEX(PeakCalc!$L$10:$L$303,MATCH(tblPivotData[[#This Row],[Time]],PeakCalc!$G$10:$G$303,0))</f>
        <v>1</v>
      </c>
    </row>
    <row r="74" spans="1:9" x14ac:dyDescent="0.25">
      <c r="A74" t="s">
        <v>95</v>
      </c>
      <c r="B74" t="s">
        <v>100</v>
      </c>
      <c r="C74" t="s">
        <v>96</v>
      </c>
      <c r="D74" t="s">
        <v>79</v>
      </c>
      <c r="E74" t="s">
        <v>44</v>
      </c>
      <c r="F74" s="6">
        <v>0.66666666666666663</v>
      </c>
      <c r="G74">
        <v>192</v>
      </c>
      <c r="H74" s="6">
        <f>FLOOR(tblPivotData[[#This Row],[Time]],Summary!$B$6/1440)</f>
        <v>0.66666666666666663</v>
      </c>
      <c r="I74">
        <f>INDEX(PeakCalc!$L$10:$L$303,MATCH(tblPivotData[[#This Row],[Time]],PeakCalc!$G$10:$G$303,0))</f>
        <v>0</v>
      </c>
    </row>
    <row r="75" spans="1:9" x14ac:dyDescent="0.25">
      <c r="A75" t="s">
        <v>95</v>
      </c>
      <c r="B75" t="s">
        <v>100</v>
      </c>
      <c r="C75" t="s">
        <v>96</v>
      </c>
      <c r="D75" t="s">
        <v>79</v>
      </c>
      <c r="E75" t="s">
        <v>44</v>
      </c>
      <c r="F75" s="6">
        <v>0.67708333333333337</v>
      </c>
      <c r="G75">
        <v>236</v>
      </c>
      <c r="H75" s="6">
        <f>FLOOR(tblPivotData[[#This Row],[Time]],Summary!$B$6/1440)</f>
        <v>0.67708333333333326</v>
      </c>
      <c r="I75">
        <f>INDEX(PeakCalc!$L$10:$L$303,MATCH(tblPivotData[[#This Row],[Time]],PeakCalc!$G$10:$G$303,0))</f>
        <v>1</v>
      </c>
    </row>
    <row r="76" spans="1:9" x14ac:dyDescent="0.25">
      <c r="A76" t="s">
        <v>95</v>
      </c>
      <c r="B76" t="s">
        <v>100</v>
      </c>
      <c r="C76" t="s">
        <v>96</v>
      </c>
      <c r="D76" t="s">
        <v>79</v>
      </c>
      <c r="E76" t="s">
        <v>44</v>
      </c>
      <c r="F76" s="6">
        <v>0.6875</v>
      </c>
      <c r="G76">
        <v>263</v>
      </c>
      <c r="H76" s="6">
        <f>FLOOR(tblPivotData[[#This Row],[Time]],Summary!$B$6/1440)</f>
        <v>0.6875</v>
      </c>
      <c r="I76">
        <f>INDEX(PeakCalc!$L$10:$L$303,MATCH(tblPivotData[[#This Row],[Time]],PeakCalc!$G$10:$G$303,0))</f>
        <v>1</v>
      </c>
    </row>
    <row r="77" spans="1:9" x14ac:dyDescent="0.25">
      <c r="A77" t="s">
        <v>95</v>
      </c>
      <c r="B77" t="s">
        <v>100</v>
      </c>
      <c r="C77" t="s">
        <v>96</v>
      </c>
      <c r="D77" t="s">
        <v>79</v>
      </c>
      <c r="E77" t="s">
        <v>44</v>
      </c>
      <c r="F77" s="6">
        <v>0.69791666666666663</v>
      </c>
      <c r="G77">
        <v>206</v>
      </c>
      <c r="H77" s="6">
        <f>FLOOR(tblPivotData[[#This Row],[Time]],Summary!$B$6/1440)</f>
        <v>0.69791666666666663</v>
      </c>
      <c r="I77">
        <f>INDEX(PeakCalc!$L$10:$L$303,MATCH(tblPivotData[[#This Row],[Time]],PeakCalc!$G$10:$G$303,0))</f>
        <v>1</v>
      </c>
    </row>
    <row r="78" spans="1:9" x14ac:dyDescent="0.25">
      <c r="A78" t="s">
        <v>95</v>
      </c>
      <c r="B78" t="s">
        <v>100</v>
      </c>
      <c r="C78" t="s">
        <v>96</v>
      </c>
      <c r="D78" t="s">
        <v>79</v>
      </c>
      <c r="E78" t="s">
        <v>44</v>
      </c>
      <c r="F78" s="6">
        <v>0.70833333333333337</v>
      </c>
      <c r="G78">
        <v>239</v>
      </c>
      <c r="H78" s="6">
        <f>FLOOR(tblPivotData[[#This Row],[Time]],Summary!$B$6/1440)</f>
        <v>0.70833333333333326</v>
      </c>
      <c r="I78">
        <f>INDEX(PeakCalc!$L$10:$L$303,MATCH(tblPivotData[[#This Row],[Time]],PeakCalc!$G$10:$G$303,0))</f>
        <v>1</v>
      </c>
    </row>
    <row r="79" spans="1:9" x14ac:dyDescent="0.25">
      <c r="A79" t="s">
        <v>95</v>
      </c>
      <c r="B79" t="s">
        <v>100</v>
      </c>
      <c r="C79" t="s">
        <v>96</v>
      </c>
      <c r="D79" t="s">
        <v>79</v>
      </c>
      <c r="E79" t="s">
        <v>44</v>
      </c>
      <c r="F79" s="6">
        <v>0.71875</v>
      </c>
      <c r="G79">
        <v>209</v>
      </c>
      <c r="H79" s="6">
        <f>FLOOR(tblPivotData[[#This Row],[Time]],Summary!$B$6/1440)</f>
        <v>0.71875</v>
      </c>
      <c r="I79">
        <f>INDEX(PeakCalc!$L$10:$L$303,MATCH(tblPivotData[[#This Row],[Time]],PeakCalc!$G$10:$G$303,0))</f>
        <v>0</v>
      </c>
    </row>
    <row r="80" spans="1:9" x14ac:dyDescent="0.25">
      <c r="A80" t="s">
        <v>95</v>
      </c>
      <c r="B80" t="s">
        <v>100</v>
      </c>
      <c r="C80" t="s">
        <v>96</v>
      </c>
      <c r="D80" t="s">
        <v>79</v>
      </c>
      <c r="E80" t="s">
        <v>44</v>
      </c>
      <c r="F80" s="6">
        <v>0.72916666666666663</v>
      </c>
      <c r="G80">
        <v>209</v>
      </c>
      <c r="H80" s="6">
        <f>FLOOR(tblPivotData[[#This Row],[Time]],Summary!$B$6/1440)</f>
        <v>0.72916666666666663</v>
      </c>
      <c r="I80">
        <f>INDEX(PeakCalc!$L$10:$L$303,MATCH(tblPivotData[[#This Row],[Time]],PeakCalc!$G$10:$G$303,0))</f>
        <v>0</v>
      </c>
    </row>
    <row r="81" spans="1:9" x14ac:dyDescent="0.25">
      <c r="A81" t="s">
        <v>95</v>
      </c>
      <c r="B81" t="s">
        <v>100</v>
      </c>
      <c r="C81" t="s">
        <v>96</v>
      </c>
      <c r="D81" t="s">
        <v>79</v>
      </c>
      <c r="E81" t="s">
        <v>44</v>
      </c>
      <c r="F81" s="6">
        <v>0.73958333333333337</v>
      </c>
      <c r="G81">
        <v>177</v>
      </c>
      <c r="H81" s="6">
        <f>FLOOR(tblPivotData[[#This Row],[Time]],Summary!$B$6/1440)</f>
        <v>0.73958333333333326</v>
      </c>
      <c r="I81">
        <f>INDEX(PeakCalc!$L$10:$L$303,MATCH(tblPivotData[[#This Row],[Time]],PeakCalc!$G$10:$G$303,0))</f>
        <v>0</v>
      </c>
    </row>
    <row r="82" spans="1:9" x14ac:dyDescent="0.25">
      <c r="A82" t="s">
        <v>95</v>
      </c>
      <c r="B82" t="s">
        <v>100</v>
      </c>
      <c r="C82" t="s">
        <v>96</v>
      </c>
      <c r="D82" t="s">
        <v>89</v>
      </c>
      <c r="E82" t="s">
        <v>43</v>
      </c>
      <c r="F82" s="6">
        <v>0.29166666666666669</v>
      </c>
      <c r="G82">
        <v>13</v>
      </c>
      <c r="H82" s="6">
        <f>FLOOR(tblPivotData[[#This Row],[Time]],Summary!$B$6/1440)</f>
        <v>0.29166666666666663</v>
      </c>
      <c r="I82">
        <f>INDEX(PeakCalc!$L$10:$L$303,MATCH(tblPivotData[[#This Row],[Time]],PeakCalc!$G$10:$G$303,0))</f>
        <v>0</v>
      </c>
    </row>
    <row r="83" spans="1:9" x14ac:dyDescent="0.25">
      <c r="A83" t="s">
        <v>95</v>
      </c>
      <c r="B83" t="s">
        <v>100</v>
      </c>
      <c r="C83" t="s">
        <v>96</v>
      </c>
      <c r="D83" t="s">
        <v>89</v>
      </c>
      <c r="E83" t="s">
        <v>43</v>
      </c>
      <c r="F83" s="6">
        <v>0.30208333333333331</v>
      </c>
      <c r="G83">
        <v>21</v>
      </c>
      <c r="H83" s="6">
        <f>FLOOR(tblPivotData[[#This Row],[Time]],Summary!$B$6/1440)</f>
        <v>0.30208333333333331</v>
      </c>
      <c r="I83">
        <f>INDEX(PeakCalc!$L$10:$L$303,MATCH(tblPivotData[[#This Row],[Time]],PeakCalc!$G$10:$G$303,0))</f>
        <v>0</v>
      </c>
    </row>
    <row r="84" spans="1:9" x14ac:dyDescent="0.25">
      <c r="A84" t="s">
        <v>95</v>
      </c>
      <c r="B84" t="s">
        <v>100</v>
      </c>
      <c r="C84" t="s">
        <v>96</v>
      </c>
      <c r="D84" t="s">
        <v>89</v>
      </c>
      <c r="E84" t="s">
        <v>43</v>
      </c>
      <c r="F84" s="6">
        <v>0.3125</v>
      </c>
      <c r="G84">
        <v>12</v>
      </c>
      <c r="H84" s="6">
        <f>FLOOR(tblPivotData[[#This Row],[Time]],Summary!$B$6/1440)</f>
        <v>0.3125</v>
      </c>
      <c r="I84">
        <f>INDEX(PeakCalc!$L$10:$L$303,MATCH(tblPivotData[[#This Row],[Time]],PeakCalc!$G$10:$G$303,0))</f>
        <v>0</v>
      </c>
    </row>
    <row r="85" spans="1:9" x14ac:dyDescent="0.25">
      <c r="A85" t="s">
        <v>95</v>
      </c>
      <c r="B85" t="s">
        <v>100</v>
      </c>
      <c r="C85" t="s">
        <v>96</v>
      </c>
      <c r="D85" t="s">
        <v>89</v>
      </c>
      <c r="E85" t="s">
        <v>43</v>
      </c>
      <c r="F85" s="6">
        <v>0.32291666666666669</v>
      </c>
      <c r="G85">
        <v>20</v>
      </c>
      <c r="H85" s="6">
        <f>FLOOR(tblPivotData[[#This Row],[Time]],Summary!$B$6/1440)</f>
        <v>0.32291666666666663</v>
      </c>
      <c r="I85">
        <f>INDEX(PeakCalc!$L$10:$L$303,MATCH(tblPivotData[[#This Row],[Time]],PeakCalc!$G$10:$G$303,0))</f>
        <v>1</v>
      </c>
    </row>
    <row r="86" spans="1:9" x14ac:dyDescent="0.25">
      <c r="A86" t="s">
        <v>95</v>
      </c>
      <c r="B86" t="s">
        <v>100</v>
      </c>
      <c r="C86" t="s">
        <v>96</v>
      </c>
      <c r="D86" t="s">
        <v>89</v>
      </c>
      <c r="E86" t="s">
        <v>43</v>
      </c>
      <c r="F86" s="6">
        <v>0.33333333333333331</v>
      </c>
      <c r="G86">
        <v>19</v>
      </c>
      <c r="H86" s="6">
        <f>FLOOR(tblPivotData[[#This Row],[Time]],Summary!$B$6/1440)</f>
        <v>0.33333333333333331</v>
      </c>
      <c r="I86">
        <f>INDEX(PeakCalc!$L$10:$L$303,MATCH(tblPivotData[[#This Row],[Time]],PeakCalc!$G$10:$G$303,0))</f>
        <v>1</v>
      </c>
    </row>
    <row r="87" spans="1:9" x14ac:dyDescent="0.25">
      <c r="A87" t="s">
        <v>95</v>
      </c>
      <c r="B87" t="s">
        <v>100</v>
      </c>
      <c r="C87" t="s">
        <v>96</v>
      </c>
      <c r="D87" t="s">
        <v>89</v>
      </c>
      <c r="E87" t="s">
        <v>43</v>
      </c>
      <c r="F87" s="6">
        <v>0.34375</v>
      </c>
      <c r="G87">
        <v>18</v>
      </c>
      <c r="H87" s="6">
        <f>FLOOR(tblPivotData[[#This Row],[Time]],Summary!$B$6/1440)</f>
        <v>0.34375</v>
      </c>
      <c r="I87">
        <f>INDEX(PeakCalc!$L$10:$L$303,MATCH(tblPivotData[[#This Row],[Time]],PeakCalc!$G$10:$G$303,0))</f>
        <v>1</v>
      </c>
    </row>
    <row r="88" spans="1:9" x14ac:dyDescent="0.25">
      <c r="A88" t="s">
        <v>95</v>
      </c>
      <c r="B88" t="s">
        <v>100</v>
      </c>
      <c r="C88" t="s">
        <v>96</v>
      </c>
      <c r="D88" t="s">
        <v>89</v>
      </c>
      <c r="E88" t="s">
        <v>43</v>
      </c>
      <c r="F88" s="6">
        <v>0.35416666666666669</v>
      </c>
      <c r="G88">
        <v>22</v>
      </c>
      <c r="H88" s="6">
        <f>FLOOR(tblPivotData[[#This Row],[Time]],Summary!$B$6/1440)</f>
        <v>0.35416666666666663</v>
      </c>
      <c r="I88">
        <f>INDEX(PeakCalc!$L$10:$L$303,MATCH(tblPivotData[[#This Row],[Time]],PeakCalc!$G$10:$G$303,0))</f>
        <v>1</v>
      </c>
    </row>
    <row r="89" spans="1:9" x14ac:dyDescent="0.25">
      <c r="A89" t="s">
        <v>95</v>
      </c>
      <c r="B89" t="s">
        <v>100</v>
      </c>
      <c r="C89" t="s">
        <v>96</v>
      </c>
      <c r="D89" t="s">
        <v>89</v>
      </c>
      <c r="E89" t="s">
        <v>43</v>
      </c>
      <c r="F89" s="6">
        <v>0.36458333333333331</v>
      </c>
      <c r="G89">
        <v>28</v>
      </c>
      <c r="H89" s="6">
        <f>FLOOR(tblPivotData[[#This Row],[Time]],Summary!$B$6/1440)</f>
        <v>0.36458333333333331</v>
      </c>
      <c r="I89">
        <f>INDEX(PeakCalc!$L$10:$L$303,MATCH(tblPivotData[[#This Row],[Time]],PeakCalc!$G$10:$G$303,0))</f>
        <v>0</v>
      </c>
    </row>
    <row r="90" spans="1:9" x14ac:dyDescent="0.25">
      <c r="A90" t="s">
        <v>95</v>
      </c>
      <c r="B90" t="s">
        <v>100</v>
      </c>
      <c r="C90" t="s">
        <v>96</v>
      </c>
      <c r="D90" t="s">
        <v>89</v>
      </c>
      <c r="E90" t="s">
        <v>91</v>
      </c>
      <c r="F90" s="6">
        <v>0.54166666666666663</v>
      </c>
      <c r="G90">
        <v>15</v>
      </c>
      <c r="H90" s="6">
        <f>FLOOR(tblPivotData[[#This Row],[Time]],Summary!$B$6/1440)</f>
        <v>0.54166666666666663</v>
      </c>
      <c r="I90">
        <f>INDEX(PeakCalc!$L$10:$L$303,MATCH(tblPivotData[[#This Row],[Time]],PeakCalc!$G$10:$G$303,0))</f>
        <v>1</v>
      </c>
    </row>
    <row r="91" spans="1:9" x14ac:dyDescent="0.25">
      <c r="A91" t="s">
        <v>95</v>
      </c>
      <c r="B91" t="s">
        <v>100</v>
      </c>
      <c r="C91" t="s">
        <v>96</v>
      </c>
      <c r="D91" t="s">
        <v>89</v>
      </c>
      <c r="E91" t="s">
        <v>91</v>
      </c>
      <c r="F91" s="6">
        <v>0.55208333333333337</v>
      </c>
      <c r="G91">
        <v>21</v>
      </c>
      <c r="H91" s="6">
        <f>FLOOR(tblPivotData[[#This Row],[Time]],Summary!$B$6/1440)</f>
        <v>0.55208333333333326</v>
      </c>
      <c r="I91">
        <f>INDEX(PeakCalc!$L$10:$L$303,MATCH(tblPivotData[[#This Row],[Time]],PeakCalc!$G$10:$G$303,0))</f>
        <v>1</v>
      </c>
    </row>
    <row r="92" spans="1:9" x14ac:dyDescent="0.25">
      <c r="A92" t="s">
        <v>95</v>
      </c>
      <c r="B92" t="s">
        <v>100</v>
      </c>
      <c r="C92" t="s">
        <v>96</v>
      </c>
      <c r="D92" t="s">
        <v>89</v>
      </c>
      <c r="E92" t="s">
        <v>91</v>
      </c>
      <c r="F92" s="6">
        <v>0.5625</v>
      </c>
      <c r="G92">
        <v>16</v>
      </c>
      <c r="H92" s="6">
        <f>FLOOR(tblPivotData[[#This Row],[Time]],Summary!$B$6/1440)</f>
        <v>0.5625</v>
      </c>
      <c r="I92">
        <f>INDEX(PeakCalc!$L$10:$L$303,MATCH(tblPivotData[[#This Row],[Time]],PeakCalc!$G$10:$G$303,0))</f>
        <v>1</v>
      </c>
    </row>
    <row r="93" spans="1:9" x14ac:dyDescent="0.25">
      <c r="A93" t="s">
        <v>95</v>
      </c>
      <c r="B93" t="s">
        <v>100</v>
      </c>
      <c r="C93" t="s">
        <v>96</v>
      </c>
      <c r="D93" t="s">
        <v>89</v>
      </c>
      <c r="E93" t="s">
        <v>91</v>
      </c>
      <c r="F93" s="6">
        <v>0.57291666666666663</v>
      </c>
      <c r="G93">
        <v>17</v>
      </c>
      <c r="H93" s="6">
        <f>FLOOR(tblPivotData[[#This Row],[Time]],Summary!$B$6/1440)</f>
        <v>0.57291666666666663</v>
      </c>
      <c r="I93">
        <f>INDEX(PeakCalc!$L$10:$L$303,MATCH(tblPivotData[[#This Row],[Time]],PeakCalc!$G$10:$G$303,0))</f>
        <v>1</v>
      </c>
    </row>
    <row r="94" spans="1:9" x14ac:dyDescent="0.25">
      <c r="A94" t="s">
        <v>95</v>
      </c>
      <c r="B94" t="s">
        <v>100</v>
      </c>
      <c r="C94" t="s">
        <v>96</v>
      </c>
      <c r="D94" t="s">
        <v>89</v>
      </c>
      <c r="E94" t="s">
        <v>44</v>
      </c>
      <c r="F94" s="6">
        <v>0.66666666666666663</v>
      </c>
      <c r="G94">
        <v>18</v>
      </c>
      <c r="H94" s="6">
        <f>FLOOR(tblPivotData[[#This Row],[Time]],Summary!$B$6/1440)</f>
        <v>0.66666666666666663</v>
      </c>
      <c r="I94">
        <f>INDEX(PeakCalc!$L$10:$L$303,MATCH(tblPivotData[[#This Row],[Time]],PeakCalc!$G$10:$G$303,0))</f>
        <v>0</v>
      </c>
    </row>
    <row r="95" spans="1:9" x14ac:dyDescent="0.25">
      <c r="A95" t="s">
        <v>95</v>
      </c>
      <c r="B95" t="s">
        <v>100</v>
      </c>
      <c r="C95" t="s">
        <v>96</v>
      </c>
      <c r="D95" t="s">
        <v>89</v>
      </c>
      <c r="E95" t="s">
        <v>44</v>
      </c>
      <c r="F95" s="6">
        <v>0.67708333333333337</v>
      </c>
      <c r="G95">
        <v>10</v>
      </c>
      <c r="H95" s="6">
        <f>FLOOR(tblPivotData[[#This Row],[Time]],Summary!$B$6/1440)</f>
        <v>0.67708333333333326</v>
      </c>
      <c r="I95">
        <f>INDEX(PeakCalc!$L$10:$L$303,MATCH(tblPivotData[[#This Row],[Time]],PeakCalc!$G$10:$G$303,0))</f>
        <v>1</v>
      </c>
    </row>
    <row r="96" spans="1:9" x14ac:dyDescent="0.25">
      <c r="A96" t="s">
        <v>95</v>
      </c>
      <c r="B96" t="s">
        <v>100</v>
      </c>
      <c r="C96" t="s">
        <v>96</v>
      </c>
      <c r="D96" t="s">
        <v>89</v>
      </c>
      <c r="E96" t="s">
        <v>44</v>
      </c>
      <c r="F96" s="6">
        <v>0.6875</v>
      </c>
      <c r="G96">
        <v>12</v>
      </c>
      <c r="H96" s="6">
        <f>FLOOR(tblPivotData[[#This Row],[Time]],Summary!$B$6/1440)</f>
        <v>0.6875</v>
      </c>
      <c r="I96">
        <f>INDEX(PeakCalc!$L$10:$L$303,MATCH(tblPivotData[[#This Row],[Time]],PeakCalc!$G$10:$G$303,0))</f>
        <v>1</v>
      </c>
    </row>
    <row r="97" spans="1:9" x14ac:dyDescent="0.25">
      <c r="A97" t="s">
        <v>95</v>
      </c>
      <c r="B97" t="s">
        <v>100</v>
      </c>
      <c r="C97" t="s">
        <v>96</v>
      </c>
      <c r="D97" t="s">
        <v>89</v>
      </c>
      <c r="E97" t="s">
        <v>44</v>
      </c>
      <c r="F97" s="6">
        <v>0.69791666666666663</v>
      </c>
      <c r="G97">
        <v>10</v>
      </c>
      <c r="H97" s="6">
        <f>FLOOR(tblPivotData[[#This Row],[Time]],Summary!$B$6/1440)</f>
        <v>0.69791666666666663</v>
      </c>
      <c r="I97">
        <f>INDEX(PeakCalc!$L$10:$L$303,MATCH(tblPivotData[[#This Row],[Time]],PeakCalc!$G$10:$G$303,0))</f>
        <v>1</v>
      </c>
    </row>
    <row r="98" spans="1:9" x14ac:dyDescent="0.25">
      <c r="A98" t="s">
        <v>95</v>
      </c>
      <c r="B98" t="s">
        <v>100</v>
      </c>
      <c r="C98" t="s">
        <v>96</v>
      </c>
      <c r="D98" t="s">
        <v>89</v>
      </c>
      <c r="E98" t="s">
        <v>44</v>
      </c>
      <c r="F98" s="6">
        <v>0.70833333333333337</v>
      </c>
      <c r="G98">
        <v>6</v>
      </c>
      <c r="H98" s="6">
        <f>FLOOR(tblPivotData[[#This Row],[Time]],Summary!$B$6/1440)</f>
        <v>0.70833333333333326</v>
      </c>
      <c r="I98">
        <f>INDEX(PeakCalc!$L$10:$L$303,MATCH(tblPivotData[[#This Row],[Time]],PeakCalc!$G$10:$G$303,0))</f>
        <v>1</v>
      </c>
    </row>
    <row r="99" spans="1:9" x14ac:dyDescent="0.25">
      <c r="A99" t="s">
        <v>95</v>
      </c>
      <c r="B99" t="s">
        <v>100</v>
      </c>
      <c r="C99" t="s">
        <v>96</v>
      </c>
      <c r="D99" t="s">
        <v>89</v>
      </c>
      <c r="E99" t="s">
        <v>44</v>
      </c>
      <c r="F99" s="6">
        <v>0.71875</v>
      </c>
      <c r="G99">
        <v>10</v>
      </c>
      <c r="H99" s="6">
        <f>FLOOR(tblPivotData[[#This Row],[Time]],Summary!$B$6/1440)</f>
        <v>0.71875</v>
      </c>
      <c r="I99">
        <f>INDEX(PeakCalc!$L$10:$L$303,MATCH(tblPivotData[[#This Row],[Time]],PeakCalc!$G$10:$G$303,0))</f>
        <v>0</v>
      </c>
    </row>
    <row r="100" spans="1:9" x14ac:dyDescent="0.25">
      <c r="A100" t="s">
        <v>95</v>
      </c>
      <c r="B100" t="s">
        <v>100</v>
      </c>
      <c r="C100" t="s">
        <v>96</v>
      </c>
      <c r="D100" t="s">
        <v>89</v>
      </c>
      <c r="E100" t="s">
        <v>44</v>
      </c>
      <c r="F100" s="6">
        <v>0.72916666666666663</v>
      </c>
      <c r="G100">
        <v>8</v>
      </c>
      <c r="H100" s="6">
        <f>FLOOR(tblPivotData[[#This Row],[Time]],Summary!$B$6/1440)</f>
        <v>0.72916666666666663</v>
      </c>
      <c r="I100">
        <f>INDEX(PeakCalc!$L$10:$L$303,MATCH(tblPivotData[[#This Row],[Time]],PeakCalc!$G$10:$G$303,0))</f>
        <v>0</v>
      </c>
    </row>
    <row r="101" spans="1:9" x14ac:dyDescent="0.25">
      <c r="A101" t="s">
        <v>95</v>
      </c>
      <c r="B101" t="s">
        <v>100</v>
      </c>
      <c r="C101" t="s">
        <v>96</v>
      </c>
      <c r="D101" t="s">
        <v>89</v>
      </c>
      <c r="E101" t="s">
        <v>44</v>
      </c>
      <c r="F101" s="6">
        <v>0.73958333333333337</v>
      </c>
      <c r="G101">
        <v>10</v>
      </c>
      <c r="H101" s="6">
        <f>FLOOR(tblPivotData[[#This Row],[Time]],Summary!$B$6/1440)</f>
        <v>0.73958333333333326</v>
      </c>
      <c r="I101">
        <f>INDEX(PeakCalc!$L$10:$L$303,MATCH(tblPivotData[[#This Row],[Time]],PeakCalc!$G$10:$G$303,0))</f>
        <v>0</v>
      </c>
    </row>
    <row r="102" spans="1:9" x14ac:dyDescent="0.25">
      <c r="A102" t="s">
        <v>95</v>
      </c>
      <c r="B102" t="s">
        <v>100</v>
      </c>
      <c r="C102" t="s">
        <v>96</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95</v>
      </c>
      <c r="B103" t="s">
        <v>100</v>
      </c>
      <c r="C103" t="s">
        <v>96</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95</v>
      </c>
      <c r="B104" t="s">
        <v>100</v>
      </c>
      <c r="C104" t="s">
        <v>96</v>
      </c>
      <c r="D104" t="s">
        <v>90</v>
      </c>
      <c r="E104" t="s">
        <v>43</v>
      </c>
      <c r="F104" s="6">
        <v>0.3125</v>
      </c>
      <c r="G104">
        <v>1</v>
      </c>
      <c r="H104" s="6">
        <f>FLOOR(tblPivotData[[#This Row],[Time]],Summary!$B$6/1440)</f>
        <v>0.3125</v>
      </c>
      <c r="I104">
        <f>INDEX(PeakCalc!$L$10:$L$303,MATCH(tblPivotData[[#This Row],[Time]],PeakCalc!$G$10:$G$303,0))</f>
        <v>0</v>
      </c>
    </row>
    <row r="105" spans="1:9" x14ac:dyDescent="0.25">
      <c r="A105" t="s">
        <v>95</v>
      </c>
      <c r="B105" t="s">
        <v>100</v>
      </c>
      <c r="C105" t="s">
        <v>96</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95</v>
      </c>
      <c r="B106" t="s">
        <v>100</v>
      </c>
      <c r="C106" t="s">
        <v>96</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95</v>
      </c>
      <c r="B107" t="s">
        <v>100</v>
      </c>
      <c r="C107" t="s">
        <v>96</v>
      </c>
      <c r="D107" t="s">
        <v>90</v>
      </c>
      <c r="E107" t="s">
        <v>43</v>
      </c>
      <c r="F107" s="6">
        <v>0.34375</v>
      </c>
      <c r="G107">
        <v>0</v>
      </c>
      <c r="H107" s="6">
        <f>FLOOR(tblPivotData[[#This Row],[Time]],Summary!$B$6/1440)</f>
        <v>0.34375</v>
      </c>
      <c r="I107">
        <f>INDEX(PeakCalc!$L$10:$L$303,MATCH(tblPivotData[[#This Row],[Time]],PeakCalc!$G$10:$G$303,0))</f>
        <v>1</v>
      </c>
    </row>
    <row r="108" spans="1:9" x14ac:dyDescent="0.25">
      <c r="A108" t="s">
        <v>95</v>
      </c>
      <c r="B108" t="s">
        <v>100</v>
      </c>
      <c r="C108" t="s">
        <v>96</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95</v>
      </c>
      <c r="B109" t="s">
        <v>100</v>
      </c>
      <c r="C109" t="s">
        <v>96</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95</v>
      </c>
      <c r="B110" t="s">
        <v>100</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95</v>
      </c>
      <c r="B111" t="s">
        <v>100</v>
      </c>
      <c r="C111" t="s">
        <v>96</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95</v>
      </c>
      <c r="B112" t="s">
        <v>100</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95</v>
      </c>
      <c r="B113" t="s">
        <v>100</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95</v>
      </c>
      <c r="B114" t="s">
        <v>100</v>
      </c>
      <c r="C114" t="s">
        <v>96</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95</v>
      </c>
      <c r="B115" t="s">
        <v>100</v>
      </c>
      <c r="C115" t="s">
        <v>96</v>
      </c>
      <c r="D115" t="s">
        <v>90</v>
      </c>
      <c r="E115" t="s">
        <v>44</v>
      </c>
      <c r="F115" s="6">
        <v>0.67708333333333337</v>
      </c>
      <c r="G115">
        <v>2</v>
      </c>
      <c r="H115" s="6">
        <f>FLOOR(tblPivotData[[#This Row],[Time]],Summary!$B$6/1440)</f>
        <v>0.67708333333333326</v>
      </c>
      <c r="I115">
        <f>INDEX(PeakCalc!$L$10:$L$303,MATCH(tblPivotData[[#This Row],[Time]],PeakCalc!$G$10:$G$303,0))</f>
        <v>1</v>
      </c>
    </row>
    <row r="116" spans="1:9" x14ac:dyDescent="0.25">
      <c r="A116" t="s">
        <v>95</v>
      </c>
      <c r="B116" t="s">
        <v>100</v>
      </c>
      <c r="C116" t="s">
        <v>96</v>
      </c>
      <c r="D116" t="s">
        <v>90</v>
      </c>
      <c r="E116" t="s">
        <v>44</v>
      </c>
      <c r="F116" s="6">
        <v>0.6875</v>
      </c>
      <c r="G116">
        <v>0</v>
      </c>
      <c r="H116" s="6">
        <f>FLOOR(tblPivotData[[#This Row],[Time]],Summary!$B$6/1440)</f>
        <v>0.6875</v>
      </c>
      <c r="I116">
        <f>INDEX(PeakCalc!$L$10:$L$303,MATCH(tblPivotData[[#This Row],[Time]],PeakCalc!$G$10:$G$303,0))</f>
        <v>1</v>
      </c>
    </row>
    <row r="117" spans="1:9" x14ac:dyDescent="0.25">
      <c r="A117" t="s">
        <v>95</v>
      </c>
      <c r="B117" t="s">
        <v>100</v>
      </c>
      <c r="C117" t="s">
        <v>96</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95</v>
      </c>
      <c r="B118" t="s">
        <v>100</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95</v>
      </c>
      <c r="B119" t="s">
        <v>100</v>
      </c>
      <c r="C119" t="s">
        <v>96</v>
      </c>
      <c r="D119" t="s">
        <v>90</v>
      </c>
      <c r="E119" t="s">
        <v>44</v>
      </c>
      <c r="F119" s="6">
        <v>0.71875</v>
      </c>
      <c r="G119">
        <v>0</v>
      </c>
      <c r="H119" s="6">
        <f>FLOOR(tblPivotData[[#This Row],[Time]],Summary!$B$6/1440)</f>
        <v>0.71875</v>
      </c>
      <c r="I119">
        <f>INDEX(PeakCalc!$L$10:$L$303,MATCH(tblPivotData[[#This Row],[Time]],PeakCalc!$G$10:$G$303,0))</f>
        <v>0</v>
      </c>
    </row>
    <row r="120" spans="1:9" x14ac:dyDescent="0.25">
      <c r="A120" t="s">
        <v>95</v>
      </c>
      <c r="B120" t="s">
        <v>100</v>
      </c>
      <c r="C120" t="s">
        <v>96</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95</v>
      </c>
      <c r="B121" t="s">
        <v>100</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95</v>
      </c>
      <c r="B122" t="s">
        <v>101</v>
      </c>
      <c r="C122" t="s">
        <v>97</v>
      </c>
      <c r="D122" t="s">
        <v>79</v>
      </c>
      <c r="E122" t="s">
        <v>43</v>
      </c>
      <c r="F122" s="6">
        <v>0.29166666666666669</v>
      </c>
      <c r="G122">
        <v>29</v>
      </c>
      <c r="H122" s="6">
        <f>FLOOR(tblPivotData[[#This Row],[Time]],Summary!$B$6/1440)</f>
        <v>0.29166666666666663</v>
      </c>
      <c r="I122">
        <f>INDEX(PeakCalc!$L$10:$L$303,MATCH(tblPivotData[[#This Row],[Time]],PeakCalc!$G$10:$G$303,0))</f>
        <v>0</v>
      </c>
    </row>
    <row r="123" spans="1:9" x14ac:dyDescent="0.25">
      <c r="A123" t="s">
        <v>95</v>
      </c>
      <c r="B123" t="s">
        <v>101</v>
      </c>
      <c r="C123" t="s">
        <v>97</v>
      </c>
      <c r="D123" t="s">
        <v>79</v>
      </c>
      <c r="E123" t="s">
        <v>43</v>
      </c>
      <c r="F123" s="6">
        <v>0.30208333333333331</v>
      </c>
      <c r="G123">
        <v>33</v>
      </c>
      <c r="H123" s="6">
        <f>FLOOR(tblPivotData[[#This Row],[Time]],Summary!$B$6/1440)</f>
        <v>0.30208333333333331</v>
      </c>
      <c r="I123">
        <f>INDEX(PeakCalc!$L$10:$L$303,MATCH(tblPivotData[[#This Row],[Time]],PeakCalc!$G$10:$G$303,0))</f>
        <v>0</v>
      </c>
    </row>
    <row r="124" spans="1:9" x14ac:dyDescent="0.25">
      <c r="A124" t="s">
        <v>95</v>
      </c>
      <c r="B124" t="s">
        <v>101</v>
      </c>
      <c r="C124" t="s">
        <v>97</v>
      </c>
      <c r="D124" t="s">
        <v>79</v>
      </c>
      <c r="E124" t="s">
        <v>43</v>
      </c>
      <c r="F124" s="6">
        <v>0.3125</v>
      </c>
      <c r="G124">
        <v>36</v>
      </c>
      <c r="H124" s="6">
        <f>FLOOR(tblPivotData[[#This Row],[Time]],Summary!$B$6/1440)</f>
        <v>0.3125</v>
      </c>
      <c r="I124">
        <f>INDEX(PeakCalc!$L$10:$L$303,MATCH(tblPivotData[[#This Row],[Time]],PeakCalc!$G$10:$G$303,0))</f>
        <v>0</v>
      </c>
    </row>
    <row r="125" spans="1:9" x14ac:dyDescent="0.25">
      <c r="A125" t="s">
        <v>95</v>
      </c>
      <c r="B125" t="s">
        <v>101</v>
      </c>
      <c r="C125" t="s">
        <v>97</v>
      </c>
      <c r="D125" t="s">
        <v>79</v>
      </c>
      <c r="E125" t="s">
        <v>43</v>
      </c>
      <c r="F125" s="6">
        <v>0.32291666666666669</v>
      </c>
      <c r="G125">
        <v>26</v>
      </c>
      <c r="H125" s="6">
        <f>FLOOR(tblPivotData[[#This Row],[Time]],Summary!$B$6/1440)</f>
        <v>0.32291666666666663</v>
      </c>
      <c r="I125">
        <f>INDEX(PeakCalc!$L$10:$L$303,MATCH(tblPivotData[[#This Row],[Time]],PeakCalc!$G$10:$G$303,0))</f>
        <v>1</v>
      </c>
    </row>
    <row r="126" spans="1:9" x14ac:dyDescent="0.25">
      <c r="A126" t="s">
        <v>95</v>
      </c>
      <c r="B126" t="s">
        <v>101</v>
      </c>
      <c r="C126" t="s">
        <v>97</v>
      </c>
      <c r="D126" t="s">
        <v>79</v>
      </c>
      <c r="E126" t="s">
        <v>43</v>
      </c>
      <c r="F126" s="6">
        <v>0.33333333333333331</v>
      </c>
      <c r="G126">
        <v>30</v>
      </c>
      <c r="H126" s="6">
        <f>FLOOR(tblPivotData[[#This Row],[Time]],Summary!$B$6/1440)</f>
        <v>0.33333333333333331</v>
      </c>
      <c r="I126">
        <f>INDEX(PeakCalc!$L$10:$L$303,MATCH(tblPivotData[[#This Row],[Time]],PeakCalc!$G$10:$G$303,0))</f>
        <v>1</v>
      </c>
    </row>
    <row r="127" spans="1:9" x14ac:dyDescent="0.25">
      <c r="A127" t="s">
        <v>95</v>
      </c>
      <c r="B127" t="s">
        <v>101</v>
      </c>
      <c r="C127" t="s">
        <v>97</v>
      </c>
      <c r="D127" t="s">
        <v>79</v>
      </c>
      <c r="E127" t="s">
        <v>43</v>
      </c>
      <c r="F127" s="6">
        <v>0.34375</v>
      </c>
      <c r="G127">
        <v>41</v>
      </c>
      <c r="H127" s="6">
        <f>FLOOR(tblPivotData[[#This Row],[Time]],Summary!$B$6/1440)</f>
        <v>0.34375</v>
      </c>
      <c r="I127">
        <f>INDEX(PeakCalc!$L$10:$L$303,MATCH(tblPivotData[[#This Row],[Time]],PeakCalc!$G$10:$G$303,0))</f>
        <v>1</v>
      </c>
    </row>
    <row r="128" spans="1:9" x14ac:dyDescent="0.25">
      <c r="A128" t="s">
        <v>95</v>
      </c>
      <c r="B128" t="s">
        <v>101</v>
      </c>
      <c r="C128" t="s">
        <v>97</v>
      </c>
      <c r="D128" t="s">
        <v>79</v>
      </c>
      <c r="E128" t="s">
        <v>43</v>
      </c>
      <c r="F128" s="6">
        <v>0.35416666666666669</v>
      </c>
      <c r="G128">
        <v>30</v>
      </c>
      <c r="H128" s="6">
        <f>FLOOR(tblPivotData[[#This Row],[Time]],Summary!$B$6/1440)</f>
        <v>0.35416666666666663</v>
      </c>
      <c r="I128">
        <f>INDEX(PeakCalc!$L$10:$L$303,MATCH(tblPivotData[[#This Row],[Time]],PeakCalc!$G$10:$G$303,0))</f>
        <v>1</v>
      </c>
    </row>
    <row r="129" spans="1:9" x14ac:dyDescent="0.25">
      <c r="A129" t="s">
        <v>95</v>
      </c>
      <c r="B129" t="s">
        <v>101</v>
      </c>
      <c r="C129" t="s">
        <v>97</v>
      </c>
      <c r="D129" t="s">
        <v>79</v>
      </c>
      <c r="E129" t="s">
        <v>43</v>
      </c>
      <c r="F129" s="6">
        <v>0.36458333333333331</v>
      </c>
      <c r="G129">
        <v>29</v>
      </c>
      <c r="H129" s="6">
        <f>FLOOR(tblPivotData[[#This Row],[Time]],Summary!$B$6/1440)</f>
        <v>0.36458333333333331</v>
      </c>
      <c r="I129">
        <f>INDEX(PeakCalc!$L$10:$L$303,MATCH(tblPivotData[[#This Row],[Time]],PeakCalc!$G$10:$G$303,0))</f>
        <v>0</v>
      </c>
    </row>
    <row r="130" spans="1:9" x14ac:dyDescent="0.25">
      <c r="A130" t="s">
        <v>95</v>
      </c>
      <c r="B130" t="s">
        <v>101</v>
      </c>
      <c r="C130" t="s">
        <v>97</v>
      </c>
      <c r="D130" t="s">
        <v>79</v>
      </c>
      <c r="E130" t="s">
        <v>91</v>
      </c>
      <c r="F130" s="6">
        <v>0.54166666666666663</v>
      </c>
      <c r="G130">
        <v>25</v>
      </c>
      <c r="H130" s="6">
        <f>FLOOR(tblPivotData[[#This Row],[Time]],Summary!$B$6/1440)</f>
        <v>0.54166666666666663</v>
      </c>
      <c r="I130">
        <f>INDEX(PeakCalc!$L$10:$L$303,MATCH(tblPivotData[[#This Row],[Time]],PeakCalc!$G$10:$G$303,0))</f>
        <v>1</v>
      </c>
    </row>
    <row r="131" spans="1:9" x14ac:dyDescent="0.25">
      <c r="A131" t="s">
        <v>95</v>
      </c>
      <c r="B131" t="s">
        <v>101</v>
      </c>
      <c r="C131" t="s">
        <v>97</v>
      </c>
      <c r="D131" t="s">
        <v>79</v>
      </c>
      <c r="E131" t="s">
        <v>91</v>
      </c>
      <c r="F131" s="6">
        <v>0.55208333333333337</v>
      </c>
      <c r="G131">
        <v>20</v>
      </c>
      <c r="H131" s="6">
        <f>FLOOR(tblPivotData[[#This Row],[Time]],Summary!$B$6/1440)</f>
        <v>0.55208333333333326</v>
      </c>
      <c r="I131">
        <f>INDEX(PeakCalc!$L$10:$L$303,MATCH(tblPivotData[[#This Row],[Time]],PeakCalc!$G$10:$G$303,0))</f>
        <v>1</v>
      </c>
    </row>
    <row r="132" spans="1:9" x14ac:dyDescent="0.25">
      <c r="A132" t="s">
        <v>95</v>
      </c>
      <c r="B132" t="s">
        <v>101</v>
      </c>
      <c r="C132" t="s">
        <v>97</v>
      </c>
      <c r="D132" t="s">
        <v>79</v>
      </c>
      <c r="E132" t="s">
        <v>91</v>
      </c>
      <c r="F132" s="6">
        <v>0.5625</v>
      </c>
      <c r="G132">
        <v>31</v>
      </c>
      <c r="H132" s="6">
        <f>FLOOR(tblPivotData[[#This Row],[Time]],Summary!$B$6/1440)</f>
        <v>0.5625</v>
      </c>
      <c r="I132">
        <f>INDEX(PeakCalc!$L$10:$L$303,MATCH(tblPivotData[[#This Row],[Time]],PeakCalc!$G$10:$G$303,0))</f>
        <v>1</v>
      </c>
    </row>
    <row r="133" spans="1:9" x14ac:dyDescent="0.25">
      <c r="A133" t="s">
        <v>95</v>
      </c>
      <c r="B133" t="s">
        <v>101</v>
      </c>
      <c r="C133" t="s">
        <v>97</v>
      </c>
      <c r="D133" t="s">
        <v>79</v>
      </c>
      <c r="E133" t="s">
        <v>91</v>
      </c>
      <c r="F133" s="6">
        <v>0.57291666666666663</v>
      </c>
      <c r="G133">
        <v>26</v>
      </c>
      <c r="H133" s="6">
        <f>FLOOR(tblPivotData[[#This Row],[Time]],Summary!$B$6/1440)</f>
        <v>0.57291666666666663</v>
      </c>
      <c r="I133">
        <f>INDEX(PeakCalc!$L$10:$L$303,MATCH(tblPivotData[[#This Row],[Time]],PeakCalc!$G$10:$G$303,0))</f>
        <v>1</v>
      </c>
    </row>
    <row r="134" spans="1:9" x14ac:dyDescent="0.25">
      <c r="A134" t="s">
        <v>95</v>
      </c>
      <c r="B134" t="s">
        <v>101</v>
      </c>
      <c r="C134" t="s">
        <v>97</v>
      </c>
      <c r="D134" t="s">
        <v>79</v>
      </c>
      <c r="E134" t="s">
        <v>44</v>
      </c>
      <c r="F134" s="6">
        <v>0.66666666666666663</v>
      </c>
      <c r="G134">
        <v>45</v>
      </c>
      <c r="H134" s="6">
        <f>FLOOR(tblPivotData[[#This Row],[Time]],Summary!$B$6/1440)</f>
        <v>0.66666666666666663</v>
      </c>
      <c r="I134">
        <f>INDEX(PeakCalc!$L$10:$L$303,MATCH(tblPivotData[[#This Row],[Time]],PeakCalc!$G$10:$G$303,0))</f>
        <v>0</v>
      </c>
    </row>
    <row r="135" spans="1:9" x14ac:dyDescent="0.25">
      <c r="A135" t="s">
        <v>95</v>
      </c>
      <c r="B135" t="s">
        <v>101</v>
      </c>
      <c r="C135" t="s">
        <v>97</v>
      </c>
      <c r="D135" t="s">
        <v>79</v>
      </c>
      <c r="E135" t="s">
        <v>44</v>
      </c>
      <c r="F135" s="6">
        <v>0.67708333333333337</v>
      </c>
      <c r="G135">
        <v>37</v>
      </c>
      <c r="H135" s="6">
        <f>FLOOR(tblPivotData[[#This Row],[Time]],Summary!$B$6/1440)</f>
        <v>0.67708333333333326</v>
      </c>
      <c r="I135">
        <f>INDEX(PeakCalc!$L$10:$L$303,MATCH(tblPivotData[[#This Row],[Time]],PeakCalc!$G$10:$G$303,0))</f>
        <v>1</v>
      </c>
    </row>
    <row r="136" spans="1:9" x14ac:dyDescent="0.25">
      <c r="A136" t="s">
        <v>95</v>
      </c>
      <c r="B136" t="s">
        <v>101</v>
      </c>
      <c r="C136" t="s">
        <v>97</v>
      </c>
      <c r="D136" t="s">
        <v>79</v>
      </c>
      <c r="E136" t="s">
        <v>44</v>
      </c>
      <c r="F136" s="6">
        <v>0.6875</v>
      </c>
      <c r="G136">
        <v>64</v>
      </c>
      <c r="H136" s="6">
        <f>FLOOR(tblPivotData[[#This Row],[Time]],Summary!$B$6/1440)</f>
        <v>0.6875</v>
      </c>
      <c r="I136">
        <f>INDEX(PeakCalc!$L$10:$L$303,MATCH(tblPivotData[[#This Row],[Time]],PeakCalc!$G$10:$G$303,0))</f>
        <v>1</v>
      </c>
    </row>
    <row r="137" spans="1:9" x14ac:dyDescent="0.25">
      <c r="A137" t="s">
        <v>95</v>
      </c>
      <c r="B137" t="s">
        <v>101</v>
      </c>
      <c r="C137" t="s">
        <v>97</v>
      </c>
      <c r="D137" t="s">
        <v>79</v>
      </c>
      <c r="E137" t="s">
        <v>44</v>
      </c>
      <c r="F137" s="6">
        <v>0.69791666666666663</v>
      </c>
      <c r="G137">
        <v>44</v>
      </c>
      <c r="H137" s="6">
        <f>FLOOR(tblPivotData[[#This Row],[Time]],Summary!$B$6/1440)</f>
        <v>0.69791666666666663</v>
      </c>
      <c r="I137">
        <f>INDEX(PeakCalc!$L$10:$L$303,MATCH(tblPivotData[[#This Row],[Time]],PeakCalc!$G$10:$G$303,0))</f>
        <v>1</v>
      </c>
    </row>
    <row r="138" spans="1:9" x14ac:dyDescent="0.25">
      <c r="A138" t="s">
        <v>95</v>
      </c>
      <c r="B138" t="s">
        <v>101</v>
      </c>
      <c r="C138" t="s">
        <v>97</v>
      </c>
      <c r="D138" t="s">
        <v>79</v>
      </c>
      <c r="E138" t="s">
        <v>44</v>
      </c>
      <c r="F138" s="6">
        <v>0.70833333333333337</v>
      </c>
      <c r="G138">
        <v>50</v>
      </c>
      <c r="H138" s="6">
        <f>FLOOR(tblPivotData[[#This Row],[Time]],Summary!$B$6/1440)</f>
        <v>0.70833333333333326</v>
      </c>
      <c r="I138">
        <f>INDEX(PeakCalc!$L$10:$L$303,MATCH(tblPivotData[[#This Row],[Time]],PeakCalc!$G$10:$G$303,0))</f>
        <v>1</v>
      </c>
    </row>
    <row r="139" spans="1:9" x14ac:dyDescent="0.25">
      <c r="A139" t="s">
        <v>95</v>
      </c>
      <c r="B139" t="s">
        <v>101</v>
      </c>
      <c r="C139" t="s">
        <v>97</v>
      </c>
      <c r="D139" t="s">
        <v>79</v>
      </c>
      <c r="E139" t="s">
        <v>44</v>
      </c>
      <c r="F139" s="6">
        <v>0.71875</v>
      </c>
      <c r="G139">
        <v>36</v>
      </c>
      <c r="H139" s="6">
        <f>FLOOR(tblPivotData[[#This Row],[Time]],Summary!$B$6/1440)</f>
        <v>0.71875</v>
      </c>
      <c r="I139">
        <f>INDEX(PeakCalc!$L$10:$L$303,MATCH(tblPivotData[[#This Row],[Time]],PeakCalc!$G$10:$G$303,0))</f>
        <v>0</v>
      </c>
    </row>
    <row r="140" spans="1:9" x14ac:dyDescent="0.25">
      <c r="A140" t="s">
        <v>95</v>
      </c>
      <c r="B140" t="s">
        <v>101</v>
      </c>
      <c r="C140" t="s">
        <v>97</v>
      </c>
      <c r="D140" t="s">
        <v>79</v>
      </c>
      <c r="E140" t="s">
        <v>44</v>
      </c>
      <c r="F140" s="6">
        <v>0.72916666666666663</v>
      </c>
      <c r="G140">
        <v>40</v>
      </c>
      <c r="H140" s="6">
        <f>FLOOR(tblPivotData[[#This Row],[Time]],Summary!$B$6/1440)</f>
        <v>0.72916666666666663</v>
      </c>
      <c r="I140">
        <f>INDEX(PeakCalc!$L$10:$L$303,MATCH(tblPivotData[[#This Row],[Time]],PeakCalc!$G$10:$G$303,0))</f>
        <v>0</v>
      </c>
    </row>
    <row r="141" spans="1:9" x14ac:dyDescent="0.25">
      <c r="A141" t="s">
        <v>95</v>
      </c>
      <c r="B141" t="s">
        <v>101</v>
      </c>
      <c r="C141" t="s">
        <v>97</v>
      </c>
      <c r="D141" t="s">
        <v>79</v>
      </c>
      <c r="E141" t="s">
        <v>44</v>
      </c>
      <c r="F141" s="6">
        <v>0.73958333333333337</v>
      </c>
      <c r="G141">
        <v>36</v>
      </c>
      <c r="H141" s="6">
        <f>FLOOR(tblPivotData[[#This Row],[Time]],Summary!$B$6/1440)</f>
        <v>0.73958333333333326</v>
      </c>
      <c r="I141">
        <f>INDEX(PeakCalc!$L$10:$L$303,MATCH(tblPivotData[[#This Row],[Time]],PeakCalc!$G$10:$G$303,0))</f>
        <v>0</v>
      </c>
    </row>
    <row r="142" spans="1:9" x14ac:dyDescent="0.25">
      <c r="A142" t="s">
        <v>95</v>
      </c>
      <c r="B142" t="s">
        <v>101</v>
      </c>
      <c r="C142" t="s">
        <v>97</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95</v>
      </c>
      <c r="B143" t="s">
        <v>101</v>
      </c>
      <c r="C143" t="s">
        <v>97</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95</v>
      </c>
      <c r="B144" t="s">
        <v>101</v>
      </c>
      <c r="C144" t="s">
        <v>97</v>
      </c>
      <c r="D144" t="s">
        <v>89</v>
      </c>
      <c r="E144" t="s">
        <v>43</v>
      </c>
      <c r="F144" s="6">
        <v>0.3125</v>
      </c>
      <c r="G144">
        <v>0</v>
      </c>
      <c r="H144" s="6">
        <f>FLOOR(tblPivotData[[#This Row],[Time]],Summary!$B$6/1440)</f>
        <v>0.3125</v>
      </c>
      <c r="I144">
        <f>INDEX(PeakCalc!$L$10:$L$303,MATCH(tblPivotData[[#This Row],[Time]],PeakCalc!$G$10:$G$303,0))</f>
        <v>0</v>
      </c>
    </row>
    <row r="145" spans="1:9" x14ac:dyDescent="0.25">
      <c r="A145" t="s">
        <v>95</v>
      </c>
      <c r="B145" t="s">
        <v>101</v>
      </c>
      <c r="C145" t="s">
        <v>97</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95</v>
      </c>
      <c r="B146" t="s">
        <v>101</v>
      </c>
      <c r="C146" t="s">
        <v>97</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95</v>
      </c>
      <c r="B147" t="s">
        <v>101</v>
      </c>
      <c r="C147" t="s">
        <v>97</v>
      </c>
      <c r="D147" t="s">
        <v>89</v>
      </c>
      <c r="E147" t="s">
        <v>43</v>
      </c>
      <c r="F147" s="6">
        <v>0.34375</v>
      </c>
      <c r="G147">
        <v>0</v>
      </c>
      <c r="H147" s="6">
        <f>FLOOR(tblPivotData[[#This Row],[Time]],Summary!$B$6/1440)</f>
        <v>0.34375</v>
      </c>
      <c r="I147">
        <f>INDEX(PeakCalc!$L$10:$L$303,MATCH(tblPivotData[[#This Row],[Time]],PeakCalc!$G$10:$G$303,0))</f>
        <v>1</v>
      </c>
    </row>
    <row r="148" spans="1:9" x14ac:dyDescent="0.25">
      <c r="A148" t="s">
        <v>95</v>
      </c>
      <c r="B148" t="s">
        <v>101</v>
      </c>
      <c r="C148" t="s">
        <v>97</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95</v>
      </c>
      <c r="B149" t="s">
        <v>101</v>
      </c>
      <c r="C149" t="s">
        <v>97</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95</v>
      </c>
      <c r="B150" t="s">
        <v>101</v>
      </c>
      <c r="C150" t="s">
        <v>97</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95</v>
      </c>
      <c r="B151" t="s">
        <v>101</v>
      </c>
      <c r="C151" t="s">
        <v>97</v>
      </c>
      <c r="D151" t="s">
        <v>89</v>
      </c>
      <c r="E151" t="s">
        <v>91</v>
      </c>
      <c r="F151" s="6">
        <v>0.55208333333333337</v>
      </c>
      <c r="G151">
        <v>3</v>
      </c>
      <c r="H151" s="6">
        <f>FLOOR(tblPivotData[[#This Row],[Time]],Summary!$B$6/1440)</f>
        <v>0.55208333333333326</v>
      </c>
      <c r="I151">
        <f>INDEX(PeakCalc!$L$10:$L$303,MATCH(tblPivotData[[#This Row],[Time]],PeakCalc!$G$10:$G$303,0))</f>
        <v>1</v>
      </c>
    </row>
    <row r="152" spans="1:9" x14ac:dyDescent="0.25">
      <c r="A152" t="s">
        <v>95</v>
      </c>
      <c r="B152" t="s">
        <v>101</v>
      </c>
      <c r="C152" t="s">
        <v>97</v>
      </c>
      <c r="D152" t="s">
        <v>89</v>
      </c>
      <c r="E152" t="s">
        <v>91</v>
      </c>
      <c r="F152" s="6">
        <v>0.5625</v>
      </c>
      <c r="G152">
        <v>3</v>
      </c>
      <c r="H152" s="6">
        <f>FLOOR(tblPivotData[[#This Row],[Time]],Summary!$B$6/1440)</f>
        <v>0.5625</v>
      </c>
      <c r="I152">
        <f>INDEX(PeakCalc!$L$10:$L$303,MATCH(tblPivotData[[#This Row],[Time]],PeakCalc!$G$10:$G$303,0))</f>
        <v>1</v>
      </c>
    </row>
    <row r="153" spans="1:9" x14ac:dyDescent="0.25">
      <c r="A153" t="s">
        <v>95</v>
      </c>
      <c r="B153" t="s">
        <v>101</v>
      </c>
      <c r="C153" t="s">
        <v>97</v>
      </c>
      <c r="D153" t="s">
        <v>89</v>
      </c>
      <c r="E153" t="s">
        <v>91</v>
      </c>
      <c r="F153" s="6">
        <v>0.57291666666666663</v>
      </c>
      <c r="G153">
        <v>3</v>
      </c>
      <c r="H153" s="6">
        <f>FLOOR(tblPivotData[[#This Row],[Time]],Summary!$B$6/1440)</f>
        <v>0.57291666666666663</v>
      </c>
      <c r="I153">
        <f>INDEX(PeakCalc!$L$10:$L$303,MATCH(tblPivotData[[#This Row],[Time]],PeakCalc!$G$10:$G$303,0))</f>
        <v>1</v>
      </c>
    </row>
    <row r="154" spans="1:9" x14ac:dyDescent="0.25">
      <c r="A154" t="s">
        <v>95</v>
      </c>
      <c r="B154" t="s">
        <v>101</v>
      </c>
      <c r="C154" t="s">
        <v>97</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95</v>
      </c>
      <c r="B155" t="s">
        <v>101</v>
      </c>
      <c r="C155" t="s">
        <v>97</v>
      </c>
      <c r="D155" t="s">
        <v>89</v>
      </c>
      <c r="E155" t="s">
        <v>44</v>
      </c>
      <c r="F155" s="6">
        <v>0.67708333333333337</v>
      </c>
      <c r="G155">
        <v>6</v>
      </c>
      <c r="H155" s="6">
        <f>FLOOR(tblPivotData[[#This Row],[Time]],Summary!$B$6/1440)</f>
        <v>0.67708333333333326</v>
      </c>
      <c r="I155">
        <f>INDEX(PeakCalc!$L$10:$L$303,MATCH(tblPivotData[[#This Row],[Time]],PeakCalc!$G$10:$G$303,0))</f>
        <v>1</v>
      </c>
    </row>
    <row r="156" spans="1:9" x14ac:dyDescent="0.25">
      <c r="A156" t="s">
        <v>95</v>
      </c>
      <c r="B156" t="s">
        <v>101</v>
      </c>
      <c r="C156" t="s">
        <v>97</v>
      </c>
      <c r="D156" t="s">
        <v>89</v>
      </c>
      <c r="E156" t="s">
        <v>44</v>
      </c>
      <c r="F156" s="6">
        <v>0.6875</v>
      </c>
      <c r="G156">
        <v>1</v>
      </c>
      <c r="H156" s="6">
        <f>FLOOR(tblPivotData[[#This Row],[Time]],Summary!$B$6/1440)</f>
        <v>0.6875</v>
      </c>
      <c r="I156">
        <f>INDEX(PeakCalc!$L$10:$L$303,MATCH(tblPivotData[[#This Row],[Time]],PeakCalc!$G$10:$G$303,0))</f>
        <v>1</v>
      </c>
    </row>
    <row r="157" spans="1:9" x14ac:dyDescent="0.25">
      <c r="A157" t="s">
        <v>95</v>
      </c>
      <c r="B157" t="s">
        <v>101</v>
      </c>
      <c r="C157" t="s">
        <v>97</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95</v>
      </c>
      <c r="B158" t="s">
        <v>101</v>
      </c>
      <c r="C158" t="s">
        <v>97</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25">
      <c r="A159" t="s">
        <v>95</v>
      </c>
      <c r="B159" t="s">
        <v>101</v>
      </c>
      <c r="C159" t="s">
        <v>97</v>
      </c>
      <c r="D159" t="s">
        <v>89</v>
      </c>
      <c r="E159" t="s">
        <v>44</v>
      </c>
      <c r="F159" s="6">
        <v>0.71875</v>
      </c>
      <c r="G159">
        <v>0</v>
      </c>
      <c r="H159" s="6">
        <f>FLOOR(tblPivotData[[#This Row],[Time]],Summary!$B$6/1440)</f>
        <v>0.71875</v>
      </c>
      <c r="I159">
        <f>INDEX(PeakCalc!$L$10:$L$303,MATCH(tblPivotData[[#This Row],[Time]],PeakCalc!$G$10:$G$303,0))</f>
        <v>0</v>
      </c>
    </row>
    <row r="160" spans="1:9" x14ac:dyDescent="0.25">
      <c r="A160" t="s">
        <v>95</v>
      </c>
      <c r="B160" t="s">
        <v>101</v>
      </c>
      <c r="C160" t="s">
        <v>97</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95</v>
      </c>
      <c r="B161" t="s">
        <v>101</v>
      </c>
      <c r="C161" t="s">
        <v>97</v>
      </c>
      <c r="D161" t="s">
        <v>89</v>
      </c>
      <c r="E161" t="s">
        <v>44</v>
      </c>
      <c r="F161" s="6">
        <v>0.73958333333333337</v>
      </c>
      <c r="G161">
        <v>4</v>
      </c>
      <c r="H161" s="6">
        <f>FLOOR(tblPivotData[[#This Row],[Time]],Summary!$B$6/1440)</f>
        <v>0.73958333333333326</v>
      </c>
      <c r="I161">
        <f>INDEX(PeakCalc!$L$10:$L$303,MATCH(tblPivotData[[#This Row],[Time]],PeakCalc!$G$10:$G$303,0))</f>
        <v>0</v>
      </c>
    </row>
    <row r="162" spans="1:9" x14ac:dyDescent="0.25">
      <c r="A162" t="s">
        <v>95</v>
      </c>
      <c r="B162" t="s">
        <v>101</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95</v>
      </c>
      <c r="B163" t="s">
        <v>101</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95</v>
      </c>
      <c r="B164" t="s">
        <v>101</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95</v>
      </c>
      <c r="B165" t="s">
        <v>101</v>
      </c>
      <c r="C165" t="s">
        <v>97</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95</v>
      </c>
      <c r="B166" t="s">
        <v>101</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95</v>
      </c>
      <c r="B167" t="s">
        <v>101</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95</v>
      </c>
      <c r="B168" t="s">
        <v>101</v>
      </c>
      <c r="C168" t="s">
        <v>97</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95</v>
      </c>
      <c r="B169" t="s">
        <v>101</v>
      </c>
      <c r="C169" t="s">
        <v>97</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95</v>
      </c>
      <c r="B170" t="s">
        <v>101</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95</v>
      </c>
      <c r="B171" t="s">
        <v>101</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95</v>
      </c>
      <c r="B172" t="s">
        <v>101</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95</v>
      </c>
      <c r="B173" t="s">
        <v>101</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95</v>
      </c>
      <c r="B174" t="s">
        <v>101</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95</v>
      </c>
      <c r="B175" t="s">
        <v>101</v>
      </c>
      <c r="C175" t="s">
        <v>97</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95</v>
      </c>
      <c r="B176" t="s">
        <v>101</v>
      </c>
      <c r="C176" t="s">
        <v>97</v>
      </c>
      <c r="D176" t="s">
        <v>90</v>
      </c>
      <c r="E176" t="s">
        <v>44</v>
      </c>
      <c r="F176" s="6">
        <v>0.6875</v>
      </c>
      <c r="G176">
        <v>0</v>
      </c>
      <c r="H176" s="6">
        <f>FLOOR(tblPivotData[[#This Row],[Time]],Summary!$B$6/1440)</f>
        <v>0.6875</v>
      </c>
      <c r="I176">
        <f>INDEX(PeakCalc!$L$10:$L$303,MATCH(tblPivotData[[#This Row],[Time]],PeakCalc!$G$10:$G$303,0))</f>
        <v>1</v>
      </c>
    </row>
    <row r="177" spans="1:9" x14ac:dyDescent="0.25">
      <c r="A177" t="s">
        <v>95</v>
      </c>
      <c r="B177" t="s">
        <v>101</v>
      </c>
      <c r="C177" t="s">
        <v>97</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95</v>
      </c>
      <c r="B178" t="s">
        <v>101</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95</v>
      </c>
      <c r="B179" t="s">
        <v>101</v>
      </c>
      <c r="C179" t="s">
        <v>97</v>
      </c>
      <c r="D179" t="s">
        <v>90</v>
      </c>
      <c r="E179" t="s">
        <v>44</v>
      </c>
      <c r="F179" s="6">
        <v>0.71875</v>
      </c>
      <c r="G179">
        <v>0</v>
      </c>
      <c r="H179" s="6">
        <f>FLOOR(tblPivotData[[#This Row],[Time]],Summary!$B$6/1440)</f>
        <v>0.71875</v>
      </c>
      <c r="I179">
        <f>INDEX(PeakCalc!$L$10:$L$303,MATCH(tblPivotData[[#This Row],[Time]],PeakCalc!$G$10:$G$303,0))</f>
        <v>0</v>
      </c>
    </row>
    <row r="180" spans="1:9" x14ac:dyDescent="0.25">
      <c r="A180" t="s">
        <v>95</v>
      </c>
      <c r="B180" t="s">
        <v>101</v>
      </c>
      <c r="C180" t="s">
        <v>97</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95</v>
      </c>
      <c r="B181" t="s">
        <v>101</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98</v>
      </c>
      <c r="C182" t="s">
        <v>95</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95</v>
      </c>
      <c r="B183" t="s">
        <v>98</v>
      </c>
      <c r="C183" t="s">
        <v>95</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95</v>
      </c>
      <c r="B184" t="s">
        <v>98</v>
      </c>
      <c r="C184" t="s">
        <v>95</v>
      </c>
      <c r="D184" t="s">
        <v>79</v>
      </c>
      <c r="E184" t="s">
        <v>43</v>
      </c>
      <c r="F184" s="6">
        <v>0.3125</v>
      </c>
      <c r="G184">
        <v>0</v>
      </c>
      <c r="H184" s="6">
        <f>FLOOR(tblPivotData[[#This Row],[Time]],Summary!$B$6/1440)</f>
        <v>0.3125</v>
      </c>
      <c r="I184">
        <f>INDEX(PeakCalc!$L$10:$L$303,MATCH(tblPivotData[[#This Row],[Time]],PeakCalc!$G$10:$G$303,0))</f>
        <v>0</v>
      </c>
    </row>
    <row r="185" spans="1:9" x14ac:dyDescent="0.25">
      <c r="A185" t="s">
        <v>95</v>
      </c>
      <c r="B185" t="s">
        <v>98</v>
      </c>
      <c r="C185" t="s">
        <v>95</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95</v>
      </c>
      <c r="B186" t="s">
        <v>98</v>
      </c>
      <c r="C186" t="s">
        <v>95</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95</v>
      </c>
      <c r="B187" t="s">
        <v>98</v>
      </c>
      <c r="C187" t="s">
        <v>95</v>
      </c>
      <c r="D187" t="s">
        <v>79</v>
      </c>
      <c r="E187" t="s">
        <v>43</v>
      </c>
      <c r="F187" s="6">
        <v>0.34375</v>
      </c>
      <c r="G187">
        <v>0</v>
      </c>
      <c r="H187" s="6">
        <f>FLOOR(tblPivotData[[#This Row],[Time]],Summary!$B$6/1440)</f>
        <v>0.34375</v>
      </c>
      <c r="I187">
        <f>INDEX(PeakCalc!$L$10:$L$303,MATCH(tblPivotData[[#This Row],[Time]],PeakCalc!$G$10:$G$303,0))</f>
        <v>1</v>
      </c>
    </row>
    <row r="188" spans="1:9" x14ac:dyDescent="0.25">
      <c r="A188" t="s">
        <v>95</v>
      </c>
      <c r="B188" t="s">
        <v>98</v>
      </c>
      <c r="C188" t="s">
        <v>95</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95</v>
      </c>
      <c r="B189" t="s">
        <v>98</v>
      </c>
      <c r="C189" t="s">
        <v>95</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95</v>
      </c>
      <c r="B190" t="s">
        <v>98</v>
      </c>
      <c r="C190" t="s">
        <v>95</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95</v>
      </c>
      <c r="B191" t="s">
        <v>98</v>
      </c>
      <c r="C191" t="s">
        <v>95</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95</v>
      </c>
      <c r="B192" t="s">
        <v>98</v>
      </c>
      <c r="C192" t="s">
        <v>95</v>
      </c>
      <c r="D192" t="s">
        <v>79</v>
      </c>
      <c r="E192" t="s">
        <v>91</v>
      </c>
      <c r="F192" s="6">
        <v>0.5625</v>
      </c>
      <c r="G192">
        <v>0</v>
      </c>
      <c r="H192" s="6">
        <f>FLOOR(tblPivotData[[#This Row],[Time]],Summary!$B$6/1440)</f>
        <v>0.5625</v>
      </c>
      <c r="I192">
        <f>INDEX(PeakCalc!$L$10:$L$303,MATCH(tblPivotData[[#This Row],[Time]],PeakCalc!$G$10:$G$303,0))</f>
        <v>1</v>
      </c>
    </row>
    <row r="193" spans="1:9" x14ac:dyDescent="0.25">
      <c r="A193" t="s">
        <v>95</v>
      </c>
      <c r="B193" t="s">
        <v>98</v>
      </c>
      <c r="C193" t="s">
        <v>95</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95</v>
      </c>
      <c r="B194" t="s">
        <v>98</v>
      </c>
      <c r="C194" t="s">
        <v>95</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95</v>
      </c>
      <c r="B195" t="s">
        <v>98</v>
      </c>
      <c r="C195" t="s">
        <v>95</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95</v>
      </c>
      <c r="B196" t="s">
        <v>98</v>
      </c>
      <c r="C196" t="s">
        <v>95</v>
      </c>
      <c r="D196" t="s">
        <v>79</v>
      </c>
      <c r="E196" t="s">
        <v>44</v>
      </c>
      <c r="F196" s="6">
        <v>0.6875</v>
      </c>
      <c r="G196">
        <v>0</v>
      </c>
      <c r="H196" s="6">
        <f>FLOOR(tblPivotData[[#This Row],[Time]],Summary!$B$6/1440)</f>
        <v>0.6875</v>
      </c>
      <c r="I196">
        <f>INDEX(PeakCalc!$L$10:$L$303,MATCH(tblPivotData[[#This Row],[Time]],PeakCalc!$G$10:$G$303,0))</f>
        <v>1</v>
      </c>
    </row>
    <row r="197" spans="1:9" x14ac:dyDescent="0.25">
      <c r="A197" t="s">
        <v>95</v>
      </c>
      <c r="B197" t="s">
        <v>98</v>
      </c>
      <c r="C197" t="s">
        <v>95</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95</v>
      </c>
      <c r="B198" t="s">
        <v>98</v>
      </c>
      <c r="C198" t="s">
        <v>95</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25">
      <c r="A199" t="s">
        <v>95</v>
      </c>
      <c r="B199" t="s">
        <v>98</v>
      </c>
      <c r="C199" t="s">
        <v>95</v>
      </c>
      <c r="D199" t="s">
        <v>79</v>
      </c>
      <c r="E199" t="s">
        <v>44</v>
      </c>
      <c r="F199" s="6">
        <v>0.71875</v>
      </c>
      <c r="G199">
        <v>0</v>
      </c>
      <c r="H199" s="6">
        <f>FLOOR(tblPivotData[[#This Row],[Time]],Summary!$B$6/1440)</f>
        <v>0.71875</v>
      </c>
      <c r="I199">
        <f>INDEX(PeakCalc!$L$10:$L$303,MATCH(tblPivotData[[#This Row],[Time]],PeakCalc!$G$10:$G$303,0))</f>
        <v>0</v>
      </c>
    </row>
    <row r="200" spans="1:9" x14ac:dyDescent="0.25">
      <c r="A200" t="s">
        <v>95</v>
      </c>
      <c r="B200" t="s">
        <v>98</v>
      </c>
      <c r="C200" t="s">
        <v>95</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95</v>
      </c>
      <c r="B201" t="s">
        <v>98</v>
      </c>
      <c r="C201" t="s">
        <v>95</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95</v>
      </c>
      <c r="B202" t="s">
        <v>98</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95</v>
      </c>
      <c r="B203" t="s">
        <v>98</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95</v>
      </c>
      <c r="B204" t="s">
        <v>98</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95</v>
      </c>
      <c r="B205" t="s">
        <v>98</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95</v>
      </c>
      <c r="B206" t="s">
        <v>98</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95</v>
      </c>
      <c r="B207" t="s">
        <v>98</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95</v>
      </c>
      <c r="B208" t="s">
        <v>98</v>
      </c>
      <c r="C208" t="s">
        <v>95</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95</v>
      </c>
      <c r="B209" t="s">
        <v>98</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95</v>
      </c>
      <c r="B210" t="s">
        <v>98</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95</v>
      </c>
      <c r="B211" t="s">
        <v>98</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95</v>
      </c>
      <c r="B212" t="s">
        <v>98</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95</v>
      </c>
      <c r="B213" t="s">
        <v>98</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95</v>
      </c>
      <c r="B214" t="s">
        <v>98</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95</v>
      </c>
      <c r="B215" t="s">
        <v>98</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95</v>
      </c>
      <c r="B216" t="s">
        <v>98</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95</v>
      </c>
      <c r="B217" t="s">
        <v>98</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98</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95</v>
      </c>
      <c r="B219" t="s">
        <v>98</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95</v>
      </c>
      <c r="B220" t="s">
        <v>98</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95</v>
      </c>
      <c r="B221" t="s">
        <v>98</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98</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98</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98</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98</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98</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98</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98</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98</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98</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98</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98</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98</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98</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98</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95</v>
      </c>
      <c r="B236" t="s">
        <v>98</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95</v>
      </c>
      <c r="B237" t="s">
        <v>98</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98</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98</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95</v>
      </c>
      <c r="B240" t="s">
        <v>98</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98</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102</v>
      </c>
      <c r="C242" t="s">
        <v>96</v>
      </c>
      <c r="D242" t="s">
        <v>79</v>
      </c>
      <c r="E242" t="s">
        <v>43</v>
      </c>
      <c r="F242" s="6">
        <v>0.29166666666666669</v>
      </c>
      <c r="G242">
        <v>21</v>
      </c>
      <c r="H242" s="6">
        <f>FLOOR(tblPivotData[[#This Row],[Time]],Summary!$B$6/1440)</f>
        <v>0.29166666666666663</v>
      </c>
      <c r="I242">
        <f>INDEX(PeakCalc!$L$10:$L$303,MATCH(tblPivotData[[#This Row],[Time]],PeakCalc!$G$10:$G$303,0))</f>
        <v>0</v>
      </c>
    </row>
    <row r="243" spans="1:9" x14ac:dyDescent="0.25">
      <c r="A243" t="s">
        <v>92</v>
      </c>
      <c r="B243" t="s">
        <v>102</v>
      </c>
      <c r="C243" t="s">
        <v>96</v>
      </c>
      <c r="D243" t="s">
        <v>79</v>
      </c>
      <c r="E243" t="s">
        <v>43</v>
      </c>
      <c r="F243" s="6">
        <v>0.30208333333333331</v>
      </c>
      <c r="G243">
        <v>21</v>
      </c>
      <c r="H243" s="6">
        <f>FLOOR(tblPivotData[[#This Row],[Time]],Summary!$B$6/1440)</f>
        <v>0.30208333333333331</v>
      </c>
      <c r="I243">
        <f>INDEX(PeakCalc!$L$10:$L$303,MATCH(tblPivotData[[#This Row],[Time]],PeakCalc!$G$10:$G$303,0))</f>
        <v>0</v>
      </c>
    </row>
    <row r="244" spans="1:9" x14ac:dyDescent="0.25">
      <c r="A244" t="s">
        <v>92</v>
      </c>
      <c r="B244" t="s">
        <v>102</v>
      </c>
      <c r="C244" t="s">
        <v>96</v>
      </c>
      <c r="D244" t="s">
        <v>79</v>
      </c>
      <c r="E244" t="s">
        <v>43</v>
      </c>
      <c r="F244" s="6">
        <v>0.3125</v>
      </c>
      <c r="G244">
        <v>17</v>
      </c>
      <c r="H244" s="6">
        <f>FLOOR(tblPivotData[[#This Row],[Time]],Summary!$B$6/1440)</f>
        <v>0.3125</v>
      </c>
      <c r="I244">
        <f>INDEX(PeakCalc!$L$10:$L$303,MATCH(tblPivotData[[#This Row],[Time]],PeakCalc!$G$10:$G$303,0))</f>
        <v>0</v>
      </c>
    </row>
    <row r="245" spans="1:9" x14ac:dyDescent="0.25">
      <c r="A245" t="s">
        <v>92</v>
      </c>
      <c r="B245" t="s">
        <v>102</v>
      </c>
      <c r="C245" t="s">
        <v>96</v>
      </c>
      <c r="D245" t="s">
        <v>79</v>
      </c>
      <c r="E245" t="s">
        <v>43</v>
      </c>
      <c r="F245" s="6">
        <v>0.32291666666666669</v>
      </c>
      <c r="G245">
        <v>29</v>
      </c>
      <c r="H245" s="6">
        <f>FLOOR(tblPivotData[[#This Row],[Time]],Summary!$B$6/1440)</f>
        <v>0.32291666666666663</v>
      </c>
      <c r="I245">
        <f>INDEX(PeakCalc!$L$10:$L$303,MATCH(tblPivotData[[#This Row],[Time]],PeakCalc!$G$10:$G$303,0))</f>
        <v>1</v>
      </c>
    </row>
    <row r="246" spans="1:9" x14ac:dyDescent="0.25">
      <c r="A246" t="s">
        <v>92</v>
      </c>
      <c r="B246" t="s">
        <v>102</v>
      </c>
      <c r="C246" t="s">
        <v>96</v>
      </c>
      <c r="D246" t="s">
        <v>79</v>
      </c>
      <c r="E246" t="s">
        <v>43</v>
      </c>
      <c r="F246" s="6">
        <v>0.33333333333333331</v>
      </c>
      <c r="G246">
        <v>24</v>
      </c>
      <c r="H246" s="6">
        <f>FLOOR(tblPivotData[[#This Row],[Time]],Summary!$B$6/1440)</f>
        <v>0.33333333333333331</v>
      </c>
      <c r="I246">
        <f>INDEX(PeakCalc!$L$10:$L$303,MATCH(tblPivotData[[#This Row],[Time]],PeakCalc!$G$10:$G$303,0))</f>
        <v>1</v>
      </c>
    </row>
    <row r="247" spans="1:9" x14ac:dyDescent="0.25">
      <c r="A247" t="s">
        <v>92</v>
      </c>
      <c r="B247" t="s">
        <v>102</v>
      </c>
      <c r="C247" t="s">
        <v>96</v>
      </c>
      <c r="D247" t="s">
        <v>79</v>
      </c>
      <c r="E247" t="s">
        <v>43</v>
      </c>
      <c r="F247" s="6">
        <v>0.34375</v>
      </c>
      <c r="G247">
        <v>28</v>
      </c>
      <c r="H247" s="6">
        <f>FLOOR(tblPivotData[[#This Row],[Time]],Summary!$B$6/1440)</f>
        <v>0.34375</v>
      </c>
      <c r="I247">
        <f>INDEX(PeakCalc!$L$10:$L$303,MATCH(tblPivotData[[#This Row],[Time]],PeakCalc!$G$10:$G$303,0))</f>
        <v>1</v>
      </c>
    </row>
    <row r="248" spans="1:9" x14ac:dyDescent="0.25">
      <c r="A248" t="s">
        <v>92</v>
      </c>
      <c r="B248" t="s">
        <v>102</v>
      </c>
      <c r="C248" t="s">
        <v>96</v>
      </c>
      <c r="D248" t="s">
        <v>79</v>
      </c>
      <c r="E248" t="s">
        <v>43</v>
      </c>
      <c r="F248" s="6">
        <v>0.35416666666666669</v>
      </c>
      <c r="G248">
        <v>24</v>
      </c>
      <c r="H248" s="6">
        <f>FLOOR(tblPivotData[[#This Row],[Time]],Summary!$B$6/1440)</f>
        <v>0.35416666666666663</v>
      </c>
      <c r="I248">
        <f>INDEX(PeakCalc!$L$10:$L$303,MATCH(tblPivotData[[#This Row],[Time]],PeakCalc!$G$10:$G$303,0))</f>
        <v>1</v>
      </c>
    </row>
    <row r="249" spans="1:9" x14ac:dyDescent="0.25">
      <c r="A249" t="s">
        <v>92</v>
      </c>
      <c r="B249" t="s">
        <v>102</v>
      </c>
      <c r="C249" t="s">
        <v>96</v>
      </c>
      <c r="D249" t="s">
        <v>79</v>
      </c>
      <c r="E249" t="s">
        <v>43</v>
      </c>
      <c r="F249" s="6">
        <v>0.36458333333333331</v>
      </c>
      <c r="G249">
        <v>18</v>
      </c>
      <c r="H249" s="6">
        <f>FLOOR(tblPivotData[[#This Row],[Time]],Summary!$B$6/1440)</f>
        <v>0.36458333333333331</v>
      </c>
      <c r="I249">
        <f>INDEX(PeakCalc!$L$10:$L$303,MATCH(tblPivotData[[#This Row],[Time]],PeakCalc!$G$10:$G$303,0))</f>
        <v>0</v>
      </c>
    </row>
    <row r="250" spans="1:9" x14ac:dyDescent="0.25">
      <c r="A250" t="s">
        <v>92</v>
      </c>
      <c r="B250" t="s">
        <v>102</v>
      </c>
      <c r="C250" t="s">
        <v>96</v>
      </c>
      <c r="D250" t="s">
        <v>79</v>
      </c>
      <c r="E250" t="s">
        <v>91</v>
      </c>
      <c r="F250" s="6">
        <v>0.54166666666666663</v>
      </c>
      <c r="G250">
        <v>18</v>
      </c>
      <c r="H250" s="6">
        <f>FLOOR(tblPivotData[[#This Row],[Time]],Summary!$B$6/1440)</f>
        <v>0.54166666666666663</v>
      </c>
      <c r="I250">
        <f>INDEX(PeakCalc!$L$10:$L$303,MATCH(tblPivotData[[#This Row],[Time]],PeakCalc!$G$10:$G$303,0))</f>
        <v>1</v>
      </c>
    </row>
    <row r="251" spans="1:9" x14ac:dyDescent="0.25">
      <c r="A251" t="s">
        <v>92</v>
      </c>
      <c r="B251" t="s">
        <v>102</v>
      </c>
      <c r="C251" t="s">
        <v>96</v>
      </c>
      <c r="D251" t="s">
        <v>79</v>
      </c>
      <c r="E251" t="s">
        <v>91</v>
      </c>
      <c r="F251" s="6">
        <v>0.55208333333333337</v>
      </c>
      <c r="G251">
        <v>22</v>
      </c>
      <c r="H251" s="6">
        <f>FLOOR(tblPivotData[[#This Row],[Time]],Summary!$B$6/1440)</f>
        <v>0.55208333333333326</v>
      </c>
      <c r="I251">
        <f>INDEX(PeakCalc!$L$10:$L$303,MATCH(tblPivotData[[#This Row],[Time]],PeakCalc!$G$10:$G$303,0))</f>
        <v>1</v>
      </c>
    </row>
    <row r="252" spans="1:9" x14ac:dyDescent="0.25">
      <c r="A252" t="s">
        <v>92</v>
      </c>
      <c r="B252" t="s">
        <v>102</v>
      </c>
      <c r="C252" t="s">
        <v>96</v>
      </c>
      <c r="D252" t="s">
        <v>79</v>
      </c>
      <c r="E252" t="s">
        <v>91</v>
      </c>
      <c r="F252" s="6">
        <v>0.5625</v>
      </c>
      <c r="G252">
        <v>26</v>
      </c>
      <c r="H252" s="6">
        <f>FLOOR(tblPivotData[[#This Row],[Time]],Summary!$B$6/1440)</f>
        <v>0.5625</v>
      </c>
      <c r="I252">
        <f>INDEX(PeakCalc!$L$10:$L$303,MATCH(tblPivotData[[#This Row],[Time]],PeakCalc!$G$10:$G$303,0))</f>
        <v>1</v>
      </c>
    </row>
    <row r="253" spans="1:9" x14ac:dyDescent="0.25">
      <c r="A253" t="s">
        <v>92</v>
      </c>
      <c r="B253" t="s">
        <v>102</v>
      </c>
      <c r="C253" t="s">
        <v>96</v>
      </c>
      <c r="D253" t="s">
        <v>79</v>
      </c>
      <c r="E253" t="s">
        <v>91</v>
      </c>
      <c r="F253" s="6">
        <v>0.57291666666666663</v>
      </c>
      <c r="G253">
        <v>31</v>
      </c>
      <c r="H253" s="6">
        <f>FLOOR(tblPivotData[[#This Row],[Time]],Summary!$B$6/1440)</f>
        <v>0.57291666666666663</v>
      </c>
      <c r="I253">
        <f>INDEX(PeakCalc!$L$10:$L$303,MATCH(tblPivotData[[#This Row],[Time]],PeakCalc!$G$10:$G$303,0))</f>
        <v>1</v>
      </c>
    </row>
    <row r="254" spans="1:9" x14ac:dyDescent="0.25">
      <c r="A254" t="s">
        <v>92</v>
      </c>
      <c r="B254" t="s">
        <v>102</v>
      </c>
      <c r="C254" t="s">
        <v>96</v>
      </c>
      <c r="D254" t="s">
        <v>79</v>
      </c>
      <c r="E254" t="s">
        <v>44</v>
      </c>
      <c r="F254" s="6">
        <v>0.66666666666666663</v>
      </c>
      <c r="G254">
        <v>22</v>
      </c>
      <c r="H254" s="6">
        <f>FLOOR(tblPivotData[[#This Row],[Time]],Summary!$B$6/1440)</f>
        <v>0.66666666666666663</v>
      </c>
      <c r="I254">
        <f>INDEX(PeakCalc!$L$10:$L$303,MATCH(tblPivotData[[#This Row],[Time]],PeakCalc!$G$10:$G$303,0))</f>
        <v>0</v>
      </c>
    </row>
    <row r="255" spans="1:9" x14ac:dyDescent="0.25">
      <c r="A255" t="s">
        <v>92</v>
      </c>
      <c r="B255" t="s">
        <v>102</v>
      </c>
      <c r="C255" t="s">
        <v>96</v>
      </c>
      <c r="D255" t="s">
        <v>79</v>
      </c>
      <c r="E255" t="s">
        <v>44</v>
      </c>
      <c r="F255" s="6">
        <v>0.67708333333333337</v>
      </c>
      <c r="G255">
        <v>33</v>
      </c>
      <c r="H255" s="6">
        <f>FLOOR(tblPivotData[[#This Row],[Time]],Summary!$B$6/1440)</f>
        <v>0.67708333333333326</v>
      </c>
      <c r="I255">
        <f>INDEX(PeakCalc!$L$10:$L$303,MATCH(tblPivotData[[#This Row],[Time]],PeakCalc!$G$10:$G$303,0))</f>
        <v>1</v>
      </c>
    </row>
    <row r="256" spans="1:9" x14ac:dyDescent="0.25">
      <c r="A256" t="s">
        <v>92</v>
      </c>
      <c r="B256" t="s">
        <v>102</v>
      </c>
      <c r="C256" t="s">
        <v>96</v>
      </c>
      <c r="D256" t="s">
        <v>79</v>
      </c>
      <c r="E256" t="s">
        <v>44</v>
      </c>
      <c r="F256" s="6">
        <v>0.6875</v>
      </c>
      <c r="G256">
        <v>32</v>
      </c>
      <c r="H256" s="6">
        <f>FLOOR(tblPivotData[[#This Row],[Time]],Summary!$B$6/1440)</f>
        <v>0.6875</v>
      </c>
      <c r="I256">
        <f>INDEX(PeakCalc!$L$10:$L$303,MATCH(tblPivotData[[#This Row],[Time]],PeakCalc!$G$10:$G$303,0))</f>
        <v>1</v>
      </c>
    </row>
    <row r="257" spans="1:9" x14ac:dyDescent="0.25">
      <c r="A257" t="s">
        <v>92</v>
      </c>
      <c r="B257" t="s">
        <v>102</v>
      </c>
      <c r="C257" t="s">
        <v>96</v>
      </c>
      <c r="D257" t="s">
        <v>79</v>
      </c>
      <c r="E257" t="s">
        <v>44</v>
      </c>
      <c r="F257" s="6">
        <v>0.69791666666666663</v>
      </c>
      <c r="G257">
        <v>21</v>
      </c>
      <c r="H257" s="6">
        <f>FLOOR(tblPivotData[[#This Row],[Time]],Summary!$B$6/1440)</f>
        <v>0.69791666666666663</v>
      </c>
      <c r="I257">
        <f>INDEX(PeakCalc!$L$10:$L$303,MATCH(tblPivotData[[#This Row],[Time]],PeakCalc!$G$10:$G$303,0))</f>
        <v>1</v>
      </c>
    </row>
    <row r="258" spans="1:9" x14ac:dyDescent="0.25">
      <c r="A258" t="s">
        <v>92</v>
      </c>
      <c r="B258" t="s">
        <v>102</v>
      </c>
      <c r="C258" t="s">
        <v>96</v>
      </c>
      <c r="D258" t="s">
        <v>79</v>
      </c>
      <c r="E258" t="s">
        <v>44</v>
      </c>
      <c r="F258" s="6">
        <v>0.70833333333333337</v>
      </c>
      <c r="G258">
        <v>32</v>
      </c>
      <c r="H258" s="6">
        <f>FLOOR(tblPivotData[[#This Row],[Time]],Summary!$B$6/1440)</f>
        <v>0.70833333333333326</v>
      </c>
      <c r="I258">
        <f>INDEX(PeakCalc!$L$10:$L$303,MATCH(tblPivotData[[#This Row],[Time]],PeakCalc!$G$10:$G$303,0))</f>
        <v>1</v>
      </c>
    </row>
    <row r="259" spans="1:9" x14ac:dyDescent="0.25">
      <c r="A259" t="s">
        <v>92</v>
      </c>
      <c r="B259" t="s">
        <v>102</v>
      </c>
      <c r="C259" t="s">
        <v>96</v>
      </c>
      <c r="D259" t="s">
        <v>79</v>
      </c>
      <c r="E259" t="s">
        <v>44</v>
      </c>
      <c r="F259" s="6">
        <v>0.71875</v>
      </c>
      <c r="G259">
        <v>21</v>
      </c>
      <c r="H259" s="6">
        <f>FLOOR(tblPivotData[[#This Row],[Time]],Summary!$B$6/1440)</f>
        <v>0.71875</v>
      </c>
      <c r="I259">
        <f>INDEX(PeakCalc!$L$10:$L$303,MATCH(tblPivotData[[#This Row],[Time]],PeakCalc!$G$10:$G$303,0))</f>
        <v>0</v>
      </c>
    </row>
    <row r="260" spans="1:9" x14ac:dyDescent="0.25">
      <c r="A260" t="s">
        <v>92</v>
      </c>
      <c r="B260" t="s">
        <v>102</v>
      </c>
      <c r="C260" t="s">
        <v>96</v>
      </c>
      <c r="D260" t="s">
        <v>79</v>
      </c>
      <c r="E260" t="s">
        <v>44</v>
      </c>
      <c r="F260" s="6">
        <v>0.72916666666666663</v>
      </c>
      <c r="G260">
        <v>27</v>
      </c>
      <c r="H260" s="6">
        <f>FLOOR(tblPivotData[[#This Row],[Time]],Summary!$B$6/1440)</f>
        <v>0.72916666666666663</v>
      </c>
      <c r="I260">
        <f>INDEX(PeakCalc!$L$10:$L$303,MATCH(tblPivotData[[#This Row],[Time]],PeakCalc!$G$10:$G$303,0))</f>
        <v>0</v>
      </c>
    </row>
    <row r="261" spans="1:9" x14ac:dyDescent="0.25">
      <c r="A261" t="s">
        <v>92</v>
      </c>
      <c r="B261" t="s">
        <v>102</v>
      </c>
      <c r="C261" t="s">
        <v>96</v>
      </c>
      <c r="D261" t="s">
        <v>79</v>
      </c>
      <c r="E261" t="s">
        <v>44</v>
      </c>
      <c r="F261" s="6">
        <v>0.73958333333333337</v>
      </c>
      <c r="G261">
        <v>13</v>
      </c>
      <c r="H261" s="6">
        <f>FLOOR(tblPivotData[[#This Row],[Time]],Summary!$B$6/1440)</f>
        <v>0.73958333333333326</v>
      </c>
      <c r="I261">
        <f>INDEX(PeakCalc!$L$10:$L$303,MATCH(tblPivotData[[#This Row],[Time]],PeakCalc!$G$10:$G$303,0))</f>
        <v>0</v>
      </c>
    </row>
    <row r="262" spans="1:9" x14ac:dyDescent="0.25">
      <c r="A262" t="s">
        <v>92</v>
      </c>
      <c r="B262" t="s">
        <v>102</v>
      </c>
      <c r="C262" t="s">
        <v>96</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92</v>
      </c>
      <c r="B263" t="s">
        <v>102</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102</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92</v>
      </c>
      <c r="B265" t="s">
        <v>102</v>
      </c>
      <c r="C265" t="s">
        <v>96</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92</v>
      </c>
      <c r="B266" t="s">
        <v>102</v>
      </c>
      <c r="C266" t="s">
        <v>96</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92</v>
      </c>
      <c r="B267" t="s">
        <v>102</v>
      </c>
      <c r="C267" t="s">
        <v>96</v>
      </c>
      <c r="D267" t="s">
        <v>89</v>
      </c>
      <c r="E267" t="s">
        <v>43</v>
      </c>
      <c r="F267" s="6">
        <v>0.34375</v>
      </c>
      <c r="G267">
        <v>0</v>
      </c>
      <c r="H267" s="6">
        <f>FLOOR(tblPivotData[[#This Row],[Time]],Summary!$B$6/1440)</f>
        <v>0.34375</v>
      </c>
      <c r="I267">
        <f>INDEX(PeakCalc!$L$10:$L$303,MATCH(tblPivotData[[#This Row],[Time]],PeakCalc!$G$10:$G$303,0))</f>
        <v>1</v>
      </c>
    </row>
    <row r="268" spans="1:9" x14ac:dyDescent="0.25">
      <c r="A268" t="s">
        <v>92</v>
      </c>
      <c r="B268" t="s">
        <v>102</v>
      </c>
      <c r="C268" t="s">
        <v>96</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92</v>
      </c>
      <c r="B269" t="s">
        <v>102</v>
      </c>
      <c r="C269" t="s">
        <v>96</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92</v>
      </c>
      <c r="B270" t="s">
        <v>102</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102</v>
      </c>
      <c r="C271" t="s">
        <v>96</v>
      </c>
      <c r="D271" t="s">
        <v>89</v>
      </c>
      <c r="E271" t="s">
        <v>91</v>
      </c>
      <c r="F271" s="6">
        <v>0.55208333333333337</v>
      </c>
      <c r="G271">
        <v>2</v>
      </c>
      <c r="H271" s="6">
        <f>FLOOR(tblPivotData[[#This Row],[Time]],Summary!$B$6/1440)</f>
        <v>0.55208333333333326</v>
      </c>
      <c r="I271">
        <f>INDEX(PeakCalc!$L$10:$L$303,MATCH(tblPivotData[[#This Row],[Time]],PeakCalc!$G$10:$G$303,0))</f>
        <v>1</v>
      </c>
    </row>
    <row r="272" spans="1:9" x14ac:dyDescent="0.25">
      <c r="A272" t="s">
        <v>92</v>
      </c>
      <c r="B272" t="s">
        <v>102</v>
      </c>
      <c r="C272" t="s">
        <v>96</v>
      </c>
      <c r="D272" t="s">
        <v>89</v>
      </c>
      <c r="E272" t="s">
        <v>91</v>
      </c>
      <c r="F272" s="6">
        <v>0.5625</v>
      </c>
      <c r="G272">
        <v>2</v>
      </c>
      <c r="H272" s="6">
        <f>FLOOR(tblPivotData[[#This Row],[Time]],Summary!$B$6/1440)</f>
        <v>0.5625</v>
      </c>
      <c r="I272">
        <f>INDEX(PeakCalc!$L$10:$L$303,MATCH(tblPivotData[[#This Row],[Time]],PeakCalc!$G$10:$G$303,0))</f>
        <v>1</v>
      </c>
    </row>
    <row r="273" spans="1:9" x14ac:dyDescent="0.25">
      <c r="A273" t="s">
        <v>92</v>
      </c>
      <c r="B273" t="s">
        <v>102</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102</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102</v>
      </c>
      <c r="C275" t="s">
        <v>96</v>
      </c>
      <c r="D275" t="s">
        <v>89</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92</v>
      </c>
      <c r="B276" t="s">
        <v>102</v>
      </c>
      <c r="C276" t="s">
        <v>96</v>
      </c>
      <c r="D276" t="s">
        <v>89</v>
      </c>
      <c r="E276" t="s">
        <v>44</v>
      </c>
      <c r="F276" s="6">
        <v>0.6875</v>
      </c>
      <c r="G276">
        <v>1</v>
      </c>
      <c r="H276" s="6">
        <f>FLOOR(tblPivotData[[#This Row],[Time]],Summary!$B$6/1440)</f>
        <v>0.6875</v>
      </c>
      <c r="I276">
        <f>INDEX(PeakCalc!$L$10:$L$303,MATCH(tblPivotData[[#This Row],[Time]],PeakCalc!$G$10:$G$303,0))</f>
        <v>1</v>
      </c>
    </row>
    <row r="277" spans="1:9" x14ac:dyDescent="0.25">
      <c r="A277" t="s">
        <v>92</v>
      </c>
      <c r="B277" t="s">
        <v>102</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102</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102</v>
      </c>
      <c r="C279" t="s">
        <v>96</v>
      </c>
      <c r="D279" t="s">
        <v>89</v>
      </c>
      <c r="E279" t="s">
        <v>44</v>
      </c>
      <c r="F279" s="6">
        <v>0.71875</v>
      </c>
      <c r="G279">
        <v>1</v>
      </c>
      <c r="H279" s="6">
        <f>FLOOR(tblPivotData[[#This Row],[Time]],Summary!$B$6/1440)</f>
        <v>0.71875</v>
      </c>
      <c r="I279">
        <f>INDEX(PeakCalc!$L$10:$L$303,MATCH(tblPivotData[[#This Row],[Time]],PeakCalc!$G$10:$G$303,0))</f>
        <v>0</v>
      </c>
    </row>
    <row r="280" spans="1:9" x14ac:dyDescent="0.25">
      <c r="A280" t="s">
        <v>92</v>
      </c>
      <c r="B280" t="s">
        <v>102</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102</v>
      </c>
      <c r="C281" t="s">
        <v>96</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92</v>
      </c>
      <c r="B282" t="s">
        <v>102</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102</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102</v>
      </c>
      <c r="C284" t="s">
        <v>96</v>
      </c>
      <c r="D284" t="s">
        <v>90</v>
      </c>
      <c r="E284" t="s">
        <v>43</v>
      </c>
      <c r="F284" s="6">
        <v>0.3125</v>
      </c>
      <c r="G284">
        <v>0</v>
      </c>
      <c r="H284" s="6">
        <f>FLOOR(tblPivotData[[#This Row],[Time]],Summary!$B$6/1440)</f>
        <v>0.3125</v>
      </c>
      <c r="I284">
        <f>INDEX(PeakCalc!$L$10:$L$303,MATCH(tblPivotData[[#This Row],[Time]],PeakCalc!$G$10:$G$303,0))</f>
        <v>0</v>
      </c>
    </row>
    <row r="285" spans="1:9" x14ac:dyDescent="0.25">
      <c r="A285" t="s">
        <v>92</v>
      </c>
      <c r="B285" t="s">
        <v>102</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102</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102</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92</v>
      </c>
      <c r="B288" t="s">
        <v>102</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102</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102</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102</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102</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102</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102</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102</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92</v>
      </c>
      <c r="B296" t="s">
        <v>102</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92</v>
      </c>
      <c r="B297" t="s">
        <v>102</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102</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102</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92</v>
      </c>
      <c r="B300" t="s">
        <v>102</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102</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103</v>
      </c>
      <c r="C302" t="s">
        <v>97</v>
      </c>
      <c r="D302" t="s">
        <v>79</v>
      </c>
      <c r="E302" t="s">
        <v>43</v>
      </c>
      <c r="F302" s="6">
        <v>0.29166666666666669</v>
      </c>
      <c r="G302">
        <v>32</v>
      </c>
      <c r="H302" s="6">
        <f>FLOOR(tblPivotData[[#This Row],[Time]],Summary!$B$6/1440)</f>
        <v>0.29166666666666663</v>
      </c>
      <c r="I302">
        <f>INDEX(PeakCalc!$L$10:$L$303,MATCH(tblPivotData[[#This Row],[Time]],PeakCalc!$G$10:$G$303,0))</f>
        <v>0</v>
      </c>
    </row>
    <row r="303" spans="1:9" x14ac:dyDescent="0.25">
      <c r="A303" t="s">
        <v>92</v>
      </c>
      <c r="B303" t="s">
        <v>103</v>
      </c>
      <c r="C303" t="s">
        <v>97</v>
      </c>
      <c r="D303" t="s">
        <v>79</v>
      </c>
      <c r="E303" t="s">
        <v>43</v>
      </c>
      <c r="F303" s="6">
        <v>0.30208333333333331</v>
      </c>
      <c r="G303">
        <v>24</v>
      </c>
      <c r="H303" s="6">
        <f>FLOOR(tblPivotData[[#This Row],[Time]],Summary!$B$6/1440)</f>
        <v>0.30208333333333331</v>
      </c>
      <c r="I303">
        <f>INDEX(PeakCalc!$L$10:$L$303,MATCH(tblPivotData[[#This Row],[Time]],PeakCalc!$G$10:$G$303,0))</f>
        <v>0</v>
      </c>
    </row>
    <row r="304" spans="1:9" x14ac:dyDescent="0.25">
      <c r="A304" t="s">
        <v>92</v>
      </c>
      <c r="B304" t="s">
        <v>103</v>
      </c>
      <c r="C304" t="s">
        <v>97</v>
      </c>
      <c r="D304" t="s">
        <v>79</v>
      </c>
      <c r="E304" t="s">
        <v>43</v>
      </c>
      <c r="F304" s="6">
        <v>0.3125</v>
      </c>
      <c r="G304">
        <v>37</v>
      </c>
      <c r="H304" s="6">
        <f>FLOOR(tblPivotData[[#This Row],[Time]],Summary!$B$6/1440)</f>
        <v>0.3125</v>
      </c>
      <c r="I304">
        <f>INDEX(PeakCalc!$L$10:$L$303,MATCH(tblPivotData[[#This Row],[Time]],PeakCalc!$G$10:$G$303,0))</f>
        <v>0</v>
      </c>
    </row>
    <row r="305" spans="1:9" x14ac:dyDescent="0.25">
      <c r="A305" t="s">
        <v>92</v>
      </c>
      <c r="B305" t="s">
        <v>103</v>
      </c>
      <c r="C305" t="s">
        <v>97</v>
      </c>
      <c r="D305" t="s">
        <v>79</v>
      </c>
      <c r="E305" t="s">
        <v>43</v>
      </c>
      <c r="F305" s="6">
        <v>0.32291666666666669</v>
      </c>
      <c r="G305">
        <v>29</v>
      </c>
      <c r="H305" s="6">
        <f>FLOOR(tblPivotData[[#This Row],[Time]],Summary!$B$6/1440)</f>
        <v>0.32291666666666663</v>
      </c>
      <c r="I305">
        <f>INDEX(PeakCalc!$L$10:$L$303,MATCH(tblPivotData[[#This Row],[Time]],PeakCalc!$G$10:$G$303,0))</f>
        <v>1</v>
      </c>
    </row>
    <row r="306" spans="1:9" x14ac:dyDescent="0.25">
      <c r="A306" t="s">
        <v>92</v>
      </c>
      <c r="B306" t="s">
        <v>103</v>
      </c>
      <c r="C306" t="s">
        <v>97</v>
      </c>
      <c r="D306" t="s">
        <v>79</v>
      </c>
      <c r="E306" t="s">
        <v>43</v>
      </c>
      <c r="F306" s="6">
        <v>0.33333333333333331</v>
      </c>
      <c r="G306">
        <v>28</v>
      </c>
      <c r="H306" s="6">
        <f>FLOOR(tblPivotData[[#This Row],[Time]],Summary!$B$6/1440)</f>
        <v>0.33333333333333331</v>
      </c>
      <c r="I306">
        <f>INDEX(PeakCalc!$L$10:$L$303,MATCH(tblPivotData[[#This Row],[Time]],PeakCalc!$G$10:$G$303,0))</f>
        <v>1</v>
      </c>
    </row>
    <row r="307" spans="1:9" x14ac:dyDescent="0.25">
      <c r="A307" t="s">
        <v>92</v>
      </c>
      <c r="B307" t="s">
        <v>103</v>
      </c>
      <c r="C307" t="s">
        <v>97</v>
      </c>
      <c r="D307" t="s">
        <v>79</v>
      </c>
      <c r="E307" t="s">
        <v>43</v>
      </c>
      <c r="F307" s="6">
        <v>0.34375</v>
      </c>
      <c r="G307">
        <v>43</v>
      </c>
      <c r="H307" s="6">
        <f>FLOOR(tblPivotData[[#This Row],[Time]],Summary!$B$6/1440)</f>
        <v>0.34375</v>
      </c>
      <c r="I307">
        <f>INDEX(PeakCalc!$L$10:$L$303,MATCH(tblPivotData[[#This Row],[Time]],PeakCalc!$G$10:$G$303,0))</f>
        <v>1</v>
      </c>
    </row>
    <row r="308" spans="1:9" x14ac:dyDescent="0.25">
      <c r="A308" t="s">
        <v>92</v>
      </c>
      <c r="B308" t="s">
        <v>103</v>
      </c>
      <c r="C308" t="s">
        <v>97</v>
      </c>
      <c r="D308" t="s">
        <v>79</v>
      </c>
      <c r="E308" t="s">
        <v>43</v>
      </c>
      <c r="F308" s="6">
        <v>0.35416666666666669</v>
      </c>
      <c r="G308">
        <v>36</v>
      </c>
      <c r="H308" s="6">
        <f>FLOOR(tblPivotData[[#This Row],[Time]],Summary!$B$6/1440)</f>
        <v>0.35416666666666663</v>
      </c>
      <c r="I308">
        <f>INDEX(PeakCalc!$L$10:$L$303,MATCH(tblPivotData[[#This Row],[Time]],PeakCalc!$G$10:$G$303,0))</f>
        <v>1</v>
      </c>
    </row>
    <row r="309" spans="1:9" x14ac:dyDescent="0.25">
      <c r="A309" t="s">
        <v>92</v>
      </c>
      <c r="B309" t="s">
        <v>103</v>
      </c>
      <c r="C309" t="s">
        <v>97</v>
      </c>
      <c r="D309" t="s">
        <v>79</v>
      </c>
      <c r="E309" t="s">
        <v>43</v>
      </c>
      <c r="F309" s="6">
        <v>0.36458333333333331</v>
      </c>
      <c r="G309">
        <v>28</v>
      </c>
      <c r="H309" s="6">
        <f>FLOOR(tblPivotData[[#This Row],[Time]],Summary!$B$6/1440)</f>
        <v>0.36458333333333331</v>
      </c>
      <c r="I309">
        <f>INDEX(PeakCalc!$L$10:$L$303,MATCH(tblPivotData[[#This Row],[Time]],PeakCalc!$G$10:$G$303,0))</f>
        <v>0</v>
      </c>
    </row>
    <row r="310" spans="1:9" x14ac:dyDescent="0.25">
      <c r="A310" t="s">
        <v>92</v>
      </c>
      <c r="B310" t="s">
        <v>103</v>
      </c>
      <c r="C310" t="s">
        <v>97</v>
      </c>
      <c r="D310" t="s">
        <v>79</v>
      </c>
      <c r="E310" t="s">
        <v>91</v>
      </c>
      <c r="F310" s="6">
        <v>0.54166666666666663</v>
      </c>
      <c r="G310">
        <v>39</v>
      </c>
      <c r="H310" s="6">
        <f>FLOOR(tblPivotData[[#This Row],[Time]],Summary!$B$6/1440)</f>
        <v>0.54166666666666663</v>
      </c>
      <c r="I310">
        <f>INDEX(PeakCalc!$L$10:$L$303,MATCH(tblPivotData[[#This Row],[Time]],PeakCalc!$G$10:$G$303,0))</f>
        <v>1</v>
      </c>
    </row>
    <row r="311" spans="1:9" x14ac:dyDescent="0.25">
      <c r="A311" t="s">
        <v>92</v>
      </c>
      <c r="B311" t="s">
        <v>103</v>
      </c>
      <c r="C311" t="s">
        <v>97</v>
      </c>
      <c r="D311" t="s">
        <v>79</v>
      </c>
      <c r="E311" t="s">
        <v>91</v>
      </c>
      <c r="F311" s="6">
        <v>0.55208333333333337</v>
      </c>
      <c r="G311">
        <v>54</v>
      </c>
      <c r="H311" s="6">
        <f>FLOOR(tblPivotData[[#This Row],[Time]],Summary!$B$6/1440)</f>
        <v>0.55208333333333326</v>
      </c>
      <c r="I311">
        <f>INDEX(PeakCalc!$L$10:$L$303,MATCH(tblPivotData[[#This Row],[Time]],PeakCalc!$G$10:$G$303,0))</f>
        <v>1</v>
      </c>
    </row>
    <row r="312" spans="1:9" x14ac:dyDescent="0.25">
      <c r="A312" t="s">
        <v>92</v>
      </c>
      <c r="B312" t="s">
        <v>103</v>
      </c>
      <c r="C312" t="s">
        <v>97</v>
      </c>
      <c r="D312" t="s">
        <v>79</v>
      </c>
      <c r="E312" t="s">
        <v>91</v>
      </c>
      <c r="F312" s="6">
        <v>0.5625</v>
      </c>
      <c r="G312">
        <v>35</v>
      </c>
      <c r="H312" s="6">
        <f>FLOOR(tblPivotData[[#This Row],[Time]],Summary!$B$6/1440)</f>
        <v>0.5625</v>
      </c>
      <c r="I312">
        <f>INDEX(PeakCalc!$L$10:$L$303,MATCH(tblPivotData[[#This Row],[Time]],PeakCalc!$G$10:$G$303,0))</f>
        <v>1</v>
      </c>
    </row>
    <row r="313" spans="1:9" x14ac:dyDescent="0.25">
      <c r="A313" t="s">
        <v>92</v>
      </c>
      <c r="B313" t="s">
        <v>103</v>
      </c>
      <c r="C313" t="s">
        <v>97</v>
      </c>
      <c r="D313" t="s">
        <v>79</v>
      </c>
      <c r="E313" t="s">
        <v>91</v>
      </c>
      <c r="F313" s="6">
        <v>0.57291666666666663</v>
      </c>
      <c r="G313">
        <v>45</v>
      </c>
      <c r="H313" s="6">
        <f>FLOOR(tblPivotData[[#This Row],[Time]],Summary!$B$6/1440)</f>
        <v>0.57291666666666663</v>
      </c>
      <c r="I313">
        <f>INDEX(PeakCalc!$L$10:$L$303,MATCH(tblPivotData[[#This Row],[Time]],PeakCalc!$G$10:$G$303,0))</f>
        <v>1</v>
      </c>
    </row>
    <row r="314" spans="1:9" x14ac:dyDescent="0.25">
      <c r="A314" t="s">
        <v>92</v>
      </c>
      <c r="B314" t="s">
        <v>103</v>
      </c>
      <c r="C314" t="s">
        <v>97</v>
      </c>
      <c r="D314" t="s">
        <v>79</v>
      </c>
      <c r="E314" t="s">
        <v>44</v>
      </c>
      <c r="F314" s="6">
        <v>0.66666666666666663</v>
      </c>
      <c r="G314">
        <v>72</v>
      </c>
      <c r="H314" s="6">
        <f>FLOOR(tblPivotData[[#This Row],[Time]],Summary!$B$6/1440)</f>
        <v>0.66666666666666663</v>
      </c>
      <c r="I314">
        <f>INDEX(PeakCalc!$L$10:$L$303,MATCH(tblPivotData[[#This Row],[Time]],PeakCalc!$G$10:$G$303,0))</f>
        <v>0</v>
      </c>
    </row>
    <row r="315" spans="1:9" x14ac:dyDescent="0.25">
      <c r="A315" t="s">
        <v>92</v>
      </c>
      <c r="B315" t="s">
        <v>103</v>
      </c>
      <c r="C315" t="s">
        <v>97</v>
      </c>
      <c r="D315" t="s">
        <v>79</v>
      </c>
      <c r="E315" t="s">
        <v>44</v>
      </c>
      <c r="F315" s="6">
        <v>0.67708333333333337</v>
      </c>
      <c r="G315">
        <v>81</v>
      </c>
      <c r="H315" s="6">
        <f>FLOOR(tblPivotData[[#This Row],[Time]],Summary!$B$6/1440)</f>
        <v>0.67708333333333326</v>
      </c>
      <c r="I315">
        <f>INDEX(PeakCalc!$L$10:$L$303,MATCH(tblPivotData[[#This Row],[Time]],PeakCalc!$G$10:$G$303,0))</f>
        <v>1</v>
      </c>
    </row>
    <row r="316" spans="1:9" x14ac:dyDescent="0.25">
      <c r="A316" t="s">
        <v>92</v>
      </c>
      <c r="B316" t="s">
        <v>103</v>
      </c>
      <c r="C316" t="s">
        <v>97</v>
      </c>
      <c r="D316" t="s">
        <v>79</v>
      </c>
      <c r="E316" t="s">
        <v>44</v>
      </c>
      <c r="F316" s="6">
        <v>0.6875</v>
      </c>
      <c r="G316">
        <v>88</v>
      </c>
      <c r="H316" s="6">
        <f>FLOOR(tblPivotData[[#This Row],[Time]],Summary!$B$6/1440)</f>
        <v>0.6875</v>
      </c>
      <c r="I316">
        <f>INDEX(PeakCalc!$L$10:$L$303,MATCH(tblPivotData[[#This Row],[Time]],PeakCalc!$G$10:$G$303,0))</f>
        <v>1</v>
      </c>
    </row>
    <row r="317" spans="1:9" x14ac:dyDescent="0.25">
      <c r="A317" t="s">
        <v>92</v>
      </c>
      <c r="B317" t="s">
        <v>103</v>
      </c>
      <c r="C317" t="s">
        <v>97</v>
      </c>
      <c r="D317" t="s">
        <v>79</v>
      </c>
      <c r="E317" t="s">
        <v>44</v>
      </c>
      <c r="F317" s="6">
        <v>0.69791666666666663</v>
      </c>
      <c r="G317">
        <v>87</v>
      </c>
      <c r="H317" s="6">
        <f>FLOOR(tblPivotData[[#This Row],[Time]],Summary!$B$6/1440)</f>
        <v>0.69791666666666663</v>
      </c>
      <c r="I317">
        <f>INDEX(PeakCalc!$L$10:$L$303,MATCH(tblPivotData[[#This Row],[Time]],PeakCalc!$G$10:$G$303,0))</f>
        <v>1</v>
      </c>
    </row>
    <row r="318" spans="1:9" x14ac:dyDescent="0.25">
      <c r="A318" t="s">
        <v>92</v>
      </c>
      <c r="B318" t="s">
        <v>103</v>
      </c>
      <c r="C318" t="s">
        <v>97</v>
      </c>
      <c r="D318" t="s">
        <v>79</v>
      </c>
      <c r="E318" t="s">
        <v>44</v>
      </c>
      <c r="F318" s="6">
        <v>0.70833333333333337</v>
      </c>
      <c r="G318">
        <v>100</v>
      </c>
      <c r="H318" s="6">
        <f>FLOOR(tblPivotData[[#This Row],[Time]],Summary!$B$6/1440)</f>
        <v>0.70833333333333326</v>
      </c>
      <c r="I318">
        <f>INDEX(PeakCalc!$L$10:$L$303,MATCH(tblPivotData[[#This Row],[Time]],PeakCalc!$G$10:$G$303,0))</f>
        <v>1</v>
      </c>
    </row>
    <row r="319" spans="1:9" x14ac:dyDescent="0.25">
      <c r="A319" t="s">
        <v>92</v>
      </c>
      <c r="B319" t="s">
        <v>103</v>
      </c>
      <c r="C319" t="s">
        <v>97</v>
      </c>
      <c r="D319" t="s">
        <v>79</v>
      </c>
      <c r="E319" t="s">
        <v>44</v>
      </c>
      <c r="F319" s="6">
        <v>0.71875</v>
      </c>
      <c r="G319">
        <v>87</v>
      </c>
      <c r="H319" s="6">
        <f>FLOOR(tblPivotData[[#This Row],[Time]],Summary!$B$6/1440)</f>
        <v>0.71875</v>
      </c>
      <c r="I319">
        <f>INDEX(PeakCalc!$L$10:$L$303,MATCH(tblPivotData[[#This Row],[Time]],PeakCalc!$G$10:$G$303,0))</f>
        <v>0</v>
      </c>
    </row>
    <row r="320" spans="1:9" x14ac:dyDescent="0.25">
      <c r="A320" t="s">
        <v>92</v>
      </c>
      <c r="B320" t="s">
        <v>103</v>
      </c>
      <c r="C320" t="s">
        <v>97</v>
      </c>
      <c r="D320" t="s">
        <v>79</v>
      </c>
      <c r="E320" t="s">
        <v>44</v>
      </c>
      <c r="F320" s="6">
        <v>0.72916666666666663</v>
      </c>
      <c r="G320">
        <v>73</v>
      </c>
      <c r="H320" s="6">
        <f>FLOOR(tblPivotData[[#This Row],[Time]],Summary!$B$6/1440)</f>
        <v>0.72916666666666663</v>
      </c>
      <c r="I320">
        <f>INDEX(PeakCalc!$L$10:$L$303,MATCH(tblPivotData[[#This Row],[Time]],PeakCalc!$G$10:$G$303,0))</f>
        <v>0</v>
      </c>
    </row>
    <row r="321" spans="1:9" x14ac:dyDescent="0.25">
      <c r="A321" t="s">
        <v>92</v>
      </c>
      <c r="B321" t="s">
        <v>103</v>
      </c>
      <c r="C321" t="s">
        <v>97</v>
      </c>
      <c r="D321" t="s">
        <v>79</v>
      </c>
      <c r="E321" t="s">
        <v>44</v>
      </c>
      <c r="F321" s="6">
        <v>0.73958333333333337</v>
      </c>
      <c r="G321">
        <v>54</v>
      </c>
      <c r="H321" s="6">
        <f>FLOOR(tblPivotData[[#This Row],[Time]],Summary!$B$6/1440)</f>
        <v>0.73958333333333326</v>
      </c>
      <c r="I321">
        <f>INDEX(PeakCalc!$L$10:$L$303,MATCH(tblPivotData[[#This Row],[Time]],PeakCalc!$G$10:$G$303,0))</f>
        <v>0</v>
      </c>
    </row>
    <row r="322" spans="1:9" x14ac:dyDescent="0.25">
      <c r="A322" t="s">
        <v>92</v>
      </c>
      <c r="B322" t="s">
        <v>103</v>
      </c>
      <c r="C322" t="s">
        <v>97</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92</v>
      </c>
      <c r="B323" t="s">
        <v>103</v>
      </c>
      <c r="C323" t="s">
        <v>97</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92</v>
      </c>
      <c r="B324" t="s">
        <v>103</v>
      </c>
      <c r="C324" t="s">
        <v>97</v>
      </c>
      <c r="D324" t="s">
        <v>89</v>
      </c>
      <c r="E324" t="s">
        <v>43</v>
      </c>
      <c r="F324" s="6">
        <v>0.3125</v>
      </c>
      <c r="G324">
        <v>1</v>
      </c>
      <c r="H324" s="6">
        <f>FLOOR(tblPivotData[[#This Row],[Time]],Summary!$B$6/1440)</f>
        <v>0.3125</v>
      </c>
      <c r="I324">
        <f>INDEX(PeakCalc!$L$10:$L$303,MATCH(tblPivotData[[#This Row],[Time]],PeakCalc!$G$10:$G$303,0))</f>
        <v>0</v>
      </c>
    </row>
    <row r="325" spans="1:9" x14ac:dyDescent="0.25">
      <c r="A325" t="s">
        <v>92</v>
      </c>
      <c r="B325" t="s">
        <v>103</v>
      </c>
      <c r="C325" t="s">
        <v>97</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92</v>
      </c>
      <c r="B326" t="s">
        <v>103</v>
      </c>
      <c r="C326" t="s">
        <v>97</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103</v>
      </c>
      <c r="C327" t="s">
        <v>97</v>
      </c>
      <c r="D327" t="s">
        <v>89</v>
      </c>
      <c r="E327" t="s">
        <v>43</v>
      </c>
      <c r="F327" s="6">
        <v>0.34375</v>
      </c>
      <c r="G327">
        <v>5</v>
      </c>
      <c r="H327" s="6">
        <f>FLOOR(tblPivotData[[#This Row],[Time]],Summary!$B$6/1440)</f>
        <v>0.34375</v>
      </c>
      <c r="I327">
        <f>INDEX(PeakCalc!$L$10:$L$303,MATCH(tblPivotData[[#This Row],[Time]],PeakCalc!$G$10:$G$303,0))</f>
        <v>1</v>
      </c>
    </row>
    <row r="328" spans="1:9" x14ac:dyDescent="0.25">
      <c r="A328" t="s">
        <v>92</v>
      </c>
      <c r="B328" t="s">
        <v>103</v>
      </c>
      <c r="C328" t="s">
        <v>97</v>
      </c>
      <c r="D328" t="s">
        <v>89</v>
      </c>
      <c r="E328" t="s">
        <v>43</v>
      </c>
      <c r="F328" s="6">
        <v>0.35416666666666669</v>
      </c>
      <c r="G328">
        <v>4</v>
      </c>
      <c r="H328" s="6">
        <f>FLOOR(tblPivotData[[#This Row],[Time]],Summary!$B$6/1440)</f>
        <v>0.35416666666666663</v>
      </c>
      <c r="I328">
        <f>INDEX(PeakCalc!$L$10:$L$303,MATCH(tblPivotData[[#This Row],[Time]],PeakCalc!$G$10:$G$303,0))</f>
        <v>1</v>
      </c>
    </row>
    <row r="329" spans="1:9" x14ac:dyDescent="0.25">
      <c r="A329" t="s">
        <v>92</v>
      </c>
      <c r="B329" t="s">
        <v>103</v>
      </c>
      <c r="C329" t="s">
        <v>97</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92</v>
      </c>
      <c r="B330" t="s">
        <v>103</v>
      </c>
      <c r="C330" t="s">
        <v>97</v>
      </c>
      <c r="D330" t="s">
        <v>89</v>
      </c>
      <c r="E330" t="s">
        <v>91</v>
      </c>
      <c r="F330" s="6">
        <v>0.54166666666666663</v>
      </c>
      <c r="G330">
        <v>2</v>
      </c>
      <c r="H330" s="6">
        <f>FLOOR(tblPivotData[[#This Row],[Time]],Summary!$B$6/1440)</f>
        <v>0.54166666666666663</v>
      </c>
      <c r="I330">
        <f>INDEX(PeakCalc!$L$10:$L$303,MATCH(tblPivotData[[#This Row],[Time]],PeakCalc!$G$10:$G$303,0))</f>
        <v>1</v>
      </c>
    </row>
    <row r="331" spans="1:9" x14ac:dyDescent="0.25">
      <c r="A331" t="s">
        <v>92</v>
      </c>
      <c r="B331" t="s">
        <v>103</v>
      </c>
      <c r="C331" t="s">
        <v>97</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92</v>
      </c>
      <c r="B332" t="s">
        <v>103</v>
      </c>
      <c r="C332" t="s">
        <v>97</v>
      </c>
      <c r="D332" t="s">
        <v>89</v>
      </c>
      <c r="E332" t="s">
        <v>91</v>
      </c>
      <c r="F332" s="6">
        <v>0.5625</v>
      </c>
      <c r="G332">
        <v>3</v>
      </c>
      <c r="H332" s="6">
        <f>FLOOR(tblPivotData[[#This Row],[Time]],Summary!$B$6/1440)</f>
        <v>0.5625</v>
      </c>
      <c r="I332">
        <f>INDEX(PeakCalc!$L$10:$L$303,MATCH(tblPivotData[[#This Row],[Time]],PeakCalc!$G$10:$G$303,0))</f>
        <v>1</v>
      </c>
    </row>
    <row r="333" spans="1:9" x14ac:dyDescent="0.25">
      <c r="A333" t="s">
        <v>92</v>
      </c>
      <c r="B333" t="s">
        <v>103</v>
      </c>
      <c r="C333" t="s">
        <v>97</v>
      </c>
      <c r="D333" t="s">
        <v>89</v>
      </c>
      <c r="E333" t="s">
        <v>91</v>
      </c>
      <c r="F333" s="6">
        <v>0.57291666666666663</v>
      </c>
      <c r="G333">
        <v>6</v>
      </c>
      <c r="H333" s="6">
        <f>FLOOR(tblPivotData[[#This Row],[Time]],Summary!$B$6/1440)</f>
        <v>0.57291666666666663</v>
      </c>
      <c r="I333">
        <f>INDEX(PeakCalc!$L$10:$L$303,MATCH(tblPivotData[[#This Row],[Time]],PeakCalc!$G$10:$G$303,0))</f>
        <v>1</v>
      </c>
    </row>
    <row r="334" spans="1:9" x14ac:dyDescent="0.25">
      <c r="A334" t="s">
        <v>92</v>
      </c>
      <c r="B334" t="s">
        <v>103</v>
      </c>
      <c r="C334" t="s">
        <v>97</v>
      </c>
      <c r="D334" t="s">
        <v>89</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92</v>
      </c>
      <c r="B335" t="s">
        <v>103</v>
      </c>
      <c r="C335" t="s">
        <v>97</v>
      </c>
      <c r="D335" t="s">
        <v>89</v>
      </c>
      <c r="E335" t="s">
        <v>44</v>
      </c>
      <c r="F335" s="6">
        <v>0.67708333333333337</v>
      </c>
      <c r="G335">
        <v>8</v>
      </c>
      <c r="H335" s="6">
        <f>FLOOR(tblPivotData[[#This Row],[Time]],Summary!$B$6/1440)</f>
        <v>0.67708333333333326</v>
      </c>
      <c r="I335">
        <f>INDEX(PeakCalc!$L$10:$L$303,MATCH(tblPivotData[[#This Row],[Time]],PeakCalc!$G$10:$G$303,0))</f>
        <v>1</v>
      </c>
    </row>
    <row r="336" spans="1:9" x14ac:dyDescent="0.25">
      <c r="A336" t="s">
        <v>92</v>
      </c>
      <c r="B336" t="s">
        <v>103</v>
      </c>
      <c r="C336" t="s">
        <v>97</v>
      </c>
      <c r="D336" t="s">
        <v>89</v>
      </c>
      <c r="E336" t="s">
        <v>44</v>
      </c>
      <c r="F336" s="6">
        <v>0.6875</v>
      </c>
      <c r="G336">
        <v>1</v>
      </c>
      <c r="H336" s="6">
        <f>FLOOR(tblPivotData[[#This Row],[Time]],Summary!$B$6/1440)</f>
        <v>0.6875</v>
      </c>
      <c r="I336">
        <f>INDEX(PeakCalc!$L$10:$L$303,MATCH(tblPivotData[[#This Row],[Time]],PeakCalc!$G$10:$G$303,0))</f>
        <v>1</v>
      </c>
    </row>
    <row r="337" spans="1:9" x14ac:dyDescent="0.25">
      <c r="A337" t="s">
        <v>92</v>
      </c>
      <c r="B337" t="s">
        <v>103</v>
      </c>
      <c r="C337" t="s">
        <v>97</v>
      </c>
      <c r="D337" t="s">
        <v>89</v>
      </c>
      <c r="E337" t="s">
        <v>44</v>
      </c>
      <c r="F337" s="6">
        <v>0.69791666666666663</v>
      </c>
      <c r="G337">
        <v>4</v>
      </c>
      <c r="H337" s="6">
        <f>FLOOR(tblPivotData[[#This Row],[Time]],Summary!$B$6/1440)</f>
        <v>0.69791666666666663</v>
      </c>
      <c r="I337">
        <f>INDEX(PeakCalc!$L$10:$L$303,MATCH(tblPivotData[[#This Row],[Time]],PeakCalc!$G$10:$G$303,0))</f>
        <v>1</v>
      </c>
    </row>
    <row r="338" spans="1:9" x14ac:dyDescent="0.25">
      <c r="A338" t="s">
        <v>92</v>
      </c>
      <c r="B338" t="s">
        <v>103</v>
      </c>
      <c r="C338" t="s">
        <v>97</v>
      </c>
      <c r="D338" t="s">
        <v>89</v>
      </c>
      <c r="E338" t="s">
        <v>44</v>
      </c>
      <c r="F338" s="6">
        <v>0.70833333333333337</v>
      </c>
      <c r="G338">
        <v>4</v>
      </c>
      <c r="H338" s="6">
        <f>FLOOR(tblPivotData[[#This Row],[Time]],Summary!$B$6/1440)</f>
        <v>0.70833333333333326</v>
      </c>
      <c r="I338">
        <f>INDEX(PeakCalc!$L$10:$L$303,MATCH(tblPivotData[[#This Row],[Time]],PeakCalc!$G$10:$G$303,0))</f>
        <v>1</v>
      </c>
    </row>
    <row r="339" spans="1:9" x14ac:dyDescent="0.25">
      <c r="A339" t="s">
        <v>92</v>
      </c>
      <c r="B339" t="s">
        <v>103</v>
      </c>
      <c r="C339" t="s">
        <v>97</v>
      </c>
      <c r="D339" t="s">
        <v>89</v>
      </c>
      <c r="E339" t="s">
        <v>44</v>
      </c>
      <c r="F339" s="6">
        <v>0.71875</v>
      </c>
      <c r="G339">
        <v>1</v>
      </c>
      <c r="H339" s="6">
        <f>FLOOR(tblPivotData[[#This Row],[Time]],Summary!$B$6/1440)</f>
        <v>0.71875</v>
      </c>
      <c r="I339">
        <f>INDEX(PeakCalc!$L$10:$L$303,MATCH(tblPivotData[[#This Row],[Time]],PeakCalc!$G$10:$G$303,0))</f>
        <v>0</v>
      </c>
    </row>
    <row r="340" spans="1:9" x14ac:dyDescent="0.25">
      <c r="A340" t="s">
        <v>92</v>
      </c>
      <c r="B340" t="s">
        <v>103</v>
      </c>
      <c r="C340" t="s">
        <v>97</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92</v>
      </c>
      <c r="B341" t="s">
        <v>103</v>
      </c>
      <c r="C341" t="s">
        <v>97</v>
      </c>
      <c r="D341" t="s">
        <v>89</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92</v>
      </c>
      <c r="B342" t="s">
        <v>103</v>
      </c>
      <c r="C342" t="s">
        <v>97</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103</v>
      </c>
      <c r="C343" t="s">
        <v>97</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103</v>
      </c>
      <c r="C344" t="s">
        <v>97</v>
      </c>
      <c r="D344" t="s">
        <v>90</v>
      </c>
      <c r="E344" t="s">
        <v>43</v>
      </c>
      <c r="F344" s="6">
        <v>0.3125</v>
      </c>
      <c r="G344">
        <v>0</v>
      </c>
      <c r="H344" s="6">
        <f>FLOOR(tblPivotData[[#This Row],[Time]],Summary!$B$6/1440)</f>
        <v>0.3125</v>
      </c>
      <c r="I344">
        <f>INDEX(PeakCalc!$L$10:$L$303,MATCH(tblPivotData[[#This Row],[Time]],PeakCalc!$G$10:$G$303,0))</f>
        <v>0</v>
      </c>
    </row>
    <row r="345" spans="1:9" x14ac:dyDescent="0.25">
      <c r="A345" t="s">
        <v>92</v>
      </c>
      <c r="B345" t="s">
        <v>103</v>
      </c>
      <c r="C345" t="s">
        <v>97</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92</v>
      </c>
      <c r="B346" t="s">
        <v>103</v>
      </c>
      <c r="C346" t="s">
        <v>97</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103</v>
      </c>
      <c r="C347" t="s">
        <v>97</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103</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103</v>
      </c>
      <c r="C349" t="s">
        <v>97</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92</v>
      </c>
      <c r="B350" t="s">
        <v>103</v>
      </c>
      <c r="C350" t="s">
        <v>97</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103</v>
      </c>
      <c r="C351" t="s">
        <v>97</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92</v>
      </c>
      <c r="B352" t="s">
        <v>103</v>
      </c>
      <c r="C352" t="s">
        <v>97</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103</v>
      </c>
      <c r="C353" t="s">
        <v>97</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103</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103</v>
      </c>
      <c r="C355" t="s">
        <v>97</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92</v>
      </c>
      <c r="B356" t="s">
        <v>103</v>
      </c>
      <c r="C356" t="s">
        <v>97</v>
      </c>
      <c r="D356" t="s">
        <v>90</v>
      </c>
      <c r="E356" t="s">
        <v>44</v>
      </c>
      <c r="F356" s="6">
        <v>0.6875</v>
      </c>
      <c r="G356">
        <v>0</v>
      </c>
      <c r="H356" s="6">
        <f>FLOOR(tblPivotData[[#This Row],[Time]],Summary!$B$6/1440)</f>
        <v>0.6875</v>
      </c>
      <c r="I356">
        <f>INDEX(PeakCalc!$L$10:$L$303,MATCH(tblPivotData[[#This Row],[Time]],PeakCalc!$G$10:$G$303,0))</f>
        <v>1</v>
      </c>
    </row>
    <row r="357" spans="1:9" x14ac:dyDescent="0.25">
      <c r="A357" t="s">
        <v>92</v>
      </c>
      <c r="B357" t="s">
        <v>103</v>
      </c>
      <c r="C357" t="s">
        <v>97</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92</v>
      </c>
      <c r="B358" t="s">
        <v>103</v>
      </c>
      <c r="C358" t="s">
        <v>97</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103</v>
      </c>
      <c r="C359" t="s">
        <v>97</v>
      </c>
      <c r="D359" t="s">
        <v>90</v>
      </c>
      <c r="E359" t="s">
        <v>44</v>
      </c>
      <c r="F359" s="6">
        <v>0.71875</v>
      </c>
      <c r="G359">
        <v>2</v>
      </c>
      <c r="H359" s="6">
        <f>FLOOR(tblPivotData[[#This Row],[Time]],Summary!$B$6/1440)</f>
        <v>0.71875</v>
      </c>
      <c r="I359">
        <f>INDEX(PeakCalc!$L$10:$L$303,MATCH(tblPivotData[[#This Row],[Time]],PeakCalc!$G$10:$G$303,0))</f>
        <v>0</v>
      </c>
    </row>
    <row r="360" spans="1:9" x14ac:dyDescent="0.25">
      <c r="A360" t="s">
        <v>92</v>
      </c>
      <c r="B360" t="s">
        <v>103</v>
      </c>
      <c r="C360" t="s">
        <v>97</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103</v>
      </c>
      <c r="C361" t="s">
        <v>97</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92</v>
      </c>
      <c r="B362" t="s">
        <v>104</v>
      </c>
      <c r="C362" t="s">
        <v>95</v>
      </c>
      <c r="D362" t="s">
        <v>79</v>
      </c>
      <c r="E362" t="s">
        <v>43</v>
      </c>
      <c r="F362" s="6">
        <v>0.29166666666666669</v>
      </c>
      <c r="G362">
        <v>17</v>
      </c>
      <c r="H362" s="6">
        <f>FLOOR(tblPivotData[[#This Row],[Time]],Summary!$B$6/1440)</f>
        <v>0.29166666666666663</v>
      </c>
      <c r="I362">
        <f>INDEX(PeakCalc!$L$10:$L$303,MATCH(tblPivotData[[#This Row],[Time]],PeakCalc!$G$10:$G$303,0))</f>
        <v>0</v>
      </c>
    </row>
    <row r="363" spans="1:9" x14ac:dyDescent="0.25">
      <c r="A363" t="s">
        <v>92</v>
      </c>
      <c r="B363" t="s">
        <v>104</v>
      </c>
      <c r="C363" t="s">
        <v>95</v>
      </c>
      <c r="D363" t="s">
        <v>79</v>
      </c>
      <c r="E363" t="s">
        <v>43</v>
      </c>
      <c r="F363" s="6">
        <v>0.30208333333333331</v>
      </c>
      <c r="G363">
        <v>13</v>
      </c>
      <c r="H363" s="6">
        <f>FLOOR(tblPivotData[[#This Row],[Time]],Summary!$B$6/1440)</f>
        <v>0.30208333333333331</v>
      </c>
      <c r="I363">
        <f>INDEX(PeakCalc!$L$10:$L$303,MATCH(tblPivotData[[#This Row],[Time]],PeakCalc!$G$10:$G$303,0))</f>
        <v>0</v>
      </c>
    </row>
    <row r="364" spans="1:9" x14ac:dyDescent="0.25">
      <c r="A364" t="s">
        <v>92</v>
      </c>
      <c r="B364" t="s">
        <v>104</v>
      </c>
      <c r="C364" t="s">
        <v>95</v>
      </c>
      <c r="D364" t="s">
        <v>79</v>
      </c>
      <c r="E364" t="s">
        <v>43</v>
      </c>
      <c r="F364" s="6">
        <v>0.3125</v>
      </c>
      <c r="G364">
        <v>19</v>
      </c>
      <c r="H364" s="6">
        <f>FLOOR(tblPivotData[[#This Row],[Time]],Summary!$B$6/1440)</f>
        <v>0.3125</v>
      </c>
      <c r="I364">
        <f>INDEX(PeakCalc!$L$10:$L$303,MATCH(tblPivotData[[#This Row],[Time]],PeakCalc!$G$10:$G$303,0))</f>
        <v>0</v>
      </c>
    </row>
    <row r="365" spans="1:9" x14ac:dyDescent="0.25">
      <c r="A365" t="s">
        <v>92</v>
      </c>
      <c r="B365" t="s">
        <v>104</v>
      </c>
      <c r="C365" t="s">
        <v>95</v>
      </c>
      <c r="D365" t="s">
        <v>79</v>
      </c>
      <c r="E365" t="s">
        <v>43</v>
      </c>
      <c r="F365" s="6">
        <v>0.32291666666666669</v>
      </c>
      <c r="G365">
        <v>13</v>
      </c>
      <c r="H365" s="6">
        <f>FLOOR(tblPivotData[[#This Row],[Time]],Summary!$B$6/1440)</f>
        <v>0.32291666666666663</v>
      </c>
      <c r="I365">
        <f>INDEX(PeakCalc!$L$10:$L$303,MATCH(tblPivotData[[#This Row],[Time]],PeakCalc!$G$10:$G$303,0))</f>
        <v>1</v>
      </c>
    </row>
    <row r="366" spans="1:9" x14ac:dyDescent="0.25">
      <c r="A366" t="s">
        <v>92</v>
      </c>
      <c r="B366" t="s">
        <v>104</v>
      </c>
      <c r="C366" t="s">
        <v>95</v>
      </c>
      <c r="D366" t="s">
        <v>79</v>
      </c>
      <c r="E366" t="s">
        <v>43</v>
      </c>
      <c r="F366" s="6">
        <v>0.33333333333333331</v>
      </c>
      <c r="G366">
        <v>13</v>
      </c>
      <c r="H366" s="6">
        <f>FLOOR(tblPivotData[[#This Row],[Time]],Summary!$B$6/1440)</f>
        <v>0.33333333333333331</v>
      </c>
      <c r="I366">
        <f>INDEX(PeakCalc!$L$10:$L$303,MATCH(tblPivotData[[#This Row],[Time]],PeakCalc!$G$10:$G$303,0))</f>
        <v>1</v>
      </c>
    </row>
    <row r="367" spans="1:9" x14ac:dyDescent="0.25">
      <c r="A367" t="s">
        <v>92</v>
      </c>
      <c r="B367" t="s">
        <v>104</v>
      </c>
      <c r="C367" t="s">
        <v>95</v>
      </c>
      <c r="D367" t="s">
        <v>79</v>
      </c>
      <c r="E367" t="s">
        <v>43</v>
      </c>
      <c r="F367" s="6">
        <v>0.34375</v>
      </c>
      <c r="G367">
        <v>14</v>
      </c>
      <c r="H367" s="6">
        <f>FLOOR(tblPivotData[[#This Row],[Time]],Summary!$B$6/1440)</f>
        <v>0.34375</v>
      </c>
      <c r="I367">
        <f>INDEX(PeakCalc!$L$10:$L$303,MATCH(tblPivotData[[#This Row],[Time]],PeakCalc!$G$10:$G$303,0))</f>
        <v>1</v>
      </c>
    </row>
    <row r="368" spans="1:9" x14ac:dyDescent="0.25">
      <c r="A368" t="s">
        <v>92</v>
      </c>
      <c r="B368" t="s">
        <v>104</v>
      </c>
      <c r="C368" t="s">
        <v>95</v>
      </c>
      <c r="D368" t="s">
        <v>79</v>
      </c>
      <c r="E368" t="s">
        <v>43</v>
      </c>
      <c r="F368" s="6">
        <v>0.35416666666666669</v>
      </c>
      <c r="G368">
        <v>11</v>
      </c>
      <c r="H368" s="6">
        <f>FLOOR(tblPivotData[[#This Row],[Time]],Summary!$B$6/1440)</f>
        <v>0.35416666666666663</v>
      </c>
      <c r="I368">
        <f>INDEX(PeakCalc!$L$10:$L$303,MATCH(tblPivotData[[#This Row],[Time]],PeakCalc!$G$10:$G$303,0))</f>
        <v>1</v>
      </c>
    </row>
    <row r="369" spans="1:9" x14ac:dyDescent="0.25">
      <c r="A369" t="s">
        <v>92</v>
      </c>
      <c r="B369" t="s">
        <v>104</v>
      </c>
      <c r="C369" t="s">
        <v>95</v>
      </c>
      <c r="D369" t="s">
        <v>79</v>
      </c>
      <c r="E369" t="s">
        <v>43</v>
      </c>
      <c r="F369" s="6">
        <v>0.36458333333333331</v>
      </c>
      <c r="G369">
        <v>13</v>
      </c>
      <c r="H369" s="6">
        <f>FLOOR(tblPivotData[[#This Row],[Time]],Summary!$B$6/1440)</f>
        <v>0.36458333333333331</v>
      </c>
      <c r="I369">
        <f>INDEX(PeakCalc!$L$10:$L$303,MATCH(tblPivotData[[#This Row],[Time]],PeakCalc!$G$10:$G$303,0))</f>
        <v>0</v>
      </c>
    </row>
    <row r="370" spans="1:9" x14ac:dyDescent="0.25">
      <c r="A370" t="s">
        <v>92</v>
      </c>
      <c r="B370" t="s">
        <v>104</v>
      </c>
      <c r="C370" t="s">
        <v>95</v>
      </c>
      <c r="D370" t="s">
        <v>79</v>
      </c>
      <c r="E370" t="s">
        <v>91</v>
      </c>
      <c r="F370" s="6">
        <v>0.54166666666666663</v>
      </c>
      <c r="G370">
        <v>13</v>
      </c>
      <c r="H370" s="6">
        <f>FLOOR(tblPivotData[[#This Row],[Time]],Summary!$B$6/1440)</f>
        <v>0.54166666666666663</v>
      </c>
      <c r="I370">
        <f>INDEX(PeakCalc!$L$10:$L$303,MATCH(tblPivotData[[#This Row],[Time]],PeakCalc!$G$10:$G$303,0))</f>
        <v>1</v>
      </c>
    </row>
    <row r="371" spans="1:9" x14ac:dyDescent="0.25">
      <c r="A371" t="s">
        <v>92</v>
      </c>
      <c r="B371" t="s">
        <v>104</v>
      </c>
      <c r="C371" t="s">
        <v>95</v>
      </c>
      <c r="D371" t="s">
        <v>79</v>
      </c>
      <c r="E371" t="s">
        <v>91</v>
      </c>
      <c r="F371" s="6">
        <v>0.55208333333333337</v>
      </c>
      <c r="G371">
        <v>14</v>
      </c>
      <c r="H371" s="6">
        <f>FLOOR(tblPivotData[[#This Row],[Time]],Summary!$B$6/1440)</f>
        <v>0.55208333333333326</v>
      </c>
      <c r="I371">
        <f>INDEX(PeakCalc!$L$10:$L$303,MATCH(tblPivotData[[#This Row],[Time]],PeakCalc!$G$10:$G$303,0))</f>
        <v>1</v>
      </c>
    </row>
    <row r="372" spans="1:9" x14ac:dyDescent="0.25">
      <c r="A372" t="s">
        <v>92</v>
      </c>
      <c r="B372" t="s">
        <v>104</v>
      </c>
      <c r="C372" t="s">
        <v>95</v>
      </c>
      <c r="D372" t="s">
        <v>79</v>
      </c>
      <c r="E372" t="s">
        <v>91</v>
      </c>
      <c r="F372" s="6">
        <v>0.5625</v>
      </c>
      <c r="G372">
        <v>19</v>
      </c>
      <c r="H372" s="6">
        <f>FLOOR(tblPivotData[[#This Row],[Time]],Summary!$B$6/1440)</f>
        <v>0.5625</v>
      </c>
      <c r="I372">
        <f>INDEX(PeakCalc!$L$10:$L$303,MATCH(tblPivotData[[#This Row],[Time]],PeakCalc!$G$10:$G$303,0))</f>
        <v>1</v>
      </c>
    </row>
    <row r="373" spans="1:9" x14ac:dyDescent="0.25">
      <c r="A373" t="s">
        <v>92</v>
      </c>
      <c r="B373" t="s">
        <v>104</v>
      </c>
      <c r="C373" t="s">
        <v>95</v>
      </c>
      <c r="D373" t="s">
        <v>79</v>
      </c>
      <c r="E373" t="s">
        <v>91</v>
      </c>
      <c r="F373" s="6">
        <v>0.57291666666666663</v>
      </c>
      <c r="G373">
        <v>19</v>
      </c>
      <c r="H373" s="6">
        <f>FLOOR(tblPivotData[[#This Row],[Time]],Summary!$B$6/1440)</f>
        <v>0.57291666666666663</v>
      </c>
      <c r="I373">
        <f>INDEX(PeakCalc!$L$10:$L$303,MATCH(tblPivotData[[#This Row],[Time]],PeakCalc!$G$10:$G$303,0))</f>
        <v>1</v>
      </c>
    </row>
    <row r="374" spans="1:9" x14ac:dyDescent="0.25">
      <c r="A374" t="s">
        <v>92</v>
      </c>
      <c r="B374" t="s">
        <v>104</v>
      </c>
      <c r="C374" t="s">
        <v>95</v>
      </c>
      <c r="D374" t="s">
        <v>79</v>
      </c>
      <c r="E374" t="s">
        <v>44</v>
      </c>
      <c r="F374" s="6">
        <v>0.66666666666666663</v>
      </c>
      <c r="G374">
        <v>38</v>
      </c>
      <c r="H374" s="6">
        <f>FLOOR(tblPivotData[[#This Row],[Time]],Summary!$B$6/1440)</f>
        <v>0.66666666666666663</v>
      </c>
      <c r="I374">
        <f>INDEX(PeakCalc!$L$10:$L$303,MATCH(tblPivotData[[#This Row],[Time]],PeakCalc!$G$10:$G$303,0))</f>
        <v>0</v>
      </c>
    </row>
    <row r="375" spans="1:9" x14ac:dyDescent="0.25">
      <c r="A375" t="s">
        <v>92</v>
      </c>
      <c r="B375" t="s">
        <v>104</v>
      </c>
      <c r="C375" t="s">
        <v>95</v>
      </c>
      <c r="D375" t="s">
        <v>79</v>
      </c>
      <c r="E375" t="s">
        <v>44</v>
      </c>
      <c r="F375" s="6">
        <v>0.67708333333333337</v>
      </c>
      <c r="G375">
        <v>18</v>
      </c>
      <c r="H375" s="6">
        <f>FLOOR(tblPivotData[[#This Row],[Time]],Summary!$B$6/1440)</f>
        <v>0.67708333333333326</v>
      </c>
      <c r="I375">
        <f>INDEX(PeakCalc!$L$10:$L$303,MATCH(tblPivotData[[#This Row],[Time]],PeakCalc!$G$10:$G$303,0))</f>
        <v>1</v>
      </c>
    </row>
    <row r="376" spans="1:9" x14ac:dyDescent="0.25">
      <c r="A376" t="s">
        <v>92</v>
      </c>
      <c r="B376" t="s">
        <v>104</v>
      </c>
      <c r="C376" t="s">
        <v>95</v>
      </c>
      <c r="D376" t="s">
        <v>79</v>
      </c>
      <c r="E376" t="s">
        <v>44</v>
      </c>
      <c r="F376" s="6">
        <v>0.6875</v>
      </c>
      <c r="G376">
        <v>29</v>
      </c>
      <c r="H376" s="6">
        <f>FLOOR(tblPivotData[[#This Row],[Time]],Summary!$B$6/1440)</f>
        <v>0.6875</v>
      </c>
      <c r="I376">
        <f>INDEX(PeakCalc!$L$10:$L$303,MATCH(tblPivotData[[#This Row],[Time]],PeakCalc!$G$10:$G$303,0))</f>
        <v>1</v>
      </c>
    </row>
    <row r="377" spans="1:9" x14ac:dyDescent="0.25">
      <c r="A377" t="s">
        <v>92</v>
      </c>
      <c r="B377" t="s">
        <v>104</v>
      </c>
      <c r="C377" t="s">
        <v>95</v>
      </c>
      <c r="D377" t="s">
        <v>79</v>
      </c>
      <c r="E377" t="s">
        <v>44</v>
      </c>
      <c r="F377" s="6">
        <v>0.69791666666666663</v>
      </c>
      <c r="G377">
        <v>35</v>
      </c>
      <c r="H377" s="6">
        <f>FLOOR(tblPivotData[[#This Row],[Time]],Summary!$B$6/1440)</f>
        <v>0.69791666666666663</v>
      </c>
      <c r="I377">
        <f>INDEX(PeakCalc!$L$10:$L$303,MATCH(tblPivotData[[#This Row],[Time]],PeakCalc!$G$10:$G$303,0))</f>
        <v>1</v>
      </c>
    </row>
    <row r="378" spans="1:9" x14ac:dyDescent="0.25">
      <c r="A378" t="s">
        <v>92</v>
      </c>
      <c r="B378" t="s">
        <v>104</v>
      </c>
      <c r="C378" t="s">
        <v>95</v>
      </c>
      <c r="D378" t="s">
        <v>79</v>
      </c>
      <c r="E378" t="s">
        <v>44</v>
      </c>
      <c r="F378" s="6">
        <v>0.70833333333333337</v>
      </c>
      <c r="G378">
        <v>28</v>
      </c>
      <c r="H378" s="6">
        <f>FLOOR(tblPivotData[[#This Row],[Time]],Summary!$B$6/1440)</f>
        <v>0.70833333333333326</v>
      </c>
      <c r="I378">
        <f>INDEX(PeakCalc!$L$10:$L$303,MATCH(tblPivotData[[#This Row],[Time]],PeakCalc!$G$10:$G$303,0))</f>
        <v>1</v>
      </c>
    </row>
    <row r="379" spans="1:9" x14ac:dyDescent="0.25">
      <c r="A379" t="s">
        <v>92</v>
      </c>
      <c r="B379" t="s">
        <v>104</v>
      </c>
      <c r="C379" t="s">
        <v>95</v>
      </c>
      <c r="D379" t="s">
        <v>79</v>
      </c>
      <c r="E379" t="s">
        <v>44</v>
      </c>
      <c r="F379" s="6">
        <v>0.71875</v>
      </c>
      <c r="G379">
        <v>17</v>
      </c>
      <c r="H379" s="6">
        <f>FLOOR(tblPivotData[[#This Row],[Time]],Summary!$B$6/1440)</f>
        <v>0.71875</v>
      </c>
      <c r="I379">
        <f>INDEX(PeakCalc!$L$10:$L$303,MATCH(tblPivotData[[#This Row],[Time]],PeakCalc!$G$10:$G$303,0))</f>
        <v>0</v>
      </c>
    </row>
    <row r="380" spans="1:9" x14ac:dyDescent="0.25">
      <c r="A380" t="s">
        <v>92</v>
      </c>
      <c r="B380" t="s">
        <v>104</v>
      </c>
      <c r="C380" t="s">
        <v>95</v>
      </c>
      <c r="D380" t="s">
        <v>79</v>
      </c>
      <c r="E380" t="s">
        <v>44</v>
      </c>
      <c r="F380" s="6">
        <v>0.72916666666666663</v>
      </c>
      <c r="G380">
        <v>19</v>
      </c>
      <c r="H380" s="6">
        <f>FLOOR(tblPivotData[[#This Row],[Time]],Summary!$B$6/1440)</f>
        <v>0.72916666666666663</v>
      </c>
      <c r="I380">
        <f>INDEX(PeakCalc!$L$10:$L$303,MATCH(tblPivotData[[#This Row],[Time]],PeakCalc!$G$10:$G$303,0))</f>
        <v>0</v>
      </c>
    </row>
    <row r="381" spans="1:9" x14ac:dyDescent="0.25">
      <c r="A381" t="s">
        <v>92</v>
      </c>
      <c r="B381" t="s">
        <v>104</v>
      </c>
      <c r="C381" t="s">
        <v>95</v>
      </c>
      <c r="D381" t="s">
        <v>79</v>
      </c>
      <c r="E381" t="s">
        <v>44</v>
      </c>
      <c r="F381" s="6">
        <v>0.73958333333333337</v>
      </c>
      <c r="G381">
        <v>13</v>
      </c>
      <c r="H381" s="6">
        <f>FLOOR(tblPivotData[[#This Row],[Time]],Summary!$B$6/1440)</f>
        <v>0.73958333333333326</v>
      </c>
      <c r="I381">
        <f>INDEX(PeakCalc!$L$10:$L$303,MATCH(tblPivotData[[#This Row],[Time]],PeakCalc!$G$10:$G$303,0))</f>
        <v>0</v>
      </c>
    </row>
    <row r="382" spans="1:9" x14ac:dyDescent="0.25">
      <c r="A382" t="s">
        <v>92</v>
      </c>
      <c r="B382" t="s">
        <v>104</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92</v>
      </c>
      <c r="B383" t="s">
        <v>104</v>
      </c>
      <c r="C383" t="s">
        <v>95</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92</v>
      </c>
      <c r="B384" t="s">
        <v>104</v>
      </c>
      <c r="C384" t="s">
        <v>95</v>
      </c>
      <c r="D384" t="s">
        <v>89</v>
      </c>
      <c r="E384" t="s">
        <v>43</v>
      </c>
      <c r="F384" s="6">
        <v>0.3125</v>
      </c>
      <c r="G384">
        <v>2</v>
      </c>
      <c r="H384" s="6">
        <f>FLOOR(tblPivotData[[#This Row],[Time]],Summary!$B$6/1440)</f>
        <v>0.3125</v>
      </c>
      <c r="I384">
        <f>INDEX(PeakCalc!$L$10:$L$303,MATCH(tblPivotData[[#This Row],[Time]],PeakCalc!$G$10:$G$303,0))</f>
        <v>0</v>
      </c>
    </row>
    <row r="385" spans="1:9" x14ac:dyDescent="0.25">
      <c r="A385" t="s">
        <v>92</v>
      </c>
      <c r="B385" t="s">
        <v>104</v>
      </c>
      <c r="C385" t="s">
        <v>95</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92</v>
      </c>
      <c r="B386" t="s">
        <v>104</v>
      </c>
      <c r="C386" t="s">
        <v>95</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92</v>
      </c>
      <c r="B387" t="s">
        <v>104</v>
      </c>
      <c r="C387" t="s">
        <v>95</v>
      </c>
      <c r="D387" t="s">
        <v>89</v>
      </c>
      <c r="E387" t="s">
        <v>43</v>
      </c>
      <c r="F387" s="6">
        <v>0.34375</v>
      </c>
      <c r="G387">
        <v>3</v>
      </c>
      <c r="H387" s="6">
        <f>FLOOR(tblPivotData[[#This Row],[Time]],Summary!$B$6/1440)</f>
        <v>0.34375</v>
      </c>
      <c r="I387">
        <f>INDEX(PeakCalc!$L$10:$L$303,MATCH(tblPivotData[[#This Row],[Time]],PeakCalc!$G$10:$G$303,0))</f>
        <v>1</v>
      </c>
    </row>
    <row r="388" spans="1:9" x14ac:dyDescent="0.25">
      <c r="A388" t="s">
        <v>92</v>
      </c>
      <c r="B388" t="s">
        <v>104</v>
      </c>
      <c r="C388" t="s">
        <v>95</v>
      </c>
      <c r="D388" t="s">
        <v>89</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92</v>
      </c>
      <c r="B389" t="s">
        <v>104</v>
      </c>
      <c r="C389" t="s">
        <v>95</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92</v>
      </c>
      <c r="B390" t="s">
        <v>104</v>
      </c>
      <c r="C390" t="s">
        <v>95</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92</v>
      </c>
      <c r="B391" t="s">
        <v>104</v>
      </c>
      <c r="C391" t="s">
        <v>95</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92</v>
      </c>
      <c r="B392" t="s">
        <v>104</v>
      </c>
      <c r="C392" t="s">
        <v>95</v>
      </c>
      <c r="D392" t="s">
        <v>89</v>
      </c>
      <c r="E392" t="s">
        <v>91</v>
      </c>
      <c r="F392" s="6">
        <v>0.5625</v>
      </c>
      <c r="G392">
        <v>2</v>
      </c>
      <c r="H392" s="6">
        <f>FLOOR(tblPivotData[[#This Row],[Time]],Summary!$B$6/1440)</f>
        <v>0.5625</v>
      </c>
      <c r="I392">
        <f>INDEX(PeakCalc!$L$10:$L$303,MATCH(tblPivotData[[#This Row],[Time]],PeakCalc!$G$10:$G$303,0))</f>
        <v>1</v>
      </c>
    </row>
    <row r="393" spans="1:9" x14ac:dyDescent="0.25">
      <c r="A393" t="s">
        <v>92</v>
      </c>
      <c r="B393" t="s">
        <v>104</v>
      </c>
      <c r="C393" t="s">
        <v>95</v>
      </c>
      <c r="D393" t="s">
        <v>89</v>
      </c>
      <c r="E393" t="s">
        <v>91</v>
      </c>
      <c r="F393" s="6">
        <v>0.57291666666666663</v>
      </c>
      <c r="G393">
        <v>2</v>
      </c>
      <c r="H393" s="6">
        <f>FLOOR(tblPivotData[[#This Row],[Time]],Summary!$B$6/1440)</f>
        <v>0.57291666666666663</v>
      </c>
      <c r="I393">
        <f>INDEX(PeakCalc!$L$10:$L$303,MATCH(tblPivotData[[#This Row],[Time]],PeakCalc!$G$10:$G$303,0))</f>
        <v>1</v>
      </c>
    </row>
    <row r="394" spans="1:9" x14ac:dyDescent="0.25">
      <c r="A394" t="s">
        <v>92</v>
      </c>
      <c r="B394" t="s">
        <v>104</v>
      </c>
      <c r="C394" t="s">
        <v>95</v>
      </c>
      <c r="D394" t="s">
        <v>89</v>
      </c>
      <c r="E394" t="s">
        <v>44</v>
      </c>
      <c r="F394" s="6">
        <v>0.66666666666666663</v>
      </c>
      <c r="G394">
        <v>5</v>
      </c>
      <c r="H394" s="6">
        <f>FLOOR(tblPivotData[[#This Row],[Time]],Summary!$B$6/1440)</f>
        <v>0.66666666666666663</v>
      </c>
      <c r="I394">
        <f>INDEX(PeakCalc!$L$10:$L$303,MATCH(tblPivotData[[#This Row],[Time]],PeakCalc!$G$10:$G$303,0))</f>
        <v>0</v>
      </c>
    </row>
    <row r="395" spans="1:9" x14ac:dyDescent="0.25">
      <c r="A395" t="s">
        <v>92</v>
      </c>
      <c r="B395" t="s">
        <v>104</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92</v>
      </c>
      <c r="B396" t="s">
        <v>104</v>
      </c>
      <c r="C396" t="s">
        <v>95</v>
      </c>
      <c r="D396" t="s">
        <v>89</v>
      </c>
      <c r="E396" t="s">
        <v>44</v>
      </c>
      <c r="F396" s="6">
        <v>0.6875</v>
      </c>
      <c r="G396">
        <v>0</v>
      </c>
      <c r="H396" s="6">
        <f>FLOOR(tblPivotData[[#This Row],[Time]],Summary!$B$6/1440)</f>
        <v>0.6875</v>
      </c>
      <c r="I396">
        <f>INDEX(PeakCalc!$L$10:$L$303,MATCH(tblPivotData[[#This Row],[Time]],PeakCalc!$G$10:$G$303,0))</f>
        <v>1</v>
      </c>
    </row>
    <row r="397" spans="1:9" x14ac:dyDescent="0.25">
      <c r="A397" t="s">
        <v>92</v>
      </c>
      <c r="B397" t="s">
        <v>104</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92</v>
      </c>
      <c r="B398" t="s">
        <v>104</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92</v>
      </c>
      <c r="B399" t="s">
        <v>104</v>
      </c>
      <c r="C399" t="s">
        <v>95</v>
      </c>
      <c r="D399" t="s">
        <v>89</v>
      </c>
      <c r="E399" t="s">
        <v>44</v>
      </c>
      <c r="F399" s="6">
        <v>0.71875</v>
      </c>
      <c r="G399">
        <v>1</v>
      </c>
      <c r="H399" s="6">
        <f>FLOOR(tblPivotData[[#This Row],[Time]],Summary!$B$6/1440)</f>
        <v>0.71875</v>
      </c>
      <c r="I399">
        <f>INDEX(PeakCalc!$L$10:$L$303,MATCH(tblPivotData[[#This Row],[Time]],PeakCalc!$G$10:$G$303,0))</f>
        <v>0</v>
      </c>
    </row>
    <row r="400" spans="1:9" x14ac:dyDescent="0.25">
      <c r="A400" t="s">
        <v>92</v>
      </c>
      <c r="B400" t="s">
        <v>104</v>
      </c>
      <c r="C400" t="s">
        <v>95</v>
      </c>
      <c r="D400" t="s">
        <v>89</v>
      </c>
      <c r="E400" t="s">
        <v>44</v>
      </c>
      <c r="F400" s="6">
        <v>0.72916666666666663</v>
      </c>
      <c r="G400">
        <v>2</v>
      </c>
      <c r="H400" s="6">
        <f>FLOOR(tblPivotData[[#This Row],[Time]],Summary!$B$6/1440)</f>
        <v>0.72916666666666663</v>
      </c>
      <c r="I400">
        <f>INDEX(PeakCalc!$L$10:$L$303,MATCH(tblPivotData[[#This Row],[Time]],PeakCalc!$G$10:$G$303,0))</f>
        <v>0</v>
      </c>
    </row>
    <row r="401" spans="1:9" x14ac:dyDescent="0.25">
      <c r="A401" t="s">
        <v>92</v>
      </c>
      <c r="B401" t="s">
        <v>104</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92</v>
      </c>
      <c r="B402" t="s">
        <v>104</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92</v>
      </c>
      <c r="B403" t="s">
        <v>104</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92</v>
      </c>
      <c r="B404" t="s">
        <v>104</v>
      </c>
      <c r="C404" t="s">
        <v>95</v>
      </c>
      <c r="D404" t="s">
        <v>90</v>
      </c>
      <c r="E404" t="s">
        <v>43</v>
      </c>
      <c r="F404" s="6">
        <v>0.3125</v>
      </c>
      <c r="G404">
        <v>0</v>
      </c>
      <c r="H404" s="6">
        <f>FLOOR(tblPivotData[[#This Row],[Time]],Summary!$B$6/1440)</f>
        <v>0.3125</v>
      </c>
      <c r="I404">
        <f>INDEX(PeakCalc!$L$10:$L$303,MATCH(tblPivotData[[#This Row],[Time]],PeakCalc!$G$10:$G$303,0))</f>
        <v>0</v>
      </c>
    </row>
    <row r="405" spans="1:9" x14ac:dyDescent="0.25">
      <c r="A405" t="s">
        <v>92</v>
      </c>
      <c r="B405" t="s">
        <v>104</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92</v>
      </c>
      <c r="B406" t="s">
        <v>104</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92</v>
      </c>
      <c r="B407" t="s">
        <v>104</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92</v>
      </c>
      <c r="B408" t="s">
        <v>104</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92</v>
      </c>
      <c r="B409" t="s">
        <v>104</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92</v>
      </c>
      <c r="B410" t="s">
        <v>104</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92</v>
      </c>
      <c r="B411" t="s">
        <v>104</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92</v>
      </c>
      <c r="B412" t="s">
        <v>104</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92</v>
      </c>
      <c r="B413" t="s">
        <v>104</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92</v>
      </c>
      <c r="B414" t="s">
        <v>104</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92</v>
      </c>
      <c r="B415" t="s">
        <v>104</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92</v>
      </c>
      <c r="B416" t="s">
        <v>104</v>
      </c>
      <c r="C416" t="s">
        <v>95</v>
      </c>
      <c r="D416" t="s">
        <v>90</v>
      </c>
      <c r="E416" t="s">
        <v>44</v>
      </c>
      <c r="F416" s="6">
        <v>0.6875</v>
      </c>
      <c r="G416">
        <v>0</v>
      </c>
      <c r="H416" s="6">
        <f>FLOOR(tblPivotData[[#This Row],[Time]],Summary!$B$6/1440)</f>
        <v>0.6875</v>
      </c>
      <c r="I416">
        <f>INDEX(PeakCalc!$L$10:$L$303,MATCH(tblPivotData[[#This Row],[Time]],PeakCalc!$G$10:$G$303,0))</f>
        <v>1</v>
      </c>
    </row>
    <row r="417" spans="1:9" x14ac:dyDescent="0.25">
      <c r="A417" t="s">
        <v>92</v>
      </c>
      <c r="B417" t="s">
        <v>104</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92</v>
      </c>
      <c r="B418" t="s">
        <v>104</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92</v>
      </c>
      <c r="B419" t="s">
        <v>104</v>
      </c>
      <c r="C419" t="s">
        <v>95</v>
      </c>
      <c r="D419" t="s">
        <v>90</v>
      </c>
      <c r="E419" t="s">
        <v>44</v>
      </c>
      <c r="F419" s="6">
        <v>0.71875</v>
      </c>
      <c r="G419">
        <v>0</v>
      </c>
      <c r="H419" s="6">
        <f>FLOOR(tblPivotData[[#This Row],[Time]],Summary!$B$6/1440)</f>
        <v>0.71875</v>
      </c>
      <c r="I419">
        <f>INDEX(PeakCalc!$L$10:$L$303,MATCH(tblPivotData[[#This Row],[Time]],PeakCalc!$G$10:$G$303,0))</f>
        <v>0</v>
      </c>
    </row>
    <row r="420" spans="1:9" x14ac:dyDescent="0.25">
      <c r="A420" t="s">
        <v>92</v>
      </c>
      <c r="B420" t="s">
        <v>104</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92</v>
      </c>
      <c r="B421" t="s">
        <v>104</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105</v>
      </c>
      <c r="C422" t="s">
        <v>97</v>
      </c>
      <c r="D422" t="s">
        <v>79</v>
      </c>
      <c r="E422" t="s">
        <v>43</v>
      </c>
      <c r="F422" s="6">
        <v>0.29166666666666669</v>
      </c>
      <c r="G422">
        <v>8</v>
      </c>
      <c r="H422" s="6">
        <f>FLOOR(tblPivotData[[#This Row],[Time]],Summary!$B$6/1440)</f>
        <v>0.29166666666666663</v>
      </c>
      <c r="I422">
        <f>INDEX(PeakCalc!$L$10:$L$303,MATCH(tblPivotData[[#This Row],[Time]],PeakCalc!$G$10:$G$303,0))</f>
        <v>0</v>
      </c>
    </row>
    <row r="423" spans="1:9" x14ac:dyDescent="0.25">
      <c r="A423" t="s">
        <v>96</v>
      </c>
      <c r="B423" t="s">
        <v>105</v>
      </c>
      <c r="C423" t="s">
        <v>97</v>
      </c>
      <c r="D423" t="s">
        <v>79</v>
      </c>
      <c r="E423" t="s">
        <v>43</v>
      </c>
      <c r="F423" s="6">
        <v>0.30208333333333331</v>
      </c>
      <c r="G423">
        <v>12</v>
      </c>
      <c r="H423" s="6">
        <f>FLOOR(tblPivotData[[#This Row],[Time]],Summary!$B$6/1440)</f>
        <v>0.30208333333333331</v>
      </c>
      <c r="I423">
        <f>INDEX(PeakCalc!$L$10:$L$303,MATCH(tblPivotData[[#This Row],[Time]],PeakCalc!$G$10:$G$303,0))</f>
        <v>0</v>
      </c>
    </row>
    <row r="424" spans="1:9" x14ac:dyDescent="0.25">
      <c r="A424" t="s">
        <v>96</v>
      </c>
      <c r="B424" t="s">
        <v>105</v>
      </c>
      <c r="C424" t="s">
        <v>97</v>
      </c>
      <c r="D424" t="s">
        <v>79</v>
      </c>
      <c r="E424" t="s">
        <v>43</v>
      </c>
      <c r="F424" s="6">
        <v>0.3125</v>
      </c>
      <c r="G424">
        <v>6</v>
      </c>
      <c r="H424" s="6">
        <f>FLOOR(tblPivotData[[#This Row],[Time]],Summary!$B$6/1440)</f>
        <v>0.3125</v>
      </c>
      <c r="I424">
        <f>INDEX(PeakCalc!$L$10:$L$303,MATCH(tblPivotData[[#This Row],[Time]],PeakCalc!$G$10:$G$303,0))</f>
        <v>0</v>
      </c>
    </row>
    <row r="425" spans="1:9" x14ac:dyDescent="0.25">
      <c r="A425" t="s">
        <v>96</v>
      </c>
      <c r="B425" t="s">
        <v>105</v>
      </c>
      <c r="C425" t="s">
        <v>97</v>
      </c>
      <c r="D425" t="s">
        <v>79</v>
      </c>
      <c r="E425" t="s">
        <v>43</v>
      </c>
      <c r="F425" s="6">
        <v>0.32291666666666669</v>
      </c>
      <c r="G425">
        <v>11</v>
      </c>
      <c r="H425" s="6">
        <f>FLOOR(tblPivotData[[#This Row],[Time]],Summary!$B$6/1440)</f>
        <v>0.32291666666666663</v>
      </c>
      <c r="I425">
        <f>INDEX(PeakCalc!$L$10:$L$303,MATCH(tblPivotData[[#This Row],[Time]],PeakCalc!$G$10:$G$303,0))</f>
        <v>1</v>
      </c>
    </row>
    <row r="426" spans="1:9" x14ac:dyDescent="0.25">
      <c r="A426" t="s">
        <v>96</v>
      </c>
      <c r="B426" t="s">
        <v>105</v>
      </c>
      <c r="C426" t="s">
        <v>97</v>
      </c>
      <c r="D426" t="s">
        <v>79</v>
      </c>
      <c r="E426" t="s">
        <v>43</v>
      </c>
      <c r="F426" s="6">
        <v>0.33333333333333331</v>
      </c>
      <c r="G426">
        <v>10</v>
      </c>
      <c r="H426" s="6">
        <f>FLOOR(tblPivotData[[#This Row],[Time]],Summary!$B$6/1440)</f>
        <v>0.33333333333333331</v>
      </c>
      <c r="I426">
        <f>INDEX(PeakCalc!$L$10:$L$303,MATCH(tblPivotData[[#This Row],[Time]],PeakCalc!$G$10:$G$303,0))</f>
        <v>1</v>
      </c>
    </row>
    <row r="427" spans="1:9" x14ac:dyDescent="0.25">
      <c r="A427" t="s">
        <v>96</v>
      </c>
      <c r="B427" t="s">
        <v>105</v>
      </c>
      <c r="C427" t="s">
        <v>97</v>
      </c>
      <c r="D427" t="s">
        <v>79</v>
      </c>
      <c r="E427" t="s">
        <v>43</v>
      </c>
      <c r="F427" s="6">
        <v>0.34375</v>
      </c>
      <c r="G427">
        <v>25</v>
      </c>
      <c r="H427" s="6">
        <f>FLOOR(tblPivotData[[#This Row],[Time]],Summary!$B$6/1440)</f>
        <v>0.34375</v>
      </c>
      <c r="I427">
        <f>INDEX(PeakCalc!$L$10:$L$303,MATCH(tblPivotData[[#This Row],[Time]],PeakCalc!$G$10:$G$303,0))</f>
        <v>1</v>
      </c>
    </row>
    <row r="428" spans="1:9" x14ac:dyDescent="0.25">
      <c r="A428" t="s">
        <v>96</v>
      </c>
      <c r="B428" t="s">
        <v>105</v>
      </c>
      <c r="C428" t="s">
        <v>97</v>
      </c>
      <c r="D428" t="s">
        <v>79</v>
      </c>
      <c r="E428" t="s">
        <v>43</v>
      </c>
      <c r="F428" s="6">
        <v>0.35416666666666669</v>
      </c>
      <c r="G428">
        <v>22</v>
      </c>
      <c r="H428" s="6">
        <f>FLOOR(tblPivotData[[#This Row],[Time]],Summary!$B$6/1440)</f>
        <v>0.35416666666666663</v>
      </c>
      <c r="I428">
        <f>INDEX(PeakCalc!$L$10:$L$303,MATCH(tblPivotData[[#This Row],[Time]],PeakCalc!$G$10:$G$303,0))</f>
        <v>1</v>
      </c>
    </row>
    <row r="429" spans="1:9" x14ac:dyDescent="0.25">
      <c r="A429" t="s">
        <v>96</v>
      </c>
      <c r="B429" t="s">
        <v>105</v>
      </c>
      <c r="C429" t="s">
        <v>97</v>
      </c>
      <c r="D429" t="s">
        <v>79</v>
      </c>
      <c r="E429" t="s">
        <v>43</v>
      </c>
      <c r="F429" s="6">
        <v>0.36458333333333331</v>
      </c>
      <c r="G429">
        <v>23</v>
      </c>
      <c r="H429" s="6">
        <f>FLOOR(tblPivotData[[#This Row],[Time]],Summary!$B$6/1440)</f>
        <v>0.36458333333333331</v>
      </c>
      <c r="I429">
        <f>INDEX(PeakCalc!$L$10:$L$303,MATCH(tblPivotData[[#This Row],[Time]],PeakCalc!$G$10:$G$303,0))</f>
        <v>0</v>
      </c>
    </row>
    <row r="430" spans="1:9" x14ac:dyDescent="0.25">
      <c r="A430" t="s">
        <v>96</v>
      </c>
      <c r="B430" t="s">
        <v>105</v>
      </c>
      <c r="C430" t="s">
        <v>97</v>
      </c>
      <c r="D430" t="s">
        <v>79</v>
      </c>
      <c r="E430" t="s">
        <v>91</v>
      </c>
      <c r="F430" s="6">
        <v>0.54166666666666663</v>
      </c>
      <c r="G430">
        <v>20</v>
      </c>
      <c r="H430" s="6">
        <f>FLOOR(tblPivotData[[#This Row],[Time]],Summary!$B$6/1440)</f>
        <v>0.54166666666666663</v>
      </c>
      <c r="I430">
        <f>INDEX(PeakCalc!$L$10:$L$303,MATCH(tblPivotData[[#This Row],[Time]],PeakCalc!$G$10:$G$303,0))</f>
        <v>1</v>
      </c>
    </row>
    <row r="431" spans="1:9" x14ac:dyDescent="0.25">
      <c r="A431" t="s">
        <v>96</v>
      </c>
      <c r="B431" t="s">
        <v>105</v>
      </c>
      <c r="C431" t="s">
        <v>97</v>
      </c>
      <c r="D431" t="s">
        <v>79</v>
      </c>
      <c r="E431" t="s">
        <v>91</v>
      </c>
      <c r="F431" s="6">
        <v>0.55208333333333337</v>
      </c>
      <c r="G431">
        <v>21</v>
      </c>
      <c r="H431" s="6">
        <f>FLOOR(tblPivotData[[#This Row],[Time]],Summary!$B$6/1440)</f>
        <v>0.55208333333333326</v>
      </c>
      <c r="I431">
        <f>INDEX(PeakCalc!$L$10:$L$303,MATCH(tblPivotData[[#This Row],[Time]],PeakCalc!$G$10:$G$303,0))</f>
        <v>1</v>
      </c>
    </row>
    <row r="432" spans="1:9" x14ac:dyDescent="0.25">
      <c r="A432" t="s">
        <v>96</v>
      </c>
      <c r="B432" t="s">
        <v>105</v>
      </c>
      <c r="C432" t="s">
        <v>97</v>
      </c>
      <c r="D432" t="s">
        <v>79</v>
      </c>
      <c r="E432" t="s">
        <v>91</v>
      </c>
      <c r="F432" s="6">
        <v>0.5625</v>
      </c>
      <c r="G432">
        <v>20</v>
      </c>
      <c r="H432" s="6">
        <f>FLOOR(tblPivotData[[#This Row],[Time]],Summary!$B$6/1440)</f>
        <v>0.5625</v>
      </c>
      <c r="I432">
        <f>INDEX(PeakCalc!$L$10:$L$303,MATCH(tblPivotData[[#This Row],[Time]],PeakCalc!$G$10:$G$303,0))</f>
        <v>1</v>
      </c>
    </row>
    <row r="433" spans="1:9" x14ac:dyDescent="0.25">
      <c r="A433" t="s">
        <v>96</v>
      </c>
      <c r="B433" t="s">
        <v>105</v>
      </c>
      <c r="C433" t="s">
        <v>97</v>
      </c>
      <c r="D433" t="s">
        <v>79</v>
      </c>
      <c r="E433" t="s">
        <v>91</v>
      </c>
      <c r="F433" s="6">
        <v>0.57291666666666663</v>
      </c>
      <c r="G433">
        <v>20</v>
      </c>
      <c r="H433" s="6">
        <f>FLOOR(tblPivotData[[#This Row],[Time]],Summary!$B$6/1440)</f>
        <v>0.57291666666666663</v>
      </c>
      <c r="I433">
        <f>INDEX(PeakCalc!$L$10:$L$303,MATCH(tblPivotData[[#This Row],[Time]],PeakCalc!$G$10:$G$303,0))</f>
        <v>1</v>
      </c>
    </row>
    <row r="434" spans="1:9" x14ac:dyDescent="0.25">
      <c r="A434" t="s">
        <v>96</v>
      </c>
      <c r="B434" t="s">
        <v>105</v>
      </c>
      <c r="C434" t="s">
        <v>97</v>
      </c>
      <c r="D434" t="s">
        <v>79</v>
      </c>
      <c r="E434" t="s">
        <v>44</v>
      </c>
      <c r="F434" s="6">
        <v>0.66666666666666663</v>
      </c>
      <c r="G434">
        <v>41</v>
      </c>
      <c r="H434" s="6">
        <f>FLOOR(tblPivotData[[#This Row],[Time]],Summary!$B$6/1440)</f>
        <v>0.66666666666666663</v>
      </c>
      <c r="I434">
        <f>INDEX(PeakCalc!$L$10:$L$303,MATCH(tblPivotData[[#This Row],[Time]],PeakCalc!$G$10:$G$303,0))</f>
        <v>0</v>
      </c>
    </row>
    <row r="435" spans="1:9" x14ac:dyDescent="0.25">
      <c r="A435" t="s">
        <v>96</v>
      </c>
      <c r="B435" t="s">
        <v>105</v>
      </c>
      <c r="C435" t="s">
        <v>97</v>
      </c>
      <c r="D435" t="s">
        <v>79</v>
      </c>
      <c r="E435" t="s">
        <v>44</v>
      </c>
      <c r="F435" s="6">
        <v>0.67708333333333337</v>
      </c>
      <c r="G435">
        <v>41</v>
      </c>
      <c r="H435" s="6">
        <f>FLOOR(tblPivotData[[#This Row],[Time]],Summary!$B$6/1440)</f>
        <v>0.67708333333333326</v>
      </c>
      <c r="I435">
        <f>INDEX(PeakCalc!$L$10:$L$303,MATCH(tblPivotData[[#This Row],[Time]],PeakCalc!$G$10:$G$303,0))</f>
        <v>1</v>
      </c>
    </row>
    <row r="436" spans="1:9" x14ac:dyDescent="0.25">
      <c r="A436" t="s">
        <v>96</v>
      </c>
      <c r="B436" t="s">
        <v>105</v>
      </c>
      <c r="C436" t="s">
        <v>97</v>
      </c>
      <c r="D436" t="s">
        <v>79</v>
      </c>
      <c r="E436" t="s">
        <v>44</v>
      </c>
      <c r="F436" s="6">
        <v>0.6875</v>
      </c>
      <c r="G436">
        <v>64</v>
      </c>
      <c r="H436" s="6">
        <f>FLOOR(tblPivotData[[#This Row],[Time]],Summary!$B$6/1440)</f>
        <v>0.6875</v>
      </c>
      <c r="I436">
        <f>INDEX(PeakCalc!$L$10:$L$303,MATCH(tblPivotData[[#This Row],[Time]],PeakCalc!$G$10:$G$303,0))</f>
        <v>1</v>
      </c>
    </row>
    <row r="437" spans="1:9" x14ac:dyDescent="0.25">
      <c r="A437" t="s">
        <v>96</v>
      </c>
      <c r="B437" t="s">
        <v>105</v>
      </c>
      <c r="C437" t="s">
        <v>97</v>
      </c>
      <c r="D437" t="s">
        <v>79</v>
      </c>
      <c r="E437" t="s">
        <v>44</v>
      </c>
      <c r="F437" s="6">
        <v>0.69791666666666663</v>
      </c>
      <c r="G437">
        <v>66</v>
      </c>
      <c r="H437" s="6">
        <f>FLOOR(tblPivotData[[#This Row],[Time]],Summary!$B$6/1440)</f>
        <v>0.69791666666666663</v>
      </c>
      <c r="I437">
        <f>INDEX(PeakCalc!$L$10:$L$303,MATCH(tblPivotData[[#This Row],[Time]],PeakCalc!$G$10:$G$303,0))</f>
        <v>1</v>
      </c>
    </row>
    <row r="438" spans="1:9" x14ac:dyDescent="0.25">
      <c r="A438" t="s">
        <v>96</v>
      </c>
      <c r="B438" t="s">
        <v>105</v>
      </c>
      <c r="C438" t="s">
        <v>97</v>
      </c>
      <c r="D438" t="s">
        <v>79</v>
      </c>
      <c r="E438" t="s">
        <v>44</v>
      </c>
      <c r="F438" s="6">
        <v>0.70833333333333337</v>
      </c>
      <c r="G438">
        <v>72</v>
      </c>
      <c r="H438" s="6">
        <f>FLOOR(tblPivotData[[#This Row],[Time]],Summary!$B$6/1440)</f>
        <v>0.70833333333333326</v>
      </c>
      <c r="I438">
        <f>INDEX(PeakCalc!$L$10:$L$303,MATCH(tblPivotData[[#This Row],[Time]],PeakCalc!$G$10:$G$303,0))</f>
        <v>1</v>
      </c>
    </row>
    <row r="439" spans="1:9" x14ac:dyDescent="0.25">
      <c r="A439" t="s">
        <v>96</v>
      </c>
      <c r="B439" t="s">
        <v>105</v>
      </c>
      <c r="C439" t="s">
        <v>97</v>
      </c>
      <c r="D439" t="s">
        <v>79</v>
      </c>
      <c r="E439" t="s">
        <v>44</v>
      </c>
      <c r="F439" s="6">
        <v>0.71875</v>
      </c>
      <c r="G439">
        <v>71</v>
      </c>
      <c r="H439" s="6">
        <f>FLOOR(tblPivotData[[#This Row],[Time]],Summary!$B$6/1440)</f>
        <v>0.71875</v>
      </c>
      <c r="I439">
        <f>INDEX(PeakCalc!$L$10:$L$303,MATCH(tblPivotData[[#This Row],[Time]],PeakCalc!$G$10:$G$303,0))</f>
        <v>0</v>
      </c>
    </row>
    <row r="440" spans="1:9" x14ac:dyDescent="0.25">
      <c r="A440" t="s">
        <v>96</v>
      </c>
      <c r="B440" t="s">
        <v>105</v>
      </c>
      <c r="C440" t="s">
        <v>97</v>
      </c>
      <c r="D440" t="s">
        <v>79</v>
      </c>
      <c r="E440" t="s">
        <v>44</v>
      </c>
      <c r="F440" s="6">
        <v>0.72916666666666663</v>
      </c>
      <c r="G440">
        <v>66</v>
      </c>
      <c r="H440" s="6">
        <f>FLOOR(tblPivotData[[#This Row],[Time]],Summary!$B$6/1440)</f>
        <v>0.72916666666666663</v>
      </c>
      <c r="I440">
        <f>INDEX(PeakCalc!$L$10:$L$303,MATCH(tblPivotData[[#This Row],[Time]],PeakCalc!$G$10:$G$303,0))</f>
        <v>0</v>
      </c>
    </row>
    <row r="441" spans="1:9" x14ac:dyDescent="0.25">
      <c r="A441" t="s">
        <v>96</v>
      </c>
      <c r="B441" t="s">
        <v>105</v>
      </c>
      <c r="C441" t="s">
        <v>97</v>
      </c>
      <c r="D441" t="s">
        <v>79</v>
      </c>
      <c r="E441" t="s">
        <v>44</v>
      </c>
      <c r="F441" s="6">
        <v>0.73958333333333337</v>
      </c>
      <c r="G441">
        <v>39</v>
      </c>
      <c r="H441" s="6">
        <f>FLOOR(tblPivotData[[#This Row],[Time]],Summary!$B$6/1440)</f>
        <v>0.73958333333333326</v>
      </c>
      <c r="I441">
        <f>INDEX(PeakCalc!$L$10:$L$303,MATCH(tblPivotData[[#This Row],[Time]],PeakCalc!$G$10:$G$303,0))</f>
        <v>0</v>
      </c>
    </row>
    <row r="442" spans="1:9" x14ac:dyDescent="0.25">
      <c r="A442" t="s">
        <v>96</v>
      </c>
      <c r="B442" t="s">
        <v>105</v>
      </c>
      <c r="C442" t="s">
        <v>97</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96</v>
      </c>
      <c r="B443" t="s">
        <v>105</v>
      </c>
      <c r="C443" t="s">
        <v>97</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96</v>
      </c>
      <c r="B444" t="s">
        <v>105</v>
      </c>
      <c r="C444" t="s">
        <v>97</v>
      </c>
      <c r="D444" t="s">
        <v>89</v>
      </c>
      <c r="E444" t="s">
        <v>43</v>
      </c>
      <c r="F444" s="6">
        <v>0.3125</v>
      </c>
      <c r="G444">
        <v>1</v>
      </c>
      <c r="H444" s="6">
        <f>FLOOR(tblPivotData[[#This Row],[Time]],Summary!$B$6/1440)</f>
        <v>0.3125</v>
      </c>
      <c r="I444">
        <f>INDEX(PeakCalc!$L$10:$L$303,MATCH(tblPivotData[[#This Row],[Time]],PeakCalc!$G$10:$G$303,0))</f>
        <v>0</v>
      </c>
    </row>
    <row r="445" spans="1:9" x14ac:dyDescent="0.25">
      <c r="A445" t="s">
        <v>96</v>
      </c>
      <c r="B445" t="s">
        <v>105</v>
      </c>
      <c r="C445" t="s">
        <v>97</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96</v>
      </c>
      <c r="B446" t="s">
        <v>105</v>
      </c>
      <c r="C446" t="s">
        <v>97</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96</v>
      </c>
      <c r="B447" t="s">
        <v>105</v>
      </c>
      <c r="C447" t="s">
        <v>97</v>
      </c>
      <c r="D447" t="s">
        <v>89</v>
      </c>
      <c r="E447" t="s">
        <v>43</v>
      </c>
      <c r="F447" s="6">
        <v>0.34375</v>
      </c>
      <c r="G447">
        <v>0</v>
      </c>
      <c r="H447" s="6">
        <f>FLOOR(tblPivotData[[#This Row],[Time]],Summary!$B$6/1440)</f>
        <v>0.34375</v>
      </c>
      <c r="I447">
        <f>INDEX(PeakCalc!$L$10:$L$303,MATCH(tblPivotData[[#This Row],[Time]],PeakCalc!$G$10:$G$303,0))</f>
        <v>1</v>
      </c>
    </row>
    <row r="448" spans="1:9" x14ac:dyDescent="0.25">
      <c r="A448" t="s">
        <v>96</v>
      </c>
      <c r="B448" t="s">
        <v>105</v>
      </c>
      <c r="C448" t="s">
        <v>97</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96</v>
      </c>
      <c r="B449" t="s">
        <v>105</v>
      </c>
      <c r="C449" t="s">
        <v>97</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96</v>
      </c>
      <c r="B450" t="s">
        <v>105</v>
      </c>
      <c r="C450" t="s">
        <v>97</v>
      </c>
      <c r="D450" t="s">
        <v>89</v>
      </c>
      <c r="E450" t="s">
        <v>91</v>
      </c>
      <c r="F450" s="6">
        <v>0.54166666666666663</v>
      </c>
      <c r="G450">
        <v>1</v>
      </c>
      <c r="H450" s="6">
        <f>FLOOR(tblPivotData[[#This Row],[Time]],Summary!$B$6/1440)</f>
        <v>0.54166666666666663</v>
      </c>
      <c r="I450">
        <f>INDEX(PeakCalc!$L$10:$L$303,MATCH(tblPivotData[[#This Row],[Time]],PeakCalc!$G$10:$G$303,0))</f>
        <v>1</v>
      </c>
    </row>
    <row r="451" spans="1:9" x14ac:dyDescent="0.25">
      <c r="A451" t="s">
        <v>96</v>
      </c>
      <c r="B451" t="s">
        <v>105</v>
      </c>
      <c r="C451" t="s">
        <v>97</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96</v>
      </c>
      <c r="B452" t="s">
        <v>105</v>
      </c>
      <c r="C452" t="s">
        <v>97</v>
      </c>
      <c r="D452" t="s">
        <v>89</v>
      </c>
      <c r="E452" t="s">
        <v>91</v>
      </c>
      <c r="F452" s="6">
        <v>0.5625</v>
      </c>
      <c r="G452">
        <v>0</v>
      </c>
      <c r="H452" s="6">
        <f>FLOOR(tblPivotData[[#This Row],[Time]],Summary!$B$6/1440)</f>
        <v>0.5625</v>
      </c>
      <c r="I452">
        <f>INDEX(PeakCalc!$L$10:$L$303,MATCH(tblPivotData[[#This Row],[Time]],PeakCalc!$G$10:$G$303,0))</f>
        <v>1</v>
      </c>
    </row>
    <row r="453" spans="1:9" x14ac:dyDescent="0.25">
      <c r="A453" t="s">
        <v>96</v>
      </c>
      <c r="B453" t="s">
        <v>105</v>
      </c>
      <c r="C453" t="s">
        <v>97</v>
      </c>
      <c r="D453" t="s">
        <v>89</v>
      </c>
      <c r="E453" t="s">
        <v>91</v>
      </c>
      <c r="F453" s="6">
        <v>0.57291666666666663</v>
      </c>
      <c r="G453">
        <v>2</v>
      </c>
      <c r="H453" s="6">
        <f>FLOOR(tblPivotData[[#This Row],[Time]],Summary!$B$6/1440)</f>
        <v>0.57291666666666663</v>
      </c>
      <c r="I453">
        <f>INDEX(PeakCalc!$L$10:$L$303,MATCH(tblPivotData[[#This Row],[Time]],PeakCalc!$G$10:$G$303,0))</f>
        <v>1</v>
      </c>
    </row>
    <row r="454" spans="1:9" x14ac:dyDescent="0.25">
      <c r="A454" t="s">
        <v>96</v>
      </c>
      <c r="B454" t="s">
        <v>105</v>
      </c>
      <c r="C454" t="s">
        <v>97</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96</v>
      </c>
      <c r="B455" t="s">
        <v>105</v>
      </c>
      <c r="C455" t="s">
        <v>97</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96</v>
      </c>
      <c r="B456" t="s">
        <v>105</v>
      </c>
      <c r="C456" t="s">
        <v>97</v>
      </c>
      <c r="D456" t="s">
        <v>89</v>
      </c>
      <c r="E456" t="s">
        <v>44</v>
      </c>
      <c r="F456" s="6">
        <v>0.6875</v>
      </c>
      <c r="G456">
        <v>1</v>
      </c>
      <c r="H456" s="6">
        <f>FLOOR(tblPivotData[[#This Row],[Time]],Summary!$B$6/1440)</f>
        <v>0.6875</v>
      </c>
      <c r="I456">
        <f>INDEX(PeakCalc!$L$10:$L$303,MATCH(tblPivotData[[#This Row],[Time]],PeakCalc!$G$10:$G$303,0))</f>
        <v>1</v>
      </c>
    </row>
    <row r="457" spans="1:9" x14ac:dyDescent="0.25">
      <c r="A457" t="s">
        <v>96</v>
      </c>
      <c r="B457" t="s">
        <v>105</v>
      </c>
      <c r="C457" t="s">
        <v>97</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96</v>
      </c>
      <c r="B458" t="s">
        <v>105</v>
      </c>
      <c r="C458" t="s">
        <v>97</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96</v>
      </c>
      <c r="B459" t="s">
        <v>105</v>
      </c>
      <c r="C459" t="s">
        <v>97</v>
      </c>
      <c r="D459" t="s">
        <v>89</v>
      </c>
      <c r="E459" t="s">
        <v>44</v>
      </c>
      <c r="F459" s="6">
        <v>0.71875</v>
      </c>
      <c r="G459">
        <v>0</v>
      </c>
      <c r="H459" s="6">
        <f>FLOOR(tblPivotData[[#This Row],[Time]],Summary!$B$6/1440)</f>
        <v>0.71875</v>
      </c>
      <c r="I459">
        <f>INDEX(PeakCalc!$L$10:$L$303,MATCH(tblPivotData[[#This Row],[Time]],PeakCalc!$G$10:$G$303,0))</f>
        <v>0</v>
      </c>
    </row>
    <row r="460" spans="1:9" x14ac:dyDescent="0.25">
      <c r="A460" t="s">
        <v>96</v>
      </c>
      <c r="B460" t="s">
        <v>105</v>
      </c>
      <c r="C460" t="s">
        <v>97</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96</v>
      </c>
      <c r="B461" t="s">
        <v>105</v>
      </c>
      <c r="C461" t="s">
        <v>97</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96</v>
      </c>
      <c r="B462" t="s">
        <v>105</v>
      </c>
      <c r="C462" t="s">
        <v>97</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105</v>
      </c>
      <c r="C463" t="s">
        <v>97</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105</v>
      </c>
      <c r="C464" t="s">
        <v>97</v>
      </c>
      <c r="D464" t="s">
        <v>90</v>
      </c>
      <c r="E464" t="s">
        <v>43</v>
      </c>
      <c r="F464" s="6">
        <v>0.3125</v>
      </c>
      <c r="G464">
        <v>0</v>
      </c>
      <c r="H464" s="6">
        <f>FLOOR(tblPivotData[[#This Row],[Time]],Summary!$B$6/1440)</f>
        <v>0.3125</v>
      </c>
      <c r="I464">
        <f>INDEX(PeakCalc!$L$10:$L$303,MATCH(tblPivotData[[#This Row],[Time]],PeakCalc!$G$10:$G$303,0))</f>
        <v>0</v>
      </c>
    </row>
    <row r="465" spans="1:9" x14ac:dyDescent="0.25">
      <c r="A465" t="s">
        <v>96</v>
      </c>
      <c r="B465" t="s">
        <v>105</v>
      </c>
      <c r="C465" t="s">
        <v>97</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96</v>
      </c>
      <c r="B466" t="s">
        <v>105</v>
      </c>
      <c r="C466" t="s">
        <v>97</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105</v>
      </c>
      <c r="C467" t="s">
        <v>97</v>
      </c>
      <c r="D467" t="s">
        <v>90</v>
      </c>
      <c r="E467" t="s">
        <v>43</v>
      </c>
      <c r="F467" s="6">
        <v>0.34375</v>
      </c>
      <c r="G467">
        <v>0</v>
      </c>
      <c r="H467" s="6">
        <f>FLOOR(tblPivotData[[#This Row],[Time]],Summary!$B$6/1440)</f>
        <v>0.34375</v>
      </c>
      <c r="I467">
        <f>INDEX(PeakCalc!$L$10:$L$303,MATCH(tblPivotData[[#This Row],[Time]],PeakCalc!$G$10:$G$303,0))</f>
        <v>1</v>
      </c>
    </row>
    <row r="468" spans="1:9" x14ac:dyDescent="0.25">
      <c r="A468" t="s">
        <v>96</v>
      </c>
      <c r="B468" t="s">
        <v>105</v>
      </c>
      <c r="C468" t="s">
        <v>97</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96</v>
      </c>
      <c r="B469" t="s">
        <v>105</v>
      </c>
      <c r="C469" t="s">
        <v>97</v>
      </c>
      <c r="D469" t="s">
        <v>90</v>
      </c>
      <c r="E469" t="s">
        <v>43</v>
      </c>
      <c r="F469" s="6">
        <v>0.36458333333333331</v>
      </c>
      <c r="G469">
        <v>1</v>
      </c>
      <c r="H469" s="6">
        <f>FLOOR(tblPivotData[[#This Row],[Time]],Summary!$B$6/1440)</f>
        <v>0.36458333333333331</v>
      </c>
      <c r="I469">
        <f>INDEX(PeakCalc!$L$10:$L$303,MATCH(tblPivotData[[#This Row],[Time]],PeakCalc!$G$10:$G$303,0))</f>
        <v>0</v>
      </c>
    </row>
    <row r="470" spans="1:9" x14ac:dyDescent="0.25">
      <c r="A470" t="s">
        <v>96</v>
      </c>
      <c r="B470" t="s">
        <v>105</v>
      </c>
      <c r="C470" t="s">
        <v>97</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105</v>
      </c>
      <c r="C471" t="s">
        <v>97</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105</v>
      </c>
      <c r="C472" t="s">
        <v>97</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105</v>
      </c>
      <c r="C473" t="s">
        <v>97</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105</v>
      </c>
      <c r="C474" t="s">
        <v>97</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105</v>
      </c>
      <c r="C475" t="s">
        <v>97</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96</v>
      </c>
      <c r="B476" t="s">
        <v>105</v>
      </c>
      <c r="C476" t="s">
        <v>97</v>
      </c>
      <c r="D476" t="s">
        <v>90</v>
      </c>
      <c r="E476" t="s">
        <v>44</v>
      </c>
      <c r="F476" s="6">
        <v>0.6875</v>
      </c>
      <c r="G476">
        <v>0</v>
      </c>
      <c r="H476" s="6">
        <f>FLOOR(tblPivotData[[#This Row],[Time]],Summary!$B$6/1440)</f>
        <v>0.6875</v>
      </c>
      <c r="I476">
        <f>INDEX(PeakCalc!$L$10:$L$303,MATCH(tblPivotData[[#This Row],[Time]],PeakCalc!$G$10:$G$303,0))</f>
        <v>1</v>
      </c>
    </row>
    <row r="477" spans="1:9" x14ac:dyDescent="0.25">
      <c r="A477" t="s">
        <v>96</v>
      </c>
      <c r="B477" t="s">
        <v>105</v>
      </c>
      <c r="C477" t="s">
        <v>97</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105</v>
      </c>
      <c r="C478" t="s">
        <v>97</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105</v>
      </c>
      <c r="C479" t="s">
        <v>97</v>
      </c>
      <c r="D479" t="s">
        <v>90</v>
      </c>
      <c r="E479" t="s">
        <v>44</v>
      </c>
      <c r="F479" s="6">
        <v>0.71875</v>
      </c>
      <c r="G479">
        <v>0</v>
      </c>
      <c r="H479" s="6">
        <f>FLOOR(tblPivotData[[#This Row],[Time]],Summary!$B$6/1440)</f>
        <v>0.71875</v>
      </c>
      <c r="I479">
        <f>INDEX(PeakCalc!$L$10:$L$303,MATCH(tblPivotData[[#This Row],[Time]],PeakCalc!$G$10:$G$303,0))</f>
        <v>0</v>
      </c>
    </row>
    <row r="480" spans="1:9" x14ac:dyDescent="0.25">
      <c r="A480" t="s">
        <v>96</v>
      </c>
      <c r="B480" t="s">
        <v>105</v>
      </c>
      <c r="C480" t="s">
        <v>97</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105</v>
      </c>
      <c r="C481" t="s">
        <v>97</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106</v>
      </c>
      <c r="C482" t="s">
        <v>95</v>
      </c>
      <c r="D482" t="s">
        <v>79</v>
      </c>
      <c r="E482" t="s">
        <v>43</v>
      </c>
      <c r="F482" s="6">
        <v>0.29166666666666669</v>
      </c>
      <c r="G482">
        <v>154</v>
      </c>
      <c r="H482" s="6">
        <f>FLOOR(tblPivotData[[#This Row],[Time]],Summary!$B$6/1440)</f>
        <v>0.29166666666666663</v>
      </c>
      <c r="I482">
        <f>INDEX(PeakCalc!$L$10:$L$303,MATCH(tblPivotData[[#This Row],[Time]],PeakCalc!$G$10:$G$303,0))</f>
        <v>0</v>
      </c>
    </row>
    <row r="483" spans="1:9" x14ac:dyDescent="0.25">
      <c r="A483" t="s">
        <v>96</v>
      </c>
      <c r="B483" t="s">
        <v>106</v>
      </c>
      <c r="C483" t="s">
        <v>95</v>
      </c>
      <c r="D483" t="s">
        <v>79</v>
      </c>
      <c r="E483" t="s">
        <v>43</v>
      </c>
      <c r="F483" s="6">
        <v>0.30208333333333331</v>
      </c>
      <c r="G483">
        <v>193</v>
      </c>
      <c r="H483" s="6">
        <f>FLOOR(tblPivotData[[#This Row],[Time]],Summary!$B$6/1440)</f>
        <v>0.30208333333333331</v>
      </c>
      <c r="I483">
        <f>INDEX(PeakCalc!$L$10:$L$303,MATCH(tblPivotData[[#This Row],[Time]],PeakCalc!$G$10:$G$303,0))</f>
        <v>0</v>
      </c>
    </row>
    <row r="484" spans="1:9" x14ac:dyDescent="0.25">
      <c r="A484" t="s">
        <v>96</v>
      </c>
      <c r="B484" t="s">
        <v>106</v>
      </c>
      <c r="C484" t="s">
        <v>95</v>
      </c>
      <c r="D484" t="s">
        <v>79</v>
      </c>
      <c r="E484" t="s">
        <v>43</v>
      </c>
      <c r="F484" s="6">
        <v>0.3125</v>
      </c>
      <c r="G484">
        <v>208</v>
      </c>
      <c r="H484" s="6">
        <f>FLOOR(tblPivotData[[#This Row],[Time]],Summary!$B$6/1440)</f>
        <v>0.3125</v>
      </c>
      <c r="I484">
        <f>INDEX(PeakCalc!$L$10:$L$303,MATCH(tblPivotData[[#This Row],[Time]],PeakCalc!$G$10:$G$303,0))</f>
        <v>0</v>
      </c>
    </row>
    <row r="485" spans="1:9" x14ac:dyDescent="0.25">
      <c r="A485" t="s">
        <v>96</v>
      </c>
      <c r="B485" t="s">
        <v>106</v>
      </c>
      <c r="C485" t="s">
        <v>95</v>
      </c>
      <c r="D485" t="s">
        <v>79</v>
      </c>
      <c r="E485" t="s">
        <v>43</v>
      </c>
      <c r="F485" s="6">
        <v>0.32291666666666669</v>
      </c>
      <c r="G485">
        <v>209</v>
      </c>
      <c r="H485" s="6">
        <f>FLOOR(tblPivotData[[#This Row],[Time]],Summary!$B$6/1440)</f>
        <v>0.32291666666666663</v>
      </c>
      <c r="I485">
        <f>INDEX(PeakCalc!$L$10:$L$303,MATCH(tblPivotData[[#This Row],[Time]],PeakCalc!$G$10:$G$303,0))</f>
        <v>1</v>
      </c>
    </row>
    <row r="486" spans="1:9" x14ac:dyDescent="0.25">
      <c r="A486" t="s">
        <v>96</v>
      </c>
      <c r="B486" t="s">
        <v>106</v>
      </c>
      <c r="C486" t="s">
        <v>95</v>
      </c>
      <c r="D486" t="s">
        <v>79</v>
      </c>
      <c r="E486" t="s">
        <v>43</v>
      </c>
      <c r="F486" s="6">
        <v>0.33333333333333331</v>
      </c>
      <c r="G486">
        <v>208</v>
      </c>
      <c r="H486" s="6">
        <f>FLOOR(tblPivotData[[#This Row],[Time]],Summary!$B$6/1440)</f>
        <v>0.33333333333333331</v>
      </c>
      <c r="I486">
        <f>INDEX(PeakCalc!$L$10:$L$303,MATCH(tblPivotData[[#This Row],[Time]],PeakCalc!$G$10:$G$303,0))</f>
        <v>1</v>
      </c>
    </row>
    <row r="487" spans="1:9" x14ac:dyDescent="0.25">
      <c r="A487" t="s">
        <v>96</v>
      </c>
      <c r="B487" t="s">
        <v>106</v>
      </c>
      <c r="C487" t="s">
        <v>95</v>
      </c>
      <c r="D487" t="s">
        <v>79</v>
      </c>
      <c r="E487" t="s">
        <v>43</v>
      </c>
      <c r="F487" s="6">
        <v>0.34375</v>
      </c>
      <c r="G487">
        <v>200</v>
      </c>
      <c r="H487" s="6">
        <f>FLOOR(tblPivotData[[#This Row],[Time]],Summary!$B$6/1440)</f>
        <v>0.34375</v>
      </c>
      <c r="I487">
        <f>INDEX(PeakCalc!$L$10:$L$303,MATCH(tblPivotData[[#This Row],[Time]],PeakCalc!$G$10:$G$303,0))</f>
        <v>1</v>
      </c>
    </row>
    <row r="488" spans="1:9" x14ac:dyDescent="0.25">
      <c r="A488" t="s">
        <v>96</v>
      </c>
      <c r="B488" t="s">
        <v>106</v>
      </c>
      <c r="C488" t="s">
        <v>95</v>
      </c>
      <c r="D488" t="s">
        <v>79</v>
      </c>
      <c r="E488" t="s">
        <v>43</v>
      </c>
      <c r="F488" s="6">
        <v>0.35416666666666669</v>
      </c>
      <c r="G488">
        <v>224</v>
      </c>
      <c r="H488" s="6">
        <f>FLOOR(tblPivotData[[#This Row],[Time]],Summary!$B$6/1440)</f>
        <v>0.35416666666666663</v>
      </c>
      <c r="I488">
        <f>INDEX(PeakCalc!$L$10:$L$303,MATCH(tblPivotData[[#This Row],[Time]],PeakCalc!$G$10:$G$303,0))</f>
        <v>1</v>
      </c>
    </row>
    <row r="489" spans="1:9" x14ac:dyDescent="0.25">
      <c r="A489" t="s">
        <v>96</v>
      </c>
      <c r="B489" t="s">
        <v>106</v>
      </c>
      <c r="C489" t="s">
        <v>95</v>
      </c>
      <c r="D489" t="s">
        <v>79</v>
      </c>
      <c r="E489" t="s">
        <v>43</v>
      </c>
      <c r="F489" s="6">
        <v>0.36458333333333331</v>
      </c>
      <c r="G489">
        <v>145</v>
      </c>
      <c r="H489" s="6">
        <f>FLOOR(tblPivotData[[#This Row],[Time]],Summary!$B$6/1440)</f>
        <v>0.36458333333333331</v>
      </c>
      <c r="I489">
        <f>INDEX(PeakCalc!$L$10:$L$303,MATCH(tblPivotData[[#This Row],[Time]],PeakCalc!$G$10:$G$303,0))</f>
        <v>0</v>
      </c>
    </row>
    <row r="490" spans="1:9" x14ac:dyDescent="0.25">
      <c r="A490" t="s">
        <v>96</v>
      </c>
      <c r="B490" t="s">
        <v>106</v>
      </c>
      <c r="C490" t="s">
        <v>95</v>
      </c>
      <c r="D490" t="s">
        <v>79</v>
      </c>
      <c r="E490" t="s">
        <v>91</v>
      </c>
      <c r="F490" s="6">
        <v>0.54166666666666663</v>
      </c>
      <c r="G490">
        <v>175</v>
      </c>
      <c r="H490" s="6">
        <f>FLOOR(tblPivotData[[#This Row],[Time]],Summary!$B$6/1440)</f>
        <v>0.54166666666666663</v>
      </c>
      <c r="I490">
        <f>INDEX(PeakCalc!$L$10:$L$303,MATCH(tblPivotData[[#This Row],[Time]],PeakCalc!$G$10:$G$303,0))</f>
        <v>1</v>
      </c>
    </row>
    <row r="491" spans="1:9" x14ac:dyDescent="0.25">
      <c r="A491" t="s">
        <v>96</v>
      </c>
      <c r="B491" t="s">
        <v>106</v>
      </c>
      <c r="C491" t="s">
        <v>95</v>
      </c>
      <c r="D491" t="s">
        <v>79</v>
      </c>
      <c r="E491" t="s">
        <v>91</v>
      </c>
      <c r="F491" s="6">
        <v>0.55208333333333337</v>
      </c>
      <c r="G491">
        <v>178</v>
      </c>
      <c r="H491" s="6">
        <f>FLOOR(tblPivotData[[#This Row],[Time]],Summary!$B$6/1440)</f>
        <v>0.55208333333333326</v>
      </c>
      <c r="I491">
        <f>INDEX(PeakCalc!$L$10:$L$303,MATCH(tblPivotData[[#This Row],[Time]],PeakCalc!$G$10:$G$303,0))</f>
        <v>1</v>
      </c>
    </row>
    <row r="492" spans="1:9" x14ac:dyDescent="0.25">
      <c r="A492" t="s">
        <v>96</v>
      </c>
      <c r="B492" t="s">
        <v>106</v>
      </c>
      <c r="C492" t="s">
        <v>95</v>
      </c>
      <c r="D492" t="s">
        <v>79</v>
      </c>
      <c r="E492" t="s">
        <v>91</v>
      </c>
      <c r="F492" s="6">
        <v>0.5625</v>
      </c>
      <c r="G492">
        <v>169</v>
      </c>
      <c r="H492" s="6">
        <f>FLOOR(tblPivotData[[#This Row],[Time]],Summary!$B$6/1440)</f>
        <v>0.5625</v>
      </c>
      <c r="I492">
        <f>INDEX(PeakCalc!$L$10:$L$303,MATCH(tblPivotData[[#This Row],[Time]],PeakCalc!$G$10:$G$303,0))</f>
        <v>1</v>
      </c>
    </row>
    <row r="493" spans="1:9" x14ac:dyDescent="0.25">
      <c r="A493" t="s">
        <v>96</v>
      </c>
      <c r="B493" t="s">
        <v>106</v>
      </c>
      <c r="C493" t="s">
        <v>95</v>
      </c>
      <c r="D493" t="s">
        <v>79</v>
      </c>
      <c r="E493" t="s">
        <v>91</v>
      </c>
      <c r="F493" s="6">
        <v>0.57291666666666663</v>
      </c>
      <c r="G493">
        <v>178</v>
      </c>
      <c r="H493" s="6">
        <f>FLOOR(tblPivotData[[#This Row],[Time]],Summary!$B$6/1440)</f>
        <v>0.57291666666666663</v>
      </c>
      <c r="I493">
        <f>INDEX(PeakCalc!$L$10:$L$303,MATCH(tblPivotData[[#This Row],[Time]],PeakCalc!$G$10:$G$303,0))</f>
        <v>1</v>
      </c>
    </row>
    <row r="494" spans="1:9" x14ac:dyDescent="0.25">
      <c r="A494" t="s">
        <v>96</v>
      </c>
      <c r="B494" t="s">
        <v>106</v>
      </c>
      <c r="C494" t="s">
        <v>95</v>
      </c>
      <c r="D494" t="s">
        <v>79</v>
      </c>
      <c r="E494" t="s">
        <v>44</v>
      </c>
      <c r="F494" s="6">
        <v>0.66666666666666663</v>
      </c>
      <c r="G494">
        <v>318</v>
      </c>
      <c r="H494" s="6">
        <f>FLOOR(tblPivotData[[#This Row],[Time]],Summary!$B$6/1440)</f>
        <v>0.66666666666666663</v>
      </c>
      <c r="I494">
        <f>INDEX(PeakCalc!$L$10:$L$303,MATCH(tblPivotData[[#This Row],[Time]],PeakCalc!$G$10:$G$303,0))</f>
        <v>0</v>
      </c>
    </row>
    <row r="495" spans="1:9" x14ac:dyDescent="0.25">
      <c r="A495" t="s">
        <v>96</v>
      </c>
      <c r="B495" t="s">
        <v>106</v>
      </c>
      <c r="C495" t="s">
        <v>95</v>
      </c>
      <c r="D495" t="s">
        <v>79</v>
      </c>
      <c r="E495" t="s">
        <v>44</v>
      </c>
      <c r="F495" s="6">
        <v>0.67708333333333337</v>
      </c>
      <c r="G495">
        <v>266</v>
      </c>
      <c r="H495" s="6">
        <f>FLOOR(tblPivotData[[#This Row],[Time]],Summary!$B$6/1440)</f>
        <v>0.67708333333333326</v>
      </c>
      <c r="I495">
        <f>INDEX(PeakCalc!$L$10:$L$303,MATCH(tblPivotData[[#This Row],[Time]],PeakCalc!$G$10:$G$303,0))</f>
        <v>1</v>
      </c>
    </row>
    <row r="496" spans="1:9" x14ac:dyDescent="0.25">
      <c r="A496" t="s">
        <v>96</v>
      </c>
      <c r="B496" t="s">
        <v>106</v>
      </c>
      <c r="C496" t="s">
        <v>95</v>
      </c>
      <c r="D496" t="s">
        <v>79</v>
      </c>
      <c r="E496" t="s">
        <v>44</v>
      </c>
      <c r="F496" s="6">
        <v>0.6875</v>
      </c>
      <c r="G496">
        <v>282</v>
      </c>
      <c r="H496" s="6">
        <f>FLOOR(tblPivotData[[#This Row],[Time]],Summary!$B$6/1440)</f>
        <v>0.6875</v>
      </c>
      <c r="I496">
        <f>INDEX(PeakCalc!$L$10:$L$303,MATCH(tblPivotData[[#This Row],[Time]],PeakCalc!$G$10:$G$303,0))</f>
        <v>1</v>
      </c>
    </row>
    <row r="497" spans="1:9" x14ac:dyDescent="0.25">
      <c r="A497" t="s">
        <v>96</v>
      </c>
      <c r="B497" t="s">
        <v>106</v>
      </c>
      <c r="C497" t="s">
        <v>95</v>
      </c>
      <c r="D497" t="s">
        <v>79</v>
      </c>
      <c r="E497" t="s">
        <v>44</v>
      </c>
      <c r="F497" s="6">
        <v>0.69791666666666663</v>
      </c>
      <c r="G497">
        <v>264</v>
      </c>
      <c r="H497" s="6">
        <f>FLOOR(tblPivotData[[#This Row],[Time]],Summary!$B$6/1440)</f>
        <v>0.69791666666666663</v>
      </c>
      <c r="I497">
        <f>INDEX(PeakCalc!$L$10:$L$303,MATCH(tblPivotData[[#This Row],[Time]],PeakCalc!$G$10:$G$303,0))</f>
        <v>1</v>
      </c>
    </row>
    <row r="498" spans="1:9" x14ac:dyDescent="0.25">
      <c r="A498" t="s">
        <v>96</v>
      </c>
      <c r="B498" t="s">
        <v>106</v>
      </c>
      <c r="C498" t="s">
        <v>95</v>
      </c>
      <c r="D498" t="s">
        <v>79</v>
      </c>
      <c r="E498" t="s">
        <v>44</v>
      </c>
      <c r="F498" s="6">
        <v>0.70833333333333337</v>
      </c>
      <c r="G498">
        <v>231</v>
      </c>
      <c r="H498" s="6">
        <f>FLOOR(tblPivotData[[#This Row],[Time]],Summary!$B$6/1440)</f>
        <v>0.70833333333333326</v>
      </c>
      <c r="I498">
        <f>INDEX(PeakCalc!$L$10:$L$303,MATCH(tblPivotData[[#This Row],[Time]],PeakCalc!$G$10:$G$303,0))</f>
        <v>1</v>
      </c>
    </row>
    <row r="499" spans="1:9" x14ac:dyDescent="0.25">
      <c r="A499" t="s">
        <v>96</v>
      </c>
      <c r="B499" t="s">
        <v>106</v>
      </c>
      <c r="C499" t="s">
        <v>95</v>
      </c>
      <c r="D499" t="s">
        <v>79</v>
      </c>
      <c r="E499" t="s">
        <v>44</v>
      </c>
      <c r="F499" s="6">
        <v>0.71875</v>
      </c>
      <c r="G499">
        <v>221</v>
      </c>
      <c r="H499" s="6">
        <f>FLOOR(tblPivotData[[#This Row],[Time]],Summary!$B$6/1440)</f>
        <v>0.71875</v>
      </c>
      <c r="I499">
        <f>INDEX(PeakCalc!$L$10:$L$303,MATCH(tblPivotData[[#This Row],[Time]],PeakCalc!$G$10:$G$303,0))</f>
        <v>0</v>
      </c>
    </row>
    <row r="500" spans="1:9" x14ac:dyDescent="0.25">
      <c r="A500" t="s">
        <v>96</v>
      </c>
      <c r="B500" t="s">
        <v>106</v>
      </c>
      <c r="C500" t="s">
        <v>95</v>
      </c>
      <c r="D500" t="s">
        <v>79</v>
      </c>
      <c r="E500" t="s">
        <v>44</v>
      </c>
      <c r="F500" s="6">
        <v>0.72916666666666663</v>
      </c>
      <c r="G500">
        <v>208</v>
      </c>
      <c r="H500" s="6">
        <f>FLOOR(tblPivotData[[#This Row],[Time]],Summary!$B$6/1440)</f>
        <v>0.72916666666666663</v>
      </c>
      <c r="I500">
        <f>INDEX(PeakCalc!$L$10:$L$303,MATCH(tblPivotData[[#This Row],[Time]],PeakCalc!$G$10:$G$303,0))</f>
        <v>0</v>
      </c>
    </row>
    <row r="501" spans="1:9" x14ac:dyDescent="0.25">
      <c r="A501" t="s">
        <v>96</v>
      </c>
      <c r="B501" t="s">
        <v>106</v>
      </c>
      <c r="C501" t="s">
        <v>95</v>
      </c>
      <c r="D501" t="s">
        <v>79</v>
      </c>
      <c r="E501" t="s">
        <v>44</v>
      </c>
      <c r="F501" s="6">
        <v>0.73958333333333337</v>
      </c>
      <c r="G501">
        <v>143</v>
      </c>
      <c r="H501" s="6">
        <f>FLOOR(tblPivotData[[#This Row],[Time]],Summary!$B$6/1440)</f>
        <v>0.73958333333333326</v>
      </c>
      <c r="I501">
        <f>INDEX(PeakCalc!$L$10:$L$303,MATCH(tblPivotData[[#This Row],[Time]],PeakCalc!$G$10:$G$303,0))</f>
        <v>0</v>
      </c>
    </row>
    <row r="502" spans="1:9" x14ac:dyDescent="0.25">
      <c r="A502" t="s">
        <v>96</v>
      </c>
      <c r="B502" t="s">
        <v>106</v>
      </c>
      <c r="C502" t="s">
        <v>95</v>
      </c>
      <c r="D502" t="s">
        <v>89</v>
      </c>
      <c r="E502" t="s">
        <v>43</v>
      </c>
      <c r="F502" s="6">
        <v>0.29166666666666669</v>
      </c>
      <c r="G502">
        <v>15</v>
      </c>
      <c r="H502" s="6">
        <f>FLOOR(tblPivotData[[#This Row],[Time]],Summary!$B$6/1440)</f>
        <v>0.29166666666666663</v>
      </c>
      <c r="I502">
        <f>INDEX(PeakCalc!$L$10:$L$303,MATCH(tblPivotData[[#This Row],[Time]],PeakCalc!$G$10:$G$303,0))</f>
        <v>0</v>
      </c>
    </row>
    <row r="503" spans="1:9" x14ac:dyDescent="0.25">
      <c r="A503" t="s">
        <v>96</v>
      </c>
      <c r="B503" t="s">
        <v>106</v>
      </c>
      <c r="C503" t="s">
        <v>95</v>
      </c>
      <c r="D503" t="s">
        <v>89</v>
      </c>
      <c r="E503" t="s">
        <v>43</v>
      </c>
      <c r="F503" s="6">
        <v>0.30208333333333331</v>
      </c>
      <c r="G503">
        <v>17</v>
      </c>
      <c r="H503" s="6">
        <f>FLOOR(tblPivotData[[#This Row],[Time]],Summary!$B$6/1440)</f>
        <v>0.30208333333333331</v>
      </c>
      <c r="I503">
        <f>INDEX(PeakCalc!$L$10:$L$303,MATCH(tblPivotData[[#This Row],[Time]],PeakCalc!$G$10:$G$303,0))</f>
        <v>0</v>
      </c>
    </row>
    <row r="504" spans="1:9" x14ac:dyDescent="0.25">
      <c r="A504" t="s">
        <v>96</v>
      </c>
      <c r="B504" t="s">
        <v>106</v>
      </c>
      <c r="C504" t="s">
        <v>95</v>
      </c>
      <c r="D504" t="s">
        <v>89</v>
      </c>
      <c r="E504" t="s">
        <v>43</v>
      </c>
      <c r="F504" s="6">
        <v>0.3125</v>
      </c>
      <c r="G504">
        <v>18</v>
      </c>
      <c r="H504" s="6">
        <f>FLOOR(tblPivotData[[#This Row],[Time]],Summary!$B$6/1440)</f>
        <v>0.3125</v>
      </c>
      <c r="I504">
        <f>INDEX(PeakCalc!$L$10:$L$303,MATCH(tblPivotData[[#This Row],[Time]],PeakCalc!$G$10:$G$303,0))</f>
        <v>0</v>
      </c>
    </row>
    <row r="505" spans="1:9" x14ac:dyDescent="0.25">
      <c r="A505" t="s">
        <v>96</v>
      </c>
      <c r="B505" t="s">
        <v>106</v>
      </c>
      <c r="C505" t="s">
        <v>95</v>
      </c>
      <c r="D505" t="s">
        <v>89</v>
      </c>
      <c r="E505" t="s">
        <v>43</v>
      </c>
      <c r="F505" s="6">
        <v>0.32291666666666669</v>
      </c>
      <c r="G505">
        <v>13</v>
      </c>
      <c r="H505" s="6">
        <f>FLOOR(tblPivotData[[#This Row],[Time]],Summary!$B$6/1440)</f>
        <v>0.32291666666666663</v>
      </c>
      <c r="I505">
        <f>INDEX(PeakCalc!$L$10:$L$303,MATCH(tblPivotData[[#This Row],[Time]],PeakCalc!$G$10:$G$303,0))</f>
        <v>1</v>
      </c>
    </row>
    <row r="506" spans="1:9" x14ac:dyDescent="0.25">
      <c r="A506" t="s">
        <v>96</v>
      </c>
      <c r="B506" t="s">
        <v>106</v>
      </c>
      <c r="C506" t="s">
        <v>95</v>
      </c>
      <c r="D506" t="s">
        <v>89</v>
      </c>
      <c r="E506" t="s">
        <v>43</v>
      </c>
      <c r="F506" s="6">
        <v>0.33333333333333331</v>
      </c>
      <c r="G506">
        <v>14</v>
      </c>
      <c r="H506" s="6">
        <f>FLOOR(tblPivotData[[#This Row],[Time]],Summary!$B$6/1440)</f>
        <v>0.33333333333333331</v>
      </c>
      <c r="I506">
        <f>INDEX(PeakCalc!$L$10:$L$303,MATCH(tblPivotData[[#This Row],[Time]],PeakCalc!$G$10:$G$303,0))</f>
        <v>1</v>
      </c>
    </row>
    <row r="507" spans="1:9" x14ac:dyDescent="0.25">
      <c r="A507" t="s">
        <v>96</v>
      </c>
      <c r="B507" t="s">
        <v>106</v>
      </c>
      <c r="C507" t="s">
        <v>95</v>
      </c>
      <c r="D507" t="s">
        <v>89</v>
      </c>
      <c r="E507" t="s">
        <v>43</v>
      </c>
      <c r="F507" s="6">
        <v>0.34375</v>
      </c>
      <c r="G507">
        <v>13</v>
      </c>
      <c r="H507" s="6">
        <f>FLOOR(tblPivotData[[#This Row],[Time]],Summary!$B$6/1440)</f>
        <v>0.34375</v>
      </c>
      <c r="I507">
        <f>INDEX(PeakCalc!$L$10:$L$303,MATCH(tblPivotData[[#This Row],[Time]],PeakCalc!$G$10:$G$303,0))</f>
        <v>1</v>
      </c>
    </row>
    <row r="508" spans="1:9" x14ac:dyDescent="0.25">
      <c r="A508" t="s">
        <v>96</v>
      </c>
      <c r="B508" t="s">
        <v>106</v>
      </c>
      <c r="C508" t="s">
        <v>95</v>
      </c>
      <c r="D508" t="s">
        <v>89</v>
      </c>
      <c r="E508" t="s">
        <v>43</v>
      </c>
      <c r="F508" s="6">
        <v>0.35416666666666669</v>
      </c>
      <c r="G508">
        <v>30</v>
      </c>
      <c r="H508" s="6">
        <f>FLOOR(tblPivotData[[#This Row],[Time]],Summary!$B$6/1440)</f>
        <v>0.35416666666666663</v>
      </c>
      <c r="I508">
        <f>INDEX(PeakCalc!$L$10:$L$303,MATCH(tblPivotData[[#This Row],[Time]],PeakCalc!$G$10:$G$303,0))</f>
        <v>1</v>
      </c>
    </row>
    <row r="509" spans="1:9" x14ac:dyDescent="0.25">
      <c r="A509" t="s">
        <v>96</v>
      </c>
      <c r="B509" t="s">
        <v>106</v>
      </c>
      <c r="C509" t="s">
        <v>95</v>
      </c>
      <c r="D509" t="s">
        <v>89</v>
      </c>
      <c r="E509" t="s">
        <v>43</v>
      </c>
      <c r="F509" s="6">
        <v>0.36458333333333331</v>
      </c>
      <c r="G509">
        <v>21</v>
      </c>
      <c r="H509" s="6">
        <f>FLOOR(tblPivotData[[#This Row],[Time]],Summary!$B$6/1440)</f>
        <v>0.36458333333333331</v>
      </c>
      <c r="I509">
        <f>INDEX(PeakCalc!$L$10:$L$303,MATCH(tblPivotData[[#This Row],[Time]],PeakCalc!$G$10:$G$303,0))</f>
        <v>0</v>
      </c>
    </row>
    <row r="510" spans="1:9" x14ac:dyDescent="0.25">
      <c r="A510" t="s">
        <v>96</v>
      </c>
      <c r="B510" t="s">
        <v>106</v>
      </c>
      <c r="C510" t="s">
        <v>95</v>
      </c>
      <c r="D510" t="s">
        <v>89</v>
      </c>
      <c r="E510" t="s">
        <v>91</v>
      </c>
      <c r="F510" s="6">
        <v>0.54166666666666663</v>
      </c>
      <c r="G510">
        <v>18</v>
      </c>
      <c r="H510" s="6">
        <f>FLOOR(tblPivotData[[#This Row],[Time]],Summary!$B$6/1440)</f>
        <v>0.54166666666666663</v>
      </c>
      <c r="I510">
        <f>INDEX(PeakCalc!$L$10:$L$303,MATCH(tblPivotData[[#This Row],[Time]],PeakCalc!$G$10:$G$303,0))</f>
        <v>1</v>
      </c>
    </row>
    <row r="511" spans="1:9" x14ac:dyDescent="0.25">
      <c r="A511" t="s">
        <v>96</v>
      </c>
      <c r="B511" t="s">
        <v>106</v>
      </c>
      <c r="C511" t="s">
        <v>95</v>
      </c>
      <c r="D511" t="s">
        <v>89</v>
      </c>
      <c r="E511" t="s">
        <v>91</v>
      </c>
      <c r="F511" s="6">
        <v>0.55208333333333337</v>
      </c>
      <c r="G511">
        <v>10</v>
      </c>
      <c r="H511" s="6">
        <f>FLOOR(tblPivotData[[#This Row],[Time]],Summary!$B$6/1440)</f>
        <v>0.55208333333333326</v>
      </c>
      <c r="I511">
        <f>INDEX(PeakCalc!$L$10:$L$303,MATCH(tblPivotData[[#This Row],[Time]],PeakCalc!$G$10:$G$303,0))</f>
        <v>1</v>
      </c>
    </row>
    <row r="512" spans="1:9" x14ac:dyDescent="0.25">
      <c r="A512" t="s">
        <v>96</v>
      </c>
      <c r="B512" t="s">
        <v>106</v>
      </c>
      <c r="C512" t="s">
        <v>95</v>
      </c>
      <c r="D512" t="s">
        <v>89</v>
      </c>
      <c r="E512" t="s">
        <v>91</v>
      </c>
      <c r="F512" s="6">
        <v>0.5625</v>
      </c>
      <c r="G512">
        <v>19</v>
      </c>
      <c r="H512" s="6">
        <f>FLOOR(tblPivotData[[#This Row],[Time]],Summary!$B$6/1440)</f>
        <v>0.5625</v>
      </c>
      <c r="I512">
        <f>INDEX(PeakCalc!$L$10:$L$303,MATCH(tblPivotData[[#This Row],[Time]],PeakCalc!$G$10:$G$303,0))</f>
        <v>1</v>
      </c>
    </row>
    <row r="513" spans="1:9" x14ac:dyDescent="0.25">
      <c r="A513" t="s">
        <v>96</v>
      </c>
      <c r="B513" t="s">
        <v>106</v>
      </c>
      <c r="C513" t="s">
        <v>95</v>
      </c>
      <c r="D513" t="s">
        <v>89</v>
      </c>
      <c r="E513" t="s">
        <v>91</v>
      </c>
      <c r="F513" s="6">
        <v>0.57291666666666663</v>
      </c>
      <c r="G513">
        <v>16</v>
      </c>
      <c r="H513" s="6">
        <f>FLOOR(tblPivotData[[#This Row],[Time]],Summary!$B$6/1440)</f>
        <v>0.57291666666666663</v>
      </c>
      <c r="I513">
        <f>INDEX(PeakCalc!$L$10:$L$303,MATCH(tblPivotData[[#This Row],[Time]],PeakCalc!$G$10:$G$303,0))</f>
        <v>1</v>
      </c>
    </row>
    <row r="514" spans="1:9" x14ac:dyDescent="0.25">
      <c r="A514" t="s">
        <v>96</v>
      </c>
      <c r="B514" t="s">
        <v>106</v>
      </c>
      <c r="C514" t="s">
        <v>95</v>
      </c>
      <c r="D514" t="s">
        <v>89</v>
      </c>
      <c r="E514" t="s">
        <v>44</v>
      </c>
      <c r="F514" s="6">
        <v>0.66666666666666663</v>
      </c>
      <c r="G514">
        <v>17</v>
      </c>
      <c r="H514" s="6">
        <f>FLOOR(tblPivotData[[#This Row],[Time]],Summary!$B$6/1440)</f>
        <v>0.66666666666666663</v>
      </c>
      <c r="I514">
        <f>INDEX(PeakCalc!$L$10:$L$303,MATCH(tblPivotData[[#This Row],[Time]],PeakCalc!$G$10:$G$303,0))</f>
        <v>0</v>
      </c>
    </row>
    <row r="515" spans="1:9" x14ac:dyDescent="0.25">
      <c r="A515" t="s">
        <v>96</v>
      </c>
      <c r="B515" t="s">
        <v>106</v>
      </c>
      <c r="C515" t="s">
        <v>95</v>
      </c>
      <c r="D515" t="s">
        <v>89</v>
      </c>
      <c r="E515" t="s">
        <v>44</v>
      </c>
      <c r="F515" s="6">
        <v>0.67708333333333337</v>
      </c>
      <c r="G515">
        <v>9</v>
      </c>
      <c r="H515" s="6">
        <f>FLOOR(tblPivotData[[#This Row],[Time]],Summary!$B$6/1440)</f>
        <v>0.67708333333333326</v>
      </c>
      <c r="I515">
        <f>INDEX(PeakCalc!$L$10:$L$303,MATCH(tblPivotData[[#This Row],[Time]],PeakCalc!$G$10:$G$303,0))</f>
        <v>1</v>
      </c>
    </row>
    <row r="516" spans="1:9" x14ac:dyDescent="0.25">
      <c r="A516" t="s">
        <v>96</v>
      </c>
      <c r="B516" t="s">
        <v>106</v>
      </c>
      <c r="C516" t="s">
        <v>95</v>
      </c>
      <c r="D516" t="s">
        <v>89</v>
      </c>
      <c r="E516" t="s">
        <v>44</v>
      </c>
      <c r="F516" s="6">
        <v>0.6875</v>
      </c>
      <c r="G516">
        <v>14</v>
      </c>
      <c r="H516" s="6">
        <f>FLOOR(tblPivotData[[#This Row],[Time]],Summary!$B$6/1440)</f>
        <v>0.6875</v>
      </c>
      <c r="I516">
        <f>INDEX(PeakCalc!$L$10:$L$303,MATCH(tblPivotData[[#This Row],[Time]],PeakCalc!$G$10:$G$303,0))</f>
        <v>1</v>
      </c>
    </row>
    <row r="517" spans="1:9" x14ac:dyDescent="0.25">
      <c r="A517" t="s">
        <v>96</v>
      </c>
      <c r="B517" t="s">
        <v>106</v>
      </c>
      <c r="C517" t="s">
        <v>95</v>
      </c>
      <c r="D517" t="s">
        <v>89</v>
      </c>
      <c r="E517" t="s">
        <v>44</v>
      </c>
      <c r="F517" s="6">
        <v>0.69791666666666663</v>
      </c>
      <c r="G517">
        <v>10</v>
      </c>
      <c r="H517" s="6">
        <f>FLOOR(tblPivotData[[#This Row],[Time]],Summary!$B$6/1440)</f>
        <v>0.69791666666666663</v>
      </c>
      <c r="I517">
        <f>INDEX(PeakCalc!$L$10:$L$303,MATCH(tblPivotData[[#This Row],[Time]],PeakCalc!$G$10:$G$303,0))</f>
        <v>1</v>
      </c>
    </row>
    <row r="518" spans="1:9" x14ac:dyDescent="0.25">
      <c r="A518" t="s">
        <v>96</v>
      </c>
      <c r="B518" t="s">
        <v>106</v>
      </c>
      <c r="C518" t="s">
        <v>95</v>
      </c>
      <c r="D518" t="s">
        <v>89</v>
      </c>
      <c r="E518" t="s">
        <v>44</v>
      </c>
      <c r="F518" s="6">
        <v>0.70833333333333337</v>
      </c>
      <c r="G518">
        <v>8</v>
      </c>
      <c r="H518" s="6">
        <f>FLOOR(tblPivotData[[#This Row],[Time]],Summary!$B$6/1440)</f>
        <v>0.70833333333333326</v>
      </c>
      <c r="I518">
        <f>INDEX(PeakCalc!$L$10:$L$303,MATCH(tblPivotData[[#This Row],[Time]],PeakCalc!$G$10:$G$303,0))</f>
        <v>1</v>
      </c>
    </row>
    <row r="519" spans="1:9" x14ac:dyDescent="0.25">
      <c r="A519" t="s">
        <v>96</v>
      </c>
      <c r="B519" t="s">
        <v>106</v>
      </c>
      <c r="C519" t="s">
        <v>95</v>
      </c>
      <c r="D519" t="s">
        <v>89</v>
      </c>
      <c r="E519" t="s">
        <v>44</v>
      </c>
      <c r="F519" s="6">
        <v>0.71875</v>
      </c>
      <c r="G519">
        <v>6</v>
      </c>
      <c r="H519" s="6">
        <f>FLOOR(tblPivotData[[#This Row],[Time]],Summary!$B$6/1440)</f>
        <v>0.71875</v>
      </c>
      <c r="I519">
        <f>INDEX(PeakCalc!$L$10:$L$303,MATCH(tblPivotData[[#This Row],[Time]],PeakCalc!$G$10:$G$303,0))</f>
        <v>0</v>
      </c>
    </row>
    <row r="520" spans="1:9" x14ac:dyDescent="0.25">
      <c r="A520" t="s">
        <v>96</v>
      </c>
      <c r="B520" t="s">
        <v>106</v>
      </c>
      <c r="C520" t="s">
        <v>95</v>
      </c>
      <c r="D520" t="s">
        <v>89</v>
      </c>
      <c r="E520" t="s">
        <v>44</v>
      </c>
      <c r="F520" s="6">
        <v>0.72916666666666663</v>
      </c>
      <c r="G520">
        <v>6</v>
      </c>
      <c r="H520" s="6">
        <f>FLOOR(tblPivotData[[#This Row],[Time]],Summary!$B$6/1440)</f>
        <v>0.72916666666666663</v>
      </c>
      <c r="I520">
        <f>INDEX(PeakCalc!$L$10:$L$303,MATCH(tblPivotData[[#This Row],[Time]],PeakCalc!$G$10:$G$303,0))</f>
        <v>0</v>
      </c>
    </row>
    <row r="521" spans="1:9" x14ac:dyDescent="0.25">
      <c r="A521" t="s">
        <v>96</v>
      </c>
      <c r="B521" t="s">
        <v>106</v>
      </c>
      <c r="C521" t="s">
        <v>95</v>
      </c>
      <c r="D521" t="s">
        <v>89</v>
      </c>
      <c r="E521" t="s">
        <v>44</v>
      </c>
      <c r="F521" s="6">
        <v>0.73958333333333337</v>
      </c>
      <c r="G521">
        <v>6</v>
      </c>
      <c r="H521" s="6">
        <f>FLOOR(tblPivotData[[#This Row],[Time]],Summary!$B$6/1440)</f>
        <v>0.73958333333333326</v>
      </c>
      <c r="I521">
        <f>INDEX(PeakCalc!$L$10:$L$303,MATCH(tblPivotData[[#This Row],[Time]],PeakCalc!$G$10:$G$303,0))</f>
        <v>0</v>
      </c>
    </row>
    <row r="522" spans="1:9" x14ac:dyDescent="0.25">
      <c r="A522" t="s">
        <v>96</v>
      </c>
      <c r="B522" t="s">
        <v>106</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96</v>
      </c>
      <c r="B523" t="s">
        <v>106</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106</v>
      </c>
      <c r="C524" t="s">
        <v>95</v>
      </c>
      <c r="D524" t="s">
        <v>90</v>
      </c>
      <c r="E524" t="s">
        <v>43</v>
      </c>
      <c r="F524" s="6">
        <v>0.3125</v>
      </c>
      <c r="G524">
        <v>1</v>
      </c>
      <c r="H524" s="6">
        <f>FLOOR(tblPivotData[[#This Row],[Time]],Summary!$B$6/1440)</f>
        <v>0.3125</v>
      </c>
      <c r="I524">
        <f>INDEX(PeakCalc!$L$10:$L$303,MATCH(tblPivotData[[#This Row],[Time]],PeakCalc!$G$10:$G$303,0))</f>
        <v>0</v>
      </c>
    </row>
    <row r="525" spans="1:9" x14ac:dyDescent="0.25">
      <c r="A525" t="s">
        <v>96</v>
      </c>
      <c r="B525" t="s">
        <v>106</v>
      </c>
      <c r="C525" t="s">
        <v>95</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25">
      <c r="A526" t="s">
        <v>96</v>
      </c>
      <c r="B526" t="s">
        <v>106</v>
      </c>
      <c r="C526" t="s">
        <v>95</v>
      </c>
      <c r="D526" t="s">
        <v>90</v>
      </c>
      <c r="E526" t="s">
        <v>43</v>
      </c>
      <c r="F526" s="6">
        <v>0.33333333333333331</v>
      </c>
      <c r="G526">
        <v>2</v>
      </c>
      <c r="H526" s="6">
        <f>FLOOR(tblPivotData[[#This Row],[Time]],Summary!$B$6/1440)</f>
        <v>0.33333333333333331</v>
      </c>
      <c r="I526">
        <f>INDEX(PeakCalc!$L$10:$L$303,MATCH(tblPivotData[[#This Row],[Time]],PeakCalc!$G$10:$G$303,0))</f>
        <v>1</v>
      </c>
    </row>
    <row r="527" spans="1:9" x14ac:dyDescent="0.25">
      <c r="A527" t="s">
        <v>96</v>
      </c>
      <c r="B527" t="s">
        <v>106</v>
      </c>
      <c r="C527" t="s">
        <v>95</v>
      </c>
      <c r="D527" t="s">
        <v>90</v>
      </c>
      <c r="E527" t="s">
        <v>43</v>
      </c>
      <c r="F527" s="6">
        <v>0.34375</v>
      </c>
      <c r="G527">
        <v>0</v>
      </c>
      <c r="H527" s="6">
        <f>FLOOR(tblPivotData[[#This Row],[Time]],Summary!$B$6/1440)</f>
        <v>0.34375</v>
      </c>
      <c r="I527">
        <f>INDEX(PeakCalc!$L$10:$L$303,MATCH(tblPivotData[[#This Row],[Time]],PeakCalc!$G$10:$G$303,0))</f>
        <v>1</v>
      </c>
    </row>
    <row r="528" spans="1:9" x14ac:dyDescent="0.25">
      <c r="A528" t="s">
        <v>96</v>
      </c>
      <c r="B528" t="s">
        <v>106</v>
      </c>
      <c r="C528" t="s">
        <v>95</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96</v>
      </c>
      <c r="B529" t="s">
        <v>106</v>
      </c>
      <c r="C529" t="s">
        <v>95</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96</v>
      </c>
      <c r="B530" t="s">
        <v>106</v>
      </c>
      <c r="C530" t="s">
        <v>95</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96</v>
      </c>
      <c r="B531" t="s">
        <v>106</v>
      </c>
      <c r="C531" t="s">
        <v>95</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96</v>
      </c>
      <c r="B532" t="s">
        <v>106</v>
      </c>
      <c r="C532" t="s">
        <v>95</v>
      </c>
      <c r="D532" t="s">
        <v>90</v>
      </c>
      <c r="E532" t="s">
        <v>91</v>
      </c>
      <c r="F532" s="6">
        <v>0.5625</v>
      </c>
      <c r="G532">
        <v>0</v>
      </c>
      <c r="H532" s="6">
        <f>FLOOR(tblPivotData[[#This Row],[Time]],Summary!$B$6/1440)</f>
        <v>0.5625</v>
      </c>
      <c r="I532">
        <f>INDEX(PeakCalc!$L$10:$L$303,MATCH(tblPivotData[[#This Row],[Time]],PeakCalc!$G$10:$G$303,0))</f>
        <v>1</v>
      </c>
    </row>
    <row r="533" spans="1:9" x14ac:dyDescent="0.25">
      <c r="A533" t="s">
        <v>96</v>
      </c>
      <c r="B533" t="s">
        <v>106</v>
      </c>
      <c r="C533" t="s">
        <v>95</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96</v>
      </c>
      <c r="B534" t="s">
        <v>106</v>
      </c>
      <c r="C534" t="s">
        <v>95</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96</v>
      </c>
      <c r="B535" t="s">
        <v>106</v>
      </c>
      <c r="C535" t="s">
        <v>95</v>
      </c>
      <c r="D535" t="s">
        <v>90</v>
      </c>
      <c r="E535" t="s">
        <v>44</v>
      </c>
      <c r="F535" s="6">
        <v>0.67708333333333337</v>
      </c>
      <c r="G535">
        <v>2</v>
      </c>
      <c r="H535" s="6">
        <f>FLOOR(tblPivotData[[#This Row],[Time]],Summary!$B$6/1440)</f>
        <v>0.67708333333333326</v>
      </c>
      <c r="I535">
        <f>INDEX(PeakCalc!$L$10:$L$303,MATCH(tblPivotData[[#This Row],[Time]],PeakCalc!$G$10:$G$303,0))</f>
        <v>1</v>
      </c>
    </row>
    <row r="536" spans="1:9" x14ac:dyDescent="0.25">
      <c r="A536" t="s">
        <v>96</v>
      </c>
      <c r="B536" t="s">
        <v>106</v>
      </c>
      <c r="C536" t="s">
        <v>95</v>
      </c>
      <c r="D536" t="s">
        <v>90</v>
      </c>
      <c r="E536" t="s">
        <v>44</v>
      </c>
      <c r="F536" s="6">
        <v>0.6875</v>
      </c>
      <c r="G536">
        <v>1</v>
      </c>
      <c r="H536" s="6">
        <f>FLOOR(tblPivotData[[#This Row],[Time]],Summary!$B$6/1440)</f>
        <v>0.6875</v>
      </c>
      <c r="I536">
        <f>INDEX(PeakCalc!$L$10:$L$303,MATCH(tblPivotData[[#This Row],[Time]],PeakCalc!$G$10:$G$303,0))</f>
        <v>1</v>
      </c>
    </row>
    <row r="537" spans="1:9" x14ac:dyDescent="0.25">
      <c r="A537" t="s">
        <v>96</v>
      </c>
      <c r="B537" t="s">
        <v>106</v>
      </c>
      <c r="C537" t="s">
        <v>95</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96</v>
      </c>
      <c r="B538" t="s">
        <v>106</v>
      </c>
      <c r="C538" t="s">
        <v>95</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96</v>
      </c>
      <c r="B539" t="s">
        <v>106</v>
      </c>
      <c r="C539" t="s">
        <v>95</v>
      </c>
      <c r="D539" t="s">
        <v>90</v>
      </c>
      <c r="E539" t="s">
        <v>44</v>
      </c>
      <c r="F539" s="6">
        <v>0.71875</v>
      </c>
      <c r="G539">
        <v>0</v>
      </c>
      <c r="H539" s="6">
        <f>FLOOR(tblPivotData[[#This Row],[Time]],Summary!$B$6/1440)</f>
        <v>0.71875</v>
      </c>
      <c r="I539">
        <f>INDEX(PeakCalc!$L$10:$L$303,MATCH(tblPivotData[[#This Row],[Time]],PeakCalc!$G$10:$G$303,0))</f>
        <v>0</v>
      </c>
    </row>
    <row r="540" spans="1:9" x14ac:dyDescent="0.25">
      <c r="A540" t="s">
        <v>96</v>
      </c>
      <c r="B540" t="s">
        <v>106</v>
      </c>
      <c r="C540" t="s">
        <v>95</v>
      </c>
      <c r="D540" t="s">
        <v>90</v>
      </c>
      <c r="E540" t="s">
        <v>44</v>
      </c>
      <c r="F540" s="6">
        <v>0.72916666666666663</v>
      </c>
      <c r="G540">
        <v>2</v>
      </c>
      <c r="H540" s="6">
        <f>FLOOR(tblPivotData[[#This Row],[Time]],Summary!$B$6/1440)</f>
        <v>0.72916666666666663</v>
      </c>
      <c r="I540">
        <f>INDEX(PeakCalc!$L$10:$L$303,MATCH(tblPivotData[[#This Row],[Time]],PeakCalc!$G$10:$G$303,0))</f>
        <v>0</v>
      </c>
    </row>
    <row r="541" spans="1:9" x14ac:dyDescent="0.25">
      <c r="A541" t="s">
        <v>96</v>
      </c>
      <c r="B541" t="s">
        <v>106</v>
      </c>
      <c r="C541" t="s">
        <v>95</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25">
      <c r="A542" t="s">
        <v>96</v>
      </c>
      <c r="B542" t="s">
        <v>93</v>
      </c>
      <c r="C542" t="s">
        <v>92</v>
      </c>
      <c r="D542" t="s">
        <v>79</v>
      </c>
      <c r="E542" t="s">
        <v>43</v>
      </c>
      <c r="F542" s="6">
        <v>0.29166666666666669</v>
      </c>
      <c r="G542">
        <v>10</v>
      </c>
      <c r="H542" s="6">
        <f>FLOOR(tblPivotData[[#This Row],[Time]],Summary!$B$6/1440)</f>
        <v>0.29166666666666663</v>
      </c>
      <c r="I542">
        <f>INDEX(PeakCalc!$L$10:$L$303,MATCH(tblPivotData[[#This Row],[Time]],PeakCalc!$G$10:$G$303,0))</f>
        <v>0</v>
      </c>
    </row>
    <row r="543" spans="1:9" x14ac:dyDescent="0.25">
      <c r="A543" t="s">
        <v>96</v>
      </c>
      <c r="B543" t="s">
        <v>93</v>
      </c>
      <c r="C543" t="s">
        <v>92</v>
      </c>
      <c r="D543" t="s">
        <v>79</v>
      </c>
      <c r="E543" t="s">
        <v>43</v>
      </c>
      <c r="F543" s="6">
        <v>0.30208333333333331</v>
      </c>
      <c r="G543">
        <v>22</v>
      </c>
      <c r="H543" s="6">
        <f>FLOOR(tblPivotData[[#This Row],[Time]],Summary!$B$6/1440)</f>
        <v>0.30208333333333331</v>
      </c>
      <c r="I543">
        <f>INDEX(PeakCalc!$L$10:$L$303,MATCH(tblPivotData[[#This Row],[Time]],PeakCalc!$G$10:$G$303,0))</f>
        <v>0</v>
      </c>
    </row>
    <row r="544" spans="1:9" x14ac:dyDescent="0.25">
      <c r="A544" t="s">
        <v>96</v>
      </c>
      <c r="B544" t="s">
        <v>93</v>
      </c>
      <c r="C544" t="s">
        <v>92</v>
      </c>
      <c r="D544" t="s">
        <v>79</v>
      </c>
      <c r="E544" t="s">
        <v>43</v>
      </c>
      <c r="F544" s="6">
        <v>0.3125</v>
      </c>
      <c r="G544">
        <v>12</v>
      </c>
      <c r="H544" s="6">
        <f>FLOOR(tblPivotData[[#This Row],[Time]],Summary!$B$6/1440)</f>
        <v>0.3125</v>
      </c>
      <c r="I544">
        <f>INDEX(PeakCalc!$L$10:$L$303,MATCH(tblPivotData[[#This Row],[Time]],PeakCalc!$G$10:$G$303,0))</f>
        <v>0</v>
      </c>
    </row>
    <row r="545" spans="1:9" x14ac:dyDescent="0.25">
      <c r="A545" t="s">
        <v>96</v>
      </c>
      <c r="B545" t="s">
        <v>93</v>
      </c>
      <c r="C545" t="s">
        <v>92</v>
      </c>
      <c r="D545" t="s">
        <v>79</v>
      </c>
      <c r="E545" t="s">
        <v>43</v>
      </c>
      <c r="F545" s="6">
        <v>0.32291666666666669</v>
      </c>
      <c r="G545">
        <v>15</v>
      </c>
      <c r="H545" s="6">
        <f>FLOOR(tblPivotData[[#This Row],[Time]],Summary!$B$6/1440)</f>
        <v>0.32291666666666663</v>
      </c>
      <c r="I545">
        <f>INDEX(PeakCalc!$L$10:$L$303,MATCH(tblPivotData[[#This Row],[Time]],PeakCalc!$G$10:$G$303,0))</f>
        <v>1</v>
      </c>
    </row>
    <row r="546" spans="1:9" x14ac:dyDescent="0.25">
      <c r="A546" t="s">
        <v>96</v>
      </c>
      <c r="B546" t="s">
        <v>93</v>
      </c>
      <c r="C546" t="s">
        <v>92</v>
      </c>
      <c r="D546" t="s">
        <v>79</v>
      </c>
      <c r="E546" t="s">
        <v>43</v>
      </c>
      <c r="F546" s="6">
        <v>0.33333333333333331</v>
      </c>
      <c r="G546">
        <v>22</v>
      </c>
      <c r="H546" s="6">
        <f>FLOOR(tblPivotData[[#This Row],[Time]],Summary!$B$6/1440)</f>
        <v>0.33333333333333331</v>
      </c>
      <c r="I546">
        <f>INDEX(PeakCalc!$L$10:$L$303,MATCH(tblPivotData[[#This Row],[Time]],PeakCalc!$G$10:$G$303,0))</f>
        <v>1</v>
      </c>
    </row>
    <row r="547" spans="1:9" x14ac:dyDescent="0.25">
      <c r="A547" t="s">
        <v>96</v>
      </c>
      <c r="B547" t="s">
        <v>93</v>
      </c>
      <c r="C547" t="s">
        <v>92</v>
      </c>
      <c r="D547" t="s">
        <v>79</v>
      </c>
      <c r="E547" t="s">
        <v>43</v>
      </c>
      <c r="F547" s="6">
        <v>0.34375</v>
      </c>
      <c r="G547">
        <v>16</v>
      </c>
      <c r="H547" s="6">
        <f>FLOOR(tblPivotData[[#This Row],[Time]],Summary!$B$6/1440)</f>
        <v>0.34375</v>
      </c>
      <c r="I547">
        <f>INDEX(PeakCalc!$L$10:$L$303,MATCH(tblPivotData[[#This Row],[Time]],PeakCalc!$G$10:$G$303,0))</f>
        <v>1</v>
      </c>
    </row>
    <row r="548" spans="1:9" x14ac:dyDescent="0.25">
      <c r="A548" t="s">
        <v>96</v>
      </c>
      <c r="B548" t="s">
        <v>93</v>
      </c>
      <c r="C548" t="s">
        <v>92</v>
      </c>
      <c r="D548" t="s">
        <v>79</v>
      </c>
      <c r="E548" t="s">
        <v>43</v>
      </c>
      <c r="F548" s="6">
        <v>0.35416666666666669</v>
      </c>
      <c r="G548">
        <v>12</v>
      </c>
      <c r="H548" s="6">
        <f>FLOOR(tblPivotData[[#This Row],[Time]],Summary!$B$6/1440)</f>
        <v>0.35416666666666663</v>
      </c>
      <c r="I548">
        <f>INDEX(PeakCalc!$L$10:$L$303,MATCH(tblPivotData[[#This Row],[Time]],PeakCalc!$G$10:$G$303,0))</f>
        <v>1</v>
      </c>
    </row>
    <row r="549" spans="1:9" x14ac:dyDescent="0.25">
      <c r="A549" t="s">
        <v>96</v>
      </c>
      <c r="B549" t="s">
        <v>93</v>
      </c>
      <c r="C549" t="s">
        <v>92</v>
      </c>
      <c r="D549" t="s">
        <v>79</v>
      </c>
      <c r="E549" t="s">
        <v>43</v>
      </c>
      <c r="F549" s="6">
        <v>0.36458333333333331</v>
      </c>
      <c r="G549">
        <v>19</v>
      </c>
      <c r="H549" s="6">
        <f>FLOOR(tblPivotData[[#This Row],[Time]],Summary!$B$6/1440)</f>
        <v>0.36458333333333331</v>
      </c>
      <c r="I549">
        <f>INDEX(PeakCalc!$L$10:$L$303,MATCH(tblPivotData[[#This Row],[Time]],PeakCalc!$G$10:$G$303,0))</f>
        <v>0</v>
      </c>
    </row>
    <row r="550" spans="1:9" x14ac:dyDescent="0.25">
      <c r="A550" t="s">
        <v>96</v>
      </c>
      <c r="B550" t="s">
        <v>93</v>
      </c>
      <c r="C550" t="s">
        <v>92</v>
      </c>
      <c r="D550" t="s">
        <v>79</v>
      </c>
      <c r="E550" t="s">
        <v>91</v>
      </c>
      <c r="F550" s="6">
        <v>0.54166666666666663</v>
      </c>
      <c r="G550">
        <v>20</v>
      </c>
      <c r="H550" s="6">
        <f>FLOOR(tblPivotData[[#This Row],[Time]],Summary!$B$6/1440)</f>
        <v>0.54166666666666663</v>
      </c>
      <c r="I550">
        <f>INDEX(PeakCalc!$L$10:$L$303,MATCH(tblPivotData[[#This Row],[Time]],PeakCalc!$G$10:$G$303,0))</f>
        <v>1</v>
      </c>
    </row>
    <row r="551" spans="1:9" x14ac:dyDescent="0.25">
      <c r="A551" t="s">
        <v>96</v>
      </c>
      <c r="B551" t="s">
        <v>93</v>
      </c>
      <c r="C551" t="s">
        <v>92</v>
      </c>
      <c r="D551" t="s">
        <v>79</v>
      </c>
      <c r="E551" t="s">
        <v>91</v>
      </c>
      <c r="F551" s="6">
        <v>0.55208333333333337</v>
      </c>
      <c r="G551">
        <v>18</v>
      </c>
      <c r="H551" s="6">
        <f>FLOOR(tblPivotData[[#This Row],[Time]],Summary!$B$6/1440)</f>
        <v>0.55208333333333326</v>
      </c>
      <c r="I551">
        <f>INDEX(PeakCalc!$L$10:$L$303,MATCH(tblPivotData[[#This Row],[Time]],PeakCalc!$G$10:$G$303,0))</f>
        <v>1</v>
      </c>
    </row>
    <row r="552" spans="1:9" x14ac:dyDescent="0.25">
      <c r="A552" t="s">
        <v>96</v>
      </c>
      <c r="B552" t="s">
        <v>93</v>
      </c>
      <c r="C552" t="s">
        <v>92</v>
      </c>
      <c r="D552" t="s">
        <v>79</v>
      </c>
      <c r="E552" t="s">
        <v>91</v>
      </c>
      <c r="F552" s="6">
        <v>0.5625</v>
      </c>
      <c r="G552">
        <v>24</v>
      </c>
      <c r="H552" s="6">
        <f>FLOOR(tblPivotData[[#This Row],[Time]],Summary!$B$6/1440)</f>
        <v>0.5625</v>
      </c>
      <c r="I552">
        <f>INDEX(PeakCalc!$L$10:$L$303,MATCH(tblPivotData[[#This Row],[Time]],PeakCalc!$G$10:$G$303,0))</f>
        <v>1</v>
      </c>
    </row>
    <row r="553" spans="1:9" x14ac:dyDescent="0.25">
      <c r="A553" t="s">
        <v>96</v>
      </c>
      <c r="B553" t="s">
        <v>93</v>
      </c>
      <c r="C553" t="s">
        <v>92</v>
      </c>
      <c r="D553" t="s">
        <v>79</v>
      </c>
      <c r="E553" t="s">
        <v>91</v>
      </c>
      <c r="F553" s="6">
        <v>0.57291666666666663</v>
      </c>
      <c r="G553">
        <v>28</v>
      </c>
      <c r="H553" s="6">
        <f>FLOOR(tblPivotData[[#This Row],[Time]],Summary!$B$6/1440)</f>
        <v>0.57291666666666663</v>
      </c>
      <c r="I553">
        <f>INDEX(PeakCalc!$L$10:$L$303,MATCH(tblPivotData[[#This Row],[Time]],PeakCalc!$G$10:$G$303,0))</f>
        <v>1</v>
      </c>
    </row>
    <row r="554" spans="1:9" x14ac:dyDescent="0.25">
      <c r="A554" t="s">
        <v>96</v>
      </c>
      <c r="B554" t="s">
        <v>93</v>
      </c>
      <c r="C554" t="s">
        <v>92</v>
      </c>
      <c r="D554" t="s">
        <v>79</v>
      </c>
      <c r="E554" t="s">
        <v>44</v>
      </c>
      <c r="F554" s="6">
        <v>0.66666666666666663</v>
      </c>
      <c r="G554">
        <v>16</v>
      </c>
      <c r="H554" s="6">
        <f>FLOOR(tblPivotData[[#This Row],[Time]],Summary!$B$6/1440)</f>
        <v>0.66666666666666663</v>
      </c>
      <c r="I554">
        <f>INDEX(PeakCalc!$L$10:$L$303,MATCH(tblPivotData[[#This Row],[Time]],PeakCalc!$G$10:$G$303,0))</f>
        <v>0</v>
      </c>
    </row>
    <row r="555" spans="1:9" x14ac:dyDescent="0.25">
      <c r="A555" t="s">
        <v>96</v>
      </c>
      <c r="B555" t="s">
        <v>93</v>
      </c>
      <c r="C555" t="s">
        <v>92</v>
      </c>
      <c r="D555" t="s">
        <v>79</v>
      </c>
      <c r="E555" t="s">
        <v>44</v>
      </c>
      <c r="F555" s="6">
        <v>0.67708333333333337</v>
      </c>
      <c r="G555">
        <v>15</v>
      </c>
      <c r="H555" s="6">
        <f>FLOOR(tblPivotData[[#This Row],[Time]],Summary!$B$6/1440)</f>
        <v>0.67708333333333326</v>
      </c>
      <c r="I555">
        <f>INDEX(PeakCalc!$L$10:$L$303,MATCH(tblPivotData[[#This Row],[Time]],PeakCalc!$G$10:$G$303,0))</f>
        <v>1</v>
      </c>
    </row>
    <row r="556" spans="1:9" x14ac:dyDescent="0.25">
      <c r="A556" t="s">
        <v>96</v>
      </c>
      <c r="B556" t="s">
        <v>93</v>
      </c>
      <c r="C556" t="s">
        <v>92</v>
      </c>
      <c r="D556" t="s">
        <v>79</v>
      </c>
      <c r="E556" t="s">
        <v>44</v>
      </c>
      <c r="F556" s="6">
        <v>0.6875</v>
      </c>
      <c r="G556">
        <v>26</v>
      </c>
      <c r="H556" s="6">
        <f>FLOOR(tblPivotData[[#This Row],[Time]],Summary!$B$6/1440)</f>
        <v>0.6875</v>
      </c>
      <c r="I556">
        <f>INDEX(PeakCalc!$L$10:$L$303,MATCH(tblPivotData[[#This Row],[Time]],PeakCalc!$G$10:$G$303,0))</f>
        <v>1</v>
      </c>
    </row>
    <row r="557" spans="1:9" x14ac:dyDescent="0.25">
      <c r="A557" t="s">
        <v>96</v>
      </c>
      <c r="B557" t="s">
        <v>93</v>
      </c>
      <c r="C557" t="s">
        <v>92</v>
      </c>
      <c r="D557" t="s">
        <v>79</v>
      </c>
      <c r="E557" t="s">
        <v>44</v>
      </c>
      <c r="F557" s="6">
        <v>0.69791666666666663</v>
      </c>
      <c r="G557">
        <v>17</v>
      </c>
      <c r="H557" s="6">
        <f>FLOOR(tblPivotData[[#This Row],[Time]],Summary!$B$6/1440)</f>
        <v>0.69791666666666663</v>
      </c>
      <c r="I557">
        <f>INDEX(PeakCalc!$L$10:$L$303,MATCH(tblPivotData[[#This Row],[Time]],PeakCalc!$G$10:$G$303,0))</f>
        <v>1</v>
      </c>
    </row>
    <row r="558" spans="1:9" x14ac:dyDescent="0.25">
      <c r="A558" t="s">
        <v>96</v>
      </c>
      <c r="B558" t="s">
        <v>93</v>
      </c>
      <c r="C558" t="s">
        <v>92</v>
      </c>
      <c r="D558" t="s">
        <v>79</v>
      </c>
      <c r="E558" t="s">
        <v>44</v>
      </c>
      <c r="F558" s="6">
        <v>0.70833333333333337</v>
      </c>
      <c r="G558">
        <v>28</v>
      </c>
      <c r="H558" s="6">
        <f>FLOOR(tblPivotData[[#This Row],[Time]],Summary!$B$6/1440)</f>
        <v>0.70833333333333326</v>
      </c>
      <c r="I558">
        <f>INDEX(PeakCalc!$L$10:$L$303,MATCH(tblPivotData[[#This Row],[Time]],PeakCalc!$G$10:$G$303,0))</f>
        <v>1</v>
      </c>
    </row>
    <row r="559" spans="1:9" x14ac:dyDescent="0.25">
      <c r="A559" t="s">
        <v>96</v>
      </c>
      <c r="B559" t="s">
        <v>93</v>
      </c>
      <c r="C559" t="s">
        <v>92</v>
      </c>
      <c r="D559" t="s">
        <v>79</v>
      </c>
      <c r="E559" t="s">
        <v>44</v>
      </c>
      <c r="F559" s="6">
        <v>0.71875</v>
      </c>
      <c r="G559">
        <v>39</v>
      </c>
      <c r="H559" s="6">
        <f>FLOOR(tblPivotData[[#This Row],[Time]],Summary!$B$6/1440)</f>
        <v>0.71875</v>
      </c>
      <c r="I559">
        <f>INDEX(PeakCalc!$L$10:$L$303,MATCH(tblPivotData[[#This Row],[Time]],PeakCalc!$G$10:$G$303,0))</f>
        <v>0</v>
      </c>
    </row>
    <row r="560" spans="1:9" x14ac:dyDescent="0.25">
      <c r="A560" t="s">
        <v>96</v>
      </c>
      <c r="B560" t="s">
        <v>93</v>
      </c>
      <c r="C560" t="s">
        <v>92</v>
      </c>
      <c r="D560" t="s">
        <v>79</v>
      </c>
      <c r="E560" t="s">
        <v>44</v>
      </c>
      <c r="F560" s="6">
        <v>0.72916666666666663</v>
      </c>
      <c r="G560">
        <v>26</v>
      </c>
      <c r="H560" s="6">
        <f>FLOOR(tblPivotData[[#This Row],[Time]],Summary!$B$6/1440)</f>
        <v>0.72916666666666663</v>
      </c>
      <c r="I560">
        <f>INDEX(PeakCalc!$L$10:$L$303,MATCH(tblPivotData[[#This Row],[Time]],PeakCalc!$G$10:$G$303,0))</f>
        <v>0</v>
      </c>
    </row>
    <row r="561" spans="1:9" x14ac:dyDescent="0.25">
      <c r="A561" t="s">
        <v>96</v>
      </c>
      <c r="B561" t="s">
        <v>93</v>
      </c>
      <c r="C561" t="s">
        <v>92</v>
      </c>
      <c r="D561" t="s">
        <v>79</v>
      </c>
      <c r="E561" t="s">
        <v>44</v>
      </c>
      <c r="F561" s="6">
        <v>0.73958333333333337</v>
      </c>
      <c r="G561">
        <v>10</v>
      </c>
      <c r="H561" s="6">
        <f>FLOOR(tblPivotData[[#This Row],[Time]],Summary!$B$6/1440)</f>
        <v>0.73958333333333326</v>
      </c>
      <c r="I561">
        <f>INDEX(PeakCalc!$L$10:$L$303,MATCH(tblPivotData[[#This Row],[Time]],PeakCalc!$G$10:$G$303,0))</f>
        <v>0</v>
      </c>
    </row>
    <row r="562" spans="1:9" x14ac:dyDescent="0.25">
      <c r="A562" t="s">
        <v>96</v>
      </c>
      <c r="B562" t="s">
        <v>93</v>
      </c>
      <c r="C562" t="s">
        <v>92</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96</v>
      </c>
      <c r="B563" t="s">
        <v>93</v>
      </c>
      <c r="C563" t="s">
        <v>92</v>
      </c>
      <c r="D563" t="s">
        <v>89</v>
      </c>
      <c r="E563" t="s">
        <v>43</v>
      </c>
      <c r="F563" s="6">
        <v>0.30208333333333331</v>
      </c>
      <c r="G563">
        <v>2</v>
      </c>
      <c r="H563" s="6">
        <f>FLOOR(tblPivotData[[#This Row],[Time]],Summary!$B$6/1440)</f>
        <v>0.30208333333333331</v>
      </c>
      <c r="I563">
        <f>INDEX(PeakCalc!$L$10:$L$303,MATCH(tblPivotData[[#This Row],[Time]],PeakCalc!$G$10:$G$303,0))</f>
        <v>0</v>
      </c>
    </row>
    <row r="564" spans="1:9" x14ac:dyDescent="0.25">
      <c r="A564" t="s">
        <v>96</v>
      </c>
      <c r="B564" t="s">
        <v>93</v>
      </c>
      <c r="C564" t="s">
        <v>92</v>
      </c>
      <c r="D564" t="s">
        <v>89</v>
      </c>
      <c r="E564" t="s">
        <v>43</v>
      </c>
      <c r="F564" s="6">
        <v>0.3125</v>
      </c>
      <c r="G564">
        <v>2</v>
      </c>
      <c r="H564" s="6">
        <f>FLOOR(tblPivotData[[#This Row],[Time]],Summary!$B$6/1440)</f>
        <v>0.3125</v>
      </c>
      <c r="I564">
        <f>INDEX(PeakCalc!$L$10:$L$303,MATCH(tblPivotData[[#This Row],[Time]],PeakCalc!$G$10:$G$303,0))</f>
        <v>0</v>
      </c>
    </row>
    <row r="565" spans="1:9" x14ac:dyDescent="0.25">
      <c r="A565" t="s">
        <v>96</v>
      </c>
      <c r="B565" t="s">
        <v>93</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93</v>
      </c>
      <c r="C566" t="s">
        <v>92</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96</v>
      </c>
      <c r="B567" t="s">
        <v>93</v>
      </c>
      <c r="C567" t="s">
        <v>92</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93</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96</v>
      </c>
      <c r="B569" t="s">
        <v>93</v>
      </c>
      <c r="C569" t="s">
        <v>92</v>
      </c>
      <c r="D569" t="s">
        <v>89</v>
      </c>
      <c r="E569" t="s">
        <v>43</v>
      </c>
      <c r="F569" s="6">
        <v>0.36458333333333331</v>
      </c>
      <c r="G569">
        <v>3</v>
      </c>
      <c r="H569" s="6">
        <f>FLOOR(tblPivotData[[#This Row],[Time]],Summary!$B$6/1440)</f>
        <v>0.36458333333333331</v>
      </c>
      <c r="I569">
        <f>INDEX(PeakCalc!$L$10:$L$303,MATCH(tblPivotData[[#This Row],[Time]],PeakCalc!$G$10:$G$303,0))</f>
        <v>0</v>
      </c>
    </row>
    <row r="570" spans="1:9" x14ac:dyDescent="0.25">
      <c r="A570" t="s">
        <v>96</v>
      </c>
      <c r="B570" t="s">
        <v>93</v>
      </c>
      <c r="C570" t="s">
        <v>92</v>
      </c>
      <c r="D570" t="s">
        <v>89</v>
      </c>
      <c r="E570" t="s">
        <v>91</v>
      </c>
      <c r="F570" s="6">
        <v>0.54166666666666663</v>
      </c>
      <c r="G570">
        <v>1</v>
      </c>
      <c r="H570" s="6">
        <f>FLOOR(tblPivotData[[#This Row],[Time]],Summary!$B$6/1440)</f>
        <v>0.54166666666666663</v>
      </c>
      <c r="I570">
        <f>INDEX(PeakCalc!$L$10:$L$303,MATCH(tblPivotData[[#This Row],[Time]],PeakCalc!$G$10:$G$303,0))</f>
        <v>1</v>
      </c>
    </row>
    <row r="571" spans="1:9" x14ac:dyDescent="0.25">
      <c r="A571" t="s">
        <v>96</v>
      </c>
      <c r="B571" t="s">
        <v>93</v>
      </c>
      <c r="C571" t="s">
        <v>92</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96</v>
      </c>
      <c r="B572" t="s">
        <v>93</v>
      </c>
      <c r="C572" t="s">
        <v>92</v>
      </c>
      <c r="D572" t="s">
        <v>89</v>
      </c>
      <c r="E572" t="s">
        <v>91</v>
      </c>
      <c r="F572" s="6">
        <v>0.5625</v>
      </c>
      <c r="G572">
        <v>1</v>
      </c>
      <c r="H572" s="6">
        <f>FLOOR(tblPivotData[[#This Row],[Time]],Summary!$B$6/1440)</f>
        <v>0.5625</v>
      </c>
      <c r="I572">
        <f>INDEX(PeakCalc!$L$10:$L$303,MATCH(tblPivotData[[#This Row],[Time]],PeakCalc!$G$10:$G$303,0))</f>
        <v>1</v>
      </c>
    </row>
    <row r="573" spans="1:9" x14ac:dyDescent="0.25">
      <c r="A573" t="s">
        <v>96</v>
      </c>
      <c r="B573" t="s">
        <v>93</v>
      </c>
      <c r="C573" t="s">
        <v>92</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93</v>
      </c>
      <c r="C574" t="s">
        <v>92</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96</v>
      </c>
      <c r="B575" t="s">
        <v>93</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93</v>
      </c>
      <c r="C576" t="s">
        <v>92</v>
      </c>
      <c r="D576" t="s">
        <v>89</v>
      </c>
      <c r="E576" t="s">
        <v>44</v>
      </c>
      <c r="F576" s="6">
        <v>0.6875</v>
      </c>
      <c r="G576">
        <v>1</v>
      </c>
      <c r="H576" s="6">
        <f>FLOOR(tblPivotData[[#This Row],[Time]],Summary!$B$6/1440)</f>
        <v>0.6875</v>
      </c>
      <c r="I576">
        <f>INDEX(PeakCalc!$L$10:$L$303,MATCH(tblPivotData[[#This Row],[Time]],PeakCalc!$G$10:$G$303,0))</f>
        <v>1</v>
      </c>
    </row>
    <row r="577" spans="1:9" x14ac:dyDescent="0.25">
      <c r="A577" t="s">
        <v>96</v>
      </c>
      <c r="B577" t="s">
        <v>93</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93</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93</v>
      </c>
      <c r="C579" t="s">
        <v>92</v>
      </c>
      <c r="D579" t="s">
        <v>89</v>
      </c>
      <c r="E579" t="s">
        <v>44</v>
      </c>
      <c r="F579" s="6">
        <v>0.71875</v>
      </c>
      <c r="G579">
        <v>2</v>
      </c>
      <c r="H579" s="6">
        <f>FLOOR(tblPivotData[[#This Row],[Time]],Summary!$B$6/1440)</f>
        <v>0.71875</v>
      </c>
      <c r="I579">
        <f>INDEX(PeakCalc!$L$10:$L$303,MATCH(tblPivotData[[#This Row],[Time]],PeakCalc!$G$10:$G$303,0))</f>
        <v>0</v>
      </c>
    </row>
    <row r="580" spans="1:9" x14ac:dyDescent="0.25">
      <c r="A580" t="s">
        <v>96</v>
      </c>
      <c r="B580" t="s">
        <v>93</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93</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93</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93</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93</v>
      </c>
      <c r="C584" t="s">
        <v>92</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93</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93</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93</v>
      </c>
      <c r="C587" t="s">
        <v>92</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93</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93</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93</v>
      </c>
      <c r="C590" t="s">
        <v>92</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93</v>
      </c>
      <c r="C591" t="s">
        <v>92</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93</v>
      </c>
      <c r="C592" t="s">
        <v>92</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93</v>
      </c>
      <c r="C593" t="s">
        <v>92</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93</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93</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93</v>
      </c>
      <c r="C596" t="s">
        <v>92</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93</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93</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93</v>
      </c>
      <c r="C599" t="s">
        <v>92</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93</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93</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98</v>
      </c>
      <c r="C602" t="s">
        <v>96</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25">
      <c r="A603" t="s">
        <v>96</v>
      </c>
      <c r="B603" t="s">
        <v>98</v>
      </c>
      <c r="C603" t="s">
        <v>96</v>
      </c>
      <c r="D603" t="s">
        <v>79</v>
      </c>
      <c r="E603" t="s">
        <v>43</v>
      </c>
      <c r="F603" s="6">
        <v>0.30208333333333331</v>
      </c>
      <c r="G603">
        <v>2</v>
      </c>
      <c r="H603" s="6">
        <f>FLOOR(tblPivotData[[#This Row],[Time]],Summary!$B$6/1440)</f>
        <v>0.30208333333333331</v>
      </c>
      <c r="I603">
        <f>INDEX(PeakCalc!$L$10:$L$303,MATCH(tblPivotData[[#This Row],[Time]],PeakCalc!$G$10:$G$303,0))</f>
        <v>0</v>
      </c>
    </row>
    <row r="604" spans="1:9" x14ac:dyDescent="0.25">
      <c r="A604" t="s">
        <v>96</v>
      </c>
      <c r="B604" t="s">
        <v>98</v>
      </c>
      <c r="C604" t="s">
        <v>96</v>
      </c>
      <c r="D604" t="s">
        <v>79</v>
      </c>
      <c r="E604" t="s">
        <v>43</v>
      </c>
      <c r="F604" s="6">
        <v>0.3125</v>
      </c>
      <c r="G604">
        <v>0</v>
      </c>
      <c r="H604" s="6">
        <f>FLOOR(tblPivotData[[#This Row],[Time]],Summary!$B$6/1440)</f>
        <v>0.3125</v>
      </c>
      <c r="I604">
        <f>INDEX(PeakCalc!$L$10:$L$303,MATCH(tblPivotData[[#This Row],[Time]],PeakCalc!$G$10:$G$303,0))</f>
        <v>0</v>
      </c>
    </row>
    <row r="605" spans="1:9" x14ac:dyDescent="0.25">
      <c r="A605" t="s">
        <v>96</v>
      </c>
      <c r="B605" t="s">
        <v>98</v>
      </c>
      <c r="C605" t="s">
        <v>96</v>
      </c>
      <c r="D605" t="s">
        <v>79</v>
      </c>
      <c r="E605" t="s">
        <v>43</v>
      </c>
      <c r="F605" s="6">
        <v>0.32291666666666669</v>
      </c>
      <c r="G605">
        <v>3</v>
      </c>
      <c r="H605" s="6">
        <f>FLOOR(tblPivotData[[#This Row],[Time]],Summary!$B$6/1440)</f>
        <v>0.32291666666666663</v>
      </c>
      <c r="I605">
        <f>INDEX(PeakCalc!$L$10:$L$303,MATCH(tblPivotData[[#This Row],[Time]],PeakCalc!$G$10:$G$303,0))</f>
        <v>1</v>
      </c>
    </row>
    <row r="606" spans="1:9" x14ac:dyDescent="0.25">
      <c r="A606" t="s">
        <v>96</v>
      </c>
      <c r="B606" t="s">
        <v>98</v>
      </c>
      <c r="C606" t="s">
        <v>96</v>
      </c>
      <c r="D606" t="s">
        <v>79</v>
      </c>
      <c r="E606" t="s">
        <v>43</v>
      </c>
      <c r="F606" s="6">
        <v>0.33333333333333331</v>
      </c>
      <c r="G606">
        <v>3</v>
      </c>
      <c r="H606" s="6">
        <f>FLOOR(tblPivotData[[#This Row],[Time]],Summary!$B$6/1440)</f>
        <v>0.33333333333333331</v>
      </c>
      <c r="I606">
        <f>INDEX(PeakCalc!$L$10:$L$303,MATCH(tblPivotData[[#This Row],[Time]],PeakCalc!$G$10:$G$303,0))</f>
        <v>1</v>
      </c>
    </row>
    <row r="607" spans="1:9" x14ac:dyDescent="0.25">
      <c r="A607" t="s">
        <v>96</v>
      </c>
      <c r="B607" t="s">
        <v>98</v>
      </c>
      <c r="C607" t="s">
        <v>96</v>
      </c>
      <c r="D607" t="s">
        <v>79</v>
      </c>
      <c r="E607" t="s">
        <v>43</v>
      </c>
      <c r="F607" s="6">
        <v>0.34375</v>
      </c>
      <c r="G607">
        <v>4</v>
      </c>
      <c r="H607" s="6">
        <f>FLOOR(tblPivotData[[#This Row],[Time]],Summary!$B$6/1440)</f>
        <v>0.34375</v>
      </c>
      <c r="I607">
        <f>INDEX(PeakCalc!$L$10:$L$303,MATCH(tblPivotData[[#This Row],[Time]],PeakCalc!$G$10:$G$303,0))</f>
        <v>1</v>
      </c>
    </row>
    <row r="608" spans="1:9" x14ac:dyDescent="0.25">
      <c r="A608" t="s">
        <v>96</v>
      </c>
      <c r="B608" t="s">
        <v>98</v>
      </c>
      <c r="C608" t="s">
        <v>96</v>
      </c>
      <c r="D608" t="s">
        <v>79</v>
      </c>
      <c r="E608" t="s">
        <v>43</v>
      </c>
      <c r="F608" s="6">
        <v>0.35416666666666669</v>
      </c>
      <c r="G608">
        <v>3</v>
      </c>
      <c r="H608" s="6">
        <f>FLOOR(tblPivotData[[#This Row],[Time]],Summary!$B$6/1440)</f>
        <v>0.35416666666666663</v>
      </c>
      <c r="I608">
        <f>INDEX(PeakCalc!$L$10:$L$303,MATCH(tblPivotData[[#This Row],[Time]],PeakCalc!$G$10:$G$303,0))</f>
        <v>1</v>
      </c>
    </row>
    <row r="609" spans="1:9" x14ac:dyDescent="0.25">
      <c r="A609" t="s">
        <v>96</v>
      </c>
      <c r="B609" t="s">
        <v>98</v>
      </c>
      <c r="C609" t="s">
        <v>96</v>
      </c>
      <c r="D609" t="s">
        <v>79</v>
      </c>
      <c r="E609" t="s">
        <v>43</v>
      </c>
      <c r="F609" s="6">
        <v>0.36458333333333331</v>
      </c>
      <c r="G609">
        <v>2</v>
      </c>
      <c r="H609" s="6">
        <f>FLOOR(tblPivotData[[#This Row],[Time]],Summary!$B$6/1440)</f>
        <v>0.36458333333333331</v>
      </c>
      <c r="I609">
        <f>INDEX(PeakCalc!$L$10:$L$303,MATCH(tblPivotData[[#This Row],[Time]],PeakCalc!$G$10:$G$303,0))</f>
        <v>0</v>
      </c>
    </row>
    <row r="610" spans="1:9" x14ac:dyDescent="0.25">
      <c r="A610" t="s">
        <v>96</v>
      </c>
      <c r="B610" t="s">
        <v>98</v>
      </c>
      <c r="C610" t="s">
        <v>96</v>
      </c>
      <c r="D610" t="s">
        <v>79</v>
      </c>
      <c r="E610" t="s">
        <v>91</v>
      </c>
      <c r="F610" s="6">
        <v>0.54166666666666663</v>
      </c>
      <c r="G610">
        <v>2</v>
      </c>
      <c r="H610" s="6">
        <f>FLOOR(tblPivotData[[#This Row],[Time]],Summary!$B$6/1440)</f>
        <v>0.54166666666666663</v>
      </c>
      <c r="I610">
        <f>INDEX(PeakCalc!$L$10:$L$303,MATCH(tblPivotData[[#This Row],[Time]],PeakCalc!$G$10:$G$303,0))</f>
        <v>1</v>
      </c>
    </row>
    <row r="611" spans="1:9" x14ac:dyDescent="0.25">
      <c r="A611" t="s">
        <v>96</v>
      </c>
      <c r="B611" t="s">
        <v>98</v>
      </c>
      <c r="C611" t="s">
        <v>96</v>
      </c>
      <c r="D611" t="s">
        <v>79</v>
      </c>
      <c r="E611" t="s">
        <v>91</v>
      </c>
      <c r="F611" s="6">
        <v>0.55208333333333337</v>
      </c>
      <c r="G611">
        <v>2</v>
      </c>
      <c r="H611" s="6">
        <f>FLOOR(tblPivotData[[#This Row],[Time]],Summary!$B$6/1440)</f>
        <v>0.55208333333333326</v>
      </c>
      <c r="I611">
        <f>INDEX(PeakCalc!$L$10:$L$303,MATCH(tblPivotData[[#This Row],[Time]],PeakCalc!$G$10:$G$303,0))</f>
        <v>1</v>
      </c>
    </row>
    <row r="612" spans="1:9" x14ac:dyDescent="0.25">
      <c r="A612" t="s">
        <v>96</v>
      </c>
      <c r="B612" t="s">
        <v>98</v>
      </c>
      <c r="C612" t="s">
        <v>96</v>
      </c>
      <c r="D612" t="s">
        <v>79</v>
      </c>
      <c r="E612" t="s">
        <v>91</v>
      </c>
      <c r="F612" s="6">
        <v>0.5625</v>
      </c>
      <c r="G612">
        <v>1</v>
      </c>
      <c r="H612" s="6">
        <f>FLOOR(tblPivotData[[#This Row],[Time]],Summary!$B$6/1440)</f>
        <v>0.5625</v>
      </c>
      <c r="I612">
        <f>INDEX(PeakCalc!$L$10:$L$303,MATCH(tblPivotData[[#This Row],[Time]],PeakCalc!$G$10:$G$303,0))</f>
        <v>1</v>
      </c>
    </row>
    <row r="613" spans="1:9" x14ac:dyDescent="0.25">
      <c r="A613" t="s">
        <v>96</v>
      </c>
      <c r="B613" t="s">
        <v>98</v>
      </c>
      <c r="C613" t="s">
        <v>96</v>
      </c>
      <c r="D613" t="s">
        <v>79</v>
      </c>
      <c r="E613" t="s">
        <v>91</v>
      </c>
      <c r="F613" s="6">
        <v>0.57291666666666663</v>
      </c>
      <c r="G613">
        <v>2</v>
      </c>
      <c r="H613" s="6">
        <f>FLOOR(tblPivotData[[#This Row],[Time]],Summary!$B$6/1440)</f>
        <v>0.57291666666666663</v>
      </c>
      <c r="I613">
        <f>INDEX(PeakCalc!$L$10:$L$303,MATCH(tblPivotData[[#This Row],[Time]],PeakCalc!$G$10:$G$303,0))</f>
        <v>1</v>
      </c>
    </row>
    <row r="614" spans="1:9" x14ac:dyDescent="0.25">
      <c r="A614" t="s">
        <v>96</v>
      </c>
      <c r="B614" t="s">
        <v>98</v>
      </c>
      <c r="C614" t="s">
        <v>96</v>
      </c>
      <c r="D614" t="s">
        <v>79</v>
      </c>
      <c r="E614" t="s">
        <v>44</v>
      </c>
      <c r="F614" s="6">
        <v>0.66666666666666663</v>
      </c>
      <c r="G614">
        <v>3</v>
      </c>
      <c r="H614" s="6">
        <f>FLOOR(tblPivotData[[#This Row],[Time]],Summary!$B$6/1440)</f>
        <v>0.66666666666666663</v>
      </c>
      <c r="I614">
        <f>INDEX(PeakCalc!$L$10:$L$303,MATCH(tblPivotData[[#This Row],[Time]],PeakCalc!$G$10:$G$303,0))</f>
        <v>0</v>
      </c>
    </row>
    <row r="615" spans="1:9" x14ac:dyDescent="0.25">
      <c r="A615" t="s">
        <v>96</v>
      </c>
      <c r="B615" t="s">
        <v>98</v>
      </c>
      <c r="C615" t="s">
        <v>96</v>
      </c>
      <c r="D615" t="s">
        <v>79</v>
      </c>
      <c r="E615" t="s">
        <v>44</v>
      </c>
      <c r="F615" s="6">
        <v>0.67708333333333337</v>
      </c>
      <c r="G615">
        <v>3</v>
      </c>
      <c r="H615" s="6">
        <f>FLOOR(tblPivotData[[#This Row],[Time]],Summary!$B$6/1440)</f>
        <v>0.67708333333333326</v>
      </c>
      <c r="I615">
        <f>INDEX(PeakCalc!$L$10:$L$303,MATCH(tblPivotData[[#This Row],[Time]],PeakCalc!$G$10:$G$303,0))</f>
        <v>1</v>
      </c>
    </row>
    <row r="616" spans="1:9" x14ac:dyDescent="0.25">
      <c r="A616" t="s">
        <v>96</v>
      </c>
      <c r="B616" t="s">
        <v>98</v>
      </c>
      <c r="C616" t="s">
        <v>96</v>
      </c>
      <c r="D616" t="s">
        <v>79</v>
      </c>
      <c r="E616" t="s">
        <v>44</v>
      </c>
      <c r="F616" s="6">
        <v>0.6875</v>
      </c>
      <c r="G616">
        <v>2</v>
      </c>
      <c r="H616" s="6">
        <f>FLOOR(tblPivotData[[#This Row],[Time]],Summary!$B$6/1440)</f>
        <v>0.6875</v>
      </c>
      <c r="I616">
        <f>INDEX(PeakCalc!$L$10:$L$303,MATCH(tblPivotData[[#This Row],[Time]],PeakCalc!$G$10:$G$303,0))</f>
        <v>1</v>
      </c>
    </row>
    <row r="617" spans="1:9" x14ac:dyDescent="0.25">
      <c r="A617" t="s">
        <v>96</v>
      </c>
      <c r="B617" t="s">
        <v>98</v>
      </c>
      <c r="C617" t="s">
        <v>96</v>
      </c>
      <c r="D617" t="s">
        <v>79</v>
      </c>
      <c r="E617" t="s">
        <v>44</v>
      </c>
      <c r="F617" s="6">
        <v>0.69791666666666663</v>
      </c>
      <c r="G617">
        <v>1</v>
      </c>
      <c r="H617" s="6">
        <f>FLOOR(tblPivotData[[#This Row],[Time]],Summary!$B$6/1440)</f>
        <v>0.69791666666666663</v>
      </c>
      <c r="I617">
        <f>INDEX(PeakCalc!$L$10:$L$303,MATCH(tblPivotData[[#This Row],[Time]],PeakCalc!$G$10:$G$303,0))</f>
        <v>1</v>
      </c>
    </row>
    <row r="618" spans="1:9" x14ac:dyDescent="0.25">
      <c r="A618" t="s">
        <v>96</v>
      </c>
      <c r="B618" t="s">
        <v>98</v>
      </c>
      <c r="C618" t="s">
        <v>96</v>
      </c>
      <c r="D618" t="s">
        <v>79</v>
      </c>
      <c r="E618" t="s">
        <v>44</v>
      </c>
      <c r="F618" s="6">
        <v>0.70833333333333337</v>
      </c>
      <c r="G618">
        <v>2</v>
      </c>
      <c r="H618" s="6">
        <f>FLOOR(tblPivotData[[#This Row],[Time]],Summary!$B$6/1440)</f>
        <v>0.70833333333333326</v>
      </c>
      <c r="I618">
        <f>INDEX(PeakCalc!$L$10:$L$303,MATCH(tblPivotData[[#This Row],[Time]],PeakCalc!$G$10:$G$303,0))</f>
        <v>1</v>
      </c>
    </row>
    <row r="619" spans="1:9" x14ac:dyDescent="0.25">
      <c r="A619" t="s">
        <v>96</v>
      </c>
      <c r="B619" t="s">
        <v>98</v>
      </c>
      <c r="C619" t="s">
        <v>96</v>
      </c>
      <c r="D619" t="s">
        <v>79</v>
      </c>
      <c r="E619" t="s">
        <v>44</v>
      </c>
      <c r="F619" s="6">
        <v>0.71875</v>
      </c>
      <c r="G619">
        <v>0</v>
      </c>
      <c r="H619" s="6">
        <f>FLOOR(tblPivotData[[#This Row],[Time]],Summary!$B$6/1440)</f>
        <v>0.71875</v>
      </c>
      <c r="I619">
        <f>INDEX(PeakCalc!$L$10:$L$303,MATCH(tblPivotData[[#This Row],[Time]],PeakCalc!$G$10:$G$303,0))</f>
        <v>0</v>
      </c>
    </row>
    <row r="620" spans="1:9" x14ac:dyDescent="0.25">
      <c r="A620" t="s">
        <v>96</v>
      </c>
      <c r="B620" t="s">
        <v>98</v>
      </c>
      <c r="C620" t="s">
        <v>96</v>
      </c>
      <c r="D620" t="s">
        <v>79</v>
      </c>
      <c r="E620" t="s">
        <v>44</v>
      </c>
      <c r="F620" s="6">
        <v>0.72916666666666663</v>
      </c>
      <c r="G620">
        <v>3</v>
      </c>
      <c r="H620" s="6">
        <f>FLOOR(tblPivotData[[#This Row],[Time]],Summary!$B$6/1440)</f>
        <v>0.72916666666666663</v>
      </c>
      <c r="I620">
        <f>INDEX(PeakCalc!$L$10:$L$303,MATCH(tblPivotData[[#This Row],[Time]],PeakCalc!$G$10:$G$303,0))</f>
        <v>0</v>
      </c>
    </row>
    <row r="621" spans="1:9" x14ac:dyDescent="0.25">
      <c r="A621" t="s">
        <v>96</v>
      </c>
      <c r="B621" t="s">
        <v>98</v>
      </c>
      <c r="C621" t="s">
        <v>96</v>
      </c>
      <c r="D621" t="s">
        <v>79</v>
      </c>
      <c r="E621" t="s">
        <v>44</v>
      </c>
      <c r="F621" s="6">
        <v>0.73958333333333337</v>
      </c>
      <c r="G621">
        <v>1</v>
      </c>
      <c r="H621" s="6">
        <f>FLOOR(tblPivotData[[#This Row],[Time]],Summary!$B$6/1440)</f>
        <v>0.73958333333333326</v>
      </c>
      <c r="I621">
        <f>INDEX(PeakCalc!$L$10:$L$303,MATCH(tblPivotData[[#This Row],[Time]],PeakCalc!$G$10:$G$303,0))</f>
        <v>0</v>
      </c>
    </row>
    <row r="622" spans="1:9" x14ac:dyDescent="0.25">
      <c r="A622" t="s">
        <v>96</v>
      </c>
      <c r="B622" t="s">
        <v>98</v>
      </c>
      <c r="C622" t="s">
        <v>96</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98</v>
      </c>
      <c r="C623" t="s">
        <v>96</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96</v>
      </c>
      <c r="B624" t="s">
        <v>98</v>
      </c>
      <c r="C624" t="s">
        <v>96</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98</v>
      </c>
      <c r="C625" t="s">
        <v>96</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98</v>
      </c>
      <c r="C626" t="s">
        <v>96</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98</v>
      </c>
      <c r="C627" t="s">
        <v>96</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98</v>
      </c>
      <c r="C628" t="s">
        <v>96</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98</v>
      </c>
      <c r="C629" t="s">
        <v>96</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98</v>
      </c>
      <c r="C630" t="s">
        <v>96</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98</v>
      </c>
      <c r="C631" t="s">
        <v>96</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98</v>
      </c>
      <c r="C632" t="s">
        <v>96</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98</v>
      </c>
      <c r="C633" t="s">
        <v>96</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98</v>
      </c>
      <c r="C634" t="s">
        <v>96</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98</v>
      </c>
      <c r="C635" t="s">
        <v>96</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98</v>
      </c>
      <c r="C636" t="s">
        <v>96</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98</v>
      </c>
      <c r="C637" t="s">
        <v>96</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98</v>
      </c>
      <c r="C638" t="s">
        <v>96</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98</v>
      </c>
      <c r="C639" t="s">
        <v>96</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98</v>
      </c>
      <c r="C640" t="s">
        <v>96</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98</v>
      </c>
      <c r="C641" t="s">
        <v>96</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98</v>
      </c>
      <c r="C642" t="s">
        <v>96</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98</v>
      </c>
      <c r="C643" t="s">
        <v>96</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98</v>
      </c>
      <c r="C644" t="s">
        <v>96</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98</v>
      </c>
      <c r="C645" t="s">
        <v>96</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98</v>
      </c>
      <c r="C646" t="s">
        <v>96</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98</v>
      </c>
      <c r="C647" t="s">
        <v>96</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98</v>
      </c>
      <c r="C648" t="s">
        <v>96</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98</v>
      </c>
      <c r="C649" t="s">
        <v>96</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98</v>
      </c>
      <c r="C650" t="s">
        <v>96</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98</v>
      </c>
      <c r="C651" t="s">
        <v>96</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98</v>
      </c>
      <c r="C652" t="s">
        <v>96</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98</v>
      </c>
      <c r="C653" t="s">
        <v>96</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98</v>
      </c>
      <c r="C654" t="s">
        <v>96</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98</v>
      </c>
      <c r="C655" t="s">
        <v>96</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98</v>
      </c>
      <c r="C656" t="s">
        <v>96</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98</v>
      </c>
      <c r="C657" t="s">
        <v>96</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98</v>
      </c>
      <c r="C658" t="s">
        <v>96</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98</v>
      </c>
      <c r="C659" t="s">
        <v>96</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98</v>
      </c>
      <c r="C660" t="s">
        <v>96</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98</v>
      </c>
      <c r="C661" t="s">
        <v>96</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97</v>
      </c>
      <c r="B662" t="s">
        <v>107</v>
      </c>
      <c r="C662" t="s">
        <v>95</v>
      </c>
      <c r="D662" t="s">
        <v>79</v>
      </c>
      <c r="E662" t="s">
        <v>43</v>
      </c>
      <c r="F662" s="6">
        <v>0.29166666666666669</v>
      </c>
      <c r="G662">
        <v>37</v>
      </c>
      <c r="H662" s="6">
        <f>FLOOR(tblPivotData[[#This Row],[Time]],Summary!$B$6/1440)</f>
        <v>0.29166666666666663</v>
      </c>
      <c r="I662">
        <f>INDEX(PeakCalc!$L$10:$L$303,MATCH(tblPivotData[[#This Row],[Time]],PeakCalc!$G$10:$G$303,0))</f>
        <v>0</v>
      </c>
    </row>
    <row r="663" spans="1:9" x14ac:dyDescent="0.25">
      <c r="A663" t="s">
        <v>97</v>
      </c>
      <c r="B663" t="s">
        <v>107</v>
      </c>
      <c r="C663" t="s">
        <v>95</v>
      </c>
      <c r="D663" t="s">
        <v>79</v>
      </c>
      <c r="E663" t="s">
        <v>43</v>
      </c>
      <c r="F663" s="6">
        <v>0.30208333333333331</v>
      </c>
      <c r="G663">
        <v>33</v>
      </c>
      <c r="H663" s="6">
        <f>FLOOR(tblPivotData[[#This Row],[Time]],Summary!$B$6/1440)</f>
        <v>0.30208333333333331</v>
      </c>
      <c r="I663">
        <f>INDEX(PeakCalc!$L$10:$L$303,MATCH(tblPivotData[[#This Row],[Time]],PeakCalc!$G$10:$G$303,0))</f>
        <v>0</v>
      </c>
    </row>
    <row r="664" spans="1:9" x14ac:dyDescent="0.25">
      <c r="A664" t="s">
        <v>97</v>
      </c>
      <c r="B664" t="s">
        <v>107</v>
      </c>
      <c r="C664" t="s">
        <v>95</v>
      </c>
      <c r="D664" t="s">
        <v>79</v>
      </c>
      <c r="E664" t="s">
        <v>43</v>
      </c>
      <c r="F664" s="6">
        <v>0.3125</v>
      </c>
      <c r="G664">
        <v>37</v>
      </c>
      <c r="H664" s="6">
        <f>FLOOR(tblPivotData[[#This Row],[Time]],Summary!$B$6/1440)</f>
        <v>0.3125</v>
      </c>
      <c r="I664">
        <f>INDEX(PeakCalc!$L$10:$L$303,MATCH(tblPivotData[[#This Row],[Time]],PeakCalc!$G$10:$G$303,0))</f>
        <v>0</v>
      </c>
    </row>
    <row r="665" spans="1:9" x14ac:dyDescent="0.25">
      <c r="A665" t="s">
        <v>97</v>
      </c>
      <c r="B665" t="s">
        <v>107</v>
      </c>
      <c r="C665" t="s">
        <v>95</v>
      </c>
      <c r="D665" t="s">
        <v>79</v>
      </c>
      <c r="E665" t="s">
        <v>43</v>
      </c>
      <c r="F665" s="6">
        <v>0.32291666666666669</v>
      </c>
      <c r="G665">
        <v>23</v>
      </c>
      <c r="H665" s="6">
        <f>FLOOR(tblPivotData[[#This Row],[Time]],Summary!$B$6/1440)</f>
        <v>0.32291666666666663</v>
      </c>
      <c r="I665">
        <f>INDEX(PeakCalc!$L$10:$L$303,MATCH(tblPivotData[[#This Row],[Time]],PeakCalc!$G$10:$G$303,0))</f>
        <v>1</v>
      </c>
    </row>
    <row r="666" spans="1:9" x14ac:dyDescent="0.25">
      <c r="A666" t="s">
        <v>97</v>
      </c>
      <c r="B666" t="s">
        <v>107</v>
      </c>
      <c r="C666" t="s">
        <v>95</v>
      </c>
      <c r="D666" t="s">
        <v>79</v>
      </c>
      <c r="E666" t="s">
        <v>43</v>
      </c>
      <c r="F666" s="6">
        <v>0.33333333333333331</v>
      </c>
      <c r="G666">
        <v>29</v>
      </c>
      <c r="H666" s="6">
        <f>FLOOR(tblPivotData[[#This Row],[Time]],Summary!$B$6/1440)</f>
        <v>0.33333333333333331</v>
      </c>
      <c r="I666">
        <f>INDEX(PeakCalc!$L$10:$L$303,MATCH(tblPivotData[[#This Row],[Time]],PeakCalc!$G$10:$G$303,0))</f>
        <v>1</v>
      </c>
    </row>
    <row r="667" spans="1:9" x14ac:dyDescent="0.25">
      <c r="A667" t="s">
        <v>97</v>
      </c>
      <c r="B667" t="s">
        <v>107</v>
      </c>
      <c r="C667" t="s">
        <v>95</v>
      </c>
      <c r="D667" t="s">
        <v>79</v>
      </c>
      <c r="E667" t="s">
        <v>43</v>
      </c>
      <c r="F667" s="6">
        <v>0.34375</v>
      </c>
      <c r="G667">
        <v>26</v>
      </c>
      <c r="H667" s="6">
        <f>FLOOR(tblPivotData[[#This Row],[Time]],Summary!$B$6/1440)</f>
        <v>0.34375</v>
      </c>
      <c r="I667">
        <f>INDEX(PeakCalc!$L$10:$L$303,MATCH(tblPivotData[[#This Row],[Time]],PeakCalc!$G$10:$G$303,0))</f>
        <v>1</v>
      </c>
    </row>
    <row r="668" spans="1:9" x14ac:dyDescent="0.25">
      <c r="A668" t="s">
        <v>97</v>
      </c>
      <c r="B668" t="s">
        <v>107</v>
      </c>
      <c r="C668" t="s">
        <v>95</v>
      </c>
      <c r="D668" t="s">
        <v>79</v>
      </c>
      <c r="E668" t="s">
        <v>43</v>
      </c>
      <c r="F668" s="6">
        <v>0.35416666666666669</v>
      </c>
      <c r="G668">
        <v>42</v>
      </c>
      <c r="H668" s="6">
        <f>FLOOR(tblPivotData[[#This Row],[Time]],Summary!$B$6/1440)</f>
        <v>0.35416666666666663</v>
      </c>
      <c r="I668">
        <f>INDEX(PeakCalc!$L$10:$L$303,MATCH(tblPivotData[[#This Row],[Time]],PeakCalc!$G$10:$G$303,0))</f>
        <v>1</v>
      </c>
    </row>
    <row r="669" spans="1:9" x14ac:dyDescent="0.25">
      <c r="A669" t="s">
        <v>97</v>
      </c>
      <c r="B669" t="s">
        <v>107</v>
      </c>
      <c r="C669" t="s">
        <v>95</v>
      </c>
      <c r="D669" t="s">
        <v>79</v>
      </c>
      <c r="E669" t="s">
        <v>43</v>
      </c>
      <c r="F669" s="6">
        <v>0.36458333333333331</v>
      </c>
      <c r="G669">
        <v>27</v>
      </c>
      <c r="H669" s="6">
        <f>FLOOR(tblPivotData[[#This Row],[Time]],Summary!$B$6/1440)</f>
        <v>0.36458333333333331</v>
      </c>
      <c r="I669">
        <f>INDEX(PeakCalc!$L$10:$L$303,MATCH(tblPivotData[[#This Row],[Time]],PeakCalc!$G$10:$G$303,0))</f>
        <v>0</v>
      </c>
    </row>
    <row r="670" spans="1:9" x14ac:dyDescent="0.25">
      <c r="A670" t="s">
        <v>97</v>
      </c>
      <c r="B670" t="s">
        <v>107</v>
      </c>
      <c r="C670" t="s">
        <v>95</v>
      </c>
      <c r="D670" t="s">
        <v>79</v>
      </c>
      <c r="E670" t="s">
        <v>91</v>
      </c>
      <c r="F670" s="6">
        <v>0.54166666666666663</v>
      </c>
      <c r="G670">
        <v>29</v>
      </c>
      <c r="H670" s="6">
        <f>FLOOR(tblPivotData[[#This Row],[Time]],Summary!$B$6/1440)</f>
        <v>0.54166666666666663</v>
      </c>
      <c r="I670">
        <f>INDEX(PeakCalc!$L$10:$L$303,MATCH(tblPivotData[[#This Row],[Time]],PeakCalc!$G$10:$G$303,0))</f>
        <v>1</v>
      </c>
    </row>
    <row r="671" spans="1:9" x14ac:dyDescent="0.25">
      <c r="A671" t="s">
        <v>97</v>
      </c>
      <c r="B671" t="s">
        <v>107</v>
      </c>
      <c r="C671" t="s">
        <v>95</v>
      </c>
      <c r="D671" t="s">
        <v>79</v>
      </c>
      <c r="E671" t="s">
        <v>91</v>
      </c>
      <c r="F671" s="6">
        <v>0.55208333333333337</v>
      </c>
      <c r="G671">
        <v>27</v>
      </c>
      <c r="H671" s="6">
        <f>FLOOR(tblPivotData[[#This Row],[Time]],Summary!$B$6/1440)</f>
        <v>0.55208333333333326</v>
      </c>
      <c r="I671">
        <f>INDEX(PeakCalc!$L$10:$L$303,MATCH(tblPivotData[[#This Row],[Time]],PeakCalc!$G$10:$G$303,0))</f>
        <v>1</v>
      </c>
    </row>
    <row r="672" spans="1:9" x14ac:dyDescent="0.25">
      <c r="A672" t="s">
        <v>97</v>
      </c>
      <c r="B672" t="s">
        <v>107</v>
      </c>
      <c r="C672" t="s">
        <v>95</v>
      </c>
      <c r="D672" t="s">
        <v>79</v>
      </c>
      <c r="E672" t="s">
        <v>91</v>
      </c>
      <c r="F672" s="6">
        <v>0.5625</v>
      </c>
      <c r="G672">
        <v>20</v>
      </c>
      <c r="H672" s="6">
        <f>FLOOR(tblPivotData[[#This Row],[Time]],Summary!$B$6/1440)</f>
        <v>0.5625</v>
      </c>
      <c r="I672">
        <f>INDEX(PeakCalc!$L$10:$L$303,MATCH(tblPivotData[[#This Row],[Time]],PeakCalc!$G$10:$G$303,0))</f>
        <v>1</v>
      </c>
    </row>
    <row r="673" spans="1:9" x14ac:dyDescent="0.25">
      <c r="A673" t="s">
        <v>97</v>
      </c>
      <c r="B673" t="s">
        <v>107</v>
      </c>
      <c r="C673" t="s">
        <v>95</v>
      </c>
      <c r="D673" t="s">
        <v>79</v>
      </c>
      <c r="E673" t="s">
        <v>91</v>
      </c>
      <c r="F673" s="6">
        <v>0.57291666666666663</v>
      </c>
      <c r="G673">
        <v>17</v>
      </c>
      <c r="H673" s="6">
        <f>FLOOR(tblPivotData[[#This Row],[Time]],Summary!$B$6/1440)</f>
        <v>0.57291666666666663</v>
      </c>
      <c r="I673">
        <f>INDEX(PeakCalc!$L$10:$L$303,MATCH(tblPivotData[[#This Row],[Time]],PeakCalc!$G$10:$G$303,0))</f>
        <v>1</v>
      </c>
    </row>
    <row r="674" spans="1:9" x14ac:dyDescent="0.25">
      <c r="A674" t="s">
        <v>97</v>
      </c>
      <c r="B674" t="s">
        <v>107</v>
      </c>
      <c r="C674" t="s">
        <v>95</v>
      </c>
      <c r="D674" t="s">
        <v>79</v>
      </c>
      <c r="E674" t="s">
        <v>44</v>
      </c>
      <c r="F674" s="6">
        <v>0.66666666666666663</v>
      </c>
      <c r="G674">
        <v>37</v>
      </c>
      <c r="H674" s="6">
        <f>FLOOR(tblPivotData[[#This Row],[Time]],Summary!$B$6/1440)</f>
        <v>0.66666666666666663</v>
      </c>
      <c r="I674">
        <f>INDEX(PeakCalc!$L$10:$L$303,MATCH(tblPivotData[[#This Row],[Time]],PeakCalc!$G$10:$G$303,0))</f>
        <v>0</v>
      </c>
    </row>
    <row r="675" spans="1:9" x14ac:dyDescent="0.25">
      <c r="A675" t="s">
        <v>97</v>
      </c>
      <c r="B675" t="s">
        <v>107</v>
      </c>
      <c r="C675" t="s">
        <v>95</v>
      </c>
      <c r="D675" t="s">
        <v>79</v>
      </c>
      <c r="E675" t="s">
        <v>44</v>
      </c>
      <c r="F675" s="6">
        <v>0.67708333333333337</v>
      </c>
      <c r="G675">
        <v>40</v>
      </c>
      <c r="H675" s="6">
        <f>FLOOR(tblPivotData[[#This Row],[Time]],Summary!$B$6/1440)</f>
        <v>0.67708333333333326</v>
      </c>
      <c r="I675">
        <f>INDEX(PeakCalc!$L$10:$L$303,MATCH(tblPivotData[[#This Row],[Time]],PeakCalc!$G$10:$G$303,0))</f>
        <v>1</v>
      </c>
    </row>
    <row r="676" spans="1:9" x14ac:dyDescent="0.25">
      <c r="A676" t="s">
        <v>97</v>
      </c>
      <c r="B676" t="s">
        <v>107</v>
      </c>
      <c r="C676" t="s">
        <v>95</v>
      </c>
      <c r="D676" t="s">
        <v>79</v>
      </c>
      <c r="E676" t="s">
        <v>44</v>
      </c>
      <c r="F676" s="6">
        <v>0.6875</v>
      </c>
      <c r="G676">
        <v>33</v>
      </c>
      <c r="H676" s="6">
        <f>FLOOR(tblPivotData[[#This Row],[Time]],Summary!$B$6/1440)</f>
        <v>0.6875</v>
      </c>
      <c r="I676">
        <f>INDEX(PeakCalc!$L$10:$L$303,MATCH(tblPivotData[[#This Row],[Time]],PeakCalc!$G$10:$G$303,0))</f>
        <v>1</v>
      </c>
    </row>
    <row r="677" spans="1:9" x14ac:dyDescent="0.25">
      <c r="A677" t="s">
        <v>97</v>
      </c>
      <c r="B677" t="s">
        <v>107</v>
      </c>
      <c r="C677" t="s">
        <v>95</v>
      </c>
      <c r="D677" t="s">
        <v>79</v>
      </c>
      <c r="E677" t="s">
        <v>44</v>
      </c>
      <c r="F677" s="6">
        <v>0.69791666666666663</v>
      </c>
      <c r="G677">
        <v>26</v>
      </c>
      <c r="H677" s="6">
        <f>FLOOR(tblPivotData[[#This Row],[Time]],Summary!$B$6/1440)</f>
        <v>0.69791666666666663</v>
      </c>
      <c r="I677">
        <f>INDEX(PeakCalc!$L$10:$L$303,MATCH(tblPivotData[[#This Row],[Time]],PeakCalc!$G$10:$G$303,0))</f>
        <v>1</v>
      </c>
    </row>
    <row r="678" spans="1:9" x14ac:dyDescent="0.25">
      <c r="A678" t="s">
        <v>97</v>
      </c>
      <c r="B678" t="s">
        <v>107</v>
      </c>
      <c r="C678" t="s">
        <v>95</v>
      </c>
      <c r="D678" t="s">
        <v>79</v>
      </c>
      <c r="E678" t="s">
        <v>44</v>
      </c>
      <c r="F678" s="6">
        <v>0.70833333333333337</v>
      </c>
      <c r="G678">
        <v>24</v>
      </c>
      <c r="H678" s="6">
        <f>FLOOR(tblPivotData[[#This Row],[Time]],Summary!$B$6/1440)</f>
        <v>0.70833333333333326</v>
      </c>
      <c r="I678">
        <f>INDEX(PeakCalc!$L$10:$L$303,MATCH(tblPivotData[[#This Row],[Time]],PeakCalc!$G$10:$G$303,0))</f>
        <v>1</v>
      </c>
    </row>
    <row r="679" spans="1:9" x14ac:dyDescent="0.25">
      <c r="A679" t="s">
        <v>97</v>
      </c>
      <c r="B679" t="s">
        <v>107</v>
      </c>
      <c r="C679" t="s">
        <v>95</v>
      </c>
      <c r="D679" t="s">
        <v>79</v>
      </c>
      <c r="E679" t="s">
        <v>44</v>
      </c>
      <c r="F679" s="6">
        <v>0.71875</v>
      </c>
      <c r="G679">
        <v>26</v>
      </c>
      <c r="H679" s="6">
        <f>FLOOR(tblPivotData[[#This Row],[Time]],Summary!$B$6/1440)</f>
        <v>0.71875</v>
      </c>
      <c r="I679">
        <f>INDEX(PeakCalc!$L$10:$L$303,MATCH(tblPivotData[[#This Row],[Time]],PeakCalc!$G$10:$G$303,0))</f>
        <v>0</v>
      </c>
    </row>
    <row r="680" spans="1:9" x14ac:dyDescent="0.25">
      <c r="A680" t="s">
        <v>97</v>
      </c>
      <c r="B680" t="s">
        <v>107</v>
      </c>
      <c r="C680" t="s">
        <v>95</v>
      </c>
      <c r="D680" t="s">
        <v>79</v>
      </c>
      <c r="E680" t="s">
        <v>44</v>
      </c>
      <c r="F680" s="6">
        <v>0.72916666666666663</v>
      </c>
      <c r="G680">
        <v>23</v>
      </c>
      <c r="H680" s="6">
        <f>FLOOR(tblPivotData[[#This Row],[Time]],Summary!$B$6/1440)</f>
        <v>0.72916666666666663</v>
      </c>
      <c r="I680">
        <f>INDEX(PeakCalc!$L$10:$L$303,MATCH(tblPivotData[[#This Row],[Time]],PeakCalc!$G$10:$G$303,0))</f>
        <v>0</v>
      </c>
    </row>
    <row r="681" spans="1:9" x14ac:dyDescent="0.25">
      <c r="A681" t="s">
        <v>97</v>
      </c>
      <c r="B681" t="s">
        <v>107</v>
      </c>
      <c r="C681" t="s">
        <v>95</v>
      </c>
      <c r="D681" t="s">
        <v>79</v>
      </c>
      <c r="E681" t="s">
        <v>44</v>
      </c>
      <c r="F681" s="6">
        <v>0.73958333333333337</v>
      </c>
      <c r="G681">
        <v>23</v>
      </c>
      <c r="H681" s="6">
        <f>FLOOR(tblPivotData[[#This Row],[Time]],Summary!$B$6/1440)</f>
        <v>0.73958333333333326</v>
      </c>
      <c r="I681">
        <f>INDEX(PeakCalc!$L$10:$L$303,MATCH(tblPivotData[[#This Row],[Time]],PeakCalc!$G$10:$G$303,0))</f>
        <v>0</v>
      </c>
    </row>
    <row r="682" spans="1:9" x14ac:dyDescent="0.25">
      <c r="A682" t="s">
        <v>97</v>
      </c>
      <c r="B682" t="s">
        <v>107</v>
      </c>
      <c r="C682" t="s">
        <v>95</v>
      </c>
      <c r="D682" t="s">
        <v>89</v>
      </c>
      <c r="E682" t="s">
        <v>43</v>
      </c>
      <c r="F682" s="6">
        <v>0.29166666666666669</v>
      </c>
      <c r="G682">
        <v>7</v>
      </c>
      <c r="H682" s="6">
        <f>FLOOR(tblPivotData[[#This Row],[Time]],Summary!$B$6/1440)</f>
        <v>0.29166666666666663</v>
      </c>
      <c r="I682">
        <f>INDEX(PeakCalc!$L$10:$L$303,MATCH(tblPivotData[[#This Row],[Time]],PeakCalc!$G$10:$G$303,0))</f>
        <v>0</v>
      </c>
    </row>
    <row r="683" spans="1:9" x14ac:dyDescent="0.25">
      <c r="A683" t="s">
        <v>97</v>
      </c>
      <c r="B683" t="s">
        <v>107</v>
      </c>
      <c r="C683" t="s">
        <v>95</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97</v>
      </c>
      <c r="B684" t="s">
        <v>107</v>
      </c>
      <c r="C684" t="s">
        <v>95</v>
      </c>
      <c r="D684" t="s">
        <v>89</v>
      </c>
      <c r="E684" t="s">
        <v>43</v>
      </c>
      <c r="F684" s="6">
        <v>0.3125</v>
      </c>
      <c r="G684">
        <v>2</v>
      </c>
      <c r="H684" s="6">
        <f>FLOOR(tblPivotData[[#This Row],[Time]],Summary!$B$6/1440)</f>
        <v>0.3125</v>
      </c>
      <c r="I684">
        <f>INDEX(PeakCalc!$L$10:$L$303,MATCH(tblPivotData[[#This Row],[Time]],PeakCalc!$G$10:$G$303,0))</f>
        <v>0</v>
      </c>
    </row>
    <row r="685" spans="1:9" x14ac:dyDescent="0.25">
      <c r="A685" t="s">
        <v>97</v>
      </c>
      <c r="B685" t="s">
        <v>107</v>
      </c>
      <c r="C685" t="s">
        <v>95</v>
      </c>
      <c r="D685" t="s">
        <v>89</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97</v>
      </c>
      <c r="B686" t="s">
        <v>107</v>
      </c>
      <c r="C686" t="s">
        <v>95</v>
      </c>
      <c r="D686" t="s">
        <v>89</v>
      </c>
      <c r="E686" t="s">
        <v>43</v>
      </c>
      <c r="F686" s="6">
        <v>0.33333333333333331</v>
      </c>
      <c r="G686">
        <v>3</v>
      </c>
      <c r="H686" s="6">
        <f>FLOOR(tblPivotData[[#This Row],[Time]],Summary!$B$6/1440)</f>
        <v>0.33333333333333331</v>
      </c>
      <c r="I686">
        <f>INDEX(PeakCalc!$L$10:$L$303,MATCH(tblPivotData[[#This Row],[Time]],PeakCalc!$G$10:$G$303,0))</f>
        <v>1</v>
      </c>
    </row>
    <row r="687" spans="1:9" x14ac:dyDescent="0.25">
      <c r="A687" t="s">
        <v>97</v>
      </c>
      <c r="B687" t="s">
        <v>107</v>
      </c>
      <c r="C687" t="s">
        <v>95</v>
      </c>
      <c r="D687" t="s">
        <v>89</v>
      </c>
      <c r="E687" t="s">
        <v>43</v>
      </c>
      <c r="F687" s="6">
        <v>0.34375</v>
      </c>
      <c r="G687">
        <v>3</v>
      </c>
      <c r="H687" s="6">
        <f>FLOOR(tblPivotData[[#This Row],[Time]],Summary!$B$6/1440)</f>
        <v>0.34375</v>
      </c>
      <c r="I687">
        <f>INDEX(PeakCalc!$L$10:$L$303,MATCH(tblPivotData[[#This Row],[Time]],PeakCalc!$G$10:$G$303,0))</f>
        <v>1</v>
      </c>
    </row>
    <row r="688" spans="1:9" x14ac:dyDescent="0.25">
      <c r="A688" t="s">
        <v>97</v>
      </c>
      <c r="B688" t="s">
        <v>107</v>
      </c>
      <c r="C688" t="s">
        <v>95</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97</v>
      </c>
      <c r="B689" t="s">
        <v>107</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97</v>
      </c>
      <c r="B690" t="s">
        <v>107</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97</v>
      </c>
      <c r="B691" t="s">
        <v>107</v>
      </c>
      <c r="C691" t="s">
        <v>95</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97</v>
      </c>
      <c r="B692" t="s">
        <v>107</v>
      </c>
      <c r="C692" t="s">
        <v>95</v>
      </c>
      <c r="D692" t="s">
        <v>89</v>
      </c>
      <c r="E692" t="s">
        <v>91</v>
      </c>
      <c r="F692" s="6">
        <v>0.5625</v>
      </c>
      <c r="G692">
        <v>3</v>
      </c>
      <c r="H692" s="6">
        <f>FLOOR(tblPivotData[[#This Row],[Time]],Summary!$B$6/1440)</f>
        <v>0.5625</v>
      </c>
      <c r="I692">
        <f>INDEX(PeakCalc!$L$10:$L$303,MATCH(tblPivotData[[#This Row],[Time]],PeakCalc!$G$10:$G$303,0))</f>
        <v>1</v>
      </c>
    </row>
    <row r="693" spans="1:9" x14ac:dyDescent="0.25">
      <c r="A693" t="s">
        <v>97</v>
      </c>
      <c r="B693" t="s">
        <v>107</v>
      </c>
      <c r="C693" t="s">
        <v>95</v>
      </c>
      <c r="D693" t="s">
        <v>89</v>
      </c>
      <c r="E693" t="s">
        <v>91</v>
      </c>
      <c r="F693" s="6">
        <v>0.57291666666666663</v>
      </c>
      <c r="G693">
        <v>4</v>
      </c>
      <c r="H693" s="6">
        <f>FLOOR(tblPivotData[[#This Row],[Time]],Summary!$B$6/1440)</f>
        <v>0.57291666666666663</v>
      </c>
      <c r="I693">
        <f>INDEX(PeakCalc!$L$10:$L$303,MATCH(tblPivotData[[#This Row],[Time]],PeakCalc!$G$10:$G$303,0))</f>
        <v>1</v>
      </c>
    </row>
    <row r="694" spans="1:9" x14ac:dyDescent="0.25">
      <c r="A694" t="s">
        <v>97</v>
      </c>
      <c r="B694" t="s">
        <v>107</v>
      </c>
      <c r="C694" t="s">
        <v>95</v>
      </c>
      <c r="D694" t="s">
        <v>89</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97</v>
      </c>
      <c r="B695" t="s">
        <v>107</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97</v>
      </c>
      <c r="B696" t="s">
        <v>107</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97</v>
      </c>
      <c r="B697" t="s">
        <v>107</v>
      </c>
      <c r="C697" t="s">
        <v>95</v>
      </c>
      <c r="D697" t="s">
        <v>89</v>
      </c>
      <c r="E697" t="s">
        <v>44</v>
      </c>
      <c r="F697" s="6">
        <v>0.69791666666666663</v>
      </c>
      <c r="G697">
        <v>3</v>
      </c>
      <c r="H697" s="6">
        <f>FLOOR(tblPivotData[[#This Row],[Time]],Summary!$B$6/1440)</f>
        <v>0.69791666666666663</v>
      </c>
      <c r="I697">
        <f>INDEX(PeakCalc!$L$10:$L$303,MATCH(tblPivotData[[#This Row],[Time]],PeakCalc!$G$10:$G$303,0))</f>
        <v>1</v>
      </c>
    </row>
    <row r="698" spans="1:9" x14ac:dyDescent="0.25">
      <c r="A698" t="s">
        <v>97</v>
      </c>
      <c r="B698" t="s">
        <v>107</v>
      </c>
      <c r="C698" t="s">
        <v>95</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97</v>
      </c>
      <c r="B699" t="s">
        <v>107</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97</v>
      </c>
      <c r="B700" t="s">
        <v>107</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97</v>
      </c>
      <c r="B701" t="s">
        <v>107</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97</v>
      </c>
      <c r="B702" t="s">
        <v>107</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97</v>
      </c>
      <c r="B703" t="s">
        <v>107</v>
      </c>
      <c r="C703" t="s">
        <v>95</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97</v>
      </c>
      <c r="B704" t="s">
        <v>107</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97</v>
      </c>
      <c r="B705" t="s">
        <v>107</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97</v>
      </c>
      <c r="B706" t="s">
        <v>107</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97</v>
      </c>
      <c r="B707" t="s">
        <v>107</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97</v>
      </c>
      <c r="B708" t="s">
        <v>107</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97</v>
      </c>
      <c r="B709" t="s">
        <v>107</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97</v>
      </c>
      <c r="B710" t="s">
        <v>107</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97</v>
      </c>
      <c r="B711" t="s">
        <v>107</v>
      </c>
      <c r="C711" t="s">
        <v>95</v>
      </c>
      <c r="D711" t="s">
        <v>90</v>
      </c>
      <c r="E711" t="s">
        <v>91</v>
      </c>
      <c r="F711" s="6">
        <v>0.55208333333333337</v>
      </c>
      <c r="G711">
        <v>1</v>
      </c>
      <c r="H711" s="6">
        <f>FLOOR(tblPivotData[[#This Row],[Time]],Summary!$B$6/1440)</f>
        <v>0.55208333333333326</v>
      </c>
      <c r="I711">
        <f>INDEX(PeakCalc!$L$10:$L$303,MATCH(tblPivotData[[#This Row],[Time]],PeakCalc!$G$10:$G$303,0))</f>
        <v>1</v>
      </c>
    </row>
    <row r="712" spans="1:9" x14ac:dyDescent="0.25">
      <c r="A712" t="s">
        <v>97</v>
      </c>
      <c r="B712" t="s">
        <v>107</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97</v>
      </c>
      <c r="B713" t="s">
        <v>107</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97</v>
      </c>
      <c r="B714" t="s">
        <v>107</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97</v>
      </c>
      <c r="B715" t="s">
        <v>107</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97</v>
      </c>
      <c r="B716" t="s">
        <v>107</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97</v>
      </c>
      <c r="B717" t="s">
        <v>107</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97</v>
      </c>
      <c r="B718" t="s">
        <v>107</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97</v>
      </c>
      <c r="B719" t="s">
        <v>107</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97</v>
      </c>
      <c r="B720" t="s">
        <v>107</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97</v>
      </c>
      <c r="B721" t="s">
        <v>107</v>
      </c>
      <c r="C721" t="s">
        <v>95</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97</v>
      </c>
      <c r="B722" t="s">
        <v>108</v>
      </c>
      <c r="C722" t="s">
        <v>92</v>
      </c>
      <c r="D722" t="s">
        <v>79</v>
      </c>
      <c r="E722" t="s">
        <v>43</v>
      </c>
      <c r="F722" s="6">
        <v>0.29166666666666669</v>
      </c>
      <c r="G722">
        <v>55</v>
      </c>
      <c r="H722" s="6">
        <f>FLOOR(tblPivotData[[#This Row],[Time]],Summary!$B$6/1440)</f>
        <v>0.29166666666666663</v>
      </c>
      <c r="I722">
        <f>INDEX(PeakCalc!$L$10:$L$303,MATCH(tblPivotData[[#This Row],[Time]],PeakCalc!$G$10:$G$303,0))</f>
        <v>0</v>
      </c>
    </row>
    <row r="723" spans="1:9" x14ac:dyDescent="0.25">
      <c r="A723" t="s">
        <v>97</v>
      </c>
      <c r="B723" t="s">
        <v>108</v>
      </c>
      <c r="C723" t="s">
        <v>92</v>
      </c>
      <c r="D723" t="s">
        <v>79</v>
      </c>
      <c r="E723" t="s">
        <v>43</v>
      </c>
      <c r="F723" s="6">
        <v>0.30208333333333331</v>
      </c>
      <c r="G723">
        <v>67</v>
      </c>
      <c r="H723" s="6">
        <f>FLOOR(tblPivotData[[#This Row],[Time]],Summary!$B$6/1440)</f>
        <v>0.30208333333333331</v>
      </c>
      <c r="I723">
        <f>INDEX(PeakCalc!$L$10:$L$303,MATCH(tblPivotData[[#This Row],[Time]],PeakCalc!$G$10:$G$303,0))</f>
        <v>0</v>
      </c>
    </row>
    <row r="724" spans="1:9" x14ac:dyDescent="0.25">
      <c r="A724" t="s">
        <v>97</v>
      </c>
      <c r="B724" t="s">
        <v>108</v>
      </c>
      <c r="C724" t="s">
        <v>92</v>
      </c>
      <c r="D724" t="s">
        <v>79</v>
      </c>
      <c r="E724" t="s">
        <v>43</v>
      </c>
      <c r="F724" s="6">
        <v>0.3125</v>
      </c>
      <c r="G724">
        <v>89</v>
      </c>
      <c r="H724" s="6">
        <f>FLOOR(tblPivotData[[#This Row],[Time]],Summary!$B$6/1440)</f>
        <v>0.3125</v>
      </c>
      <c r="I724">
        <f>INDEX(PeakCalc!$L$10:$L$303,MATCH(tblPivotData[[#This Row],[Time]],PeakCalc!$G$10:$G$303,0))</f>
        <v>0</v>
      </c>
    </row>
    <row r="725" spans="1:9" x14ac:dyDescent="0.25">
      <c r="A725" t="s">
        <v>97</v>
      </c>
      <c r="B725" t="s">
        <v>108</v>
      </c>
      <c r="C725" t="s">
        <v>92</v>
      </c>
      <c r="D725" t="s">
        <v>79</v>
      </c>
      <c r="E725" t="s">
        <v>43</v>
      </c>
      <c r="F725" s="6">
        <v>0.32291666666666669</v>
      </c>
      <c r="G725">
        <v>67</v>
      </c>
      <c r="H725" s="6">
        <f>FLOOR(tblPivotData[[#This Row],[Time]],Summary!$B$6/1440)</f>
        <v>0.32291666666666663</v>
      </c>
      <c r="I725">
        <f>INDEX(PeakCalc!$L$10:$L$303,MATCH(tblPivotData[[#This Row],[Time]],PeakCalc!$G$10:$G$303,0))</f>
        <v>1</v>
      </c>
    </row>
    <row r="726" spans="1:9" x14ac:dyDescent="0.25">
      <c r="A726" t="s">
        <v>97</v>
      </c>
      <c r="B726" t="s">
        <v>108</v>
      </c>
      <c r="C726" t="s">
        <v>92</v>
      </c>
      <c r="D726" t="s">
        <v>79</v>
      </c>
      <c r="E726" t="s">
        <v>43</v>
      </c>
      <c r="F726" s="6">
        <v>0.33333333333333331</v>
      </c>
      <c r="G726">
        <v>80</v>
      </c>
      <c r="H726" s="6">
        <f>FLOOR(tblPivotData[[#This Row],[Time]],Summary!$B$6/1440)</f>
        <v>0.33333333333333331</v>
      </c>
      <c r="I726">
        <f>INDEX(PeakCalc!$L$10:$L$303,MATCH(tblPivotData[[#This Row],[Time]],PeakCalc!$G$10:$G$303,0))</f>
        <v>1</v>
      </c>
    </row>
    <row r="727" spans="1:9" x14ac:dyDescent="0.25">
      <c r="A727" t="s">
        <v>97</v>
      </c>
      <c r="B727" t="s">
        <v>108</v>
      </c>
      <c r="C727" t="s">
        <v>92</v>
      </c>
      <c r="D727" t="s">
        <v>79</v>
      </c>
      <c r="E727" t="s">
        <v>43</v>
      </c>
      <c r="F727" s="6">
        <v>0.34375</v>
      </c>
      <c r="G727">
        <v>65</v>
      </c>
      <c r="H727" s="6">
        <f>FLOOR(tblPivotData[[#This Row],[Time]],Summary!$B$6/1440)</f>
        <v>0.34375</v>
      </c>
      <c r="I727">
        <f>INDEX(PeakCalc!$L$10:$L$303,MATCH(tblPivotData[[#This Row],[Time]],PeakCalc!$G$10:$G$303,0))</f>
        <v>1</v>
      </c>
    </row>
    <row r="728" spans="1:9" x14ac:dyDescent="0.25">
      <c r="A728" t="s">
        <v>97</v>
      </c>
      <c r="B728" t="s">
        <v>108</v>
      </c>
      <c r="C728" t="s">
        <v>92</v>
      </c>
      <c r="D728" t="s">
        <v>79</v>
      </c>
      <c r="E728" t="s">
        <v>43</v>
      </c>
      <c r="F728" s="6">
        <v>0.35416666666666669</v>
      </c>
      <c r="G728">
        <v>60</v>
      </c>
      <c r="H728" s="6">
        <f>FLOOR(tblPivotData[[#This Row],[Time]],Summary!$B$6/1440)</f>
        <v>0.35416666666666663</v>
      </c>
      <c r="I728">
        <f>INDEX(PeakCalc!$L$10:$L$303,MATCH(tblPivotData[[#This Row],[Time]],PeakCalc!$G$10:$G$303,0))</f>
        <v>1</v>
      </c>
    </row>
    <row r="729" spans="1:9" x14ac:dyDescent="0.25">
      <c r="A729" t="s">
        <v>97</v>
      </c>
      <c r="B729" t="s">
        <v>108</v>
      </c>
      <c r="C729" t="s">
        <v>92</v>
      </c>
      <c r="D729" t="s">
        <v>79</v>
      </c>
      <c r="E729" t="s">
        <v>43</v>
      </c>
      <c r="F729" s="6">
        <v>0.36458333333333331</v>
      </c>
      <c r="G729">
        <v>37</v>
      </c>
      <c r="H729" s="6">
        <f>FLOOR(tblPivotData[[#This Row],[Time]],Summary!$B$6/1440)</f>
        <v>0.36458333333333331</v>
      </c>
      <c r="I729">
        <f>INDEX(PeakCalc!$L$10:$L$303,MATCH(tblPivotData[[#This Row],[Time]],PeakCalc!$G$10:$G$303,0))</f>
        <v>0</v>
      </c>
    </row>
    <row r="730" spans="1:9" x14ac:dyDescent="0.25">
      <c r="A730" t="s">
        <v>97</v>
      </c>
      <c r="B730" t="s">
        <v>108</v>
      </c>
      <c r="C730" t="s">
        <v>92</v>
      </c>
      <c r="D730" t="s">
        <v>79</v>
      </c>
      <c r="E730" t="s">
        <v>91</v>
      </c>
      <c r="F730" s="6">
        <v>0.54166666666666663</v>
      </c>
      <c r="G730">
        <v>27</v>
      </c>
      <c r="H730" s="6">
        <f>FLOOR(tblPivotData[[#This Row],[Time]],Summary!$B$6/1440)</f>
        <v>0.54166666666666663</v>
      </c>
      <c r="I730">
        <f>INDEX(PeakCalc!$L$10:$L$303,MATCH(tblPivotData[[#This Row],[Time]],PeakCalc!$G$10:$G$303,0))</f>
        <v>1</v>
      </c>
    </row>
    <row r="731" spans="1:9" x14ac:dyDescent="0.25">
      <c r="A731" t="s">
        <v>97</v>
      </c>
      <c r="B731" t="s">
        <v>108</v>
      </c>
      <c r="C731" t="s">
        <v>92</v>
      </c>
      <c r="D731" t="s">
        <v>79</v>
      </c>
      <c r="E731" t="s">
        <v>91</v>
      </c>
      <c r="F731" s="6">
        <v>0.55208333333333337</v>
      </c>
      <c r="G731">
        <v>31</v>
      </c>
      <c r="H731" s="6">
        <f>FLOOR(tblPivotData[[#This Row],[Time]],Summary!$B$6/1440)</f>
        <v>0.55208333333333326</v>
      </c>
      <c r="I731">
        <f>INDEX(PeakCalc!$L$10:$L$303,MATCH(tblPivotData[[#This Row],[Time]],PeakCalc!$G$10:$G$303,0))</f>
        <v>1</v>
      </c>
    </row>
    <row r="732" spans="1:9" x14ac:dyDescent="0.25">
      <c r="A732" t="s">
        <v>97</v>
      </c>
      <c r="B732" t="s">
        <v>108</v>
      </c>
      <c r="C732" t="s">
        <v>92</v>
      </c>
      <c r="D732" t="s">
        <v>79</v>
      </c>
      <c r="E732" t="s">
        <v>91</v>
      </c>
      <c r="F732" s="6">
        <v>0.5625</v>
      </c>
      <c r="G732">
        <v>34</v>
      </c>
      <c r="H732" s="6">
        <f>FLOOR(tblPivotData[[#This Row],[Time]],Summary!$B$6/1440)</f>
        <v>0.5625</v>
      </c>
      <c r="I732">
        <f>INDEX(PeakCalc!$L$10:$L$303,MATCH(tblPivotData[[#This Row],[Time]],PeakCalc!$G$10:$G$303,0))</f>
        <v>1</v>
      </c>
    </row>
    <row r="733" spans="1:9" x14ac:dyDescent="0.25">
      <c r="A733" t="s">
        <v>97</v>
      </c>
      <c r="B733" t="s">
        <v>108</v>
      </c>
      <c r="C733" t="s">
        <v>92</v>
      </c>
      <c r="D733" t="s">
        <v>79</v>
      </c>
      <c r="E733" t="s">
        <v>91</v>
      </c>
      <c r="F733" s="6">
        <v>0.57291666666666663</v>
      </c>
      <c r="G733">
        <v>33</v>
      </c>
      <c r="H733" s="6">
        <f>FLOOR(tblPivotData[[#This Row],[Time]],Summary!$B$6/1440)</f>
        <v>0.57291666666666663</v>
      </c>
      <c r="I733">
        <f>INDEX(PeakCalc!$L$10:$L$303,MATCH(tblPivotData[[#This Row],[Time]],PeakCalc!$G$10:$G$303,0))</f>
        <v>1</v>
      </c>
    </row>
    <row r="734" spans="1:9" x14ac:dyDescent="0.25">
      <c r="A734" t="s">
        <v>97</v>
      </c>
      <c r="B734" t="s">
        <v>108</v>
      </c>
      <c r="C734" t="s">
        <v>92</v>
      </c>
      <c r="D734" t="s">
        <v>79</v>
      </c>
      <c r="E734" t="s">
        <v>44</v>
      </c>
      <c r="F734" s="6">
        <v>0.66666666666666663</v>
      </c>
      <c r="G734">
        <v>26</v>
      </c>
      <c r="H734" s="6">
        <f>FLOOR(tblPivotData[[#This Row],[Time]],Summary!$B$6/1440)</f>
        <v>0.66666666666666663</v>
      </c>
      <c r="I734">
        <f>INDEX(PeakCalc!$L$10:$L$303,MATCH(tblPivotData[[#This Row],[Time]],PeakCalc!$G$10:$G$303,0))</f>
        <v>0</v>
      </c>
    </row>
    <row r="735" spans="1:9" x14ac:dyDescent="0.25">
      <c r="A735" t="s">
        <v>97</v>
      </c>
      <c r="B735" t="s">
        <v>108</v>
      </c>
      <c r="C735" t="s">
        <v>92</v>
      </c>
      <c r="D735" t="s">
        <v>79</v>
      </c>
      <c r="E735" t="s">
        <v>44</v>
      </c>
      <c r="F735" s="6">
        <v>0.67708333333333337</v>
      </c>
      <c r="G735">
        <v>36</v>
      </c>
      <c r="H735" s="6">
        <f>FLOOR(tblPivotData[[#This Row],[Time]],Summary!$B$6/1440)</f>
        <v>0.67708333333333326</v>
      </c>
      <c r="I735">
        <f>INDEX(PeakCalc!$L$10:$L$303,MATCH(tblPivotData[[#This Row],[Time]],PeakCalc!$G$10:$G$303,0))</f>
        <v>1</v>
      </c>
    </row>
    <row r="736" spans="1:9" x14ac:dyDescent="0.25">
      <c r="A736" t="s">
        <v>97</v>
      </c>
      <c r="B736" t="s">
        <v>108</v>
      </c>
      <c r="C736" t="s">
        <v>92</v>
      </c>
      <c r="D736" t="s">
        <v>79</v>
      </c>
      <c r="E736" t="s">
        <v>44</v>
      </c>
      <c r="F736" s="6">
        <v>0.6875</v>
      </c>
      <c r="G736">
        <v>35</v>
      </c>
      <c r="H736" s="6">
        <f>FLOOR(tblPivotData[[#This Row],[Time]],Summary!$B$6/1440)</f>
        <v>0.6875</v>
      </c>
      <c r="I736">
        <f>INDEX(PeakCalc!$L$10:$L$303,MATCH(tblPivotData[[#This Row],[Time]],PeakCalc!$G$10:$G$303,0))</f>
        <v>1</v>
      </c>
    </row>
    <row r="737" spans="1:9" x14ac:dyDescent="0.25">
      <c r="A737" t="s">
        <v>97</v>
      </c>
      <c r="B737" t="s">
        <v>108</v>
      </c>
      <c r="C737" t="s">
        <v>92</v>
      </c>
      <c r="D737" t="s">
        <v>79</v>
      </c>
      <c r="E737" t="s">
        <v>44</v>
      </c>
      <c r="F737" s="6">
        <v>0.69791666666666663</v>
      </c>
      <c r="G737">
        <v>43</v>
      </c>
      <c r="H737" s="6">
        <f>FLOOR(tblPivotData[[#This Row],[Time]],Summary!$B$6/1440)</f>
        <v>0.69791666666666663</v>
      </c>
      <c r="I737">
        <f>INDEX(PeakCalc!$L$10:$L$303,MATCH(tblPivotData[[#This Row],[Time]],PeakCalc!$G$10:$G$303,0))</f>
        <v>1</v>
      </c>
    </row>
    <row r="738" spans="1:9" x14ac:dyDescent="0.25">
      <c r="A738" t="s">
        <v>97</v>
      </c>
      <c r="B738" t="s">
        <v>108</v>
      </c>
      <c r="C738" t="s">
        <v>92</v>
      </c>
      <c r="D738" t="s">
        <v>79</v>
      </c>
      <c r="E738" t="s">
        <v>44</v>
      </c>
      <c r="F738" s="6">
        <v>0.70833333333333337</v>
      </c>
      <c r="G738">
        <v>41</v>
      </c>
      <c r="H738" s="6">
        <f>FLOOR(tblPivotData[[#This Row],[Time]],Summary!$B$6/1440)</f>
        <v>0.70833333333333326</v>
      </c>
      <c r="I738">
        <f>INDEX(PeakCalc!$L$10:$L$303,MATCH(tblPivotData[[#This Row],[Time]],PeakCalc!$G$10:$G$303,0))</f>
        <v>1</v>
      </c>
    </row>
    <row r="739" spans="1:9" x14ac:dyDescent="0.25">
      <c r="A739" t="s">
        <v>97</v>
      </c>
      <c r="B739" t="s">
        <v>108</v>
      </c>
      <c r="C739" t="s">
        <v>92</v>
      </c>
      <c r="D739" t="s">
        <v>79</v>
      </c>
      <c r="E739" t="s">
        <v>44</v>
      </c>
      <c r="F739" s="6">
        <v>0.71875</v>
      </c>
      <c r="G739">
        <v>43</v>
      </c>
      <c r="H739" s="6">
        <f>FLOOR(tblPivotData[[#This Row],[Time]],Summary!$B$6/1440)</f>
        <v>0.71875</v>
      </c>
      <c r="I739">
        <f>INDEX(PeakCalc!$L$10:$L$303,MATCH(tblPivotData[[#This Row],[Time]],PeakCalc!$G$10:$G$303,0))</f>
        <v>0</v>
      </c>
    </row>
    <row r="740" spans="1:9" x14ac:dyDescent="0.25">
      <c r="A740" t="s">
        <v>97</v>
      </c>
      <c r="B740" t="s">
        <v>108</v>
      </c>
      <c r="C740" t="s">
        <v>92</v>
      </c>
      <c r="D740" t="s">
        <v>79</v>
      </c>
      <c r="E740" t="s">
        <v>44</v>
      </c>
      <c r="F740" s="6">
        <v>0.72916666666666663</v>
      </c>
      <c r="G740">
        <v>43</v>
      </c>
      <c r="H740" s="6">
        <f>FLOOR(tblPivotData[[#This Row],[Time]],Summary!$B$6/1440)</f>
        <v>0.72916666666666663</v>
      </c>
      <c r="I740">
        <f>INDEX(PeakCalc!$L$10:$L$303,MATCH(tblPivotData[[#This Row],[Time]],PeakCalc!$G$10:$G$303,0))</f>
        <v>0</v>
      </c>
    </row>
    <row r="741" spans="1:9" x14ac:dyDescent="0.25">
      <c r="A741" t="s">
        <v>97</v>
      </c>
      <c r="B741" t="s">
        <v>108</v>
      </c>
      <c r="C741" t="s">
        <v>92</v>
      </c>
      <c r="D741" t="s">
        <v>79</v>
      </c>
      <c r="E741" t="s">
        <v>44</v>
      </c>
      <c r="F741" s="6">
        <v>0.73958333333333337</v>
      </c>
      <c r="G741">
        <v>31</v>
      </c>
      <c r="H741" s="6">
        <f>FLOOR(tblPivotData[[#This Row],[Time]],Summary!$B$6/1440)</f>
        <v>0.73958333333333326</v>
      </c>
      <c r="I741">
        <f>INDEX(PeakCalc!$L$10:$L$303,MATCH(tblPivotData[[#This Row],[Time]],PeakCalc!$G$10:$G$303,0))</f>
        <v>0</v>
      </c>
    </row>
    <row r="742" spans="1:9" x14ac:dyDescent="0.25">
      <c r="A742" t="s">
        <v>97</v>
      </c>
      <c r="B742" t="s">
        <v>108</v>
      </c>
      <c r="C742" t="s">
        <v>92</v>
      </c>
      <c r="D742" t="s">
        <v>89</v>
      </c>
      <c r="E742" t="s">
        <v>43</v>
      </c>
      <c r="F742" s="6">
        <v>0.29166666666666669</v>
      </c>
      <c r="G742">
        <v>3</v>
      </c>
      <c r="H742" s="6">
        <f>FLOOR(tblPivotData[[#This Row],[Time]],Summary!$B$6/1440)</f>
        <v>0.29166666666666663</v>
      </c>
      <c r="I742">
        <f>INDEX(PeakCalc!$L$10:$L$303,MATCH(tblPivotData[[#This Row],[Time]],PeakCalc!$G$10:$G$303,0))</f>
        <v>0</v>
      </c>
    </row>
    <row r="743" spans="1:9" x14ac:dyDescent="0.25">
      <c r="A743" t="s">
        <v>97</v>
      </c>
      <c r="B743" t="s">
        <v>108</v>
      </c>
      <c r="C743" t="s">
        <v>92</v>
      </c>
      <c r="D743" t="s">
        <v>89</v>
      </c>
      <c r="E743" t="s">
        <v>43</v>
      </c>
      <c r="F743" s="6">
        <v>0.30208333333333331</v>
      </c>
      <c r="G743">
        <v>2</v>
      </c>
      <c r="H743" s="6">
        <f>FLOOR(tblPivotData[[#This Row],[Time]],Summary!$B$6/1440)</f>
        <v>0.30208333333333331</v>
      </c>
      <c r="I743">
        <f>INDEX(PeakCalc!$L$10:$L$303,MATCH(tblPivotData[[#This Row],[Time]],PeakCalc!$G$10:$G$303,0))</f>
        <v>0</v>
      </c>
    </row>
    <row r="744" spans="1:9" x14ac:dyDescent="0.25">
      <c r="A744" t="s">
        <v>97</v>
      </c>
      <c r="B744" t="s">
        <v>108</v>
      </c>
      <c r="C744" t="s">
        <v>92</v>
      </c>
      <c r="D744" t="s">
        <v>89</v>
      </c>
      <c r="E744" t="s">
        <v>43</v>
      </c>
      <c r="F744" s="6">
        <v>0.3125</v>
      </c>
      <c r="G744">
        <v>3</v>
      </c>
      <c r="H744" s="6">
        <f>FLOOR(tblPivotData[[#This Row],[Time]],Summary!$B$6/1440)</f>
        <v>0.3125</v>
      </c>
      <c r="I744">
        <f>INDEX(PeakCalc!$L$10:$L$303,MATCH(tblPivotData[[#This Row],[Time]],PeakCalc!$G$10:$G$303,0))</f>
        <v>0</v>
      </c>
    </row>
    <row r="745" spans="1:9" x14ac:dyDescent="0.25">
      <c r="A745" t="s">
        <v>97</v>
      </c>
      <c r="B745" t="s">
        <v>108</v>
      </c>
      <c r="C745" t="s">
        <v>92</v>
      </c>
      <c r="D745" t="s">
        <v>89</v>
      </c>
      <c r="E745" t="s">
        <v>43</v>
      </c>
      <c r="F745" s="6">
        <v>0.32291666666666669</v>
      </c>
      <c r="G745">
        <v>3</v>
      </c>
      <c r="H745" s="6">
        <f>FLOOR(tblPivotData[[#This Row],[Time]],Summary!$B$6/1440)</f>
        <v>0.32291666666666663</v>
      </c>
      <c r="I745">
        <f>INDEX(PeakCalc!$L$10:$L$303,MATCH(tblPivotData[[#This Row],[Time]],PeakCalc!$G$10:$G$303,0))</f>
        <v>1</v>
      </c>
    </row>
    <row r="746" spans="1:9" x14ac:dyDescent="0.25">
      <c r="A746" t="s">
        <v>97</v>
      </c>
      <c r="B746" t="s">
        <v>108</v>
      </c>
      <c r="C746" t="s">
        <v>92</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97</v>
      </c>
      <c r="B747" t="s">
        <v>108</v>
      </c>
      <c r="C747" t="s">
        <v>92</v>
      </c>
      <c r="D747" t="s">
        <v>89</v>
      </c>
      <c r="E747" t="s">
        <v>43</v>
      </c>
      <c r="F747" s="6">
        <v>0.34375</v>
      </c>
      <c r="G747">
        <v>1</v>
      </c>
      <c r="H747" s="6">
        <f>FLOOR(tblPivotData[[#This Row],[Time]],Summary!$B$6/1440)</f>
        <v>0.34375</v>
      </c>
      <c r="I747">
        <f>INDEX(PeakCalc!$L$10:$L$303,MATCH(tblPivotData[[#This Row],[Time]],PeakCalc!$G$10:$G$303,0))</f>
        <v>1</v>
      </c>
    </row>
    <row r="748" spans="1:9" x14ac:dyDescent="0.25">
      <c r="A748" t="s">
        <v>97</v>
      </c>
      <c r="B748" t="s">
        <v>108</v>
      </c>
      <c r="C748" t="s">
        <v>92</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25">
      <c r="A749" t="s">
        <v>97</v>
      </c>
      <c r="B749" t="s">
        <v>108</v>
      </c>
      <c r="C749" t="s">
        <v>92</v>
      </c>
      <c r="D749" t="s">
        <v>89</v>
      </c>
      <c r="E749" t="s">
        <v>43</v>
      </c>
      <c r="F749" s="6">
        <v>0.36458333333333331</v>
      </c>
      <c r="G749">
        <v>3</v>
      </c>
      <c r="H749" s="6">
        <f>FLOOR(tblPivotData[[#This Row],[Time]],Summary!$B$6/1440)</f>
        <v>0.36458333333333331</v>
      </c>
      <c r="I749">
        <f>INDEX(PeakCalc!$L$10:$L$303,MATCH(tblPivotData[[#This Row],[Time]],PeakCalc!$G$10:$G$303,0))</f>
        <v>0</v>
      </c>
    </row>
    <row r="750" spans="1:9" x14ac:dyDescent="0.25">
      <c r="A750" t="s">
        <v>97</v>
      </c>
      <c r="B750" t="s">
        <v>108</v>
      </c>
      <c r="C750" t="s">
        <v>92</v>
      </c>
      <c r="D750" t="s">
        <v>89</v>
      </c>
      <c r="E750" t="s">
        <v>91</v>
      </c>
      <c r="F750" s="6">
        <v>0.54166666666666663</v>
      </c>
      <c r="G750">
        <v>1</v>
      </c>
      <c r="H750" s="6">
        <f>FLOOR(tblPivotData[[#This Row],[Time]],Summary!$B$6/1440)</f>
        <v>0.54166666666666663</v>
      </c>
      <c r="I750">
        <f>INDEX(PeakCalc!$L$10:$L$303,MATCH(tblPivotData[[#This Row],[Time]],PeakCalc!$G$10:$G$303,0))</f>
        <v>1</v>
      </c>
    </row>
    <row r="751" spans="1:9" x14ac:dyDescent="0.25">
      <c r="A751" t="s">
        <v>97</v>
      </c>
      <c r="B751" t="s">
        <v>108</v>
      </c>
      <c r="C751" t="s">
        <v>92</v>
      </c>
      <c r="D751" t="s">
        <v>89</v>
      </c>
      <c r="E751" t="s">
        <v>91</v>
      </c>
      <c r="F751" s="6">
        <v>0.55208333333333337</v>
      </c>
      <c r="G751">
        <v>3</v>
      </c>
      <c r="H751" s="6">
        <f>FLOOR(tblPivotData[[#This Row],[Time]],Summary!$B$6/1440)</f>
        <v>0.55208333333333326</v>
      </c>
      <c r="I751">
        <f>INDEX(PeakCalc!$L$10:$L$303,MATCH(tblPivotData[[#This Row],[Time]],PeakCalc!$G$10:$G$303,0))</f>
        <v>1</v>
      </c>
    </row>
    <row r="752" spans="1:9" x14ac:dyDescent="0.25">
      <c r="A752" t="s">
        <v>97</v>
      </c>
      <c r="B752" t="s">
        <v>108</v>
      </c>
      <c r="C752" t="s">
        <v>92</v>
      </c>
      <c r="D752" t="s">
        <v>89</v>
      </c>
      <c r="E752" t="s">
        <v>91</v>
      </c>
      <c r="F752" s="6">
        <v>0.5625</v>
      </c>
      <c r="G752">
        <v>3</v>
      </c>
      <c r="H752" s="6">
        <f>FLOOR(tblPivotData[[#This Row],[Time]],Summary!$B$6/1440)</f>
        <v>0.5625</v>
      </c>
      <c r="I752">
        <f>INDEX(PeakCalc!$L$10:$L$303,MATCH(tblPivotData[[#This Row],[Time]],PeakCalc!$G$10:$G$303,0))</f>
        <v>1</v>
      </c>
    </row>
    <row r="753" spans="1:9" x14ac:dyDescent="0.25">
      <c r="A753" t="s">
        <v>97</v>
      </c>
      <c r="B753" t="s">
        <v>108</v>
      </c>
      <c r="C753" t="s">
        <v>92</v>
      </c>
      <c r="D753" t="s">
        <v>89</v>
      </c>
      <c r="E753" t="s">
        <v>91</v>
      </c>
      <c r="F753" s="6">
        <v>0.57291666666666663</v>
      </c>
      <c r="G753">
        <v>5</v>
      </c>
      <c r="H753" s="6">
        <f>FLOOR(tblPivotData[[#This Row],[Time]],Summary!$B$6/1440)</f>
        <v>0.57291666666666663</v>
      </c>
      <c r="I753">
        <f>INDEX(PeakCalc!$L$10:$L$303,MATCH(tblPivotData[[#This Row],[Time]],PeakCalc!$G$10:$G$303,0))</f>
        <v>1</v>
      </c>
    </row>
    <row r="754" spans="1:9" x14ac:dyDescent="0.25">
      <c r="A754" t="s">
        <v>97</v>
      </c>
      <c r="B754" t="s">
        <v>108</v>
      </c>
      <c r="C754" t="s">
        <v>92</v>
      </c>
      <c r="D754" t="s">
        <v>89</v>
      </c>
      <c r="E754" t="s">
        <v>44</v>
      </c>
      <c r="F754" s="6">
        <v>0.66666666666666663</v>
      </c>
      <c r="G754">
        <v>5</v>
      </c>
      <c r="H754" s="6">
        <f>FLOOR(tblPivotData[[#This Row],[Time]],Summary!$B$6/1440)</f>
        <v>0.66666666666666663</v>
      </c>
      <c r="I754">
        <f>INDEX(PeakCalc!$L$10:$L$303,MATCH(tblPivotData[[#This Row],[Time]],PeakCalc!$G$10:$G$303,0))</f>
        <v>0</v>
      </c>
    </row>
    <row r="755" spans="1:9" x14ac:dyDescent="0.25">
      <c r="A755" t="s">
        <v>97</v>
      </c>
      <c r="B755" t="s">
        <v>108</v>
      </c>
      <c r="C755" t="s">
        <v>92</v>
      </c>
      <c r="D755" t="s">
        <v>89</v>
      </c>
      <c r="E755" t="s">
        <v>44</v>
      </c>
      <c r="F755" s="6">
        <v>0.67708333333333337</v>
      </c>
      <c r="G755">
        <v>1</v>
      </c>
      <c r="H755" s="6">
        <f>FLOOR(tblPivotData[[#This Row],[Time]],Summary!$B$6/1440)</f>
        <v>0.67708333333333326</v>
      </c>
      <c r="I755">
        <f>INDEX(PeakCalc!$L$10:$L$303,MATCH(tblPivotData[[#This Row],[Time]],PeakCalc!$G$10:$G$303,0))</f>
        <v>1</v>
      </c>
    </row>
    <row r="756" spans="1:9" x14ac:dyDescent="0.25">
      <c r="A756" t="s">
        <v>97</v>
      </c>
      <c r="B756" t="s">
        <v>108</v>
      </c>
      <c r="C756" t="s">
        <v>92</v>
      </c>
      <c r="D756" t="s">
        <v>89</v>
      </c>
      <c r="E756" t="s">
        <v>44</v>
      </c>
      <c r="F756" s="6">
        <v>0.6875</v>
      </c>
      <c r="G756">
        <v>2</v>
      </c>
      <c r="H756" s="6">
        <f>FLOOR(tblPivotData[[#This Row],[Time]],Summary!$B$6/1440)</f>
        <v>0.6875</v>
      </c>
      <c r="I756">
        <f>INDEX(PeakCalc!$L$10:$L$303,MATCH(tblPivotData[[#This Row],[Time]],PeakCalc!$G$10:$G$303,0))</f>
        <v>1</v>
      </c>
    </row>
    <row r="757" spans="1:9" x14ac:dyDescent="0.25">
      <c r="A757" t="s">
        <v>97</v>
      </c>
      <c r="B757" t="s">
        <v>108</v>
      </c>
      <c r="C757" t="s">
        <v>92</v>
      </c>
      <c r="D757" t="s">
        <v>89</v>
      </c>
      <c r="E757" t="s">
        <v>44</v>
      </c>
      <c r="F757" s="6">
        <v>0.69791666666666663</v>
      </c>
      <c r="G757">
        <v>2</v>
      </c>
      <c r="H757" s="6">
        <f>FLOOR(tblPivotData[[#This Row],[Time]],Summary!$B$6/1440)</f>
        <v>0.69791666666666663</v>
      </c>
      <c r="I757">
        <f>INDEX(PeakCalc!$L$10:$L$303,MATCH(tblPivotData[[#This Row],[Time]],PeakCalc!$G$10:$G$303,0))</f>
        <v>1</v>
      </c>
    </row>
    <row r="758" spans="1:9" x14ac:dyDescent="0.25">
      <c r="A758" t="s">
        <v>97</v>
      </c>
      <c r="B758" t="s">
        <v>108</v>
      </c>
      <c r="C758" t="s">
        <v>92</v>
      </c>
      <c r="D758" t="s">
        <v>89</v>
      </c>
      <c r="E758" t="s">
        <v>44</v>
      </c>
      <c r="F758" s="6">
        <v>0.70833333333333337</v>
      </c>
      <c r="G758">
        <v>2</v>
      </c>
      <c r="H758" s="6">
        <f>FLOOR(tblPivotData[[#This Row],[Time]],Summary!$B$6/1440)</f>
        <v>0.70833333333333326</v>
      </c>
      <c r="I758">
        <f>INDEX(PeakCalc!$L$10:$L$303,MATCH(tblPivotData[[#This Row],[Time]],PeakCalc!$G$10:$G$303,0))</f>
        <v>1</v>
      </c>
    </row>
    <row r="759" spans="1:9" x14ac:dyDescent="0.25">
      <c r="A759" t="s">
        <v>97</v>
      </c>
      <c r="B759" t="s">
        <v>108</v>
      </c>
      <c r="C759" t="s">
        <v>92</v>
      </c>
      <c r="D759" t="s">
        <v>89</v>
      </c>
      <c r="E759" t="s">
        <v>44</v>
      </c>
      <c r="F759" s="6">
        <v>0.71875</v>
      </c>
      <c r="G759">
        <v>1</v>
      </c>
      <c r="H759" s="6">
        <f>FLOOR(tblPivotData[[#This Row],[Time]],Summary!$B$6/1440)</f>
        <v>0.71875</v>
      </c>
      <c r="I759">
        <f>INDEX(PeakCalc!$L$10:$L$303,MATCH(tblPivotData[[#This Row],[Time]],PeakCalc!$G$10:$G$303,0))</f>
        <v>0</v>
      </c>
    </row>
    <row r="760" spans="1:9" x14ac:dyDescent="0.25">
      <c r="A760" t="s">
        <v>97</v>
      </c>
      <c r="B760" t="s">
        <v>108</v>
      </c>
      <c r="C760" t="s">
        <v>92</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97</v>
      </c>
      <c r="B761" t="s">
        <v>108</v>
      </c>
      <c r="C761" t="s">
        <v>92</v>
      </c>
      <c r="D761" t="s">
        <v>89</v>
      </c>
      <c r="E761" t="s">
        <v>44</v>
      </c>
      <c r="F761" s="6">
        <v>0.73958333333333337</v>
      </c>
      <c r="G761">
        <v>3</v>
      </c>
      <c r="H761" s="6">
        <f>FLOOR(tblPivotData[[#This Row],[Time]],Summary!$B$6/1440)</f>
        <v>0.73958333333333326</v>
      </c>
      <c r="I761">
        <f>INDEX(PeakCalc!$L$10:$L$303,MATCH(tblPivotData[[#This Row],[Time]],PeakCalc!$G$10:$G$303,0))</f>
        <v>0</v>
      </c>
    </row>
    <row r="762" spans="1:9" x14ac:dyDescent="0.25">
      <c r="A762" t="s">
        <v>97</v>
      </c>
      <c r="B762" t="s">
        <v>108</v>
      </c>
      <c r="C762" t="s">
        <v>92</v>
      </c>
      <c r="D762" t="s">
        <v>90</v>
      </c>
      <c r="E762" t="s">
        <v>43</v>
      </c>
      <c r="F762" s="6">
        <v>0.29166666666666669</v>
      </c>
      <c r="G762">
        <v>1</v>
      </c>
      <c r="H762" s="6">
        <f>FLOOR(tblPivotData[[#This Row],[Time]],Summary!$B$6/1440)</f>
        <v>0.29166666666666663</v>
      </c>
      <c r="I762">
        <f>INDEX(PeakCalc!$L$10:$L$303,MATCH(tblPivotData[[#This Row],[Time]],PeakCalc!$G$10:$G$303,0))</f>
        <v>0</v>
      </c>
    </row>
    <row r="763" spans="1:9" x14ac:dyDescent="0.25">
      <c r="A763" t="s">
        <v>97</v>
      </c>
      <c r="B763" t="s">
        <v>108</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97</v>
      </c>
      <c r="B764" t="s">
        <v>108</v>
      </c>
      <c r="C764" t="s">
        <v>92</v>
      </c>
      <c r="D764" t="s">
        <v>90</v>
      </c>
      <c r="E764" t="s">
        <v>43</v>
      </c>
      <c r="F764" s="6">
        <v>0.3125</v>
      </c>
      <c r="G764">
        <v>0</v>
      </c>
      <c r="H764" s="6">
        <f>FLOOR(tblPivotData[[#This Row],[Time]],Summary!$B$6/1440)</f>
        <v>0.3125</v>
      </c>
      <c r="I764">
        <f>INDEX(PeakCalc!$L$10:$L$303,MATCH(tblPivotData[[#This Row],[Time]],PeakCalc!$G$10:$G$303,0))</f>
        <v>0</v>
      </c>
    </row>
    <row r="765" spans="1:9" x14ac:dyDescent="0.25">
      <c r="A765" t="s">
        <v>97</v>
      </c>
      <c r="B765" t="s">
        <v>108</v>
      </c>
      <c r="C765" t="s">
        <v>92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108</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108</v>
      </c>
      <c r="C767" t="s">
        <v>92</v>
      </c>
      <c r="D767" t="s">
        <v>90</v>
      </c>
      <c r="E767" t="s">
        <v>43</v>
      </c>
      <c r="F767" s="6">
        <v>0.34375</v>
      </c>
      <c r="G767">
        <v>0</v>
      </c>
      <c r="H767" s="6">
        <f>FLOOR(tblPivotData[[#This Row],[Time]],Summary!$B$6/1440)</f>
        <v>0.34375</v>
      </c>
      <c r="I767">
        <f>INDEX(PeakCalc!$L$10:$L$303,MATCH(tblPivotData[[#This Row],[Time]],PeakCalc!$G$10:$G$303,0))</f>
        <v>1</v>
      </c>
    </row>
    <row r="768" spans="1:9" x14ac:dyDescent="0.25">
      <c r="A768" t="s">
        <v>97</v>
      </c>
      <c r="B768" t="s">
        <v>108</v>
      </c>
      <c r="C768" t="s">
        <v>92</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108</v>
      </c>
      <c r="C769" t="s">
        <v>92</v>
      </c>
      <c r="D769" t="s">
        <v>90</v>
      </c>
      <c r="E769" t="s">
        <v>43</v>
      </c>
      <c r="F769" s="6">
        <v>0.36458333333333331</v>
      </c>
      <c r="G769">
        <v>2</v>
      </c>
      <c r="H769" s="6">
        <f>FLOOR(tblPivotData[[#This Row],[Time]],Summary!$B$6/1440)</f>
        <v>0.36458333333333331</v>
      </c>
      <c r="I769">
        <f>INDEX(PeakCalc!$L$10:$L$303,MATCH(tblPivotData[[#This Row],[Time]],PeakCalc!$G$10:$G$303,0))</f>
        <v>0</v>
      </c>
    </row>
    <row r="770" spans="1:9" x14ac:dyDescent="0.25">
      <c r="A770" t="s">
        <v>97</v>
      </c>
      <c r="B770" t="s">
        <v>108</v>
      </c>
      <c r="C770" t="s">
        <v>92</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108</v>
      </c>
      <c r="C771" t="s">
        <v>92</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108</v>
      </c>
      <c r="C772" t="s">
        <v>92</v>
      </c>
      <c r="D772" t="s">
        <v>90</v>
      </c>
      <c r="E772" t="s">
        <v>91</v>
      </c>
      <c r="F772" s="6">
        <v>0.5625</v>
      </c>
      <c r="G772">
        <v>0</v>
      </c>
      <c r="H772" s="6">
        <f>FLOOR(tblPivotData[[#This Row],[Time]],Summary!$B$6/1440)</f>
        <v>0.5625</v>
      </c>
      <c r="I772">
        <f>INDEX(PeakCalc!$L$10:$L$303,MATCH(tblPivotData[[#This Row],[Time]],PeakCalc!$G$10:$G$303,0))</f>
        <v>1</v>
      </c>
    </row>
    <row r="773" spans="1:9" x14ac:dyDescent="0.25">
      <c r="A773" t="s">
        <v>97</v>
      </c>
      <c r="B773" t="s">
        <v>108</v>
      </c>
      <c r="C773" t="s">
        <v>92</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97</v>
      </c>
      <c r="B774" t="s">
        <v>108</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108</v>
      </c>
      <c r="C775" t="s">
        <v>92</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97</v>
      </c>
      <c r="B776" t="s">
        <v>108</v>
      </c>
      <c r="C776" t="s">
        <v>92</v>
      </c>
      <c r="D776" t="s">
        <v>90</v>
      </c>
      <c r="E776" t="s">
        <v>44</v>
      </c>
      <c r="F776" s="6">
        <v>0.6875</v>
      </c>
      <c r="G776">
        <v>0</v>
      </c>
      <c r="H776" s="6">
        <f>FLOOR(tblPivotData[[#This Row],[Time]],Summary!$B$6/1440)</f>
        <v>0.6875</v>
      </c>
      <c r="I776">
        <f>INDEX(PeakCalc!$L$10:$L$303,MATCH(tblPivotData[[#This Row],[Time]],PeakCalc!$G$10:$G$303,0))</f>
        <v>1</v>
      </c>
    </row>
    <row r="777" spans="1:9" x14ac:dyDescent="0.25">
      <c r="A777" t="s">
        <v>97</v>
      </c>
      <c r="B777" t="s">
        <v>108</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97</v>
      </c>
      <c r="B778" t="s">
        <v>108</v>
      </c>
      <c r="C778" t="s">
        <v>92</v>
      </c>
      <c r="D778" t="s">
        <v>90</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97</v>
      </c>
      <c r="B779" t="s">
        <v>108</v>
      </c>
      <c r="C779" t="s">
        <v>92</v>
      </c>
      <c r="D779" t="s">
        <v>90</v>
      </c>
      <c r="E779" t="s">
        <v>44</v>
      </c>
      <c r="F779" s="6">
        <v>0.71875</v>
      </c>
      <c r="G779">
        <v>0</v>
      </c>
      <c r="H779" s="6">
        <f>FLOOR(tblPivotData[[#This Row],[Time]],Summary!$B$6/1440)</f>
        <v>0.71875</v>
      </c>
      <c r="I779">
        <f>INDEX(PeakCalc!$L$10:$L$303,MATCH(tblPivotData[[#This Row],[Time]],PeakCalc!$G$10:$G$303,0))</f>
        <v>0</v>
      </c>
    </row>
    <row r="780" spans="1:9" x14ac:dyDescent="0.25">
      <c r="A780" t="s">
        <v>97</v>
      </c>
      <c r="B780" t="s">
        <v>108</v>
      </c>
      <c r="C780" t="s">
        <v>92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97</v>
      </c>
      <c r="B781" t="s">
        <v>108</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97</v>
      </c>
      <c r="B782" t="s">
        <v>109</v>
      </c>
      <c r="C782" t="s">
        <v>96</v>
      </c>
      <c r="D782" t="s">
        <v>79</v>
      </c>
      <c r="E782" t="s">
        <v>43</v>
      </c>
      <c r="F782" s="6">
        <v>0.29166666666666669</v>
      </c>
      <c r="G782">
        <v>15</v>
      </c>
      <c r="H782" s="6">
        <f>FLOOR(tblPivotData[[#This Row],[Time]],Summary!$B$6/1440)</f>
        <v>0.29166666666666663</v>
      </c>
      <c r="I782">
        <f>INDEX(PeakCalc!$L$10:$L$303,MATCH(tblPivotData[[#This Row],[Time]],PeakCalc!$G$10:$G$303,0))</f>
        <v>0</v>
      </c>
    </row>
    <row r="783" spans="1:9" x14ac:dyDescent="0.25">
      <c r="A783" t="s">
        <v>97</v>
      </c>
      <c r="B783" t="s">
        <v>109</v>
      </c>
      <c r="C783" t="s">
        <v>96</v>
      </c>
      <c r="D783" t="s">
        <v>79</v>
      </c>
      <c r="E783" t="s">
        <v>43</v>
      </c>
      <c r="F783" s="6">
        <v>0.30208333333333331</v>
      </c>
      <c r="G783">
        <v>26</v>
      </c>
      <c r="H783" s="6">
        <f>FLOOR(tblPivotData[[#This Row],[Time]],Summary!$B$6/1440)</f>
        <v>0.30208333333333331</v>
      </c>
      <c r="I783">
        <f>INDEX(PeakCalc!$L$10:$L$303,MATCH(tblPivotData[[#This Row],[Time]],PeakCalc!$G$10:$G$303,0))</f>
        <v>0</v>
      </c>
    </row>
    <row r="784" spans="1:9" x14ac:dyDescent="0.25">
      <c r="A784" t="s">
        <v>97</v>
      </c>
      <c r="B784" t="s">
        <v>109</v>
      </c>
      <c r="C784" t="s">
        <v>96</v>
      </c>
      <c r="D784" t="s">
        <v>79</v>
      </c>
      <c r="E784" t="s">
        <v>43</v>
      </c>
      <c r="F784" s="6">
        <v>0.3125</v>
      </c>
      <c r="G784">
        <v>18</v>
      </c>
      <c r="H784" s="6">
        <f>FLOOR(tblPivotData[[#This Row],[Time]],Summary!$B$6/1440)</f>
        <v>0.3125</v>
      </c>
      <c r="I784">
        <f>INDEX(PeakCalc!$L$10:$L$303,MATCH(tblPivotData[[#This Row],[Time]],PeakCalc!$G$10:$G$303,0))</f>
        <v>0</v>
      </c>
    </row>
    <row r="785" spans="1:9" x14ac:dyDescent="0.25">
      <c r="A785" t="s">
        <v>97</v>
      </c>
      <c r="B785" t="s">
        <v>109</v>
      </c>
      <c r="C785" t="s">
        <v>96</v>
      </c>
      <c r="D785" t="s">
        <v>79</v>
      </c>
      <c r="E785" t="s">
        <v>43</v>
      </c>
      <c r="F785" s="6">
        <v>0.32291666666666669</v>
      </c>
      <c r="G785">
        <v>36</v>
      </c>
      <c r="H785" s="6">
        <f>FLOOR(tblPivotData[[#This Row],[Time]],Summary!$B$6/1440)</f>
        <v>0.32291666666666663</v>
      </c>
      <c r="I785">
        <f>INDEX(PeakCalc!$L$10:$L$303,MATCH(tblPivotData[[#This Row],[Time]],PeakCalc!$G$10:$G$303,0))</f>
        <v>1</v>
      </c>
    </row>
    <row r="786" spans="1:9" x14ac:dyDescent="0.25">
      <c r="A786" t="s">
        <v>97</v>
      </c>
      <c r="B786" t="s">
        <v>109</v>
      </c>
      <c r="C786" t="s">
        <v>96</v>
      </c>
      <c r="D786" t="s">
        <v>79</v>
      </c>
      <c r="E786" t="s">
        <v>43</v>
      </c>
      <c r="F786" s="6">
        <v>0.33333333333333331</v>
      </c>
      <c r="G786">
        <v>16</v>
      </c>
      <c r="H786" s="6">
        <f>FLOOR(tblPivotData[[#This Row],[Time]],Summary!$B$6/1440)</f>
        <v>0.33333333333333331</v>
      </c>
      <c r="I786">
        <f>INDEX(PeakCalc!$L$10:$L$303,MATCH(tblPivotData[[#This Row],[Time]],PeakCalc!$G$10:$G$303,0))</f>
        <v>1</v>
      </c>
    </row>
    <row r="787" spans="1:9" x14ac:dyDescent="0.25">
      <c r="A787" t="s">
        <v>97</v>
      </c>
      <c r="B787" t="s">
        <v>109</v>
      </c>
      <c r="C787" t="s">
        <v>96</v>
      </c>
      <c r="D787" t="s">
        <v>79</v>
      </c>
      <c r="E787" t="s">
        <v>43</v>
      </c>
      <c r="F787" s="6">
        <v>0.34375</v>
      </c>
      <c r="G787">
        <v>22</v>
      </c>
      <c r="H787" s="6">
        <f>FLOOR(tblPivotData[[#This Row],[Time]],Summary!$B$6/1440)</f>
        <v>0.34375</v>
      </c>
      <c r="I787">
        <f>INDEX(PeakCalc!$L$10:$L$303,MATCH(tblPivotData[[#This Row],[Time]],PeakCalc!$G$10:$G$303,0))</f>
        <v>1</v>
      </c>
    </row>
    <row r="788" spans="1:9" x14ac:dyDescent="0.25">
      <c r="A788" t="s">
        <v>97</v>
      </c>
      <c r="B788" t="s">
        <v>109</v>
      </c>
      <c r="C788" t="s">
        <v>96</v>
      </c>
      <c r="D788" t="s">
        <v>79</v>
      </c>
      <c r="E788" t="s">
        <v>43</v>
      </c>
      <c r="F788" s="6">
        <v>0.35416666666666669</v>
      </c>
      <c r="G788">
        <v>30</v>
      </c>
      <c r="H788" s="6">
        <f>FLOOR(tblPivotData[[#This Row],[Time]],Summary!$B$6/1440)</f>
        <v>0.35416666666666663</v>
      </c>
      <c r="I788">
        <f>INDEX(PeakCalc!$L$10:$L$303,MATCH(tblPivotData[[#This Row],[Time]],PeakCalc!$G$10:$G$303,0))</f>
        <v>1</v>
      </c>
    </row>
    <row r="789" spans="1:9" x14ac:dyDescent="0.25">
      <c r="A789" t="s">
        <v>97</v>
      </c>
      <c r="B789" t="s">
        <v>109</v>
      </c>
      <c r="C789" t="s">
        <v>96</v>
      </c>
      <c r="D789" t="s">
        <v>79</v>
      </c>
      <c r="E789" t="s">
        <v>43</v>
      </c>
      <c r="F789" s="6">
        <v>0.36458333333333331</v>
      </c>
      <c r="G789">
        <v>33</v>
      </c>
      <c r="H789" s="6">
        <f>FLOOR(tblPivotData[[#This Row],[Time]],Summary!$B$6/1440)</f>
        <v>0.36458333333333331</v>
      </c>
      <c r="I789">
        <f>INDEX(PeakCalc!$L$10:$L$303,MATCH(tblPivotData[[#This Row],[Time]],PeakCalc!$G$10:$G$303,0))</f>
        <v>0</v>
      </c>
    </row>
    <row r="790" spans="1:9" x14ac:dyDescent="0.25">
      <c r="A790" t="s">
        <v>97</v>
      </c>
      <c r="B790" t="s">
        <v>109</v>
      </c>
      <c r="C790" t="s">
        <v>96</v>
      </c>
      <c r="D790" t="s">
        <v>79</v>
      </c>
      <c r="E790" t="s">
        <v>91</v>
      </c>
      <c r="F790" s="6">
        <v>0.54166666666666663</v>
      </c>
      <c r="G790">
        <v>19</v>
      </c>
      <c r="H790" s="6">
        <f>FLOOR(tblPivotData[[#This Row],[Time]],Summary!$B$6/1440)</f>
        <v>0.54166666666666663</v>
      </c>
      <c r="I790">
        <f>INDEX(PeakCalc!$L$10:$L$303,MATCH(tblPivotData[[#This Row],[Time]],PeakCalc!$G$10:$G$303,0))</f>
        <v>1</v>
      </c>
    </row>
    <row r="791" spans="1:9" x14ac:dyDescent="0.25">
      <c r="A791" t="s">
        <v>97</v>
      </c>
      <c r="B791" t="s">
        <v>109</v>
      </c>
      <c r="C791" t="s">
        <v>96</v>
      </c>
      <c r="D791" t="s">
        <v>79</v>
      </c>
      <c r="E791" t="s">
        <v>91</v>
      </c>
      <c r="F791" s="6">
        <v>0.55208333333333337</v>
      </c>
      <c r="G791">
        <v>25</v>
      </c>
      <c r="H791" s="6">
        <f>FLOOR(tblPivotData[[#This Row],[Time]],Summary!$B$6/1440)</f>
        <v>0.55208333333333326</v>
      </c>
      <c r="I791">
        <f>INDEX(PeakCalc!$L$10:$L$303,MATCH(tblPivotData[[#This Row],[Time]],PeakCalc!$G$10:$G$303,0))</f>
        <v>1</v>
      </c>
    </row>
    <row r="792" spans="1:9" x14ac:dyDescent="0.25">
      <c r="A792" t="s">
        <v>97</v>
      </c>
      <c r="B792" t="s">
        <v>109</v>
      </c>
      <c r="C792" t="s">
        <v>96</v>
      </c>
      <c r="D792" t="s">
        <v>79</v>
      </c>
      <c r="E792" t="s">
        <v>91</v>
      </c>
      <c r="F792" s="6">
        <v>0.5625</v>
      </c>
      <c r="G792">
        <v>18</v>
      </c>
      <c r="H792" s="6">
        <f>FLOOR(tblPivotData[[#This Row],[Time]],Summary!$B$6/1440)</f>
        <v>0.5625</v>
      </c>
      <c r="I792">
        <f>INDEX(PeakCalc!$L$10:$L$303,MATCH(tblPivotData[[#This Row],[Time]],PeakCalc!$G$10:$G$303,0))</f>
        <v>1</v>
      </c>
    </row>
    <row r="793" spans="1:9" x14ac:dyDescent="0.25">
      <c r="A793" t="s">
        <v>97</v>
      </c>
      <c r="B793" t="s">
        <v>109</v>
      </c>
      <c r="C793" t="s">
        <v>96</v>
      </c>
      <c r="D793" t="s">
        <v>79</v>
      </c>
      <c r="E793" t="s">
        <v>91</v>
      </c>
      <c r="F793" s="6">
        <v>0.57291666666666663</v>
      </c>
      <c r="G793">
        <v>21</v>
      </c>
      <c r="H793" s="6">
        <f>FLOOR(tblPivotData[[#This Row],[Time]],Summary!$B$6/1440)</f>
        <v>0.57291666666666663</v>
      </c>
      <c r="I793">
        <f>INDEX(PeakCalc!$L$10:$L$303,MATCH(tblPivotData[[#This Row],[Time]],PeakCalc!$G$10:$G$303,0))</f>
        <v>1</v>
      </c>
    </row>
    <row r="794" spans="1:9" x14ac:dyDescent="0.25">
      <c r="A794" t="s">
        <v>97</v>
      </c>
      <c r="B794" t="s">
        <v>109</v>
      </c>
      <c r="C794" t="s">
        <v>96</v>
      </c>
      <c r="D794" t="s">
        <v>79</v>
      </c>
      <c r="E794" t="s">
        <v>44</v>
      </c>
      <c r="F794" s="6">
        <v>0.66666666666666663</v>
      </c>
      <c r="G794">
        <v>25</v>
      </c>
      <c r="H794" s="6">
        <f>FLOOR(tblPivotData[[#This Row],[Time]],Summary!$B$6/1440)</f>
        <v>0.66666666666666663</v>
      </c>
      <c r="I794">
        <f>INDEX(PeakCalc!$L$10:$L$303,MATCH(tblPivotData[[#This Row],[Time]],PeakCalc!$G$10:$G$303,0))</f>
        <v>0</v>
      </c>
    </row>
    <row r="795" spans="1:9" x14ac:dyDescent="0.25">
      <c r="A795" t="s">
        <v>97</v>
      </c>
      <c r="B795" t="s">
        <v>109</v>
      </c>
      <c r="C795" t="s">
        <v>96</v>
      </c>
      <c r="D795" t="s">
        <v>79</v>
      </c>
      <c r="E795" t="s">
        <v>44</v>
      </c>
      <c r="F795" s="6">
        <v>0.67708333333333337</v>
      </c>
      <c r="G795">
        <v>26</v>
      </c>
      <c r="H795" s="6">
        <f>FLOOR(tblPivotData[[#This Row],[Time]],Summary!$B$6/1440)</f>
        <v>0.67708333333333326</v>
      </c>
      <c r="I795">
        <f>INDEX(PeakCalc!$L$10:$L$303,MATCH(tblPivotData[[#This Row],[Time]],PeakCalc!$G$10:$G$303,0))</f>
        <v>1</v>
      </c>
    </row>
    <row r="796" spans="1:9" x14ac:dyDescent="0.25">
      <c r="A796" t="s">
        <v>97</v>
      </c>
      <c r="B796" t="s">
        <v>109</v>
      </c>
      <c r="C796" t="s">
        <v>96</v>
      </c>
      <c r="D796" t="s">
        <v>79</v>
      </c>
      <c r="E796" t="s">
        <v>44</v>
      </c>
      <c r="F796" s="6">
        <v>0.6875</v>
      </c>
      <c r="G796">
        <v>22</v>
      </c>
      <c r="H796" s="6">
        <f>FLOOR(tblPivotData[[#This Row],[Time]],Summary!$B$6/1440)</f>
        <v>0.6875</v>
      </c>
      <c r="I796">
        <f>INDEX(PeakCalc!$L$10:$L$303,MATCH(tblPivotData[[#This Row],[Time]],PeakCalc!$G$10:$G$303,0))</f>
        <v>1</v>
      </c>
    </row>
    <row r="797" spans="1:9" x14ac:dyDescent="0.25">
      <c r="A797" t="s">
        <v>97</v>
      </c>
      <c r="B797" t="s">
        <v>109</v>
      </c>
      <c r="C797" t="s">
        <v>96</v>
      </c>
      <c r="D797" t="s">
        <v>79</v>
      </c>
      <c r="E797" t="s">
        <v>44</v>
      </c>
      <c r="F797" s="6">
        <v>0.69791666666666663</v>
      </c>
      <c r="G797">
        <v>16</v>
      </c>
      <c r="H797" s="6">
        <f>FLOOR(tblPivotData[[#This Row],[Time]],Summary!$B$6/1440)</f>
        <v>0.69791666666666663</v>
      </c>
      <c r="I797">
        <f>INDEX(PeakCalc!$L$10:$L$303,MATCH(tblPivotData[[#This Row],[Time]],PeakCalc!$G$10:$G$303,0))</f>
        <v>1</v>
      </c>
    </row>
    <row r="798" spans="1:9" x14ac:dyDescent="0.25">
      <c r="A798" t="s">
        <v>97</v>
      </c>
      <c r="B798" t="s">
        <v>109</v>
      </c>
      <c r="C798" t="s">
        <v>96</v>
      </c>
      <c r="D798" t="s">
        <v>79</v>
      </c>
      <c r="E798" t="s">
        <v>44</v>
      </c>
      <c r="F798" s="6">
        <v>0.70833333333333337</v>
      </c>
      <c r="G798">
        <v>19</v>
      </c>
      <c r="H798" s="6">
        <f>FLOOR(tblPivotData[[#This Row],[Time]],Summary!$B$6/1440)</f>
        <v>0.70833333333333326</v>
      </c>
      <c r="I798">
        <f>INDEX(PeakCalc!$L$10:$L$303,MATCH(tblPivotData[[#This Row],[Time]],PeakCalc!$G$10:$G$303,0))</f>
        <v>1</v>
      </c>
    </row>
    <row r="799" spans="1:9" x14ac:dyDescent="0.25">
      <c r="A799" t="s">
        <v>97</v>
      </c>
      <c r="B799" t="s">
        <v>109</v>
      </c>
      <c r="C799" t="s">
        <v>96</v>
      </c>
      <c r="D799" t="s">
        <v>79</v>
      </c>
      <c r="E799" t="s">
        <v>44</v>
      </c>
      <c r="F799" s="6">
        <v>0.71875</v>
      </c>
      <c r="G799">
        <v>20</v>
      </c>
      <c r="H799" s="6">
        <f>FLOOR(tblPivotData[[#This Row],[Time]],Summary!$B$6/1440)</f>
        <v>0.71875</v>
      </c>
      <c r="I799">
        <f>INDEX(PeakCalc!$L$10:$L$303,MATCH(tblPivotData[[#This Row],[Time]],PeakCalc!$G$10:$G$303,0))</f>
        <v>0</v>
      </c>
    </row>
    <row r="800" spans="1:9" x14ac:dyDescent="0.25">
      <c r="A800" t="s">
        <v>97</v>
      </c>
      <c r="B800" t="s">
        <v>109</v>
      </c>
      <c r="C800" t="s">
        <v>96</v>
      </c>
      <c r="D800" t="s">
        <v>79</v>
      </c>
      <c r="E800" t="s">
        <v>44</v>
      </c>
      <c r="F800" s="6">
        <v>0.72916666666666663</v>
      </c>
      <c r="G800">
        <v>25</v>
      </c>
      <c r="H800" s="6">
        <f>FLOOR(tblPivotData[[#This Row],[Time]],Summary!$B$6/1440)</f>
        <v>0.72916666666666663</v>
      </c>
      <c r="I800">
        <f>INDEX(PeakCalc!$L$10:$L$303,MATCH(tblPivotData[[#This Row],[Time]],PeakCalc!$G$10:$G$303,0))</f>
        <v>0</v>
      </c>
    </row>
    <row r="801" spans="1:9" x14ac:dyDescent="0.25">
      <c r="A801" t="s">
        <v>97</v>
      </c>
      <c r="B801" t="s">
        <v>109</v>
      </c>
      <c r="C801" t="s">
        <v>96</v>
      </c>
      <c r="D801" t="s">
        <v>79</v>
      </c>
      <c r="E801" t="s">
        <v>44</v>
      </c>
      <c r="F801" s="6">
        <v>0.73958333333333337</v>
      </c>
      <c r="G801">
        <v>26</v>
      </c>
      <c r="H801" s="6">
        <f>FLOOR(tblPivotData[[#This Row],[Time]],Summary!$B$6/1440)</f>
        <v>0.73958333333333326</v>
      </c>
      <c r="I801">
        <f>INDEX(PeakCalc!$L$10:$L$303,MATCH(tblPivotData[[#This Row],[Time]],PeakCalc!$G$10:$G$303,0))</f>
        <v>0</v>
      </c>
    </row>
    <row r="802" spans="1:9" x14ac:dyDescent="0.25">
      <c r="A802" t="s">
        <v>97</v>
      </c>
      <c r="B802" t="s">
        <v>109</v>
      </c>
      <c r="C802" t="s">
        <v>96</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25">
      <c r="A803" t="s">
        <v>97</v>
      </c>
      <c r="B803" t="s">
        <v>109</v>
      </c>
      <c r="C803" t="s">
        <v>96</v>
      </c>
      <c r="D803" t="s">
        <v>89</v>
      </c>
      <c r="E803" t="s">
        <v>43</v>
      </c>
      <c r="F803" s="6">
        <v>0.30208333333333331</v>
      </c>
      <c r="G803">
        <v>1</v>
      </c>
      <c r="H803" s="6">
        <f>FLOOR(tblPivotData[[#This Row],[Time]],Summary!$B$6/1440)</f>
        <v>0.30208333333333331</v>
      </c>
      <c r="I803">
        <f>INDEX(PeakCalc!$L$10:$L$303,MATCH(tblPivotData[[#This Row],[Time]],PeakCalc!$G$10:$G$303,0))</f>
        <v>0</v>
      </c>
    </row>
    <row r="804" spans="1:9" x14ac:dyDescent="0.25">
      <c r="A804" t="s">
        <v>97</v>
      </c>
      <c r="B804" t="s">
        <v>109</v>
      </c>
      <c r="C804" t="s">
        <v>96</v>
      </c>
      <c r="D804" t="s">
        <v>89</v>
      </c>
      <c r="E804" t="s">
        <v>43</v>
      </c>
      <c r="F804" s="6">
        <v>0.3125</v>
      </c>
      <c r="G804">
        <v>2</v>
      </c>
      <c r="H804" s="6">
        <f>FLOOR(tblPivotData[[#This Row],[Time]],Summary!$B$6/1440)</f>
        <v>0.3125</v>
      </c>
      <c r="I804">
        <f>INDEX(PeakCalc!$L$10:$L$303,MATCH(tblPivotData[[#This Row],[Time]],PeakCalc!$G$10:$G$303,0))</f>
        <v>0</v>
      </c>
    </row>
    <row r="805" spans="1:9" x14ac:dyDescent="0.25">
      <c r="A805" t="s">
        <v>97</v>
      </c>
      <c r="B805" t="s">
        <v>109</v>
      </c>
      <c r="C805" t="s">
        <v>96</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97</v>
      </c>
      <c r="B806" t="s">
        <v>109</v>
      </c>
      <c r="C806" t="s">
        <v>96</v>
      </c>
      <c r="D806" t="s">
        <v>89</v>
      </c>
      <c r="E806" t="s">
        <v>43</v>
      </c>
      <c r="F806" s="6">
        <v>0.33333333333333331</v>
      </c>
      <c r="G806">
        <v>2</v>
      </c>
      <c r="H806" s="6">
        <f>FLOOR(tblPivotData[[#This Row],[Time]],Summary!$B$6/1440)</f>
        <v>0.33333333333333331</v>
      </c>
      <c r="I806">
        <f>INDEX(PeakCalc!$L$10:$L$303,MATCH(tblPivotData[[#This Row],[Time]],PeakCalc!$G$10:$G$303,0))</f>
        <v>1</v>
      </c>
    </row>
    <row r="807" spans="1:9" x14ac:dyDescent="0.25">
      <c r="A807" t="s">
        <v>97</v>
      </c>
      <c r="B807" t="s">
        <v>109</v>
      </c>
      <c r="C807" t="s">
        <v>96</v>
      </c>
      <c r="D807" t="s">
        <v>89</v>
      </c>
      <c r="E807" t="s">
        <v>43</v>
      </c>
      <c r="F807" s="6">
        <v>0.34375</v>
      </c>
      <c r="G807">
        <v>4</v>
      </c>
      <c r="H807" s="6">
        <f>FLOOR(tblPivotData[[#This Row],[Time]],Summary!$B$6/1440)</f>
        <v>0.34375</v>
      </c>
      <c r="I807">
        <f>INDEX(PeakCalc!$L$10:$L$303,MATCH(tblPivotData[[#This Row],[Time]],PeakCalc!$G$10:$G$303,0))</f>
        <v>1</v>
      </c>
    </row>
    <row r="808" spans="1:9" x14ac:dyDescent="0.25">
      <c r="A808" t="s">
        <v>97</v>
      </c>
      <c r="B808" t="s">
        <v>109</v>
      </c>
      <c r="C808" t="s">
        <v>96</v>
      </c>
      <c r="D808" t="s">
        <v>89</v>
      </c>
      <c r="E808" t="s">
        <v>43</v>
      </c>
      <c r="F808" s="6">
        <v>0.35416666666666669</v>
      </c>
      <c r="G808">
        <v>2</v>
      </c>
      <c r="H808" s="6">
        <f>FLOOR(tblPivotData[[#This Row],[Time]],Summary!$B$6/1440)</f>
        <v>0.35416666666666663</v>
      </c>
      <c r="I808">
        <f>INDEX(PeakCalc!$L$10:$L$303,MATCH(tblPivotData[[#This Row],[Time]],PeakCalc!$G$10:$G$303,0))</f>
        <v>1</v>
      </c>
    </row>
    <row r="809" spans="1:9" x14ac:dyDescent="0.25">
      <c r="A809" t="s">
        <v>97</v>
      </c>
      <c r="B809" t="s">
        <v>109</v>
      </c>
      <c r="C809" t="s">
        <v>96</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97</v>
      </c>
      <c r="B810" t="s">
        <v>109</v>
      </c>
      <c r="C810" t="s">
        <v>96</v>
      </c>
      <c r="D810" t="s">
        <v>89</v>
      </c>
      <c r="E810" t="s">
        <v>91</v>
      </c>
      <c r="F810" s="6">
        <v>0.54166666666666663</v>
      </c>
      <c r="G810">
        <v>1</v>
      </c>
      <c r="H810" s="6">
        <f>FLOOR(tblPivotData[[#This Row],[Time]],Summary!$B$6/1440)</f>
        <v>0.54166666666666663</v>
      </c>
      <c r="I810">
        <f>INDEX(PeakCalc!$L$10:$L$303,MATCH(tblPivotData[[#This Row],[Time]],PeakCalc!$G$10:$G$303,0))</f>
        <v>1</v>
      </c>
    </row>
    <row r="811" spans="1:9" x14ac:dyDescent="0.25">
      <c r="A811" t="s">
        <v>97</v>
      </c>
      <c r="B811" t="s">
        <v>109</v>
      </c>
      <c r="C811" t="s">
        <v>96</v>
      </c>
      <c r="D811" t="s">
        <v>89</v>
      </c>
      <c r="E811" t="s">
        <v>91</v>
      </c>
      <c r="F811" s="6">
        <v>0.55208333333333337</v>
      </c>
      <c r="G811">
        <v>3</v>
      </c>
      <c r="H811" s="6">
        <f>FLOOR(tblPivotData[[#This Row],[Time]],Summary!$B$6/1440)</f>
        <v>0.55208333333333326</v>
      </c>
      <c r="I811">
        <f>INDEX(PeakCalc!$L$10:$L$303,MATCH(tblPivotData[[#This Row],[Time]],PeakCalc!$G$10:$G$303,0))</f>
        <v>1</v>
      </c>
    </row>
    <row r="812" spans="1:9" x14ac:dyDescent="0.25">
      <c r="A812" t="s">
        <v>97</v>
      </c>
      <c r="B812" t="s">
        <v>109</v>
      </c>
      <c r="C812" t="s">
        <v>96</v>
      </c>
      <c r="D812" t="s">
        <v>89</v>
      </c>
      <c r="E812" t="s">
        <v>91</v>
      </c>
      <c r="F812" s="6">
        <v>0.5625</v>
      </c>
      <c r="G812">
        <v>1</v>
      </c>
      <c r="H812" s="6">
        <f>FLOOR(tblPivotData[[#This Row],[Time]],Summary!$B$6/1440)</f>
        <v>0.5625</v>
      </c>
      <c r="I812">
        <f>INDEX(PeakCalc!$L$10:$L$303,MATCH(tblPivotData[[#This Row],[Time]],PeakCalc!$G$10:$G$303,0))</f>
        <v>1</v>
      </c>
    </row>
    <row r="813" spans="1:9" x14ac:dyDescent="0.25">
      <c r="A813" t="s">
        <v>97</v>
      </c>
      <c r="B813" t="s">
        <v>109</v>
      </c>
      <c r="C813" t="s">
        <v>96</v>
      </c>
      <c r="D813" t="s">
        <v>89</v>
      </c>
      <c r="E813" t="s">
        <v>91</v>
      </c>
      <c r="F813" s="6">
        <v>0.57291666666666663</v>
      </c>
      <c r="G813">
        <v>3</v>
      </c>
      <c r="H813" s="6">
        <f>FLOOR(tblPivotData[[#This Row],[Time]],Summary!$B$6/1440)</f>
        <v>0.57291666666666663</v>
      </c>
      <c r="I813">
        <f>INDEX(PeakCalc!$L$10:$L$303,MATCH(tblPivotData[[#This Row],[Time]],PeakCalc!$G$10:$G$303,0))</f>
        <v>1</v>
      </c>
    </row>
    <row r="814" spans="1:9" x14ac:dyDescent="0.25">
      <c r="A814" t="s">
        <v>97</v>
      </c>
      <c r="B814" t="s">
        <v>109</v>
      </c>
      <c r="C814" t="s">
        <v>96</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97</v>
      </c>
      <c r="B815" t="s">
        <v>109</v>
      </c>
      <c r="C815" t="s">
        <v>96</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97</v>
      </c>
      <c r="B816" t="s">
        <v>109</v>
      </c>
      <c r="C816" t="s">
        <v>96</v>
      </c>
      <c r="D816" t="s">
        <v>89</v>
      </c>
      <c r="E816" t="s">
        <v>44</v>
      </c>
      <c r="F816" s="6">
        <v>0.6875</v>
      </c>
      <c r="G816">
        <v>0</v>
      </c>
      <c r="H816" s="6">
        <f>FLOOR(tblPivotData[[#This Row],[Time]],Summary!$B$6/1440)</f>
        <v>0.6875</v>
      </c>
      <c r="I816">
        <f>INDEX(PeakCalc!$L$10:$L$303,MATCH(tblPivotData[[#This Row],[Time]],PeakCalc!$G$10:$G$303,0))</f>
        <v>1</v>
      </c>
    </row>
    <row r="817" spans="1:9" x14ac:dyDescent="0.25">
      <c r="A817" t="s">
        <v>97</v>
      </c>
      <c r="B817" t="s">
        <v>109</v>
      </c>
      <c r="C817" t="s">
        <v>96</v>
      </c>
      <c r="D817" t="s">
        <v>89</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97</v>
      </c>
      <c r="B818" t="s">
        <v>109</v>
      </c>
      <c r="C818" t="s">
        <v>96</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97</v>
      </c>
      <c r="B819" t="s">
        <v>109</v>
      </c>
      <c r="C819" t="s">
        <v>96</v>
      </c>
      <c r="D819" t="s">
        <v>89</v>
      </c>
      <c r="E819" t="s">
        <v>44</v>
      </c>
      <c r="F819" s="6">
        <v>0.71875</v>
      </c>
      <c r="G819">
        <v>0</v>
      </c>
      <c r="H819" s="6">
        <f>FLOOR(tblPivotData[[#This Row],[Time]],Summary!$B$6/1440)</f>
        <v>0.71875</v>
      </c>
      <c r="I819">
        <f>INDEX(PeakCalc!$L$10:$L$303,MATCH(tblPivotData[[#This Row],[Time]],PeakCalc!$G$10:$G$303,0))</f>
        <v>0</v>
      </c>
    </row>
    <row r="820" spans="1:9" x14ac:dyDescent="0.25">
      <c r="A820" t="s">
        <v>97</v>
      </c>
      <c r="B820" t="s">
        <v>109</v>
      </c>
      <c r="C820" t="s">
        <v>96</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97</v>
      </c>
      <c r="B821" t="s">
        <v>109</v>
      </c>
      <c r="C821" t="s">
        <v>96</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97</v>
      </c>
      <c r="B822" t="s">
        <v>109</v>
      </c>
      <c r="C822" t="s">
        <v>96</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97</v>
      </c>
      <c r="B823" t="s">
        <v>109</v>
      </c>
      <c r="C823" t="s">
        <v>96</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97</v>
      </c>
      <c r="B824" t="s">
        <v>109</v>
      </c>
      <c r="C824" t="s">
        <v>96</v>
      </c>
      <c r="D824" t="s">
        <v>90</v>
      </c>
      <c r="E824" t="s">
        <v>43</v>
      </c>
      <c r="F824" s="6">
        <v>0.3125</v>
      </c>
      <c r="G824">
        <v>0</v>
      </c>
      <c r="H824" s="6">
        <f>FLOOR(tblPivotData[[#This Row],[Time]],Summary!$B$6/1440)</f>
        <v>0.3125</v>
      </c>
      <c r="I824">
        <f>INDEX(PeakCalc!$L$10:$L$303,MATCH(tblPivotData[[#This Row],[Time]],PeakCalc!$G$10:$G$303,0))</f>
        <v>0</v>
      </c>
    </row>
    <row r="825" spans="1:9" x14ac:dyDescent="0.25">
      <c r="A825" t="s">
        <v>97</v>
      </c>
      <c r="B825" t="s">
        <v>109</v>
      </c>
      <c r="C825" t="s">
        <v>96</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97</v>
      </c>
      <c r="B826" t="s">
        <v>109</v>
      </c>
      <c r="C826" t="s">
        <v>96</v>
      </c>
      <c r="D826" t="s">
        <v>90</v>
      </c>
      <c r="E826" t="s">
        <v>43</v>
      </c>
      <c r="F826" s="6">
        <v>0.33333333333333331</v>
      </c>
      <c r="G826">
        <v>1</v>
      </c>
      <c r="H826" s="6">
        <f>FLOOR(tblPivotData[[#This Row],[Time]],Summary!$B$6/1440)</f>
        <v>0.33333333333333331</v>
      </c>
      <c r="I826">
        <f>INDEX(PeakCalc!$L$10:$L$303,MATCH(tblPivotData[[#This Row],[Time]],PeakCalc!$G$10:$G$303,0))</f>
        <v>1</v>
      </c>
    </row>
    <row r="827" spans="1:9" x14ac:dyDescent="0.25">
      <c r="A827" t="s">
        <v>97</v>
      </c>
      <c r="B827" t="s">
        <v>109</v>
      </c>
      <c r="C827" t="s">
        <v>96</v>
      </c>
      <c r="D827" t="s">
        <v>90</v>
      </c>
      <c r="E827" t="s">
        <v>43</v>
      </c>
      <c r="F827" s="6">
        <v>0.34375</v>
      </c>
      <c r="G827">
        <v>0</v>
      </c>
      <c r="H827" s="6">
        <f>FLOOR(tblPivotData[[#This Row],[Time]],Summary!$B$6/1440)</f>
        <v>0.34375</v>
      </c>
      <c r="I827">
        <f>INDEX(PeakCalc!$L$10:$L$303,MATCH(tblPivotData[[#This Row],[Time]],PeakCalc!$G$10:$G$303,0))</f>
        <v>1</v>
      </c>
    </row>
    <row r="828" spans="1:9" x14ac:dyDescent="0.25">
      <c r="A828" t="s">
        <v>97</v>
      </c>
      <c r="B828" t="s">
        <v>109</v>
      </c>
      <c r="C828" t="s">
        <v>96</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97</v>
      </c>
      <c r="B829" t="s">
        <v>109</v>
      </c>
      <c r="C829" t="s">
        <v>96</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97</v>
      </c>
      <c r="B830" t="s">
        <v>109</v>
      </c>
      <c r="C830" t="s">
        <v>96</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97</v>
      </c>
      <c r="B831" t="s">
        <v>109</v>
      </c>
      <c r="C831" t="s">
        <v>96</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97</v>
      </c>
      <c r="B832" t="s">
        <v>109</v>
      </c>
      <c r="C832" t="s">
        <v>96</v>
      </c>
      <c r="D832" t="s">
        <v>90</v>
      </c>
      <c r="E832" t="s">
        <v>91</v>
      </c>
      <c r="F832" s="6">
        <v>0.5625</v>
      </c>
      <c r="G832">
        <v>0</v>
      </c>
      <c r="H832" s="6">
        <f>FLOOR(tblPivotData[[#This Row],[Time]],Summary!$B$6/1440)</f>
        <v>0.5625</v>
      </c>
      <c r="I832">
        <f>INDEX(PeakCalc!$L$10:$L$303,MATCH(tblPivotData[[#This Row],[Time]],PeakCalc!$G$10:$G$303,0))</f>
        <v>1</v>
      </c>
    </row>
    <row r="833" spans="1:9" x14ac:dyDescent="0.25">
      <c r="A833" t="s">
        <v>97</v>
      </c>
      <c r="B833" t="s">
        <v>109</v>
      </c>
      <c r="C833" t="s">
        <v>96</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97</v>
      </c>
      <c r="B834" t="s">
        <v>109</v>
      </c>
      <c r="C834" t="s">
        <v>96</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97</v>
      </c>
      <c r="B835" t="s">
        <v>109</v>
      </c>
      <c r="C835" t="s">
        <v>96</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97</v>
      </c>
      <c r="B836" t="s">
        <v>109</v>
      </c>
      <c r="C836" t="s">
        <v>96</v>
      </c>
      <c r="D836" t="s">
        <v>90</v>
      </c>
      <c r="E836" t="s">
        <v>44</v>
      </c>
      <c r="F836" s="6">
        <v>0.6875</v>
      </c>
      <c r="G836">
        <v>0</v>
      </c>
      <c r="H836" s="6">
        <f>FLOOR(tblPivotData[[#This Row],[Time]],Summary!$B$6/1440)</f>
        <v>0.6875</v>
      </c>
      <c r="I836">
        <f>INDEX(PeakCalc!$L$10:$L$303,MATCH(tblPivotData[[#This Row],[Time]],PeakCalc!$G$10:$G$303,0))</f>
        <v>1</v>
      </c>
    </row>
    <row r="837" spans="1:9" x14ac:dyDescent="0.25">
      <c r="A837" t="s">
        <v>97</v>
      </c>
      <c r="B837" t="s">
        <v>109</v>
      </c>
      <c r="C837" t="s">
        <v>96</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97</v>
      </c>
      <c r="B838" t="s">
        <v>109</v>
      </c>
      <c r="C838" t="s">
        <v>96</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97</v>
      </c>
      <c r="B839" t="s">
        <v>109</v>
      </c>
      <c r="C839" t="s">
        <v>96</v>
      </c>
      <c r="D839" t="s">
        <v>90</v>
      </c>
      <c r="E839" t="s">
        <v>44</v>
      </c>
      <c r="F839" s="6">
        <v>0.71875</v>
      </c>
      <c r="G839">
        <v>0</v>
      </c>
      <c r="H839" s="6">
        <f>FLOOR(tblPivotData[[#This Row],[Time]],Summary!$B$6/1440)</f>
        <v>0.71875</v>
      </c>
      <c r="I839">
        <f>INDEX(PeakCalc!$L$10:$L$303,MATCH(tblPivotData[[#This Row],[Time]],PeakCalc!$G$10:$G$303,0))</f>
        <v>0</v>
      </c>
    </row>
    <row r="840" spans="1:9" x14ac:dyDescent="0.25">
      <c r="A840" t="s">
        <v>97</v>
      </c>
      <c r="B840" t="s">
        <v>109</v>
      </c>
      <c r="C840" t="s">
        <v>96</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97</v>
      </c>
      <c r="B841" t="s">
        <v>109</v>
      </c>
      <c r="C841" t="s">
        <v>96</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95</v>
      </c>
      <c r="D11" s="52"/>
      <c r="E11" s="52"/>
      <c r="F11" s="52"/>
      <c r="G11" s="52"/>
      <c r="H11" s="52"/>
      <c r="I11" s="52"/>
      <c r="J11" s="52"/>
      <c r="K11" s="52"/>
      <c r="L11" s="52"/>
      <c r="M11" s="52"/>
      <c r="N11" s="52"/>
      <c r="O11" s="52"/>
      <c r="P11" s="52"/>
      <c r="Q11" s="52"/>
      <c r="R11" s="52"/>
      <c r="S11" s="49" t="s">
        <v>111</v>
      </c>
      <c r="T11" s="51" t="s">
        <v>92</v>
      </c>
      <c r="U11" s="52"/>
      <c r="V11" s="52"/>
      <c r="W11" s="52"/>
      <c r="X11" s="52"/>
      <c r="Y11" s="52"/>
      <c r="Z11" s="52"/>
      <c r="AA11" s="52"/>
      <c r="AB11" s="52"/>
      <c r="AC11" s="52"/>
      <c r="AD11" s="52"/>
      <c r="AE11" s="52"/>
      <c r="AF11" s="49" t="s">
        <v>112</v>
      </c>
      <c r="AG11" s="51" t="s">
        <v>96</v>
      </c>
      <c r="AH11" s="52"/>
      <c r="AI11" s="52"/>
      <c r="AJ11" s="52"/>
      <c r="AK11" s="52"/>
      <c r="AL11" s="52"/>
      <c r="AM11" s="52"/>
      <c r="AN11" s="52"/>
      <c r="AO11" s="52"/>
      <c r="AP11" s="52"/>
      <c r="AQ11" s="52"/>
      <c r="AR11" s="52"/>
      <c r="AS11" s="52"/>
      <c r="AT11" s="52"/>
      <c r="AU11" s="52"/>
      <c r="AV11" s="52"/>
      <c r="AW11" s="49" t="s">
        <v>113</v>
      </c>
      <c r="AX11" s="51" t="s">
        <v>97</v>
      </c>
      <c r="AY11" s="52"/>
      <c r="AZ11" s="52"/>
      <c r="BA11" s="52"/>
      <c r="BB11" s="52"/>
      <c r="BC11" s="52"/>
      <c r="BD11" s="52"/>
      <c r="BE11" s="52"/>
      <c r="BF11" s="52"/>
      <c r="BG11" s="52"/>
      <c r="BH11" s="52"/>
      <c r="BI11" s="52"/>
      <c r="BJ11" s="49" t="s">
        <v>114</v>
      </c>
      <c r="BK11" s="49" t="s">
        <v>49</v>
      </c>
    </row>
    <row r="12" spans="2:63" x14ac:dyDescent="0.25">
      <c r="B12" s="16"/>
      <c r="C12" s="49" t="s">
        <v>99</v>
      </c>
      <c r="D12" s="50"/>
      <c r="E12" s="50"/>
      <c r="F12" s="49" t="s">
        <v>115</v>
      </c>
      <c r="G12" s="49" t="s">
        <v>100</v>
      </c>
      <c r="H12" s="50"/>
      <c r="I12" s="50"/>
      <c r="J12" s="49" t="s">
        <v>116</v>
      </c>
      <c r="K12" s="49" t="s">
        <v>101</v>
      </c>
      <c r="L12" s="50"/>
      <c r="M12" s="50"/>
      <c r="N12" s="49" t="s">
        <v>117</v>
      </c>
      <c r="O12" s="49" t="s">
        <v>98</v>
      </c>
      <c r="P12" s="50"/>
      <c r="Q12" s="50"/>
      <c r="R12" s="49" t="s">
        <v>118</v>
      </c>
      <c r="S12" s="50"/>
      <c r="T12" s="49" t="s">
        <v>102</v>
      </c>
      <c r="U12" s="50"/>
      <c r="V12" s="50"/>
      <c r="W12" s="49" t="s">
        <v>119</v>
      </c>
      <c r="X12" s="49" t="s">
        <v>103</v>
      </c>
      <c r="Y12" s="50"/>
      <c r="Z12" s="50"/>
      <c r="AA12" s="49" t="s">
        <v>120</v>
      </c>
      <c r="AB12" s="49" t="s">
        <v>104</v>
      </c>
      <c r="AC12" s="50"/>
      <c r="AD12" s="50"/>
      <c r="AE12" s="49" t="s">
        <v>121</v>
      </c>
      <c r="AF12" s="50"/>
      <c r="AG12" s="49" t="s">
        <v>98</v>
      </c>
      <c r="AH12" s="50"/>
      <c r="AI12" s="50"/>
      <c r="AJ12" s="49" t="s">
        <v>118</v>
      </c>
      <c r="AK12" s="49" t="s">
        <v>105</v>
      </c>
      <c r="AL12" s="50"/>
      <c r="AM12" s="50"/>
      <c r="AN12" s="49" t="s">
        <v>122</v>
      </c>
      <c r="AO12" s="49" t="s">
        <v>106</v>
      </c>
      <c r="AP12" s="50"/>
      <c r="AQ12" s="50"/>
      <c r="AR12" s="49" t="s">
        <v>123</v>
      </c>
      <c r="AS12" s="49" t="s">
        <v>93</v>
      </c>
      <c r="AT12" s="50"/>
      <c r="AU12" s="50"/>
      <c r="AV12" s="49" t="s">
        <v>124</v>
      </c>
      <c r="AW12" s="50"/>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17" t="s">
        <v>79</v>
      </c>
      <c r="AT13" s="17" t="s">
        <v>89</v>
      </c>
      <c r="AU13" s="17" t="s">
        <v>90</v>
      </c>
      <c r="AV13" s="50"/>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156</v>
      </c>
      <c r="D14">
        <v>4</v>
      </c>
      <c r="E14">
        <v>0</v>
      </c>
      <c r="F14">
        <v>160</v>
      </c>
      <c r="G14">
        <v>2042</v>
      </c>
      <c r="H14">
        <v>153</v>
      </c>
      <c r="I14">
        <v>5</v>
      </c>
      <c r="J14">
        <v>2200</v>
      </c>
      <c r="K14">
        <v>254</v>
      </c>
      <c r="L14">
        <v>11</v>
      </c>
      <c r="M14">
        <v>0</v>
      </c>
      <c r="N14">
        <v>265</v>
      </c>
      <c r="O14">
        <v>0</v>
      </c>
      <c r="P14">
        <v>0</v>
      </c>
      <c r="Q14">
        <v>0</v>
      </c>
      <c r="R14">
        <v>0</v>
      </c>
      <c r="S14">
        <v>2625</v>
      </c>
      <c r="T14">
        <v>182</v>
      </c>
      <c r="U14">
        <v>7</v>
      </c>
      <c r="V14">
        <v>0</v>
      </c>
      <c r="W14">
        <v>189</v>
      </c>
      <c r="X14">
        <v>257</v>
      </c>
      <c r="Y14">
        <v>16</v>
      </c>
      <c r="Z14">
        <v>1</v>
      </c>
      <c r="AA14">
        <v>274</v>
      </c>
      <c r="AB14">
        <v>113</v>
      </c>
      <c r="AC14">
        <v>13</v>
      </c>
      <c r="AD14">
        <v>0</v>
      </c>
      <c r="AE14">
        <v>126</v>
      </c>
      <c r="AF14">
        <v>589</v>
      </c>
      <c r="AG14">
        <v>18</v>
      </c>
      <c r="AH14">
        <v>0</v>
      </c>
      <c r="AI14">
        <v>0</v>
      </c>
      <c r="AJ14">
        <v>18</v>
      </c>
      <c r="AK14">
        <v>117</v>
      </c>
      <c r="AL14">
        <v>8</v>
      </c>
      <c r="AM14">
        <v>1</v>
      </c>
      <c r="AN14">
        <v>126</v>
      </c>
      <c r="AO14">
        <v>1541</v>
      </c>
      <c r="AP14">
        <v>141</v>
      </c>
      <c r="AQ14">
        <v>4</v>
      </c>
      <c r="AR14">
        <v>1686</v>
      </c>
      <c r="AS14">
        <v>128</v>
      </c>
      <c r="AT14">
        <v>11</v>
      </c>
      <c r="AU14">
        <v>0</v>
      </c>
      <c r="AV14">
        <v>139</v>
      </c>
      <c r="AW14">
        <v>1969</v>
      </c>
      <c r="AX14">
        <v>254</v>
      </c>
      <c r="AY14">
        <v>19</v>
      </c>
      <c r="AZ14">
        <v>1</v>
      </c>
      <c r="BA14">
        <v>274</v>
      </c>
      <c r="BB14">
        <v>520</v>
      </c>
      <c r="BC14">
        <v>18</v>
      </c>
      <c r="BD14">
        <v>3</v>
      </c>
      <c r="BE14">
        <v>541</v>
      </c>
      <c r="BF14">
        <v>196</v>
      </c>
      <c r="BG14">
        <v>12</v>
      </c>
      <c r="BH14">
        <v>1</v>
      </c>
      <c r="BI14">
        <v>209</v>
      </c>
      <c r="BJ14">
        <v>1024</v>
      </c>
      <c r="BK14">
        <v>6207</v>
      </c>
    </row>
    <row r="15" spans="2:63" x14ac:dyDescent="0.25">
      <c r="B15" s="11">
        <v>0.29166666666666669</v>
      </c>
      <c r="C15">
        <v>16</v>
      </c>
      <c r="D15">
        <v>1</v>
      </c>
      <c r="E15">
        <v>0</v>
      </c>
      <c r="F15">
        <v>17</v>
      </c>
      <c r="G15">
        <v>262</v>
      </c>
      <c r="H15">
        <v>13</v>
      </c>
      <c r="I15">
        <v>0</v>
      </c>
      <c r="J15">
        <v>275</v>
      </c>
      <c r="K15">
        <v>29</v>
      </c>
      <c r="L15">
        <v>2</v>
      </c>
      <c r="M15">
        <v>0</v>
      </c>
      <c r="N15">
        <v>31</v>
      </c>
      <c r="O15">
        <v>0</v>
      </c>
      <c r="P15">
        <v>0</v>
      </c>
      <c r="Q15">
        <v>0</v>
      </c>
      <c r="R15">
        <v>0</v>
      </c>
      <c r="S15">
        <v>323</v>
      </c>
      <c r="T15">
        <v>21</v>
      </c>
      <c r="U15">
        <v>1</v>
      </c>
      <c r="V15">
        <v>0</v>
      </c>
      <c r="W15">
        <v>22</v>
      </c>
      <c r="X15">
        <v>32</v>
      </c>
      <c r="Y15">
        <v>2</v>
      </c>
      <c r="Z15">
        <v>0</v>
      </c>
      <c r="AA15">
        <v>34</v>
      </c>
      <c r="AB15">
        <v>17</v>
      </c>
      <c r="AC15">
        <v>0</v>
      </c>
      <c r="AD15">
        <v>0</v>
      </c>
      <c r="AE15">
        <v>17</v>
      </c>
      <c r="AF15">
        <v>73</v>
      </c>
      <c r="AG15">
        <v>1</v>
      </c>
      <c r="AH15">
        <v>0</v>
      </c>
      <c r="AI15">
        <v>0</v>
      </c>
      <c r="AJ15">
        <v>1</v>
      </c>
      <c r="AK15">
        <v>8</v>
      </c>
      <c r="AL15">
        <v>1</v>
      </c>
      <c r="AM15">
        <v>0</v>
      </c>
      <c r="AN15">
        <v>9</v>
      </c>
      <c r="AO15">
        <v>154</v>
      </c>
      <c r="AP15">
        <v>15</v>
      </c>
      <c r="AQ15">
        <v>0</v>
      </c>
      <c r="AR15">
        <v>169</v>
      </c>
      <c r="AS15">
        <v>10</v>
      </c>
      <c r="AT15">
        <v>1</v>
      </c>
      <c r="AU15">
        <v>0</v>
      </c>
      <c r="AV15">
        <v>11</v>
      </c>
      <c r="AW15">
        <v>190</v>
      </c>
      <c r="AX15">
        <v>37</v>
      </c>
      <c r="AY15">
        <v>7</v>
      </c>
      <c r="AZ15">
        <v>0</v>
      </c>
      <c r="BA15">
        <v>44</v>
      </c>
      <c r="BB15">
        <v>55</v>
      </c>
      <c r="BC15">
        <v>3</v>
      </c>
      <c r="BD15">
        <v>1</v>
      </c>
      <c r="BE15">
        <v>59</v>
      </c>
      <c r="BF15">
        <v>15</v>
      </c>
      <c r="BG15">
        <v>1</v>
      </c>
      <c r="BH15">
        <v>0</v>
      </c>
      <c r="BI15">
        <v>16</v>
      </c>
      <c r="BJ15">
        <v>119</v>
      </c>
      <c r="BK15">
        <v>705</v>
      </c>
    </row>
    <row r="16" spans="2:63" x14ac:dyDescent="0.25">
      <c r="B16" s="11">
        <v>0.30208333333333331</v>
      </c>
      <c r="C16">
        <v>26</v>
      </c>
      <c r="D16">
        <v>0</v>
      </c>
      <c r="E16">
        <v>0</v>
      </c>
      <c r="F16">
        <v>26</v>
      </c>
      <c r="G16">
        <v>303</v>
      </c>
      <c r="H16">
        <v>21</v>
      </c>
      <c r="I16">
        <v>0</v>
      </c>
      <c r="J16">
        <v>324</v>
      </c>
      <c r="K16">
        <v>33</v>
      </c>
      <c r="L16">
        <v>1</v>
      </c>
      <c r="M16">
        <v>0</v>
      </c>
      <c r="N16">
        <v>34</v>
      </c>
      <c r="O16">
        <v>0</v>
      </c>
      <c r="P16">
        <v>0</v>
      </c>
      <c r="Q16">
        <v>0</v>
      </c>
      <c r="R16">
        <v>0</v>
      </c>
      <c r="S16">
        <v>384</v>
      </c>
      <c r="T16">
        <v>21</v>
      </c>
      <c r="U16">
        <v>0</v>
      </c>
      <c r="V16">
        <v>0</v>
      </c>
      <c r="W16">
        <v>21</v>
      </c>
      <c r="X16">
        <v>24</v>
      </c>
      <c r="Y16">
        <v>1</v>
      </c>
      <c r="Z16">
        <v>0</v>
      </c>
      <c r="AA16">
        <v>25</v>
      </c>
      <c r="AB16">
        <v>13</v>
      </c>
      <c r="AC16">
        <v>2</v>
      </c>
      <c r="AD16">
        <v>0</v>
      </c>
      <c r="AE16">
        <v>15</v>
      </c>
      <c r="AF16">
        <v>61</v>
      </c>
      <c r="AG16">
        <v>2</v>
      </c>
      <c r="AH16">
        <v>0</v>
      </c>
      <c r="AI16">
        <v>0</v>
      </c>
      <c r="AJ16">
        <v>2</v>
      </c>
      <c r="AK16">
        <v>12</v>
      </c>
      <c r="AL16">
        <v>0</v>
      </c>
      <c r="AM16">
        <v>0</v>
      </c>
      <c r="AN16">
        <v>12</v>
      </c>
      <c r="AO16">
        <v>193</v>
      </c>
      <c r="AP16">
        <v>17</v>
      </c>
      <c r="AQ16">
        <v>0</v>
      </c>
      <c r="AR16">
        <v>210</v>
      </c>
      <c r="AS16">
        <v>22</v>
      </c>
      <c r="AT16">
        <v>2</v>
      </c>
      <c r="AU16">
        <v>0</v>
      </c>
      <c r="AV16">
        <v>24</v>
      </c>
      <c r="AW16">
        <v>248</v>
      </c>
      <c r="AX16">
        <v>33</v>
      </c>
      <c r="AY16">
        <v>1</v>
      </c>
      <c r="AZ16">
        <v>1</v>
      </c>
      <c r="BA16">
        <v>35</v>
      </c>
      <c r="BB16">
        <v>67</v>
      </c>
      <c r="BC16">
        <v>2</v>
      </c>
      <c r="BD16">
        <v>0</v>
      </c>
      <c r="BE16">
        <v>69</v>
      </c>
      <c r="BF16">
        <v>26</v>
      </c>
      <c r="BG16">
        <v>1</v>
      </c>
      <c r="BH16">
        <v>0</v>
      </c>
      <c r="BI16">
        <v>27</v>
      </c>
      <c r="BJ16">
        <v>131</v>
      </c>
      <c r="BK16">
        <v>824</v>
      </c>
    </row>
    <row r="17" spans="2:63" x14ac:dyDescent="0.25">
      <c r="B17" s="11">
        <v>0.3125</v>
      </c>
      <c r="C17">
        <v>18</v>
      </c>
      <c r="D17">
        <v>0</v>
      </c>
      <c r="E17">
        <v>0</v>
      </c>
      <c r="F17">
        <v>18</v>
      </c>
      <c r="G17">
        <v>245</v>
      </c>
      <c r="H17">
        <v>12</v>
      </c>
      <c r="I17">
        <v>1</v>
      </c>
      <c r="J17">
        <v>258</v>
      </c>
      <c r="K17">
        <v>36</v>
      </c>
      <c r="L17">
        <v>0</v>
      </c>
      <c r="M17">
        <v>0</v>
      </c>
      <c r="N17">
        <v>36</v>
      </c>
      <c r="O17">
        <v>0</v>
      </c>
      <c r="P17">
        <v>0</v>
      </c>
      <c r="Q17">
        <v>0</v>
      </c>
      <c r="R17">
        <v>0</v>
      </c>
      <c r="S17">
        <v>312</v>
      </c>
      <c r="T17">
        <v>17</v>
      </c>
      <c r="U17">
        <v>0</v>
      </c>
      <c r="V17">
        <v>0</v>
      </c>
      <c r="W17">
        <v>17</v>
      </c>
      <c r="X17">
        <v>37</v>
      </c>
      <c r="Y17">
        <v>1</v>
      </c>
      <c r="Z17">
        <v>0</v>
      </c>
      <c r="AA17">
        <v>38</v>
      </c>
      <c r="AB17">
        <v>19</v>
      </c>
      <c r="AC17">
        <v>2</v>
      </c>
      <c r="AD17">
        <v>0</v>
      </c>
      <c r="AE17">
        <v>21</v>
      </c>
      <c r="AF17">
        <v>76</v>
      </c>
      <c r="AG17">
        <v>0</v>
      </c>
      <c r="AH17">
        <v>0</v>
      </c>
      <c r="AI17">
        <v>0</v>
      </c>
      <c r="AJ17">
        <v>0</v>
      </c>
      <c r="AK17">
        <v>6</v>
      </c>
      <c r="AL17">
        <v>1</v>
      </c>
      <c r="AM17">
        <v>0</v>
      </c>
      <c r="AN17">
        <v>7</v>
      </c>
      <c r="AO17">
        <v>208</v>
      </c>
      <c r="AP17">
        <v>18</v>
      </c>
      <c r="AQ17">
        <v>1</v>
      </c>
      <c r="AR17">
        <v>227</v>
      </c>
      <c r="AS17">
        <v>12</v>
      </c>
      <c r="AT17">
        <v>2</v>
      </c>
      <c r="AU17">
        <v>0</v>
      </c>
      <c r="AV17">
        <v>14</v>
      </c>
      <c r="AW17">
        <v>248</v>
      </c>
      <c r="AX17">
        <v>37</v>
      </c>
      <c r="AY17">
        <v>2</v>
      </c>
      <c r="AZ17">
        <v>0</v>
      </c>
      <c r="BA17">
        <v>39</v>
      </c>
      <c r="BB17">
        <v>89</v>
      </c>
      <c r="BC17">
        <v>3</v>
      </c>
      <c r="BD17">
        <v>0</v>
      </c>
      <c r="BE17">
        <v>92</v>
      </c>
      <c r="BF17">
        <v>18</v>
      </c>
      <c r="BG17">
        <v>2</v>
      </c>
      <c r="BH17">
        <v>0</v>
      </c>
      <c r="BI17">
        <v>20</v>
      </c>
      <c r="BJ17">
        <v>151</v>
      </c>
      <c r="BK17">
        <v>787</v>
      </c>
    </row>
    <row r="18" spans="2:63" x14ac:dyDescent="0.25">
      <c r="B18" s="11">
        <v>0.32291666666666669</v>
      </c>
      <c r="C18">
        <v>25</v>
      </c>
      <c r="D18">
        <v>0</v>
      </c>
      <c r="E18">
        <v>0</v>
      </c>
      <c r="F18">
        <v>25</v>
      </c>
      <c r="G18">
        <v>298</v>
      </c>
      <c r="H18">
        <v>20</v>
      </c>
      <c r="I18">
        <v>2</v>
      </c>
      <c r="J18">
        <v>320</v>
      </c>
      <c r="K18">
        <v>26</v>
      </c>
      <c r="L18">
        <v>1</v>
      </c>
      <c r="M18">
        <v>0</v>
      </c>
      <c r="N18">
        <v>27</v>
      </c>
      <c r="O18">
        <v>0</v>
      </c>
      <c r="P18">
        <v>0</v>
      </c>
      <c r="Q18">
        <v>0</v>
      </c>
      <c r="R18">
        <v>0</v>
      </c>
      <c r="S18">
        <v>372</v>
      </c>
      <c r="T18">
        <v>29</v>
      </c>
      <c r="U18">
        <v>1</v>
      </c>
      <c r="V18">
        <v>0</v>
      </c>
      <c r="W18">
        <v>30</v>
      </c>
      <c r="X18">
        <v>29</v>
      </c>
      <c r="Y18">
        <v>2</v>
      </c>
      <c r="Z18">
        <v>1</v>
      </c>
      <c r="AA18">
        <v>32</v>
      </c>
      <c r="AB18">
        <v>13</v>
      </c>
      <c r="AC18">
        <v>1</v>
      </c>
      <c r="AD18">
        <v>0</v>
      </c>
      <c r="AE18">
        <v>14</v>
      </c>
      <c r="AF18">
        <v>76</v>
      </c>
      <c r="AG18">
        <v>3</v>
      </c>
      <c r="AH18">
        <v>0</v>
      </c>
      <c r="AI18">
        <v>0</v>
      </c>
      <c r="AJ18">
        <v>3</v>
      </c>
      <c r="AK18">
        <v>11</v>
      </c>
      <c r="AL18">
        <v>2</v>
      </c>
      <c r="AM18">
        <v>0</v>
      </c>
      <c r="AN18">
        <v>13</v>
      </c>
      <c r="AO18">
        <v>209</v>
      </c>
      <c r="AP18">
        <v>13</v>
      </c>
      <c r="AQ18">
        <v>1</v>
      </c>
      <c r="AR18">
        <v>223</v>
      </c>
      <c r="AS18">
        <v>15</v>
      </c>
      <c r="AT18">
        <v>0</v>
      </c>
      <c r="AU18">
        <v>0</v>
      </c>
      <c r="AV18">
        <v>15</v>
      </c>
      <c r="AW18">
        <v>254</v>
      </c>
      <c r="AX18">
        <v>23</v>
      </c>
      <c r="AY18">
        <v>2</v>
      </c>
      <c r="AZ18">
        <v>0</v>
      </c>
      <c r="BA18">
        <v>25</v>
      </c>
      <c r="BB18">
        <v>67</v>
      </c>
      <c r="BC18">
        <v>3</v>
      </c>
      <c r="BD18">
        <v>0</v>
      </c>
      <c r="BE18">
        <v>70</v>
      </c>
      <c r="BF18">
        <v>36</v>
      </c>
      <c r="BG18">
        <v>0</v>
      </c>
      <c r="BH18">
        <v>0</v>
      </c>
      <c r="BI18">
        <v>36</v>
      </c>
      <c r="BJ18">
        <v>131</v>
      </c>
      <c r="BK18">
        <v>833</v>
      </c>
    </row>
    <row r="19" spans="2:63" x14ac:dyDescent="0.25">
      <c r="B19" s="11">
        <v>0.33333333333333331</v>
      </c>
      <c r="C19">
        <v>15</v>
      </c>
      <c r="D19">
        <v>0</v>
      </c>
      <c r="E19">
        <v>0</v>
      </c>
      <c r="F19">
        <v>15</v>
      </c>
      <c r="G19">
        <v>234</v>
      </c>
      <c r="H19">
        <v>19</v>
      </c>
      <c r="I19">
        <v>0</v>
      </c>
      <c r="J19">
        <v>253</v>
      </c>
      <c r="K19">
        <v>30</v>
      </c>
      <c r="L19">
        <v>2</v>
      </c>
      <c r="M19">
        <v>0</v>
      </c>
      <c r="N19">
        <v>32</v>
      </c>
      <c r="O19">
        <v>0</v>
      </c>
      <c r="P19">
        <v>0</v>
      </c>
      <c r="Q19">
        <v>0</v>
      </c>
      <c r="R19">
        <v>0</v>
      </c>
      <c r="S19">
        <v>300</v>
      </c>
      <c r="T19">
        <v>24</v>
      </c>
      <c r="U19">
        <v>1</v>
      </c>
      <c r="V19">
        <v>0</v>
      </c>
      <c r="W19">
        <v>25</v>
      </c>
      <c r="X19">
        <v>28</v>
      </c>
      <c r="Y19">
        <v>0</v>
      </c>
      <c r="Z19">
        <v>0</v>
      </c>
      <c r="AA19">
        <v>28</v>
      </c>
      <c r="AB19">
        <v>13</v>
      </c>
      <c r="AC19">
        <v>2</v>
      </c>
      <c r="AD19">
        <v>0</v>
      </c>
      <c r="AE19">
        <v>15</v>
      </c>
      <c r="AF19">
        <v>68</v>
      </c>
      <c r="AG19">
        <v>3</v>
      </c>
      <c r="AH19">
        <v>0</v>
      </c>
      <c r="AI19">
        <v>0</v>
      </c>
      <c r="AJ19">
        <v>3</v>
      </c>
      <c r="AK19">
        <v>10</v>
      </c>
      <c r="AL19">
        <v>2</v>
      </c>
      <c r="AM19">
        <v>0</v>
      </c>
      <c r="AN19">
        <v>12</v>
      </c>
      <c r="AO19">
        <v>208</v>
      </c>
      <c r="AP19">
        <v>14</v>
      </c>
      <c r="AQ19">
        <v>2</v>
      </c>
      <c r="AR19">
        <v>224</v>
      </c>
      <c r="AS19">
        <v>22</v>
      </c>
      <c r="AT19">
        <v>1</v>
      </c>
      <c r="AU19">
        <v>0</v>
      </c>
      <c r="AV19">
        <v>23</v>
      </c>
      <c r="AW19">
        <v>262</v>
      </c>
      <c r="AX19">
        <v>29</v>
      </c>
      <c r="AY19">
        <v>3</v>
      </c>
      <c r="AZ19">
        <v>0</v>
      </c>
      <c r="BA19">
        <v>32</v>
      </c>
      <c r="BB19">
        <v>80</v>
      </c>
      <c r="BC19">
        <v>2</v>
      </c>
      <c r="BD19">
        <v>0</v>
      </c>
      <c r="BE19">
        <v>82</v>
      </c>
      <c r="BF19">
        <v>16</v>
      </c>
      <c r="BG19">
        <v>2</v>
      </c>
      <c r="BH19">
        <v>1</v>
      </c>
      <c r="BI19">
        <v>19</v>
      </c>
      <c r="BJ19">
        <v>133</v>
      </c>
      <c r="BK19">
        <v>763</v>
      </c>
    </row>
    <row r="20" spans="2:63" x14ac:dyDescent="0.25">
      <c r="B20" s="11">
        <v>0.34375</v>
      </c>
      <c r="C20">
        <v>20</v>
      </c>
      <c r="D20">
        <v>1</v>
      </c>
      <c r="E20">
        <v>0</v>
      </c>
      <c r="F20">
        <v>21</v>
      </c>
      <c r="G20">
        <v>243</v>
      </c>
      <c r="H20">
        <v>18</v>
      </c>
      <c r="I20">
        <v>0</v>
      </c>
      <c r="J20">
        <v>261</v>
      </c>
      <c r="K20">
        <v>41</v>
      </c>
      <c r="L20">
        <v>0</v>
      </c>
      <c r="M20">
        <v>0</v>
      </c>
      <c r="N20">
        <v>41</v>
      </c>
      <c r="O20">
        <v>0</v>
      </c>
      <c r="P20">
        <v>0</v>
      </c>
      <c r="Q20">
        <v>0</v>
      </c>
      <c r="R20">
        <v>0</v>
      </c>
      <c r="S20">
        <v>323</v>
      </c>
      <c r="T20">
        <v>28</v>
      </c>
      <c r="U20">
        <v>0</v>
      </c>
      <c r="V20">
        <v>0</v>
      </c>
      <c r="W20">
        <v>28</v>
      </c>
      <c r="X20">
        <v>43</v>
      </c>
      <c r="Y20">
        <v>5</v>
      </c>
      <c r="Z20">
        <v>0</v>
      </c>
      <c r="AA20">
        <v>48</v>
      </c>
      <c r="AB20">
        <v>14</v>
      </c>
      <c r="AC20">
        <v>3</v>
      </c>
      <c r="AD20">
        <v>0</v>
      </c>
      <c r="AE20">
        <v>17</v>
      </c>
      <c r="AF20">
        <v>93</v>
      </c>
      <c r="AG20">
        <v>4</v>
      </c>
      <c r="AH20">
        <v>0</v>
      </c>
      <c r="AI20">
        <v>0</v>
      </c>
      <c r="AJ20">
        <v>4</v>
      </c>
      <c r="AK20">
        <v>25</v>
      </c>
      <c r="AL20">
        <v>0</v>
      </c>
      <c r="AM20">
        <v>0</v>
      </c>
      <c r="AN20">
        <v>25</v>
      </c>
      <c r="AO20">
        <v>200</v>
      </c>
      <c r="AP20">
        <v>13</v>
      </c>
      <c r="AQ20">
        <v>0</v>
      </c>
      <c r="AR20">
        <v>213</v>
      </c>
      <c r="AS20">
        <v>16</v>
      </c>
      <c r="AT20">
        <v>1</v>
      </c>
      <c r="AU20">
        <v>0</v>
      </c>
      <c r="AV20">
        <v>17</v>
      </c>
      <c r="AW20">
        <v>259</v>
      </c>
      <c r="AX20">
        <v>26</v>
      </c>
      <c r="AY20">
        <v>3</v>
      </c>
      <c r="AZ20">
        <v>0</v>
      </c>
      <c r="BA20">
        <v>29</v>
      </c>
      <c r="BB20">
        <v>65</v>
      </c>
      <c r="BC20">
        <v>1</v>
      </c>
      <c r="BD20">
        <v>0</v>
      </c>
      <c r="BE20">
        <v>66</v>
      </c>
      <c r="BF20">
        <v>22</v>
      </c>
      <c r="BG20">
        <v>4</v>
      </c>
      <c r="BH20">
        <v>0</v>
      </c>
      <c r="BI20">
        <v>26</v>
      </c>
      <c r="BJ20">
        <v>121</v>
      </c>
      <c r="BK20">
        <v>796</v>
      </c>
    </row>
    <row r="21" spans="2:63" x14ac:dyDescent="0.25">
      <c r="B21" s="11">
        <v>0.35416666666666669</v>
      </c>
      <c r="C21">
        <v>24</v>
      </c>
      <c r="D21">
        <v>1</v>
      </c>
      <c r="E21">
        <v>0</v>
      </c>
      <c r="F21">
        <v>25</v>
      </c>
      <c r="G21">
        <v>236</v>
      </c>
      <c r="H21">
        <v>22</v>
      </c>
      <c r="I21">
        <v>0</v>
      </c>
      <c r="J21">
        <v>258</v>
      </c>
      <c r="K21">
        <v>30</v>
      </c>
      <c r="L21">
        <v>2</v>
      </c>
      <c r="M21">
        <v>0</v>
      </c>
      <c r="N21">
        <v>32</v>
      </c>
      <c r="O21">
        <v>0</v>
      </c>
      <c r="P21">
        <v>0</v>
      </c>
      <c r="Q21">
        <v>0</v>
      </c>
      <c r="R21">
        <v>0</v>
      </c>
      <c r="S21">
        <v>315</v>
      </c>
      <c r="T21">
        <v>24</v>
      </c>
      <c r="U21">
        <v>3</v>
      </c>
      <c r="V21">
        <v>0</v>
      </c>
      <c r="W21">
        <v>27</v>
      </c>
      <c r="X21">
        <v>36</v>
      </c>
      <c r="Y21">
        <v>4</v>
      </c>
      <c r="Z21">
        <v>0</v>
      </c>
      <c r="AA21">
        <v>40</v>
      </c>
      <c r="AB21">
        <v>11</v>
      </c>
      <c r="AC21">
        <v>2</v>
      </c>
      <c r="AD21">
        <v>0</v>
      </c>
      <c r="AE21">
        <v>13</v>
      </c>
      <c r="AF21">
        <v>80</v>
      </c>
      <c r="AG21">
        <v>3</v>
      </c>
      <c r="AH21">
        <v>0</v>
      </c>
      <c r="AI21">
        <v>0</v>
      </c>
      <c r="AJ21">
        <v>3</v>
      </c>
      <c r="AK21">
        <v>22</v>
      </c>
      <c r="AL21">
        <v>1</v>
      </c>
      <c r="AM21">
        <v>0</v>
      </c>
      <c r="AN21">
        <v>23</v>
      </c>
      <c r="AO21">
        <v>224</v>
      </c>
      <c r="AP21">
        <v>30</v>
      </c>
      <c r="AQ21">
        <v>0</v>
      </c>
      <c r="AR21">
        <v>254</v>
      </c>
      <c r="AS21">
        <v>12</v>
      </c>
      <c r="AT21">
        <v>1</v>
      </c>
      <c r="AU21">
        <v>0</v>
      </c>
      <c r="AV21">
        <v>13</v>
      </c>
      <c r="AW21">
        <v>293</v>
      </c>
      <c r="AX21">
        <v>42</v>
      </c>
      <c r="AY21">
        <v>1</v>
      </c>
      <c r="AZ21">
        <v>0</v>
      </c>
      <c r="BA21">
        <v>43</v>
      </c>
      <c r="BB21">
        <v>60</v>
      </c>
      <c r="BC21">
        <v>1</v>
      </c>
      <c r="BD21">
        <v>0</v>
      </c>
      <c r="BE21">
        <v>61</v>
      </c>
      <c r="BF21">
        <v>30</v>
      </c>
      <c r="BG21">
        <v>2</v>
      </c>
      <c r="BH21">
        <v>0</v>
      </c>
      <c r="BI21">
        <v>32</v>
      </c>
      <c r="BJ21">
        <v>136</v>
      </c>
      <c r="BK21">
        <v>824</v>
      </c>
    </row>
    <row r="22" spans="2:63" x14ac:dyDescent="0.25">
      <c r="B22" s="11">
        <v>0.36458333333333331</v>
      </c>
      <c r="C22">
        <v>12</v>
      </c>
      <c r="D22">
        <v>1</v>
      </c>
      <c r="E22">
        <v>0</v>
      </c>
      <c r="F22">
        <v>13</v>
      </c>
      <c r="G22">
        <v>221</v>
      </c>
      <c r="H22">
        <v>28</v>
      </c>
      <c r="I22">
        <v>2</v>
      </c>
      <c r="J22">
        <v>251</v>
      </c>
      <c r="K22">
        <v>29</v>
      </c>
      <c r="L22">
        <v>3</v>
      </c>
      <c r="M22">
        <v>0</v>
      </c>
      <c r="N22">
        <v>32</v>
      </c>
      <c r="O22">
        <v>0</v>
      </c>
      <c r="P22">
        <v>0</v>
      </c>
      <c r="Q22">
        <v>0</v>
      </c>
      <c r="R22">
        <v>0</v>
      </c>
      <c r="S22">
        <v>296</v>
      </c>
      <c r="T22">
        <v>18</v>
      </c>
      <c r="U22">
        <v>1</v>
      </c>
      <c r="V22">
        <v>0</v>
      </c>
      <c r="W22">
        <v>19</v>
      </c>
      <c r="X22">
        <v>28</v>
      </c>
      <c r="Y22">
        <v>1</v>
      </c>
      <c r="Z22">
        <v>0</v>
      </c>
      <c r="AA22">
        <v>29</v>
      </c>
      <c r="AB22">
        <v>13</v>
      </c>
      <c r="AC22">
        <v>1</v>
      </c>
      <c r="AD22">
        <v>0</v>
      </c>
      <c r="AE22">
        <v>14</v>
      </c>
      <c r="AF22">
        <v>62</v>
      </c>
      <c r="AG22">
        <v>2</v>
      </c>
      <c r="AH22">
        <v>0</v>
      </c>
      <c r="AI22">
        <v>0</v>
      </c>
      <c r="AJ22">
        <v>2</v>
      </c>
      <c r="AK22">
        <v>23</v>
      </c>
      <c r="AL22">
        <v>1</v>
      </c>
      <c r="AM22">
        <v>1</v>
      </c>
      <c r="AN22">
        <v>25</v>
      </c>
      <c r="AO22">
        <v>145</v>
      </c>
      <c r="AP22">
        <v>21</v>
      </c>
      <c r="AQ22">
        <v>0</v>
      </c>
      <c r="AR22">
        <v>166</v>
      </c>
      <c r="AS22">
        <v>19</v>
      </c>
      <c r="AT22">
        <v>3</v>
      </c>
      <c r="AU22">
        <v>0</v>
      </c>
      <c r="AV22">
        <v>22</v>
      </c>
      <c r="AW22">
        <v>215</v>
      </c>
      <c r="AX22">
        <v>27</v>
      </c>
      <c r="AY22">
        <v>0</v>
      </c>
      <c r="AZ22">
        <v>0</v>
      </c>
      <c r="BA22">
        <v>27</v>
      </c>
      <c r="BB22">
        <v>37</v>
      </c>
      <c r="BC22">
        <v>3</v>
      </c>
      <c r="BD22">
        <v>2</v>
      </c>
      <c r="BE22">
        <v>42</v>
      </c>
      <c r="BF22">
        <v>33</v>
      </c>
      <c r="BG22">
        <v>0</v>
      </c>
      <c r="BH22">
        <v>0</v>
      </c>
      <c r="BI22">
        <v>33</v>
      </c>
      <c r="BJ22">
        <v>102</v>
      </c>
      <c r="BK22">
        <v>675</v>
      </c>
    </row>
    <row r="23" spans="2:63" x14ac:dyDescent="0.25">
      <c r="B23" s="10" t="s">
        <v>44</v>
      </c>
      <c r="C23">
        <v>143</v>
      </c>
      <c r="D23">
        <v>3</v>
      </c>
      <c r="E23">
        <v>0</v>
      </c>
      <c r="F23">
        <v>146</v>
      </c>
      <c r="G23">
        <v>1731</v>
      </c>
      <c r="H23">
        <v>84</v>
      </c>
      <c r="I23">
        <v>5</v>
      </c>
      <c r="J23">
        <v>1820</v>
      </c>
      <c r="K23">
        <v>352</v>
      </c>
      <c r="L23">
        <v>18</v>
      </c>
      <c r="M23">
        <v>1</v>
      </c>
      <c r="N23">
        <v>371</v>
      </c>
      <c r="O23">
        <v>3</v>
      </c>
      <c r="P23">
        <v>0</v>
      </c>
      <c r="Q23">
        <v>0</v>
      </c>
      <c r="R23">
        <v>3</v>
      </c>
      <c r="S23">
        <v>2340</v>
      </c>
      <c r="T23">
        <v>201</v>
      </c>
      <c r="U23">
        <v>6</v>
      </c>
      <c r="V23">
        <v>0</v>
      </c>
      <c r="W23">
        <v>207</v>
      </c>
      <c r="X23">
        <v>642</v>
      </c>
      <c r="Y23">
        <v>24</v>
      </c>
      <c r="Z23">
        <v>3</v>
      </c>
      <c r="AA23">
        <v>669</v>
      </c>
      <c r="AB23">
        <v>197</v>
      </c>
      <c r="AC23">
        <v>8</v>
      </c>
      <c r="AD23">
        <v>0</v>
      </c>
      <c r="AE23">
        <v>205</v>
      </c>
      <c r="AF23">
        <v>1081</v>
      </c>
      <c r="AG23">
        <v>15</v>
      </c>
      <c r="AH23">
        <v>1</v>
      </c>
      <c r="AI23">
        <v>0</v>
      </c>
      <c r="AJ23">
        <v>16</v>
      </c>
      <c r="AK23">
        <v>460</v>
      </c>
      <c r="AL23">
        <v>3</v>
      </c>
      <c r="AM23">
        <v>0</v>
      </c>
      <c r="AN23">
        <v>463</v>
      </c>
      <c r="AO23">
        <v>1933</v>
      </c>
      <c r="AP23">
        <v>76</v>
      </c>
      <c r="AQ23">
        <v>7</v>
      </c>
      <c r="AR23">
        <v>2016</v>
      </c>
      <c r="AS23">
        <v>177</v>
      </c>
      <c r="AT23">
        <v>4</v>
      </c>
      <c r="AU23">
        <v>0</v>
      </c>
      <c r="AV23">
        <v>181</v>
      </c>
      <c r="AW23">
        <v>2676</v>
      </c>
      <c r="AX23">
        <v>232</v>
      </c>
      <c r="AY23">
        <v>5</v>
      </c>
      <c r="AZ23">
        <v>0</v>
      </c>
      <c r="BA23">
        <v>237</v>
      </c>
      <c r="BB23">
        <v>298</v>
      </c>
      <c r="BC23">
        <v>16</v>
      </c>
      <c r="BD23">
        <v>1</v>
      </c>
      <c r="BE23">
        <v>315</v>
      </c>
      <c r="BF23">
        <v>179</v>
      </c>
      <c r="BG23">
        <v>1</v>
      </c>
      <c r="BH23">
        <v>0</v>
      </c>
      <c r="BI23">
        <v>180</v>
      </c>
      <c r="BJ23">
        <v>732</v>
      </c>
      <c r="BK23">
        <v>6829</v>
      </c>
    </row>
    <row r="24" spans="2:63" x14ac:dyDescent="0.25">
      <c r="B24" s="11">
        <v>0.66666666666666663</v>
      </c>
      <c r="C24">
        <v>16</v>
      </c>
      <c r="D24">
        <v>0</v>
      </c>
      <c r="E24">
        <v>0</v>
      </c>
      <c r="F24">
        <v>16</v>
      </c>
      <c r="G24">
        <v>192</v>
      </c>
      <c r="H24">
        <v>18</v>
      </c>
      <c r="I24">
        <v>1</v>
      </c>
      <c r="J24">
        <v>211</v>
      </c>
      <c r="K24">
        <v>45</v>
      </c>
      <c r="L24">
        <v>2</v>
      </c>
      <c r="M24">
        <v>0</v>
      </c>
      <c r="N24">
        <v>47</v>
      </c>
      <c r="O24">
        <v>1</v>
      </c>
      <c r="P24">
        <v>0</v>
      </c>
      <c r="Q24">
        <v>0</v>
      </c>
      <c r="R24">
        <v>1</v>
      </c>
      <c r="S24">
        <v>275</v>
      </c>
      <c r="T24">
        <v>22</v>
      </c>
      <c r="U24">
        <v>0</v>
      </c>
      <c r="V24">
        <v>0</v>
      </c>
      <c r="W24">
        <v>22</v>
      </c>
      <c r="X24">
        <v>72</v>
      </c>
      <c r="Y24">
        <v>2</v>
      </c>
      <c r="Z24">
        <v>0</v>
      </c>
      <c r="AA24">
        <v>74</v>
      </c>
      <c r="AB24">
        <v>38</v>
      </c>
      <c r="AC24">
        <v>5</v>
      </c>
      <c r="AD24">
        <v>0</v>
      </c>
      <c r="AE24">
        <v>43</v>
      </c>
      <c r="AF24">
        <v>139</v>
      </c>
      <c r="AG24">
        <v>3</v>
      </c>
      <c r="AH24">
        <v>1</v>
      </c>
      <c r="AI24">
        <v>0</v>
      </c>
      <c r="AJ24">
        <v>4</v>
      </c>
      <c r="AK24">
        <v>41</v>
      </c>
      <c r="AL24">
        <v>0</v>
      </c>
      <c r="AM24">
        <v>0</v>
      </c>
      <c r="AN24">
        <v>41</v>
      </c>
      <c r="AO24">
        <v>318</v>
      </c>
      <c r="AP24">
        <v>17</v>
      </c>
      <c r="AQ24">
        <v>0</v>
      </c>
      <c r="AR24">
        <v>335</v>
      </c>
      <c r="AS24">
        <v>16</v>
      </c>
      <c r="AT24">
        <v>1</v>
      </c>
      <c r="AU24">
        <v>0</v>
      </c>
      <c r="AV24">
        <v>17</v>
      </c>
      <c r="AW24">
        <v>397</v>
      </c>
      <c r="AX24">
        <v>37</v>
      </c>
      <c r="AY24">
        <v>1</v>
      </c>
      <c r="AZ24">
        <v>0</v>
      </c>
      <c r="BA24">
        <v>38</v>
      </c>
      <c r="BB24">
        <v>26</v>
      </c>
      <c r="BC24">
        <v>5</v>
      </c>
      <c r="BD24">
        <v>0</v>
      </c>
      <c r="BE24">
        <v>31</v>
      </c>
      <c r="BF24">
        <v>25</v>
      </c>
      <c r="BG24">
        <v>0</v>
      </c>
      <c r="BH24">
        <v>0</v>
      </c>
      <c r="BI24">
        <v>25</v>
      </c>
      <c r="BJ24">
        <v>94</v>
      </c>
      <c r="BK24">
        <v>905</v>
      </c>
    </row>
    <row r="25" spans="2:63" x14ac:dyDescent="0.25">
      <c r="B25" s="11">
        <v>0.67708333333333337</v>
      </c>
      <c r="C25">
        <v>12</v>
      </c>
      <c r="D25">
        <v>1</v>
      </c>
      <c r="E25">
        <v>0</v>
      </c>
      <c r="F25">
        <v>13</v>
      </c>
      <c r="G25">
        <v>236</v>
      </c>
      <c r="H25">
        <v>10</v>
      </c>
      <c r="I25">
        <v>2</v>
      </c>
      <c r="J25">
        <v>248</v>
      </c>
      <c r="K25">
        <v>37</v>
      </c>
      <c r="L25">
        <v>6</v>
      </c>
      <c r="M25">
        <v>0</v>
      </c>
      <c r="N25">
        <v>43</v>
      </c>
      <c r="O25">
        <v>0</v>
      </c>
      <c r="P25">
        <v>0</v>
      </c>
      <c r="Q25">
        <v>0</v>
      </c>
      <c r="R25">
        <v>0</v>
      </c>
      <c r="S25">
        <v>304</v>
      </c>
      <c r="T25">
        <v>33</v>
      </c>
      <c r="U25">
        <v>1</v>
      </c>
      <c r="V25">
        <v>0</v>
      </c>
      <c r="W25">
        <v>34</v>
      </c>
      <c r="X25">
        <v>81</v>
      </c>
      <c r="Y25">
        <v>8</v>
      </c>
      <c r="Z25">
        <v>0</v>
      </c>
      <c r="AA25">
        <v>89</v>
      </c>
      <c r="AB25">
        <v>18</v>
      </c>
      <c r="AC25">
        <v>0</v>
      </c>
      <c r="AD25">
        <v>0</v>
      </c>
      <c r="AE25">
        <v>18</v>
      </c>
      <c r="AF25">
        <v>141</v>
      </c>
      <c r="AG25">
        <v>3</v>
      </c>
      <c r="AH25">
        <v>0</v>
      </c>
      <c r="AI25">
        <v>0</v>
      </c>
      <c r="AJ25">
        <v>3</v>
      </c>
      <c r="AK25">
        <v>41</v>
      </c>
      <c r="AL25">
        <v>0</v>
      </c>
      <c r="AM25">
        <v>0</v>
      </c>
      <c r="AN25">
        <v>41</v>
      </c>
      <c r="AO25">
        <v>266</v>
      </c>
      <c r="AP25">
        <v>9</v>
      </c>
      <c r="AQ25">
        <v>2</v>
      </c>
      <c r="AR25">
        <v>277</v>
      </c>
      <c r="AS25">
        <v>15</v>
      </c>
      <c r="AT25">
        <v>0</v>
      </c>
      <c r="AU25">
        <v>0</v>
      </c>
      <c r="AV25">
        <v>15</v>
      </c>
      <c r="AW25">
        <v>336</v>
      </c>
      <c r="AX25">
        <v>40</v>
      </c>
      <c r="AY25">
        <v>0</v>
      </c>
      <c r="AZ25">
        <v>0</v>
      </c>
      <c r="BA25">
        <v>40</v>
      </c>
      <c r="BB25">
        <v>36</v>
      </c>
      <c r="BC25">
        <v>1</v>
      </c>
      <c r="BD25">
        <v>0</v>
      </c>
      <c r="BE25">
        <v>37</v>
      </c>
      <c r="BF25">
        <v>26</v>
      </c>
      <c r="BG25">
        <v>0</v>
      </c>
      <c r="BH25">
        <v>0</v>
      </c>
      <c r="BI25">
        <v>26</v>
      </c>
      <c r="BJ25">
        <v>103</v>
      </c>
      <c r="BK25">
        <v>884</v>
      </c>
    </row>
    <row r="26" spans="2:63" x14ac:dyDescent="0.25">
      <c r="B26" s="11">
        <v>0.6875</v>
      </c>
      <c r="C26">
        <v>22</v>
      </c>
      <c r="D26">
        <v>1</v>
      </c>
      <c r="E26">
        <v>0</v>
      </c>
      <c r="F26">
        <v>23</v>
      </c>
      <c r="G26">
        <v>263</v>
      </c>
      <c r="H26">
        <v>12</v>
      </c>
      <c r="I26">
        <v>0</v>
      </c>
      <c r="J26">
        <v>275</v>
      </c>
      <c r="K26">
        <v>64</v>
      </c>
      <c r="L26">
        <v>1</v>
      </c>
      <c r="M26">
        <v>0</v>
      </c>
      <c r="N26">
        <v>65</v>
      </c>
      <c r="O26">
        <v>0</v>
      </c>
      <c r="P26">
        <v>0</v>
      </c>
      <c r="Q26">
        <v>0</v>
      </c>
      <c r="R26">
        <v>0</v>
      </c>
      <c r="S26">
        <v>363</v>
      </c>
      <c r="T26">
        <v>32</v>
      </c>
      <c r="U26">
        <v>1</v>
      </c>
      <c r="V26">
        <v>0</v>
      </c>
      <c r="W26">
        <v>33</v>
      </c>
      <c r="X26">
        <v>88</v>
      </c>
      <c r="Y26">
        <v>1</v>
      </c>
      <c r="Z26">
        <v>0</v>
      </c>
      <c r="AA26">
        <v>89</v>
      </c>
      <c r="AB26">
        <v>29</v>
      </c>
      <c r="AC26">
        <v>0</v>
      </c>
      <c r="AD26">
        <v>0</v>
      </c>
      <c r="AE26">
        <v>29</v>
      </c>
      <c r="AF26">
        <v>151</v>
      </c>
      <c r="AG26">
        <v>2</v>
      </c>
      <c r="AH26">
        <v>0</v>
      </c>
      <c r="AI26">
        <v>0</v>
      </c>
      <c r="AJ26">
        <v>2</v>
      </c>
      <c r="AK26">
        <v>64</v>
      </c>
      <c r="AL26">
        <v>1</v>
      </c>
      <c r="AM26">
        <v>0</v>
      </c>
      <c r="AN26">
        <v>65</v>
      </c>
      <c r="AO26">
        <v>282</v>
      </c>
      <c r="AP26">
        <v>14</v>
      </c>
      <c r="AQ26">
        <v>1</v>
      </c>
      <c r="AR26">
        <v>297</v>
      </c>
      <c r="AS26">
        <v>26</v>
      </c>
      <c r="AT26">
        <v>1</v>
      </c>
      <c r="AU26">
        <v>0</v>
      </c>
      <c r="AV26">
        <v>27</v>
      </c>
      <c r="AW26">
        <v>391</v>
      </c>
      <c r="AX26">
        <v>33</v>
      </c>
      <c r="AY26">
        <v>0</v>
      </c>
      <c r="AZ26">
        <v>0</v>
      </c>
      <c r="BA26">
        <v>33</v>
      </c>
      <c r="BB26">
        <v>35</v>
      </c>
      <c r="BC26">
        <v>2</v>
      </c>
      <c r="BD26">
        <v>0</v>
      </c>
      <c r="BE26">
        <v>37</v>
      </c>
      <c r="BF26">
        <v>22</v>
      </c>
      <c r="BG26">
        <v>0</v>
      </c>
      <c r="BH26">
        <v>0</v>
      </c>
      <c r="BI26">
        <v>22</v>
      </c>
      <c r="BJ26">
        <v>92</v>
      </c>
      <c r="BK26">
        <v>997</v>
      </c>
    </row>
    <row r="27" spans="2:63" x14ac:dyDescent="0.25">
      <c r="B27" s="11">
        <v>0.69791666666666663</v>
      </c>
      <c r="C27">
        <v>18</v>
      </c>
      <c r="D27">
        <v>0</v>
      </c>
      <c r="E27">
        <v>0</v>
      </c>
      <c r="F27">
        <v>18</v>
      </c>
      <c r="G27">
        <v>206</v>
      </c>
      <c r="H27">
        <v>10</v>
      </c>
      <c r="I27">
        <v>1</v>
      </c>
      <c r="J27">
        <v>217</v>
      </c>
      <c r="K27">
        <v>44</v>
      </c>
      <c r="L27">
        <v>1</v>
      </c>
      <c r="M27">
        <v>1</v>
      </c>
      <c r="N27">
        <v>46</v>
      </c>
      <c r="O27">
        <v>0</v>
      </c>
      <c r="P27">
        <v>0</v>
      </c>
      <c r="Q27">
        <v>0</v>
      </c>
      <c r="R27">
        <v>0</v>
      </c>
      <c r="S27">
        <v>281</v>
      </c>
      <c r="T27">
        <v>21</v>
      </c>
      <c r="U27">
        <v>0</v>
      </c>
      <c r="V27">
        <v>0</v>
      </c>
      <c r="W27">
        <v>21</v>
      </c>
      <c r="X27">
        <v>87</v>
      </c>
      <c r="Y27">
        <v>4</v>
      </c>
      <c r="Z27">
        <v>1</v>
      </c>
      <c r="AA27">
        <v>92</v>
      </c>
      <c r="AB27">
        <v>35</v>
      </c>
      <c r="AC27">
        <v>0</v>
      </c>
      <c r="AD27">
        <v>0</v>
      </c>
      <c r="AE27">
        <v>35</v>
      </c>
      <c r="AF27">
        <v>148</v>
      </c>
      <c r="AG27">
        <v>1</v>
      </c>
      <c r="AH27">
        <v>0</v>
      </c>
      <c r="AI27">
        <v>0</v>
      </c>
      <c r="AJ27">
        <v>1</v>
      </c>
      <c r="AK27">
        <v>66</v>
      </c>
      <c r="AL27">
        <v>1</v>
      </c>
      <c r="AM27">
        <v>0</v>
      </c>
      <c r="AN27">
        <v>67</v>
      </c>
      <c r="AO27">
        <v>264</v>
      </c>
      <c r="AP27">
        <v>10</v>
      </c>
      <c r="AQ27">
        <v>1</v>
      </c>
      <c r="AR27">
        <v>275</v>
      </c>
      <c r="AS27">
        <v>17</v>
      </c>
      <c r="AT27">
        <v>0</v>
      </c>
      <c r="AU27">
        <v>0</v>
      </c>
      <c r="AV27">
        <v>17</v>
      </c>
      <c r="AW27">
        <v>360</v>
      </c>
      <c r="AX27">
        <v>26</v>
      </c>
      <c r="AY27">
        <v>3</v>
      </c>
      <c r="AZ27">
        <v>0</v>
      </c>
      <c r="BA27">
        <v>29</v>
      </c>
      <c r="BB27">
        <v>43</v>
      </c>
      <c r="BC27">
        <v>2</v>
      </c>
      <c r="BD27">
        <v>0</v>
      </c>
      <c r="BE27">
        <v>45</v>
      </c>
      <c r="BF27">
        <v>16</v>
      </c>
      <c r="BG27">
        <v>1</v>
      </c>
      <c r="BH27">
        <v>0</v>
      </c>
      <c r="BI27">
        <v>17</v>
      </c>
      <c r="BJ27">
        <v>91</v>
      </c>
      <c r="BK27">
        <v>880</v>
      </c>
    </row>
    <row r="28" spans="2:63" x14ac:dyDescent="0.25">
      <c r="B28" s="11">
        <v>0.70833333333333337</v>
      </c>
      <c r="C28">
        <v>19</v>
      </c>
      <c r="D28">
        <v>0</v>
      </c>
      <c r="E28">
        <v>0</v>
      </c>
      <c r="F28">
        <v>19</v>
      </c>
      <c r="G28">
        <v>239</v>
      </c>
      <c r="H28">
        <v>6</v>
      </c>
      <c r="I28">
        <v>0</v>
      </c>
      <c r="J28">
        <v>245</v>
      </c>
      <c r="K28">
        <v>50</v>
      </c>
      <c r="L28">
        <v>2</v>
      </c>
      <c r="M28">
        <v>0</v>
      </c>
      <c r="N28">
        <v>52</v>
      </c>
      <c r="O28">
        <v>1</v>
      </c>
      <c r="P28">
        <v>0</v>
      </c>
      <c r="Q28">
        <v>0</v>
      </c>
      <c r="R28">
        <v>1</v>
      </c>
      <c r="S28">
        <v>317</v>
      </c>
      <c r="T28">
        <v>32</v>
      </c>
      <c r="U28">
        <v>0</v>
      </c>
      <c r="V28">
        <v>0</v>
      </c>
      <c r="W28">
        <v>32</v>
      </c>
      <c r="X28">
        <v>100</v>
      </c>
      <c r="Y28">
        <v>4</v>
      </c>
      <c r="Z28">
        <v>0</v>
      </c>
      <c r="AA28">
        <v>104</v>
      </c>
      <c r="AB28">
        <v>28</v>
      </c>
      <c r="AC28">
        <v>0</v>
      </c>
      <c r="AD28">
        <v>0</v>
      </c>
      <c r="AE28">
        <v>28</v>
      </c>
      <c r="AF28">
        <v>164</v>
      </c>
      <c r="AG28">
        <v>2</v>
      </c>
      <c r="AH28">
        <v>0</v>
      </c>
      <c r="AI28">
        <v>0</v>
      </c>
      <c r="AJ28">
        <v>2</v>
      </c>
      <c r="AK28">
        <v>72</v>
      </c>
      <c r="AL28">
        <v>1</v>
      </c>
      <c r="AM28">
        <v>0</v>
      </c>
      <c r="AN28">
        <v>73</v>
      </c>
      <c r="AO28">
        <v>231</v>
      </c>
      <c r="AP28">
        <v>8</v>
      </c>
      <c r="AQ28">
        <v>0</v>
      </c>
      <c r="AR28">
        <v>239</v>
      </c>
      <c r="AS28">
        <v>28</v>
      </c>
      <c r="AT28">
        <v>0</v>
      </c>
      <c r="AU28">
        <v>0</v>
      </c>
      <c r="AV28">
        <v>28</v>
      </c>
      <c r="AW28">
        <v>342</v>
      </c>
      <c r="AX28">
        <v>24</v>
      </c>
      <c r="AY28">
        <v>1</v>
      </c>
      <c r="AZ28">
        <v>0</v>
      </c>
      <c r="BA28">
        <v>25</v>
      </c>
      <c r="BB28">
        <v>41</v>
      </c>
      <c r="BC28">
        <v>2</v>
      </c>
      <c r="BD28">
        <v>1</v>
      </c>
      <c r="BE28">
        <v>44</v>
      </c>
      <c r="BF28">
        <v>19</v>
      </c>
      <c r="BG28">
        <v>0</v>
      </c>
      <c r="BH28">
        <v>0</v>
      </c>
      <c r="BI28">
        <v>19</v>
      </c>
      <c r="BJ28">
        <v>88</v>
      </c>
      <c r="BK28">
        <v>911</v>
      </c>
    </row>
    <row r="29" spans="2:63" x14ac:dyDescent="0.25">
      <c r="B29" s="11">
        <v>0.71875</v>
      </c>
      <c r="C29">
        <v>21</v>
      </c>
      <c r="D29">
        <v>1</v>
      </c>
      <c r="E29">
        <v>0</v>
      </c>
      <c r="F29">
        <v>22</v>
      </c>
      <c r="G29">
        <v>209</v>
      </c>
      <c r="H29">
        <v>10</v>
      </c>
      <c r="I29">
        <v>0</v>
      </c>
      <c r="J29">
        <v>219</v>
      </c>
      <c r="K29">
        <v>36</v>
      </c>
      <c r="L29">
        <v>0</v>
      </c>
      <c r="M29">
        <v>0</v>
      </c>
      <c r="N29">
        <v>36</v>
      </c>
      <c r="O29">
        <v>0</v>
      </c>
      <c r="P29">
        <v>0</v>
      </c>
      <c r="Q29">
        <v>0</v>
      </c>
      <c r="R29">
        <v>0</v>
      </c>
      <c r="S29">
        <v>277</v>
      </c>
      <c r="T29">
        <v>21</v>
      </c>
      <c r="U29">
        <v>1</v>
      </c>
      <c r="V29">
        <v>0</v>
      </c>
      <c r="W29">
        <v>22</v>
      </c>
      <c r="X29">
        <v>87</v>
      </c>
      <c r="Y29">
        <v>1</v>
      </c>
      <c r="Z29">
        <v>2</v>
      </c>
      <c r="AA29">
        <v>90</v>
      </c>
      <c r="AB29">
        <v>17</v>
      </c>
      <c r="AC29">
        <v>1</v>
      </c>
      <c r="AD29">
        <v>0</v>
      </c>
      <c r="AE29">
        <v>18</v>
      </c>
      <c r="AF29">
        <v>130</v>
      </c>
      <c r="AG29">
        <v>0</v>
      </c>
      <c r="AH29">
        <v>0</v>
      </c>
      <c r="AI29">
        <v>0</v>
      </c>
      <c r="AJ29">
        <v>0</v>
      </c>
      <c r="AK29">
        <v>71</v>
      </c>
      <c r="AL29">
        <v>0</v>
      </c>
      <c r="AM29">
        <v>0</v>
      </c>
      <c r="AN29">
        <v>71</v>
      </c>
      <c r="AO29">
        <v>221</v>
      </c>
      <c r="AP29">
        <v>6</v>
      </c>
      <c r="AQ29">
        <v>0</v>
      </c>
      <c r="AR29">
        <v>227</v>
      </c>
      <c r="AS29">
        <v>39</v>
      </c>
      <c r="AT29">
        <v>2</v>
      </c>
      <c r="AU29">
        <v>0</v>
      </c>
      <c r="AV29">
        <v>41</v>
      </c>
      <c r="AW29">
        <v>339</v>
      </c>
      <c r="AX29">
        <v>26</v>
      </c>
      <c r="AY29">
        <v>0</v>
      </c>
      <c r="AZ29">
        <v>0</v>
      </c>
      <c r="BA29">
        <v>26</v>
      </c>
      <c r="BB29">
        <v>43</v>
      </c>
      <c r="BC29">
        <v>1</v>
      </c>
      <c r="BD29">
        <v>0</v>
      </c>
      <c r="BE29">
        <v>44</v>
      </c>
      <c r="BF29">
        <v>20</v>
      </c>
      <c r="BG29">
        <v>0</v>
      </c>
      <c r="BH29">
        <v>0</v>
      </c>
      <c r="BI29">
        <v>20</v>
      </c>
      <c r="BJ29">
        <v>90</v>
      </c>
      <c r="BK29">
        <v>836</v>
      </c>
    </row>
    <row r="30" spans="2:63" x14ac:dyDescent="0.25">
      <c r="B30" s="11">
        <v>0.72916666666666663</v>
      </c>
      <c r="C30">
        <v>23</v>
      </c>
      <c r="D30">
        <v>0</v>
      </c>
      <c r="E30">
        <v>0</v>
      </c>
      <c r="F30">
        <v>23</v>
      </c>
      <c r="G30">
        <v>209</v>
      </c>
      <c r="H30">
        <v>8</v>
      </c>
      <c r="I30">
        <v>1</v>
      </c>
      <c r="J30">
        <v>218</v>
      </c>
      <c r="K30">
        <v>40</v>
      </c>
      <c r="L30">
        <v>2</v>
      </c>
      <c r="M30">
        <v>0</v>
      </c>
      <c r="N30">
        <v>42</v>
      </c>
      <c r="O30">
        <v>0</v>
      </c>
      <c r="P30">
        <v>0</v>
      </c>
      <c r="Q30">
        <v>0</v>
      </c>
      <c r="R30">
        <v>0</v>
      </c>
      <c r="S30">
        <v>283</v>
      </c>
      <c r="T30">
        <v>27</v>
      </c>
      <c r="U30">
        <v>0</v>
      </c>
      <c r="V30">
        <v>0</v>
      </c>
      <c r="W30">
        <v>27</v>
      </c>
      <c r="X30">
        <v>73</v>
      </c>
      <c r="Y30">
        <v>1</v>
      </c>
      <c r="Z30">
        <v>0</v>
      </c>
      <c r="AA30">
        <v>74</v>
      </c>
      <c r="AB30">
        <v>19</v>
      </c>
      <c r="AC30">
        <v>2</v>
      </c>
      <c r="AD30">
        <v>0</v>
      </c>
      <c r="AE30">
        <v>21</v>
      </c>
      <c r="AF30">
        <v>122</v>
      </c>
      <c r="AG30">
        <v>3</v>
      </c>
      <c r="AH30">
        <v>0</v>
      </c>
      <c r="AI30">
        <v>0</v>
      </c>
      <c r="AJ30">
        <v>3</v>
      </c>
      <c r="AK30">
        <v>66</v>
      </c>
      <c r="AL30">
        <v>0</v>
      </c>
      <c r="AM30">
        <v>0</v>
      </c>
      <c r="AN30">
        <v>66</v>
      </c>
      <c r="AO30">
        <v>208</v>
      </c>
      <c r="AP30">
        <v>6</v>
      </c>
      <c r="AQ30">
        <v>2</v>
      </c>
      <c r="AR30">
        <v>216</v>
      </c>
      <c r="AS30">
        <v>26</v>
      </c>
      <c r="AT30">
        <v>0</v>
      </c>
      <c r="AU30">
        <v>0</v>
      </c>
      <c r="AV30">
        <v>26</v>
      </c>
      <c r="AW30">
        <v>311</v>
      </c>
      <c r="AX30">
        <v>23</v>
      </c>
      <c r="AY30">
        <v>0</v>
      </c>
      <c r="AZ30">
        <v>0</v>
      </c>
      <c r="BA30">
        <v>23</v>
      </c>
      <c r="BB30">
        <v>43</v>
      </c>
      <c r="BC30">
        <v>0</v>
      </c>
      <c r="BD30">
        <v>0</v>
      </c>
      <c r="BE30">
        <v>43</v>
      </c>
      <c r="BF30">
        <v>25</v>
      </c>
      <c r="BG30">
        <v>0</v>
      </c>
      <c r="BH30">
        <v>0</v>
      </c>
      <c r="BI30">
        <v>25</v>
      </c>
      <c r="BJ30">
        <v>91</v>
      </c>
      <c r="BK30">
        <v>807</v>
      </c>
    </row>
    <row r="31" spans="2:63" x14ac:dyDescent="0.25">
      <c r="B31" s="11">
        <v>0.73958333333333337</v>
      </c>
      <c r="C31">
        <v>12</v>
      </c>
      <c r="D31">
        <v>0</v>
      </c>
      <c r="E31">
        <v>0</v>
      </c>
      <c r="F31">
        <v>12</v>
      </c>
      <c r="G31">
        <v>177</v>
      </c>
      <c r="H31">
        <v>10</v>
      </c>
      <c r="I31">
        <v>0</v>
      </c>
      <c r="J31">
        <v>187</v>
      </c>
      <c r="K31">
        <v>36</v>
      </c>
      <c r="L31">
        <v>4</v>
      </c>
      <c r="M31">
        <v>0</v>
      </c>
      <c r="N31">
        <v>40</v>
      </c>
      <c r="O31">
        <v>1</v>
      </c>
      <c r="P31">
        <v>0</v>
      </c>
      <c r="Q31">
        <v>0</v>
      </c>
      <c r="R31">
        <v>1</v>
      </c>
      <c r="S31">
        <v>240</v>
      </c>
      <c r="T31">
        <v>13</v>
      </c>
      <c r="U31">
        <v>3</v>
      </c>
      <c r="V31">
        <v>0</v>
      </c>
      <c r="W31">
        <v>16</v>
      </c>
      <c r="X31">
        <v>54</v>
      </c>
      <c r="Y31">
        <v>3</v>
      </c>
      <c r="Z31">
        <v>0</v>
      </c>
      <c r="AA31">
        <v>57</v>
      </c>
      <c r="AB31">
        <v>13</v>
      </c>
      <c r="AC31">
        <v>0</v>
      </c>
      <c r="AD31">
        <v>0</v>
      </c>
      <c r="AE31">
        <v>13</v>
      </c>
      <c r="AF31">
        <v>86</v>
      </c>
      <c r="AG31">
        <v>1</v>
      </c>
      <c r="AH31">
        <v>0</v>
      </c>
      <c r="AI31">
        <v>0</v>
      </c>
      <c r="AJ31">
        <v>1</v>
      </c>
      <c r="AK31">
        <v>39</v>
      </c>
      <c r="AL31">
        <v>0</v>
      </c>
      <c r="AM31">
        <v>0</v>
      </c>
      <c r="AN31">
        <v>39</v>
      </c>
      <c r="AO31">
        <v>143</v>
      </c>
      <c r="AP31">
        <v>6</v>
      </c>
      <c r="AQ31">
        <v>1</v>
      </c>
      <c r="AR31">
        <v>150</v>
      </c>
      <c r="AS31">
        <v>10</v>
      </c>
      <c r="AT31">
        <v>0</v>
      </c>
      <c r="AU31">
        <v>0</v>
      </c>
      <c r="AV31">
        <v>10</v>
      </c>
      <c r="AW31">
        <v>200</v>
      </c>
      <c r="AX31">
        <v>23</v>
      </c>
      <c r="AY31">
        <v>0</v>
      </c>
      <c r="AZ31">
        <v>0</v>
      </c>
      <c r="BA31">
        <v>23</v>
      </c>
      <c r="BB31">
        <v>31</v>
      </c>
      <c r="BC31">
        <v>3</v>
      </c>
      <c r="BD31">
        <v>0</v>
      </c>
      <c r="BE31">
        <v>34</v>
      </c>
      <c r="BF31">
        <v>26</v>
      </c>
      <c r="BG31">
        <v>0</v>
      </c>
      <c r="BH31">
        <v>0</v>
      </c>
      <c r="BI31">
        <v>26</v>
      </c>
      <c r="BJ31">
        <v>83</v>
      </c>
      <c r="BK31">
        <v>609</v>
      </c>
    </row>
    <row r="32" spans="2:63" x14ac:dyDescent="0.25">
      <c r="B32" s="10" t="s">
        <v>91</v>
      </c>
      <c r="C32">
        <v>37</v>
      </c>
      <c r="D32">
        <v>2</v>
      </c>
      <c r="E32">
        <v>1</v>
      </c>
      <c r="F32">
        <v>40</v>
      </c>
      <c r="G32">
        <v>752</v>
      </c>
      <c r="H32">
        <v>69</v>
      </c>
      <c r="I32">
        <v>1</v>
      </c>
      <c r="J32">
        <v>822</v>
      </c>
      <c r="K32">
        <v>102</v>
      </c>
      <c r="L32">
        <v>10</v>
      </c>
      <c r="M32">
        <v>0</v>
      </c>
      <c r="N32">
        <v>112</v>
      </c>
      <c r="O32">
        <v>0</v>
      </c>
      <c r="P32">
        <v>0</v>
      </c>
      <c r="Q32">
        <v>0</v>
      </c>
      <c r="R32">
        <v>0</v>
      </c>
      <c r="S32">
        <v>974</v>
      </c>
      <c r="T32">
        <v>97</v>
      </c>
      <c r="U32">
        <v>4</v>
      </c>
      <c r="V32">
        <v>0</v>
      </c>
      <c r="W32">
        <v>101</v>
      </c>
      <c r="X32">
        <v>173</v>
      </c>
      <c r="Y32">
        <v>14</v>
      </c>
      <c r="Z32">
        <v>1</v>
      </c>
      <c r="AA32">
        <v>188</v>
      </c>
      <c r="AB32">
        <v>65</v>
      </c>
      <c r="AC32">
        <v>6</v>
      </c>
      <c r="AD32">
        <v>0</v>
      </c>
      <c r="AE32">
        <v>71</v>
      </c>
      <c r="AF32">
        <v>360</v>
      </c>
      <c r="AG32">
        <v>7</v>
      </c>
      <c r="AH32">
        <v>0</v>
      </c>
      <c r="AI32">
        <v>0</v>
      </c>
      <c r="AJ32">
        <v>7</v>
      </c>
      <c r="AK32">
        <v>81</v>
      </c>
      <c r="AL32">
        <v>3</v>
      </c>
      <c r="AM32">
        <v>0</v>
      </c>
      <c r="AN32">
        <v>84</v>
      </c>
      <c r="AO32">
        <v>700</v>
      </c>
      <c r="AP32">
        <v>63</v>
      </c>
      <c r="AQ32">
        <v>0</v>
      </c>
      <c r="AR32">
        <v>763</v>
      </c>
      <c r="AS32">
        <v>90</v>
      </c>
      <c r="AT32">
        <v>4</v>
      </c>
      <c r="AU32">
        <v>0</v>
      </c>
      <c r="AV32">
        <v>94</v>
      </c>
      <c r="AW32">
        <v>948</v>
      </c>
      <c r="AX32">
        <v>93</v>
      </c>
      <c r="AY32">
        <v>9</v>
      </c>
      <c r="AZ32">
        <v>1</v>
      </c>
      <c r="BA32">
        <v>103</v>
      </c>
      <c r="BB32">
        <v>125</v>
      </c>
      <c r="BC32">
        <v>12</v>
      </c>
      <c r="BD32">
        <v>0</v>
      </c>
      <c r="BE32">
        <v>137</v>
      </c>
      <c r="BF32">
        <v>83</v>
      </c>
      <c r="BG32">
        <v>8</v>
      </c>
      <c r="BH32">
        <v>0</v>
      </c>
      <c r="BI32">
        <v>91</v>
      </c>
      <c r="BJ32">
        <v>331</v>
      </c>
      <c r="BK32">
        <v>2613</v>
      </c>
    </row>
    <row r="33" spans="2:63" x14ac:dyDescent="0.25">
      <c r="B33" s="11">
        <v>0.54166666666666663</v>
      </c>
      <c r="C33">
        <v>9</v>
      </c>
      <c r="D33">
        <v>0</v>
      </c>
      <c r="E33">
        <v>0</v>
      </c>
      <c r="F33">
        <v>9</v>
      </c>
      <c r="G33">
        <v>173</v>
      </c>
      <c r="H33">
        <v>15</v>
      </c>
      <c r="I33">
        <v>0</v>
      </c>
      <c r="J33">
        <v>188</v>
      </c>
      <c r="K33">
        <v>25</v>
      </c>
      <c r="L33">
        <v>1</v>
      </c>
      <c r="M33">
        <v>0</v>
      </c>
      <c r="N33">
        <v>26</v>
      </c>
      <c r="O33">
        <v>0</v>
      </c>
      <c r="P33">
        <v>0</v>
      </c>
      <c r="Q33">
        <v>0</v>
      </c>
      <c r="R33">
        <v>0</v>
      </c>
      <c r="S33">
        <v>223</v>
      </c>
      <c r="T33">
        <v>18</v>
      </c>
      <c r="U33">
        <v>0</v>
      </c>
      <c r="V33">
        <v>0</v>
      </c>
      <c r="W33">
        <v>18</v>
      </c>
      <c r="X33">
        <v>39</v>
      </c>
      <c r="Y33">
        <v>2</v>
      </c>
      <c r="Z33">
        <v>0</v>
      </c>
      <c r="AA33">
        <v>41</v>
      </c>
      <c r="AB33">
        <v>13</v>
      </c>
      <c r="AC33">
        <v>1</v>
      </c>
      <c r="AD33">
        <v>0</v>
      </c>
      <c r="AE33">
        <v>14</v>
      </c>
      <c r="AF33">
        <v>73</v>
      </c>
      <c r="AG33">
        <v>2</v>
      </c>
      <c r="AH33">
        <v>0</v>
      </c>
      <c r="AI33">
        <v>0</v>
      </c>
      <c r="AJ33">
        <v>2</v>
      </c>
      <c r="AK33">
        <v>20</v>
      </c>
      <c r="AL33">
        <v>1</v>
      </c>
      <c r="AM33">
        <v>0</v>
      </c>
      <c r="AN33">
        <v>21</v>
      </c>
      <c r="AO33">
        <v>175</v>
      </c>
      <c r="AP33">
        <v>18</v>
      </c>
      <c r="AQ33">
        <v>0</v>
      </c>
      <c r="AR33">
        <v>193</v>
      </c>
      <c r="AS33">
        <v>20</v>
      </c>
      <c r="AT33">
        <v>1</v>
      </c>
      <c r="AU33">
        <v>0</v>
      </c>
      <c r="AV33">
        <v>21</v>
      </c>
      <c r="AW33">
        <v>237</v>
      </c>
      <c r="AX33">
        <v>29</v>
      </c>
      <c r="AY33">
        <v>1</v>
      </c>
      <c r="AZ33">
        <v>0</v>
      </c>
      <c r="BA33">
        <v>30</v>
      </c>
      <c r="BB33">
        <v>27</v>
      </c>
      <c r="BC33">
        <v>1</v>
      </c>
      <c r="BD33">
        <v>0</v>
      </c>
      <c r="BE33">
        <v>28</v>
      </c>
      <c r="BF33">
        <v>19</v>
      </c>
      <c r="BG33">
        <v>1</v>
      </c>
      <c r="BH33">
        <v>0</v>
      </c>
      <c r="BI33">
        <v>20</v>
      </c>
      <c r="BJ33">
        <v>78</v>
      </c>
      <c r="BK33">
        <v>611</v>
      </c>
    </row>
    <row r="34" spans="2:63" x14ac:dyDescent="0.25">
      <c r="B34" s="11">
        <v>0.55208333333333337</v>
      </c>
      <c r="C34">
        <v>9</v>
      </c>
      <c r="D34">
        <v>0</v>
      </c>
      <c r="E34">
        <v>1</v>
      </c>
      <c r="F34">
        <v>10</v>
      </c>
      <c r="G34">
        <v>216</v>
      </c>
      <c r="H34">
        <v>21</v>
      </c>
      <c r="I34">
        <v>1</v>
      </c>
      <c r="J34">
        <v>238</v>
      </c>
      <c r="K34">
        <v>20</v>
      </c>
      <c r="L34">
        <v>3</v>
      </c>
      <c r="M34">
        <v>0</v>
      </c>
      <c r="N34">
        <v>23</v>
      </c>
      <c r="O34">
        <v>0</v>
      </c>
      <c r="P34">
        <v>0</v>
      </c>
      <c r="Q34">
        <v>0</v>
      </c>
      <c r="R34">
        <v>0</v>
      </c>
      <c r="S34">
        <v>271</v>
      </c>
      <c r="T34">
        <v>22</v>
      </c>
      <c r="U34">
        <v>2</v>
      </c>
      <c r="V34">
        <v>0</v>
      </c>
      <c r="W34">
        <v>24</v>
      </c>
      <c r="X34">
        <v>54</v>
      </c>
      <c r="Y34">
        <v>3</v>
      </c>
      <c r="Z34">
        <v>1</v>
      </c>
      <c r="AA34">
        <v>58</v>
      </c>
      <c r="AB34">
        <v>14</v>
      </c>
      <c r="AC34">
        <v>1</v>
      </c>
      <c r="AD34">
        <v>0</v>
      </c>
      <c r="AE34">
        <v>15</v>
      </c>
      <c r="AF34">
        <v>97</v>
      </c>
      <c r="AG34">
        <v>2</v>
      </c>
      <c r="AH34">
        <v>0</v>
      </c>
      <c r="AI34">
        <v>0</v>
      </c>
      <c r="AJ34">
        <v>2</v>
      </c>
      <c r="AK34">
        <v>21</v>
      </c>
      <c r="AL34">
        <v>0</v>
      </c>
      <c r="AM34">
        <v>0</v>
      </c>
      <c r="AN34">
        <v>21</v>
      </c>
      <c r="AO34">
        <v>178</v>
      </c>
      <c r="AP34">
        <v>10</v>
      </c>
      <c r="AQ34">
        <v>0</v>
      </c>
      <c r="AR34">
        <v>188</v>
      </c>
      <c r="AS34">
        <v>18</v>
      </c>
      <c r="AT34">
        <v>1</v>
      </c>
      <c r="AU34">
        <v>0</v>
      </c>
      <c r="AV34">
        <v>19</v>
      </c>
      <c r="AW34">
        <v>230</v>
      </c>
      <c r="AX34">
        <v>27</v>
      </c>
      <c r="AY34">
        <v>1</v>
      </c>
      <c r="AZ34">
        <v>1</v>
      </c>
      <c r="BA34">
        <v>29</v>
      </c>
      <c r="BB34">
        <v>31</v>
      </c>
      <c r="BC34">
        <v>3</v>
      </c>
      <c r="BD34">
        <v>0</v>
      </c>
      <c r="BE34">
        <v>34</v>
      </c>
      <c r="BF34">
        <v>25</v>
      </c>
      <c r="BG34">
        <v>3</v>
      </c>
      <c r="BH34">
        <v>0</v>
      </c>
      <c r="BI34">
        <v>28</v>
      </c>
      <c r="BJ34">
        <v>91</v>
      </c>
      <c r="BK34">
        <v>689</v>
      </c>
    </row>
    <row r="35" spans="2:63" x14ac:dyDescent="0.25">
      <c r="B35" s="11">
        <v>0.5625</v>
      </c>
      <c r="C35">
        <v>10</v>
      </c>
      <c r="D35">
        <v>1</v>
      </c>
      <c r="E35">
        <v>0</v>
      </c>
      <c r="F35">
        <v>11</v>
      </c>
      <c r="G35">
        <v>174</v>
      </c>
      <c r="H35">
        <v>16</v>
      </c>
      <c r="I35">
        <v>0</v>
      </c>
      <c r="J35">
        <v>190</v>
      </c>
      <c r="K35">
        <v>31</v>
      </c>
      <c r="L35">
        <v>3</v>
      </c>
      <c r="M35">
        <v>0</v>
      </c>
      <c r="N35">
        <v>34</v>
      </c>
      <c r="O35">
        <v>0</v>
      </c>
      <c r="P35">
        <v>0</v>
      </c>
      <c r="Q35">
        <v>0</v>
      </c>
      <c r="R35">
        <v>0</v>
      </c>
      <c r="S35">
        <v>235</v>
      </c>
      <c r="T35">
        <v>26</v>
      </c>
      <c r="U35">
        <v>2</v>
      </c>
      <c r="V35">
        <v>0</v>
      </c>
      <c r="W35">
        <v>28</v>
      </c>
      <c r="X35">
        <v>35</v>
      </c>
      <c r="Y35">
        <v>3</v>
      </c>
      <c r="Z35">
        <v>0</v>
      </c>
      <c r="AA35">
        <v>38</v>
      </c>
      <c r="AB35">
        <v>19</v>
      </c>
      <c r="AC35">
        <v>2</v>
      </c>
      <c r="AD35">
        <v>0</v>
      </c>
      <c r="AE35">
        <v>21</v>
      </c>
      <c r="AF35">
        <v>87</v>
      </c>
      <c r="AG35">
        <v>1</v>
      </c>
      <c r="AH35">
        <v>0</v>
      </c>
      <c r="AI35">
        <v>0</v>
      </c>
      <c r="AJ35">
        <v>1</v>
      </c>
      <c r="AK35">
        <v>20</v>
      </c>
      <c r="AL35">
        <v>0</v>
      </c>
      <c r="AM35">
        <v>0</v>
      </c>
      <c r="AN35">
        <v>20</v>
      </c>
      <c r="AO35">
        <v>169</v>
      </c>
      <c r="AP35">
        <v>19</v>
      </c>
      <c r="AQ35">
        <v>0</v>
      </c>
      <c r="AR35">
        <v>188</v>
      </c>
      <c r="AS35">
        <v>24</v>
      </c>
      <c r="AT35">
        <v>1</v>
      </c>
      <c r="AU35">
        <v>0</v>
      </c>
      <c r="AV35">
        <v>25</v>
      </c>
      <c r="AW35">
        <v>234</v>
      </c>
      <c r="AX35">
        <v>20</v>
      </c>
      <c r="AY35">
        <v>3</v>
      </c>
      <c r="AZ35">
        <v>0</v>
      </c>
      <c r="BA35">
        <v>23</v>
      </c>
      <c r="BB35">
        <v>34</v>
      </c>
      <c r="BC35">
        <v>3</v>
      </c>
      <c r="BD35">
        <v>0</v>
      </c>
      <c r="BE35">
        <v>37</v>
      </c>
      <c r="BF35">
        <v>18</v>
      </c>
      <c r="BG35">
        <v>1</v>
      </c>
      <c r="BH35">
        <v>0</v>
      </c>
      <c r="BI35">
        <v>19</v>
      </c>
      <c r="BJ35">
        <v>79</v>
      </c>
      <c r="BK35">
        <v>635</v>
      </c>
    </row>
    <row r="36" spans="2:63" x14ac:dyDescent="0.25">
      <c r="B36" s="11">
        <v>0.57291666666666663</v>
      </c>
      <c r="C36">
        <v>9</v>
      </c>
      <c r="D36">
        <v>1</v>
      </c>
      <c r="E36">
        <v>0</v>
      </c>
      <c r="F36">
        <v>10</v>
      </c>
      <c r="G36">
        <v>189</v>
      </c>
      <c r="H36">
        <v>17</v>
      </c>
      <c r="I36">
        <v>0</v>
      </c>
      <c r="J36">
        <v>206</v>
      </c>
      <c r="K36">
        <v>26</v>
      </c>
      <c r="L36">
        <v>3</v>
      </c>
      <c r="M36">
        <v>0</v>
      </c>
      <c r="N36">
        <v>29</v>
      </c>
      <c r="O36">
        <v>0</v>
      </c>
      <c r="P36">
        <v>0</v>
      </c>
      <c r="Q36">
        <v>0</v>
      </c>
      <c r="R36">
        <v>0</v>
      </c>
      <c r="S36">
        <v>245</v>
      </c>
      <c r="T36">
        <v>31</v>
      </c>
      <c r="U36">
        <v>0</v>
      </c>
      <c r="V36">
        <v>0</v>
      </c>
      <c r="W36">
        <v>31</v>
      </c>
      <c r="X36">
        <v>45</v>
      </c>
      <c r="Y36">
        <v>6</v>
      </c>
      <c r="Z36">
        <v>0</v>
      </c>
      <c r="AA36">
        <v>51</v>
      </c>
      <c r="AB36">
        <v>19</v>
      </c>
      <c r="AC36">
        <v>2</v>
      </c>
      <c r="AD36">
        <v>0</v>
      </c>
      <c r="AE36">
        <v>21</v>
      </c>
      <c r="AF36">
        <v>103</v>
      </c>
      <c r="AG36">
        <v>2</v>
      </c>
      <c r="AH36">
        <v>0</v>
      </c>
      <c r="AI36">
        <v>0</v>
      </c>
      <c r="AJ36">
        <v>2</v>
      </c>
      <c r="AK36">
        <v>20</v>
      </c>
      <c r="AL36">
        <v>2</v>
      </c>
      <c r="AM36">
        <v>0</v>
      </c>
      <c r="AN36">
        <v>22</v>
      </c>
      <c r="AO36">
        <v>178</v>
      </c>
      <c r="AP36">
        <v>16</v>
      </c>
      <c r="AQ36">
        <v>0</v>
      </c>
      <c r="AR36">
        <v>194</v>
      </c>
      <c r="AS36">
        <v>28</v>
      </c>
      <c r="AT36">
        <v>1</v>
      </c>
      <c r="AU36">
        <v>0</v>
      </c>
      <c r="AV36">
        <v>29</v>
      </c>
      <c r="AW36">
        <v>247</v>
      </c>
      <c r="AX36">
        <v>17</v>
      </c>
      <c r="AY36">
        <v>4</v>
      </c>
      <c r="AZ36">
        <v>0</v>
      </c>
      <c r="BA36">
        <v>21</v>
      </c>
      <c r="BB36">
        <v>33</v>
      </c>
      <c r="BC36">
        <v>5</v>
      </c>
      <c r="BD36">
        <v>0</v>
      </c>
      <c r="BE36">
        <v>38</v>
      </c>
      <c r="BF36">
        <v>21</v>
      </c>
      <c r="BG36">
        <v>3</v>
      </c>
      <c r="BH36">
        <v>0</v>
      </c>
      <c r="BI36">
        <v>24</v>
      </c>
      <c r="BJ36">
        <v>83</v>
      </c>
      <c r="BK36">
        <v>678</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3216</v>
      </c>
      <c r="I5">
        <f>MAX(I11:I303)</f>
        <v>2613</v>
      </c>
      <c r="J5">
        <f>MAX(J11:J303)</f>
        <v>3672</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3216 vehicles between 07:45 and 08:45</v>
      </c>
      <c r="I8" s="6" t="str">
        <f>IF(I5=0,"","The peak hour for " &amp;I10&amp;" is "&amp;I5&amp;" vehicles between " &amp; TEXT(I6, "hh:mm")&amp; " and " &amp;TEXT(I7,"hh:mm"))</f>
        <v>The peak hour for INT is 2613 vehicles between 13:00 and 14:00</v>
      </c>
      <c r="J8" s="6" t="str">
        <f>IF(J5=0,"","The peak hour for " &amp;J10&amp;" is "&amp;J5&amp;" vehicles between " &amp; TEXT(J6, "hh:mm")&amp; " and " &amp;TEXT(J7,"hh:mm"))</f>
        <v>The peak hour for PM is 3672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705</v>
      </c>
      <c r="G11" s="7">
        <f>A11</f>
        <v>0.29166666666666669</v>
      </c>
      <c r="H11">
        <f>IF(B11&lt;&gt;0,SUMIF($G$11:$G11,"&gt;"&amp;$G11-1/24,B$11:B11),0)</f>
        <v>705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705</v>
      </c>
      <c r="Q11">
        <f>P11*L11</f>
        <v>0</v>
      </c>
      <c r="S11" s="9">
        <v>0.29166666666666669</v>
      </c>
      <c r="T11">
        <v>705</v>
      </c>
      <c r="U11">
        <v>0</v>
      </c>
    </row>
    <row r="12" spans="1:21" x14ac:dyDescent="0.25">
      <c r="A12" s="9">
        <v>0.30208333333333331</v>
      </c>
      <c r="B12">
        <v>824</v>
      </c>
      <c r="G12" s="7">
        <f t="shared" ref="G12:G26" si="3">A12</f>
        <v>0.30208333333333331</v>
      </c>
      <c r="H12">
        <f>IF(B12&lt;&gt;0,SUMIF($G$11:$G12,"&gt;"&amp;$G12-1/24,B$11:B12),0)</f>
        <v>1529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824</v>
      </c>
      <c r="Q12">
        <f t="shared" ref="Q12:Q75" si="7">P12*L12</f>
        <v>0</v>
      </c>
      <c r="S12" s="9">
        <v>0.30208333333333331</v>
      </c>
      <c r="T12">
        <v>824</v>
      </c>
      <c r="U12">
        <v>0</v>
      </c>
    </row>
    <row r="13" spans="1:21" x14ac:dyDescent="0.25">
      <c r="A13" s="9">
        <v>0.3125</v>
      </c>
      <c r="B13">
        <v>787</v>
      </c>
      <c r="G13" s="7">
        <f t="shared" si="3"/>
        <v>0.3125</v>
      </c>
      <c r="H13">
        <f>IF(B13&lt;&gt;0,SUMIF($G$11:$G13,"&gt;"&amp;$G13-1/24,B$11:B13),0)</f>
        <v>2316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787</v>
      </c>
      <c r="Q13">
        <f t="shared" si="7"/>
        <v>0</v>
      </c>
      <c r="S13" s="9">
        <v>0.3125</v>
      </c>
      <c r="T13">
        <v>787</v>
      </c>
      <c r="U13">
        <v>0</v>
      </c>
    </row>
    <row r="14" spans="1:21" x14ac:dyDescent="0.25">
      <c r="A14" s="9">
        <v>0.32291666666666669</v>
      </c>
      <c r="B14">
        <v>833</v>
      </c>
      <c r="G14" s="7">
        <f t="shared" si="3"/>
        <v>0.32291666666666669</v>
      </c>
      <c r="H14">
        <f>IF(B14&lt;&gt;0,SUMIF($G$11:$G14,"&gt;"&amp;$G14-1/24,B$11:B14),0)</f>
        <v>3149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833</v>
      </c>
      <c r="Q14">
        <f t="shared" si="7"/>
        <v>833</v>
      </c>
      <c r="S14" s="9">
        <v>0.32291666666666669</v>
      </c>
      <c r="T14">
        <v>833</v>
      </c>
      <c r="U14">
        <v>833</v>
      </c>
    </row>
    <row r="15" spans="1:21" x14ac:dyDescent="0.25">
      <c r="A15" s="9">
        <v>0.33333333333333331</v>
      </c>
      <c r="B15">
        <v>763</v>
      </c>
      <c r="G15" s="7">
        <f t="shared" si="3"/>
        <v>0.33333333333333331</v>
      </c>
      <c r="H15">
        <f>IF(B15&lt;&gt;0,SUMIF($G$11:$G15,"&gt;"&amp;$G15-1/24,B$11:B15),0)</f>
        <v>3207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763</v>
      </c>
      <c r="Q15">
        <f t="shared" si="7"/>
        <v>763</v>
      </c>
      <c r="S15" s="9">
        <v>0.33333333333333331</v>
      </c>
      <c r="T15">
        <v>763</v>
      </c>
      <c r="U15">
        <v>763</v>
      </c>
    </row>
    <row r="16" spans="1:21" x14ac:dyDescent="0.25">
      <c r="A16" s="9">
        <v>0.34375</v>
      </c>
      <c r="B16">
        <v>796</v>
      </c>
      <c r="G16" s="7">
        <f t="shared" si="3"/>
        <v>0.34375</v>
      </c>
      <c r="H16">
        <f>IF(B16&lt;&gt;0,SUMIF($G$11:$G16,"&gt;"&amp;$G16-1/24,B$11:B16),0)</f>
        <v>3179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796</v>
      </c>
      <c r="Q16">
        <f t="shared" si="7"/>
        <v>796</v>
      </c>
      <c r="S16" s="9">
        <v>0.34375</v>
      </c>
      <c r="T16">
        <v>796</v>
      </c>
      <c r="U16">
        <v>796</v>
      </c>
    </row>
    <row r="17" spans="1:21" x14ac:dyDescent="0.25">
      <c r="A17" s="9">
        <v>0.35416666666666669</v>
      </c>
      <c r="B17">
        <v>824</v>
      </c>
      <c r="G17" s="7">
        <f t="shared" si="3"/>
        <v>0.35416666666666669</v>
      </c>
      <c r="H17">
        <f>IF(B17&lt;&gt;0,SUMIF($G$11:$G17,"&gt;"&amp;$G17-1/24,B$11:B17),0)</f>
        <v>3216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824</v>
      </c>
      <c r="Q17">
        <f t="shared" si="7"/>
        <v>824</v>
      </c>
      <c r="S17" s="9">
        <v>0.35416666666666669</v>
      </c>
      <c r="T17">
        <v>824</v>
      </c>
      <c r="U17">
        <v>824</v>
      </c>
    </row>
    <row r="18" spans="1:21" x14ac:dyDescent="0.25">
      <c r="A18" s="9">
        <v>0.36458333333333331</v>
      </c>
      <c r="B18">
        <v>675</v>
      </c>
      <c r="G18" s="7">
        <f t="shared" si="3"/>
        <v>0.36458333333333331</v>
      </c>
      <c r="H18">
        <f>IF(B18&lt;&gt;0,SUMIF($G$11:$G18,"&gt;"&amp;$G18-1/24,B$11:B18),0)</f>
        <v>3058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675</v>
      </c>
      <c r="Q18">
        <f t="shared" si="7"/>
        <v>0</v>
      </c>
      <c r="S18" s="9">
        <v>0.36458333333333331</v>
      </c>
      <c r="T18">
        <v>675</v>
      </c>
      <c r="U18">
        <v>0</v>
      </c>
    </row>
    <row r="19" spans="1:21" x14ac:dyDescent="0.25">
      <c r="A19" s="9">
        <v>0.54166666666666663</v>
      </c>
      <c r="C19">
        <v>611</v>
      </c>
      <c r="G19" s="7">
        <f t="shared" si="3"/>
        <v>0.54166666666666663</v>
      </c>
      <c r="H19">
        <f>IF(B19&lt;&gt;0,SUMIF($G$11:$G19,"&gt;"&amp;$G19-1/24,B$11:B19),0)</f>
        <v>0</v>
      </c>
      <c r="I19">
        <f>IF(C19&lt;&gt;0,SUMIF($G$11:$G19,"&gt;"&amp;$G19-1/24,C$11:C19),0)</f>
        <v>611</v>
      </c>
      <c r="J19">
        <f>IF(D19&lt;&gt;0,SUMIF($G$11:$G19,"&gt;"&amp;$G19-1/24,D$11:D19),0)</f>
        <v>0</v>
      </c>
      <c r="K19">
        <f>IF(E19&lt;&gt;0,SUMIF($G$11:$G19,"&gt;"&amp;$G19-1/24,E$11:E19),0)</f>
        <v>0</v>
      </c>
      <c r="L19">
        <f t="shared" si="4"/>
        <v>1</v>
      </c>
      <c r="N19" t="str">
        <f t="shared" si="5"/>
        <v>INT</v>
      </c>
      <c r="O19" s="7">
        <f t="shared" si="2"/>
        <v>0.54166666666666663</v>
      </c>
      <c r="P19">
        <f t="shared" si="6"/>
        <v>611</v>
      </c>
      <c r="Q19">
        <f t="shared" si="7"/>
        <v>611</v>
      </c>
      <c r="S19" s="9" t="s">
        <v>49</v>
      </c>
      <c r="T19">
        <v>6207</v>
      </c>
      <c r="U19">
        <v>3216</v>
      </c>
    </row>
    <row r="20" spans="1:21" x14ac:dyDescent="0.25">
      <c r="A20" s="9">
        <v>0.55208333333333337</v>
      </c>
      <c r="C20">
        <v>689</v>
      </c>
      <c r="G20" s="7">
        <f t="shared" si="3"/>
        <v>0.55208333333333337</v>
      </c>
      <c r="H20">
        <f>IF(B20&lt;&gt;0,SUMIF($G$11:$G20,"&gt;"&amp;$G20-1/24,B$11:B20),0)</f>
        <v>0</v>
      </c>
      <c r="I20">
        <f>IF(C20&lt;&gt;0,SUMIF($G$11:$G20,"&gt;"&amp;$G20-1/24,C$11:C20),0)</f>
        <v>1300</v>
      </c>
      <c r="J20">
        <f>IF(D20&lt;&gt;0,SUMIF($G$11:$G20,"&gt;"&amp;$G20-1/24,D$11:D20),0)</f>
        <v>0</v>
      </c>
      <c r="K20">
        <f>IF(E20&lt;&gt;0,SUMIF($G$11:$G20,"&gt;"&amp;$G20-1/24,E$11:E20),0)</f>
        <v>0</v>
      </c>
      <c r="L20">
        <f t="shared" si="4"/>
        <v>1</v>
      </c>
      <c r="N20" t="str">
        <f t="shared" si="5"/>
        <v>INT</v>
      </c>
      <c r="O20" s="7">
        <f t="shared" si="2"/>
        <v>0.55208333333333337</v>
      </c>
      <c r="P20">
        <f t="shared" si="6"/>
        <v>689</v>
      </c>
      <c r="Q20">
        <f t="shared" si="7"/>
        <v>689</v>
      </c>
    </row>
    <row r="21" spans="1:21" x14ac:dyDescent="0.25">
      <c r="A21" s="9">
        <v>0.5625</v>
      </c>
      <c r="C21">
        <v>635</v>
      </c>
      <c r="G21" s="7">
        <f t="shared" si="3"/>
        <v>0.5625</v>
      </c>
      <c r="H21">
        <f>IF(B21&lt;&gt;0,SUMIF($G$11:$G21,"&gt;"&amp;$G21-1/24,B$11:B21),0)</f>
        <v>0</v>
      </c>
      <c r="I21">
        <f>IF(C21&lt;&gt;0,SUMIF($G$11:$G21,"&gt;"&amp;$G21-1/24,C$11:C21),0)</f>
        <v>1935</v>
      </c>
      <c r="J21">
        <f>IF(D21&lt;&gt;0,SUMIF($G$11:$G21,"&gt;"&amp;$G21-1/24,D$11:D21),0)</f>
        <v>0</v>
      </c>
      <c r="K21">
        <f>IF(E21&lt;&gt;0,SUMIF($G$11:$G21,"&gt;"&amp;$G21-1/24,E$11:E21),0)</f>
        <v>0</v>
      </c>
      <c r="L21">
        <f t="shared" si="4"/>
        <v>1</v>
      </c>
      <c r="N21" t="str">
        <f t="shared" si="5"/>
        <v>INT</v>
      </c>
      <c r="O21" s="7">
        <f t="shared" si="2"/>
        <v>0.5625</v>
      </c>
      <c r="P21">
        <f t="shared" si="6"/>
        <v>635</v>
      </c>
      <c r="Q21">
        <f t="shared" si="7"/>
        <v>635</v>
      </c>
    </row>
    <row r="22" spans="1:21" x14ac:dyDescent="0.25">
      <c r="A22" s="9">
        <v>0.57291666666666663</v>
      </c>
      <c r="C22">
        <v>678</v>
      </c>
      <c r="G22" s="7">
        <f t="shared" si="3"/>
        <v>0.57291666666666663</v>
      </c>
      <c r="H22">
        <f>IF(B22&lt;&gt;0,SUMIF($G$11:$G22,"&gt;"&amp;$G22-1/24,B$11:B22),0)</f>
        <v>0</v>
      </c>
      <c r="I22">
        <f>IF(C22&lt;&gt;0,SUMIF($G$11:$G22,"&gt;"&amp;$G22-1/24,C$11:C22),0)</f>
        <v>2613</v>
      </c>
      <c r="J22">
        <f>IF(D22&lt;&gt;0,SUMIF($G$11:$G22,"&gt;"&amp;$G22-1/24,D$11:D22),0)</f>
        <v>0</v>
      </c>
      <c r="K22">
        <f>IF(E22&lt;&gt;0,SUMIF($G$11:$G22,"&gt;"&amp;$G22-1/24,E$11:E22),0)</f>
        <v>0</v>
      </c>
      <c r="L22">
        <f t="shared" si="4"/>
        <v>1</v>
      </c>
      <c r="N22" t="str">
        <f t="shared" si="5"/>
        <v>INT</v>
      </c>
      <c r="O22" s="7">
        <f t="shared" si="2"/>
        <v>0.57291666666666663</v>
      </c>
      <c r="P22">
        <f t="shared" si="6"/>
        <v>678</v>
      </c>
      <c r="Q22">
        <f t="shared" si="7"/>
        <v>678</v>
      </c>
    </row>
    <row r="23" spans="1:21" x14ac:dyDescent="0.25">
      <c r="A23" s="9">
        <v>0.66666666666666663</v>
      </c>
      <c r="D23">
        <v>905</v>
      </c>
      <c r="G23" s="7">
        <f t="shared" si="3"/>
        <v>0.66666666666666663</v>
      </c>
      <c r="H23">
        <f>IF(B23&lt;&gt;0,SUMIF($G$11:$G23,"&gt;"&amp;$G23-1/24,B$11:B23),0)</f>
        <v>0</v>
      </c>
      <c r="I23">
        <f>IF(C23&lt;&gt;0,SUMIF($G$11:$G23,"&gt;"&amp;$G23-1/24,C$11:C23),0)</f>
        <v>0</v>
      </c>
      <c r="J23">
        <f>IF(D23&lt;&gt;0,SUMIF($G$11:$G23,"&gt;"&amp;$G23-1/24,D$11:D23),0)</f>
        <v>905</v>
      </c>
      <c r="K23">
        <f>IF(E23&lt;&gt;0,SUMIF($G$11:$G23,"&gt;"&amp;$G23-1/24,E$11:E23),0)</f>
        <v>0</v>
      </c>
      <c r="L23">
        <f t="shared" si="4"/>
        <v>0</v>
      </c>
      <c r="N23" t="str">
        <f t="shared" si="5"/>
        <v>PM</v>
      </c>
      <c r="O23" s="7">
        <f t="shared" si="2"/>
        <v>0.66666666666666663</v>
      </c>
      <c r="P23">
        <f t="shared" si="6"/>
        <v>905</v>
      </c>
      <c r="Q23">
        <f t="shared" si="7"/>
        <v>0</v>
      </c>
    </row>
    <row r="24" spans="1:21" x14ac:dyDescent="0.25">
      <c r="A24" s="9">
        <v>0.67708333333333337</v>
      </c>
      <c r="D24">
        <v>884</v>
      </c>
      <c r="G24" s="7">
        <f t="shared" si="3"/>
        <v>0.67708333333333337</v>
      </c>
      <c r="H24">
        <f>IF(B24&lt;&gt;0,SUMIF($G$11:$G24,"&gt;"&amp;$G24-1/24,B$11:B24),0)</f>
        <v>0</v>
      </c>
      <c r="I24">
        <f>IF(C24&lt;&gt;0,SUMIF($G$11:$G24,"&gt;"&amp;$G24-1/24,C$11:C24),0)</f>
        <v>0</v>
      </c>
      <c r="J24">
        <f>IF(D24&lt;&gt;0,SUMIF($G$11:$G24,"&gt;"&amp;$G24-1/24,D$11:D24),0)</f>
        <v>1789</v>
      </c>
      <c r="K24">
        <f>IF(E24&lt;&gt;0,SUMIF($G$11:$G24,"&gt;"&amp;$G24-1/24,E$11:E24),0)</f>
        <v>0</v>
      </c>
      <c r="L24">
        <f t="shared" si="4"/>
        <v>1</v>
      </c>
      <c r="N24" t="str">
        <f t="shared" si="5"/>
        <v>PM</v>
      </c>
      <c r="O24" s="7">
        <f t="shared" si="2"/>
        <v>0.67708333333333337</v>
      </c>
      <c r="P24">
        <f t="shared" si="6"/>
        <v>884</v>
      </c>
      <c r="Q24">
        <f t="shared" si="7"/>
        <v>884</v>
      </c>
    </row>
    <row r="25" spans="1:21" x14ac:dyDescent="0.25">
      <c r="A25" s="9">
        <v>0.6875</v>
      </c>
      <c r="D25">
        <v>997</v>
      </c>
      <c r="G25" s="7">
        <f t="shared" si="3"/>
        <v>0.6875</v>
      </c>
      <c r="H25">
        <f>IF(B25&lt;&gt;0,SUMIF($G$11:$G25,"&gt;"&amp;$G25-1/24,B$11:B25),0)</f>
        <v>0</v>
      </c>
      <c r="I25">
        <f>IF(C25&lt;&gt;0,SUMIF($G$11:$G25,"&gt;"&amp;$G25-1/24,C$11:C25),0)</f>
        <v>0</v>
      </c>
      <c r="J25">
        <f>IF(D25&lt;&gt;0,SUMIF($G$11:$G25,"&gt;"&amp;$G25-1/24,D$11:D25),0)</f>
        <v>2786</v>
      </c>
      <c r="K25">
        <f>IF(E25&lt;&gt;0,SUMIF($G$11:$G25,"&gt;"&amp;$G25-1/24,E$11:E25),0)</f>
        <v>0</v>
      </c>
      <c r="L25">
        <f t="shared" si="4"/>
        <v>1</v>
      </c>
      <c r="N25" t="str">
        <f t="shared" si="5"/>
        <v>PM</v>
      </c>
      <c r="O25" s="7">
        <f t="shared" si="2"/>
        <v>0.6875</v>
      </c>
      <c r="P25">
        <f t="shared" si="6"/>
        <v>997</v>
      </c>
      <c r="Q25">
        <f t="shared" si="7"/>
        <v>997</v>
      </c>
    </row>
    <row r="26" spans="1:21" x14ac:dyDescent="0.25">
      <c r="A26" s="9">
        <v>0.69791666666666663</v>
      </c>
      <c r="D26">
        <v>880</v>
      </c>
      <c r="G26" s="7">
        <f t="shared" si="3"/>
        <v>0.69791666666666663</v>
      </c>
      <c r="H26">
        <f>IF(B26&lt;&gt;0,SUMIF($G$11:$G26,"&gt;"&amp;$G26-1/24,B$11:B26),0)</f>
        <v>0</v>
      </c>
      <c r="I26">
        <f>IF(C26&lt;&gt;0,SUMIF($G$11:$G26,"&gt;"&amp;$G26-1/24,C$11:C26),0)</f>
        <v>0</v>
      </c>
      <c r="J26">
        <f>IF(D26&lt;&gt;0,SUMIF($G$11:$G26,"&gt;"&amp;$G26-1/24,D$11:D26),0)</f>
        <v>3666</v>
      </c>
      <c r="K26">
        <f>IF(E26&lt;&gt;0,SUMIF($G$11:$G26,"&gt;"&amp;$G26-1/24,E$11:E26),0)</f>
        <v>0</v>
      </c>
      <c r="L26">
        <f t="shared" si="4"/>
        <v>1</v>
      </c>
      <c r="N26" t="str">
        <f t="shared" si="5"/>
        <v>PM</v>
      </c>
      <c r="O26" s="7">
        <f t="shared" si="2"/>
        <v>0.69791666666666663</v>
      </c>
      <c r="P26">
        <f t="shared" si="6"/>
        <v>880</v>
      </c>
      <c r="Q26">
        <f t="shared" si="7"/>
        <v>880</v>
      </c>
    </row>
    <row r="27" spans="1:21" x14ac:dyDescent="0.25">
      <c r="A27" s="9">
        <v>0.70833333333333337</v>
      </c>
      <c r="D27">
        <v>911</v>
      </c>
      <c r="G27" s="7">
        <f t="shared" ref="G27:G90" si="8">A27</f>
        <v>0.70833333333333337</v>
      </c>
      <c r="H27">
        <f>IF(B27&lt;&gt;0,SUMIF($G$11:$G27,"&gt;"&amp;$G27-1/24,B$11:B27),0)</f>
        <v>0</v>
      </c>
      <c r="I27">
        <f>IF(C27&lt;&gt;0,SUMIF($G$11:$G27,"&gt;"&amp;$G27-1/24,C$11:C27),0)</f>
        <v>0</v>
      </c>
      <c r="J27">
        <f>IF(D27&lt;&gt;0,SUMIF($G$11:$G27,"&gt;"&amp;$G27-1/24,D$11:D27),0)</f>
        <v>3672</v>
      </c>
      <c r="K27">
        <f>IF(E27&lt;&gt;0,SUMIF($G$11:$G27,"&gt;"&amp;$G27-1/24,E$11:E27),0)</f>
        <v>0</v>
      </c>
      <c r="L27">
        <f t="shared" si="4"/>
        <v>1</v>
      </c>
      <c r="N27" t="str">
        <f t="shared" si="5"/>
        <v>PM</v>
      </c>
      <c r="O27" s="7">
        <f t="shared" si="2"/>
        <v>0.70833333333333337</v>
      </c>
      <c r="P27">
        <f t="shared" si="6"/>
        <v>911</v>
      </c>
      <c r="Q27">
        <f t="shared" si="7"/>
        <v>911</v>
      </c>
    </row>
    <row r="28" spans="1:21" x14ac:dyDescent="0.25">
      <c r="A28" s="9">
        <v>0.71875</v>
      </c>
      <c r="D28">
        <v>836</v>
      </c>
      <c r="G28" s="7">
        <f t="shared" si="8"/>
        <v>0.71875</v>
      </c>
      <c r="H28">
        <f>IF(B28&lt;&gt;0,SUMIF($G$11:$G28,"&gt;"&amp;$G28-1/24,B$11:B28),0)</f>
        <v>0</v>
      </c>
      <c r="I28">
        <f>IF(C28&lt;&gt;0,SUMIF($G$11:$G28,"&gt;"&amp;$G28-1/24,C$11:C28),0)</f>
        <v>0</v>
      </c>
      <c r="J28">
        <f>IF(D28&lt;&gt;0,SUMIF($G$11:$G28,"&gt;"&amp;$G28-1/24,D$11:D28),0)</f>
        <v>3624</v>
      </c>
      <c r="K28">
        <f>IF(E28&lt;&gt;0,SUMIF($G$11:$G28,"&gt;"&amp;$G28-1/24,E$11:E28),0)</f>
        <v>0</v>
      </c>
      <c r="L28">
        <f t="shared" si="4"/>
        <v>0</v>
      </c>
      <c r="N28" t="str">
        <f t="shared" si="5"/>
        <v>PM</v>
      </c>
      <c r="O28" s="7">
        <f t="shared" si="2"/>
        <v>0.71875</v>
      </c>
      <c r="P28">
        <f t="shared" si="6"/>
        <v>836</v>
      </c>
      <c r="Q28">
        <f t="shared" si="7"/>
        <v>0</v>
      </c>
    </row>
    <row r="29" spans="1:21" x14ac:dyDescent="0.25">
      <c r="A29" s="9">
        <v>0.72916666666666663</v>
      </c>
      <c r="D29">
        <v>807</v>
      </c>
      <c r="G29" s="7">
        <f t="shared" si="8"/>
        <v>0.72916666666666663</v>
      </c>
      <c r="H29">
        <f>IF(B29&lt;&gt;0,SUMIF($G$11:$G29,"&gt;"&amp;$G29-1/24,B$11:B29),0)</f>
        <v>0</v>
      </c>
      <c r="I29">
        <f>IF(C29&lt;&gt;0,SUMIF($G$11:$G29,"&gt;"&amp;$G29-1/24,C$11:C29),0)</f>
        <v>0</v>
      </c>
      <c r="J29">
        <f>IF(D29&lt;&gt;0,SUMIF($G$11:$G29,"&gt;"&amp;$G29-1/24,D$11:D29),0)</f>
        <v>3434</v>
      </c>
      <c r="K29">
        <f>IF(E29&lt;&gt;0,SUMIF($G$11:$G29,"&gt;"&amp;$G29-1/24,E$11:E29),0)</f>
        <v>0</v>
      </c>
      <c r="L29">
        <f t="shared" si="4"/>
        <v>0</v>
      </c>
      <c r="N29" t="str">
        <f t="shared" si="5"/>
        <v>PM</v>
      </c>
      <c r="O29" s="7">
        <f t="shared" si="2"/>
        <v>0.72916666666666663</v>
      </c>
      <c r="P29">
        <f t="shared" si="6"/>
        <v>807</v>
      </c>
      <c r="Q29">
        <f t="shared" si="7"/>
        <v>0</v>
      </c>
    </row>
    <row r="30" spans="1:21" x14ac:dyDescent="0.25">
      <c r="A30" s="9">
        <v>0.73958333333333337</v>
      </c>
      <c r="D30">
        <v>609</v>
      </c>
      <c r="G30" s="7">
        <f t="shared" si="8"/>
        <v>0.73958333333333337</v>
      </c>
      <c r="H30">
        <f>IF(B30&lt;&gt;0,SUMIF($G$11:$G30,"&gt;"&amp;$G30-1/24,B$11:B30),0)</f>
        <v>0</v>
      </c>
      <c r="I30">
        <f>IF(C30&lt;&gt;0,SUMIF($G$11:$G30,"&gt;"&amp;$G30-1/24,C$11:C30),0)</f>
        <v>0</v>
      </c>
      <c r="J30">
        <f>IF(D30&lt;&gt;0,SUMIF($G$11:$G30,"&gt;"&amp;$G30-1/24,D$11:D30),0)</f>
        <v>3163</v>
      </c>
      <c r="K30">
        <f>IF(E30&lt;&gt;0,SUMIF($G$11:$G30,"&gt;"&amp;$G30-1/24,E$11:E30),0)</f>
        <v>0</v>
      </c>
      <c r="L30">
        <f t="shared" si="4"/>
        <v>0</v>
      </c>
      <c r="N30" t="str">
        <f t="shared" si="5"/>
        <v>PM</v>
      </c>
      <c r="O30" s="7">
        <f t="shared" si="2"/>
        <v>0.73958333333333337</v>
      </c>
      <c r="P30">
        <f t="shared" si="6"/>
        <v>609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705</v>
      </c>
      <c r="E5" t="str">
        <f>"Vehicle Count by Exit Leg for "&amp;C2&amp;" Period"</f>
        <v>Vehicle Count by Exit Leg for AM Period</v>
      </c>
    </row>
    <row r="6" spans="2:5" x14ac:dyDescent="0.25">
      <c r="B6" s="9">
        <v>0.30208333333333331</v>
      </c>
      <c r="C6">
        <v>824</v>
      </c>
    </row>
    <row r="7" spans="2:5" x14ac:dyDescent="0.25">
      <c r="B7" s="9">
        <v>0.3125</v>
      </c>
      <c r="C7">
        <v>787</v>
      </c>
    </row>
    <row r="8" spans="2:5" x14ac:dyDescent="0.25">
      <c r="B8" s="9">
        <v>0.32291666666666669</v>
      </c>
      <c r="C8">
        <v>833</v>
      </c>
    </row>
    <row r="9" spans="2:5" x14ac:dyDescent="0.25">
      <c r="B9" s="9">
        <v>0.33333333333333331</v>
      </c>
      <c r="C9">
        <v>763</v>
      </c>
    </row>
    <row r="10" spans="2:5" x14ac:dyDescent="0.25">
      <c r="B10" s="9">
        <v>0.34375</v>
      </c>
      <c r="C10">
        <v>796</v>
      </c>
    </row>
    <row r="11" spans="2:5" x14ac:dyDescent="0.25">
      <c r="B11" s="9">
        <v>0.35416666666666669</v>
      </c>
      <c r="C11">
        <v>824</v>
      </c>
    </row>
    <row r="12" spans="2:5" x14ac:dyDescent="0.25">
      <c r="B12" s="9">
        <v>0.36458333333333331</v>
      </c>
      <c r="C12">
        <v>675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5703125" bestFit="1" customWidth="1"/>
    <col min="12" max="12" width="20.7109375" bestFit="1" customWidth="1"/>
    <col min="13" max="14" width="18.5703125" bestFit="1" customWidth="1"/>
    <col min="15" max="15" width="5.5703125" customWidth="1"/>
    <col min="16" max="18" width="3.28515625" customWidth="1"/>
    <col min="19" max="19" width="11.28515625" bestFit="1" customWidth="1"/>
    <col min="20" max="20" width="19.5703125" bestFit="1" customWidth="1"/>
    <col min="21" max="21" width="20.7109375" bestFit="1" customWidth="1"/>
    <col min="22" max="23" width="18.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97</v>
      </c>
      <c r="M25" s="16" t="s">
        <v>95</v>
      </c>
      <c r="N25" s="16" t="s">
        <v>96</v>
      </c>
      <c r="T25" s="16" t="s">
        <v>92</v>
      </c>
      <c r="U25" s="16" t="s">
        <v>97</v>
      </c>
      <c r="V25" s="16" t="s">
        <v>95</v>
      </c>
      <c r="W25" s="16" t="s">
        <v>96</v>
      </c>
      <c r="X25" s="13"/>
    </row>
    <row r="26" spans="2:24" x14ac:dyDescent="0.25">
      <c r="B26" s="9">
        <v>0.29166666666666669</v>
      </c>
      <c r="C26" s="16">
        <v>705</v>
      </c>
      <c r="J26" s="9">
        <v>0.29166666666666669</v>
      </c>
      <c r="K26" s="16">
        <v>73</v>
      </c>
      <c r="L26" s="16">
        <v>119</v>
      </c>
      <c r="M26" s="16">
        <v>323</v>
      </c>
      <c r="N26" s="16">
        <v>190</v>
      </c>
      <c r="S26" s="9">
        <v>0.29166666666666669</v>
      </c>
      <c r="T26" s="16">
        <v>87</v>
      </c>
      <c r="U26" s="16">
        <v>74</v>
      </c>
      <c r="V26" s="16">
        <v>230</v>
      </c>
      <c r="W26" s="16">
        <v>314</v>
      </c>
    </row>
    <row r="27" spans="2:24" x14ac:dyDescent="0.25">
      <c r="B27" s="9">
        <v>0.30208333333333331</v>
      </c>
      <c r="C27" s="16">
        <v>824</v>
      </c>
      <c r="J27" s="9">
        <v>0.30208333333333331</v>
      </c>
      <c r="K27" s="16">
        <v>61</v>
      </c>
      <c r="L27" s="16">
        <v>131</v>
      </c>
      <c r="M27" s="16">
        <v>384</v>
      </c>
      <c r="N27" s="16">
        <v>248</v>
      </c>
      <c r="S27" s="9">
        <v>0.30208333333333331</v>
      </c>
      <c r="T27" s="16">
        <v>119</v>
      </c>
      <c r="U27" s="16">
        <v>71</v>
      </c>
      <c r="V27" s="16">
        <v>260</v>
      </c>
      <c r="W27" s="16">
        <v>374</v>
      </c>
    </row>
    <row r="28" spans="2:24" x14ac:dyDescent="0.25">
      <c r="B28" s="9">
        <v>0.3125</v>
      </c>
      <c r="C28" s="16">
        <v>787</v>
      </c>
      <c r="J28" s="9">
        <v>0.3125</v>
      </c>
      <c r="K28" s="16">
        <v>76</v>
      </c>
      <c r="L28" s="16">
        <v>151</v>
      </c>
      <c r="M28" s="16">
        <v>312</v>
      </c>
      <c r="N28" s="16">
        <v>248</v>
      </c>
      <c r="S28" s="9">
        <v>0.3125</v>
      </c>
      <c r="T28" s="16">
        <v>124</v>
      </c>
      <c r="U28" s="16">
        <v>81</v>
      </c>
      <c r="V28" s="16">
        <v>287</v>
      </c>
      <c r="W28" s="16">
        <v>295</v>
      </c>
    </row>
    <row r="29" spans="2:24" x14ac:dyDescent="0.25">
      <c r="B29" s="9">
        <v>0.32291666666666669</v>
      </c>
      <c r="C29" s="16">
        <v>833</v>
      </c>
      <c r="J29" s="9">
        <v>0.32291666666666669</v>
      </c>
      <c r="K29" s="16">
        <v>76</v>
      </c>
      <c r="L29" s="16">
        <v>131</v>
      </c>
      <c r="M29" s="16">
        <v>372</v>
      </c>
      <c r="N29" s="16">
        <v>254</v>
      </c>
      <c r="S29" s="9">
        <v>0.32291666666666669</v>
      </c>
      <c r="T29" s="16">
        <v>110</v>
      </c>
      <c r="U29" s="16">
        <v>72</v>
      </c>
      <c r="V29" s="16">
        <v>262</v>
      </c>
      <c r="W29" s="16">
        <v>389</v>
      </c>
    </row>
    <row r="30" spans="2:24" x14ac:dyDescent="0.25">
      <c r="B30" s="9">
        <v>0.33333333333333331</v>
      </c>
      <c r="C30" s="16">
        <v>763</v>
      </c>
      <c r="J30" s="9">
        <v>0.33333333333333331</v>
      </c>
      <c r="K30" s="16">
        <v>68</v>
      </c>
      <c r="L30" s="16">
        <v>133</v>
      </c>
      <c r="M30" s="16">
        <v>300</v>
      </c>
      <c r="N30" s="16">
        <v>262</v>
      </c>
      <c r="S30" s="9">
        <v>0.33333333333333331</v>
      </c>
      <c r="T30" s="16">
        <v>120</v>
      </c>
      <c r="U30" s="16">
        <v>72</v>
      </c>
      <c r="V30" s="16">
        <v>271</v>
      </c>
      <c r="W30" s="16">
        <v>300</v>
      </c>
    </row>
    <row r="31" spans="2:24" x14ac:dyDescent="0.25">
      <c r="B31" s="9">
        <v>0.34375</v>
      </c>
      <c r="C31" s="16">
        <v>796</v>
      </c>
      <c r="J31" s="9">
        <v>0.34375</v>
      </c>
      <c r="K31" s="16">
        <v>93</v>
      </c>
      <c r="L31" s="16">
        <v>121</v>
      </c>
      <c r="M31" s="16">
        <v>323</v>
      </c>
      <c r="N31" s="16">
        <v>259</v>
      </c>
      <c r="S31" s="9">
        <v>0.34375</v>
      </c>
      <c r="T31" s="16">
        <v>104</v>
      </c>
      <c r="U31" s="16">
        <v>114</v>
      </c>
      <c r="V31" s="16">
        <v>259</v>
      </c>
      <c r="W31" s="16">
        <v>319</v>
      </c>
    </row>
    <row r="32" spans="2:24" x14ac:dyDescent="0.25">
      <c r="B32" s="9">
        <v>0.35416666666666669</v>
      </c>
      <c r="C32" s="16">
        <v>824</v>
      </c>
      <c r="J32" s="9">
        <v>0.35416666666666669</v>
      </c>
      <c r="K32" s="16">
        <v>80</v>
      </c>
      <c r="L32" s="16">
        <v>136</v>
      </c>
      <c r="M32" s="16">
        <v>315</v>
      </c>
      <c r="N32" s="16">
        <v>293</v>
      </c>
      <c r="S32" s="9">
        <v>0.35416666666666669</v>
      </c>
      <c r="T32" s="16">
        <v>99</v>
      </c>
      <c r="U32" s="16">
        <v>95</v>
      </c>
      <c r="V32" s="16">
        <v>310</v>
      </c>
      <c r="W32" s="16">
        <v>320</v>
      </c>
    </row>
    <row r="33" spans="2:23" x14ac:dyDescent="0.25">
      <c r="B33" s="9">
        <v>0.36458333333333331</v>
      </c>
      <c r="C33" s="16">
        <v>675</v>
      </c>
      <c r="J33" s="9">
        <v>0.36458333333333331</v>
      </c>
      <c r="K33" s="16">
        <v>62</v>
      </c>
      <c r="L33" s="16">
        <v>102</v>
      </c>
      <c r="M33" s="16">
        <v>296</v>
      </c>
      <c r="N33" s="16">
        <v>215</v>
      </c>
      <c r="S33" s="9">
        <v>0.36458333333333331</v>
      </c>
      <c r="T33" s="16">
        <v>77</v>
      </c>
      <c r="U33" s="16">
        <v>86</v>
      </c>
      <c r="V33" s="16">
        <v>207</v>
      </c>
      <c r="W33" s="16">
        <v>305</v>
      </c>
    </row>
    <row r="34" spans="2:23" x14ac:dyDescent="0.25">
      <c r="B34" s="9" t="s">
        <v>49</v>
      </c>
      <c r="C34" s="16">
        <v>6207</v>
      </c>
      <c r="J34" s="9" t="s">
        <v>49</v>
      </c>
      <c r="K34" s="16">
        <v>589</v>
      </c>
      <c r="L34" s="16">
        <v>1024</v>
      </c>
      <c r="M34" s="16">
        <v>2625</v>
      </c>
      <c r="N34" s="16">
        <v>1969</v>
      </c>
      <c r="S34" s="9" t="s">
        <v>49</v>
      </c>
      <c r="T34" s="16">
        <v>840</v>
      </c>
      <c r="U34" s="16">
        <v>665</v>
      </c>
      <c r="V34" s="16">
        <v>2086</v>
      </c>
      <c r="W34" s="16">
        <v>2616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3216 vehicles between 07:45 and 08:45</v>
      </c>
    </row>
    <row r="5" spans="2:2" x14ac:dyDescent="0.25">
      <c r="B5" s="6" t="str">
        <f>PeakCalc!I8</f>
        <v>The peak hour for INT is 2613 vehicles between 13:00 and 14:00</v>
      </c>
    </row>
    <row r="6" spans="2:2" x14ac:dyDescent="0.25">
      <c r="B6" s="6" t="str">
        <f>PeakCalc!J8</f>
        <v>The peak hour for PM is 3672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95</v>
      </c>
      <c r="C32">
        <v>1222</v>
      </c>
      <c r="D32">
        <v>86</v>
      </c>
      <c r="E32">
        <v>2</v>
      </c>
      <c r="F32">
        <v>1310</v>
      </c>
      <c r="G32">
        <v>1211</v>
      </c>
      <c r="H32">
        <v>50</v>
      </c>
      <c r="I32">
        <v>4</v>
      </c>
      <c r="J32">
        <v>1265</v>
      </c>
      <c r="K32">
        <v>891</v>
      </c>
      <c r="L32">
        <v>81</v>
      </c>
      <c r="M32">
        <v>2</v>
      </c>
      <c r="N32">
        <v>974</v>
      </c>
    </row>
    <row r="33" spans="2:14" x14ac:dyDescent="0.25">
      <c r="B33" s="14" t="s">
        <v>99</v>
      </c>
      <c r="C33">
        <v>84</v>
      </c>
      <c r="D33">
        <v>2</v>
      </c>
      <c r="E33">
        <v>0</v>
      </c>
      <c r="F33">
        <v>86</v>
      </c>
      <c r="G33">
        <v>71</v>
      </c>
      <c r="H33">
        <v>2</v>
      </c>
      <c r="I33">
        <v>0</v>
      </c>
      <c r="J33">
        <v>73</v>
      </c>
      <c r="K33">
        <v>37</v>
      </c>
      <c r="L33">
        <v>2</v>
      </c>
      <c r="M33">
        <v>1</v>
      </c>
      <c r="N33">
        <v>40</v>
      </c>
    </row>
    <row r="34" spans="2:14" x14ac:dyDescent="0.25">
      <c r="B34" s="14" t="s">
        <v>100</v>
      </c>
      <c r="C34">
        <v>1011</v>
      </c>
      <c r="D34">
        <v>79</v>
      </c>
      <c r="E34">
        <v>2</v>
      </c>
      <c r="F34">
        <v>1092</v>
      </c>
      <c r="G34">
        <v>944</v>
      </c>
      <c r="H34">
        <v>38</v>
      </c>
      <c r="I34">
        <v>3</v>
      </c>
      <c r="J34">
        <v>985</v>
      </c>
      <c r="K34">
        <v>752</v>
      </c>
      <c r="L34">
        <v>69</v>
      </c>
      <c r="M34">
        <v>1</v>
      </c>
      <c r="N34">
        <v>822</v>
      </c>
    </row>
    <row r="35" spans="2:14" x14ac:dyDescent="0.25">
      <c r="B35" s="14" t="s">
        <v>101</v>
      </c>
      <c r="C35">
        <v>127</v>
      </c>
      <c r="D35">
        <v>5</v>
      </c>
      <c r="E35">
        <v>0</v>
      </c>
      <c r="F35">
        <v>132</v>
      </c>
      <c r="G35">
        <v>195</v>
      </c>
      <c r="H35">
        <v>10</v>
      </c>
      <c r="I35">
        <v>1</v>
      </c>
      <c r="J35">
        <v>206</v>
      </c>
      <c r="K35">
        <v>102</v>
      </c>
      <c r="L35">
        <v>10</v>
      </c>
      <c r="M35">
        <v>0</v>
      </c>
      <c r="N35">
        <v>112</v>
      </c>
    </row>
    <row r="36" spans="2:14" x14ac:dyDescent="0.25">
      <c r="B36" s="14" t="s">
        <v>98</v>
      </c>
      <c r="C36">
        <v>0</v>
      </c>
      <c r="D36">
        <v>0</v>
      </c>
      <c r="E36">
        <v>0</v>
      </c>
      <c r="F36">
        <v>0</v>
      </c>
      <c r="G36">
        <v>1</v>
      </c>
      <c r="H36">
        <v>0</v>
      </c>
      <c r="I36">
        <v>0</v>
      </c>
      <c r="J36">
        <v>1</v>
      </c>
      <c r="K36">
        <v>0</v>
      </c>
      <c r="L36">
        <v>0</v>
      </c>
      <c r="M36">
        <v>0</v>
      </c>
      <c r="N36">
        <v>0</v>
      </c>
    </row>
    <row r="37" spans="2:14" x14ac:dyDescent="0.25">
      <c r="B37" s="10" t="s">
        <v>92</v>
      </c>
      <c r="C37">
        <v>292</v>
      </c>
      <c r="D37">
        <v>24</v>
      </c>
      <c r="E37">
        <v>1</v>
      </c>
      <c r="F37">
        <v>317</v>
      </c>
      <c r="G37">
        <v>584</v>
      </c>
      <c r="H37">
        <v>19</v>
      </c>
      <c r="I37">
        <v>1</v>
      </c>
      <c r="J37">
        <v>604</v>
      </c>
      <c r="K37">
        <v>335</v>
      </c>
      <c r="L37">
        <v>24</v>
      </c>
      <c r="M37">
        <v>1</v>
      </c>
      <c r="N37">
        <v>360</v>
      </c>
    </row>
    <row r="38" spans="2:14" x14ac:dyDescent="0.25">
      <c r="B38" s="14" t="s">
        <v>102</v>
      </c>
      <c r="C38">
        <v>105</v>
      </c>
      <c r="D38">
        <v>5</v>
      </c>
      <c r="E38">
        <v>0</v>
      </c>
      <c r="F38">
        <v>110</v>
      </c>
      <c r="G38">
        <v>118</v>
      </c>
      <c r="H38">
        <v>2</v>
      </c>
      <c r="I38">
        <v>0</v>
      </c>
      <c r="J38">
        <v>120</v>
      </c>
      <c r="K38">
        <v>97</v>
      </c>
      <c r="L38">
        <v>4</v>
      </c>
      <c r="M38">
        <v>0</v>
      </c>
      <c r="N38">
        <v>101</v>
      </c>
    </row>
    <row r="39" spans="2:14" x14ac:dyDescent="0.25">
      <c r="B39" s="14" t="s">
        <v>103</v>
      </c>
      <c r="C39">
        <v>136</v>
      </c>
      <c r="D39">
        <v>11</v>
      </c>
      <c r="E39">
        <v>1</v>
      </c>
      <c r="F39">
        <v>148</v>
      </c>
      <c r="G39">
        <v>356</v>
      </c>
      <c r="H39">
        <v>17</v>
      </c>
      <c r="I39">
        <v>1</v>
      </c>
      <c r="J39">
        <v>374</v>
      </c>
      <c r="K39">
        <v>173</v>
      </c>
      <c r="L39">
        <v>14</v>
      </c>
      <c r="M39">
        <v>1</v>
      </c>
      <c r="N39">
        <v>188</v>
      </c>
    </row>
    <row r="40" spans="2:14" x14ac:dyDescent="0.25">
      <c r="B40" s="14" t="s">
        <v>104</v>
      </c>
      <c r="C40">
        <v>51</v>
      </c>
      <c r="D40">
        <v>8</v>
      </c>
      <c r="E40">
        <v>0</v>
      </c>
      <c r="F40">
        <v>59</v>
      </c>
      <c r="G40">
        <v>110</v>
      </c>
      <c r="H40">
        <v>0</v>
      </c>
      <c r="I40">
        <v>0</v>
      </c>
      <c r="J40">
        <v>110</v>
      </c>
      <c r="K40">
        <v>65</v>
      </c>
      <c r="L40">
        <v>6</v>
      </c>
      <c r="M40">
        <v>0</v>
      </c>
      <c r="N40">
        <v>71</v>
      </c>
    </row>
    <row r="41" spans="2:14" x14ac:dyDescent="0.25">
      <c r="B41" s="10" t="s">
        <v>96</v>
      </c>
      <c r="C41">
        <v>987</v>
      </c>
      <c r="D41">
        <v>78</v>
      </c>
      <c r="E41">
        <v>3</v>
      </c>
      <c r="F41">
        <v>1068</v>
      </c>
      <c r="G41">
        <v>1380</v>
      </c>
      <c r="H41">
        <v>45</v>
      </c>
      <c r="I41">
        <v>4</v>
      </c>
      <c r="J41">
        <v>1429</v>
      </c>
      <c r="K41">
        <v>878</v>
      </c>
      <c r="L41">
        <v>70</v>
      </c>
      <c r="M41">
        <v>0</v>
      </c>
      <c r="N41">
        <v>948</v>
      </c>
    </row>
    <row r="42" spans="2:14" x14ac:dyDescent="0.25">
      <c r="B42" s="14" t="s">
        <v>98</v>
      </c>
      <c r="C42">
        <v>13</v>
      </c>
      <c r="D42">
        <v>0</v>
      </c>
      <c r="E42">
        <v>0</v>
      </c>
      <c r="F42">
        <v>13</v>
      </c>
      <c r="G42">
        <v>8</v>
      </c>
      <c r="H42">
        <v>0</v>
      </c>
      <c r="I42">
        <v>0</v>
      </c>
      <c r="J42">
        <v>8</v>
      </c>
      <c r="K42">
        <v>7</v>
      </c>
      <c r="L42">
        <v>0</v>
      </c>
      <c r="M42">
        <v>0</v>
      </c>
      <c r="N42">
        <v>7</v>
      </c>
    </row>
    <row r="43" spans="2:14" x14ac:dyDescent="0.25">
      <c r="B43" s="14" t="s">
        <v>105</v>
      </c>
      <c r="C43">
        <v>68</v>
      </c>
      <c r="D43">
        <v>5</v>
      </c>
      <c r="E43">
        <v>0</v>
      </c>
      <c r="F43">
        <v>73</v>
      </c>
      <c r="G43">
        <v>243</v>
      </c>
      <c r="H43">
        <v>3</v>
      </c>
      <c r="I43">
        <v>0</v>
      </c>
      <c r="J43">
        <v>246</v>
      </c>
      <c r="K43">
        <v>81</v>
      </c>
      <c r="L43">
        <v>3</v>
      </c>
      <c r="M43">
        <v>0</v>
      </c>
      <c r="N43">
        <v>84</v>
      </c>
    </row>
    <row r="44" spans="2:14" x14ac:dyDescent="0.25">
      <c r="B44" s="14" t="s">
        <v>106</v>
      </c>
      <c r="C44">
        <v>841</v>
      </c>
      <c r="D44">
        <v>70</v>
      </c>
      <c r="E44">
        <v>3</v>
      </c>
      <c r="F44">
        <v>914</v>
      </c>
      <c r="G44">
        <v>1043</v>
      </c>
      <c r="H44">
        <v>41</v>
      </c>
      <c r="I44">
        <v>4</v>
      </c>
      <c r="J44">
        <v>1088</v>
      </c>
      <c r="K44">
        <v>700</v>
      </c>
      <c r="L44">
        <v>63</v>
      </c>
      <c r="M44">
        <v>0</v>
      </c>
      <c r="N44">
        <v>763</v>
      </c>
    </row>
    <row r="45" spans="2:14" x14ac:dyDescent="0.25">
      <c r="B45" s="14" t="s">
        <v>93</v>
      </c>
      <c r="C45">
        <v>65</v>
      </c>
      <c r="D45">
        <v>3</v>
      </c>
      <c r="E45">
        <v>0</v>
      </c>
      <c r="F45">
        <v>68</v>
      </c>
      <c r="G45">
        <v>86</v>
      </c>
      <c r="H45">
        <v>1</v>
      </c>
      <c r="I45">
        <v>0</v>
      </c>
      <c r="J45">
        <v>87</v>
      </c>
      <c r="K45">
        <v>90</v>
      </c>
      <c r="L45">
        <v>4</v>
      </c>
      <c r="M45">
        <v>0</v>
      </c>
      <c r="N45">
        <v>94</v>
      </c>
    </row>
    <row r="46" spans="2:14" x14ac:dyDescent="0.25">
      <c r="B46" s="10" t="s">
        <v>97</v>
      </c>
      <c r="C46">
        <v>496</v>
      </c>
      <c r="D46">
        <v>24</v>
      </c>
      <c r="E46">
        <v>1</v>
      </c>
      <c r="F46">
        <v>521</v>
      </c>
      <c r="G46">
        <v>361</v>
      </c>
      <c r="H46">
        <v>12</v>
      </c>
      <c r="I46">
        <v>1</v>
      </c>
      <c r="J46">
        <v>374</v>
      </c>
      <c r="K46">
        <v>301</v>
      </c>
      <c r="L46">
        <v>29</v>
      </c>
      <c r="M46">
        <v>1</v>
      </c>
      <c r="N46">
        <v>331</v>
      </c>
    </row>
    <row r="47" spans="2:14" x14ac:dyDescent="0.25">
      <c r="B47" s="14" t="s">
        <v>107</v>
      </c>
      <c r="C47">
        <v>120</v>
      </c>
      <c r="D47">
        <v>9</v>
      </c>
      <c r="E47">
        <v>0</v>
      </c>
      <c r="F47">
        <v>129</v>
      </c>
      <c r="G47">
        <v>123</v>
      </c>
      <c r="H47">
        <v>4</v>
      </c>
      <c r="I47">
        <v>0</v>
      </c>
      <c r="J47">
        <v>127</v>
      </c>
      <c r="K47">
        <v>93</v>
      </c>
      <c r="L47">
        <v>9</v>
      </c>
      <c r="M47">
        <v>1</v>
      </c>
      <c r="N47">
        <v>103</v>
      </c>
    </row>
    <row r="48" spans="2:14" x14ac:dyDescent="0.25">
      <c r="B48" s="14" t="s">
        <v>108</v>
      </c>
      <c r="C48">
        <v>272</v>
      </c>
      <c r="D48">
        <v>7</v>
      </c>
      <c r="E48">
        <v>0</v>
      </c>
      <c r="F48">
        <v>279</v>
      </c>
      <c r="G48">
        <v>155</v>
      </c>
      <c r="H48">
        <v>7</v>
      </c>
      <c r="I48">
        <v>1</v>
      </c>
      <c r="J48">
        <v>163</v>
      </c>
      <c r="K48">
        <v>125</v>
      </c>
      <c r="L48">
        <v>12</v>
      </c>
      <c r="M48">
        <v>0</v>
      </c>
      <c r="N48">
        <v>137</v>
      </c>
    </row>
    <row r="49" spans="2:14" x14ac:dyDescent="0.25">
      <c r="B49" s="14" t="s">
        <v>109</v>
      </c>
      <c r="C49">
        <v>104</v>
      </c>
      <c r="D49">
        <v>8</v>
      </c>
      <c r="E49">
        <v>1</v>
      </c>
      <c r="F49">
        <v>113</v>
      </c>
      <c r="G49">
        <v>83</v>
      </c>
      <c r="H49">
        <v>1</v>
      </c>
      <c r="I49">
        <v>0</v>
      </c>
      <c r="J49">
        <v>84</v>
      </c>
      <c r="K49">
        <v>83</v>
      </c>
      <c r="L49">
        <v>8</v>
      </c>
      <c r="M49">
        <v>0</v>
      </c>
      <c r="N49">
        <v>91</v>
      </c>
    </row>
    <row r="50" spans="2:14" x14ac:dyDescent="0.25">
      <c r="B50" s="10" t="s">
        <v>49</v>
      </c>
      <c r="C50">
        <v>2997</v>
      </c>
      <c r="D50">
        <v>212</v>
      </c>
      <c r="E50">
        <v>7</v>
      </c>
      <c r="F50">
        <v>3216</v>
      </c>
      <c r="G50">
        <v>3536</v>
      </c>
      <c r="H50">
        <v>126</v>
      </c>
      <c r="I50">
        <v>10</v>
      </c>
      <c r="J50">
        <v>3672</v>
      </c>
      <c r="K50">
        <v>2405</v>
      </c>
      <c r="L50">
        <v>204</v>
      </c>
      <c r="M50">
        <v>4</v>
      </c>
      <c r="N50">
        <v>2613</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9FD2-448C-4FD8-ACDE-41A2F3A0E41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98</v>
      </c>
      <c r="J14" s="54" t="s">
        <v>158</v>
      </c>
      <c r="K14" s="54" t="s">
        <v>157</v>
      </c>
      <c r="L14" s="54" t="s">
        <v>156</v>
      </c>
      <c r="M14" s="54" t="s">
        <v>155</v>
      </c>
      <c r="N14" s="54" t="s">
        <v>154</v>
      </c>
      <c r="O14" s="54" t="s">
        <v>153</v>
      </c>
      <c r="P14" s="54" t="s">
        <v>152</v>
      </c>
      <c r="Q14" s="54" t="s">
        <v>98</v>
      </c>
      <c r="R14" s="54" t="s">
        <v>158</v>
      </c>
      <c r="S14" s="54" t="s">
        <v>157</v>
      </c>
      <c r="T14" s="54" t="s">
        <v>156</v>
      </c>
      <c r="U14" s="54" t="s">
        <v>155</v>
      </c>
      <c r="V14" s="54" t="s">
        <v>154</v>
      </c>
      <c r="W14" s="54" t="s">
        <v>153</v>
      </c>
      <c r="X14" s="54" t="s">
        <v>152</v>
      </c>
      <c r="Y14" s="54" t="s">
        <v>98</v>
      </c>
      <c r="Z14" s="54" t="s">
        <v>158</v>
      </c>
      <c r="AA14" s="54" t="s">
        <v>157</v>
      </c>
      <c r="AB14" s="54" t="s">
        <v>156</v>
      </c>
      <c r="AC14" s="54" t="s">
        <v>155</v>
      </c>
      <c r="AD14" s="54" t="s">
        <v>154</v>
      </c>
      <c r="AE14" s="54" t="s">
        <v>153</v>
      </c>
      <c r="AF14" s="54" t="s">
        <v>152</v>
      </c>
      <c r="AG14" s="54" t="s">
        <v>98</v>
      </c>
      <c r="AH14" s="54" t="s">
        <v>158</v>
      </c>
      <c r="AI14" s="54" t="s">
        <v>157</v>
      </c>
      <c r="AJ14" s="54" t="s">
        <v>156</v>
      </c>
      <c r="AK14" s="54" t="s">
        <v>155</v>
      </c>
      <c r="AL14" s="54" t="s">
        <v>154</v>
      </c>
      <c r="AM14" s="54" t="s">
        <v>153</v>
      </c>
      <c r="AN14" s="54" t="s">
        <v>152</v>
      </c>
      <c r="AO14" s="54" t="s">
        <v>98</v>
      </c>
      <c r="AP14" s="54" t="s">
        <v>158</v>
      </c>
      <c r="AQ14" s="54" t="s">
        <v>157</v>
      </c>
      <c r="AR14" s="54" t="s">
        <v>156</v>
      </c>
      <c r="AS14" s="54" t="s">
        <v>155</v>
      </c>
      <c r="AT14" s="54" t="s">
        <v>154</v>
      </c>
      <c r="AU14" s="54" t="s">
        <v>153</v>
      </c>
      <c r="AV14" s="54" t="s">
        <v>152</v>
      </c>
      <c r="AW14" s="54" t="s">
        <v>98</v>
      </c>
      <c r="AX14" s="54" t="s">
        <v>158</v>
      </c>
      <c r="AY14" s="54" t="s">
        <v>157</v>
      </c>
      <c r="AZ14" s="54" t="s">
        <v>156</v>
      </c>
      <c r="BA14" s="54" t="s">
        <v>155</v>
      </c>
      <c r="BB14" s="54" t="s">
        <v>154</v>
      </c>
      <c r="BC14" s="54" t="s">
        <v>153</v>
      </c>
      <c r="BD14" s="54" t="s">
        <v>152</v>
      </c>
      <c r="BE14" s="54" t="s">
        <v>98</v>
      </c>
      <c r="BF14" s="54" t="s">
        <v>158</v>
      </c>
      <c r="BG14" s="54" t="s">
        <v>157</v>
      </c>
      <c r="BH14" s="54" t="s">
        <v>156</v>
      </c>
      <c r="BI14" s="54" t="s">
        <v>155</v>
      </c>
      <c r="BJ14" s="54" t="s">
        <v>154</v>
      </c>
      <c r="BK14" s="54" t="s">
        <v>153</v>
      </c>
      <c r="BL14" s="54" t="s">
        <v>152</v>
      </c>
      <c r="BM14" s="54" t="s">
        <v>98</v>
      </c>
    </row>
    <row r="15" spans="1:65" ht="15" customHeight="1" x14ac:dyDescent="0.2">
      <c r="A15" s="53" t="s">
        <v>151</v>
      </c>
      <c r="B15" s="53" t="s">
        <v>129</v>
      </c>
      <c r="C15" s="53">
        <v>16</v>
      </c>
      <c r="D15" s="53" t="s">
        <v>129</v>
      </c>
      <c r="E15" s="53">
        <v>262</v>
      </c>
      <c r="F15" s="53" t="s">
        <v>129</v>
      </c>
      <c r="G15" s="53">
        <v>29</v>
      </c>
      <c r="H15" s="53" t="s">
        <v>129</v>
      </c>
      <c r="I15" s="53">
        <v>0</v>
      </c>
      <c r="J15" s="53" t="s">
        <v>129</v>
      </c>
      <c r="K15" s="53" t="s">
        <v>129</v>
      </c>
      <c r="L15" s="53" t="s">
        <v>129</v>
      </c>
      <c r="M15" s="53" t="s">
        <v>129</v>
      </c>
      <c r="N15" s="53" t="s">
        <v>129</v>
      </c>
      <c r="O15" s="53" t="s">
        <v>129</v>
      </c>
      <c r="P15" s="53" t="s">
        <v>129</v>
      </c>
      <c r="Q15" s="53" t="s">
        <v>129</v>
      </c>
      <c r="R15" s="53" t="s">
        <v>129</v>
      </c>
      <c r="S15" s="53">
        <v>21</v>
      </c>
      <c r="T15" s="53" t="s">
        <v>129</v>
      </c>
      <c r="U15" s="53">
        <v>32</v>
      </c>
      <c r="V15" s="53" t="s">
        <v>129</v>
      </c>
      <c r="W15" s="53">
        <v>17</v>
      </c>
      <c r="X15" s="53" t="s">
        <v>129</v>
      </c>
      <c r="Y15" s="53">
        <v>0</v>
      </c>
      <c r="Z15" s="53" t="s">
        <v>129</v>
      </c>
      <c r="AA15" s="53" t="s">
        <v>129</v>
      </c>
      <c r="AB15" s="53" t="s">
        <v>129</v>
      </c>
      <c r="AC15" s="53" t="s">
        <v>129</v>
      </c>
      <c r="AD15" s="53" t="s">
        <v>129</v>
      </c>
      <c r="AE15" s="53" t="s">
        <v>129</v>
      </c>
      <c r="AF15" s="53" t="s">
        <v>129</v>
      </c>
      <c r="AG15" s="53" t="s">
        <v>129</v>
      </c>
      <c r="AH15" s="53" t="s">
        <v>129</v>
      </c>
      <c r="AI15" s="53">
        <v>8</v>
      </c>
      <c r="AJ15" s="53" t="s">
        <v>129</v>
      </c>
      <c r="AK15" s="53">
        <v>154</v>
      </c>
      <c r="AL15" s="53" t="s">
        <v>129</v>
      </c>
      <c r="AM15" s="53">
        <v>10</v>
      </c>
      <c r="AN15" s="53" t="s">
        <v>129</v>
      </c>
      <c r="AO15" s="53">
        <v>1</v>
      </c>
      <c r="AP15" s="53" t="s">
        <v>129</v>
      </c>
      <c r="AQ15" s="53" t="s">
        <v>129</v>
      </c>
      <c r="AR15" s="53" t="s">
        <v>129</v>
      </c>
      <c r="AS15" s="53" t="s">
        <v>129</v>
      </c>
      <c r="AT15" s="53" t="s">
        <v>129</v>
      </c>
      <c r="AU15" s="53" t="s">
        <v>129</v>
      </c>
      <c r="AV15" s="53" t="s">
        <v>129</v>
      </c>
      <c r="AW15" s="53" t="s">
        <v>129</v>
      </c>
      <c r="AX15" s="53" t="s">
        <v>129</v>
      </c>
      <c r="AY15" s="53">
        <v>37</v>
      </c>
      <c r="AZ15" s="53" t="s">
        <v>129</v>
      </c>
      <c r="BA15" s="53">
        <v>55</v>
      </c>
      <c r="BB15" s="53" t="s">
        <v>129</v>
      </c>
      <c r="BC15" s="53">
        <v>15</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26</v>
      </c>
      <c r="D16" s="53" t="s">
        <v>129</v>
      </c>
      <c r="E16" s="53">
        <v>303</v>
      </c>
      <c r="F16" s="53" t="s">
        <v>129</v>
      </c>
      <c r="G16" s="53">
        <v>33</v>
      </c>
      <c r="H16" s="53" t="s">
        <v>129</v>
      </c>
      <c r="I16" s="53">
        <v>0</v>
      </c>
      <c r="J16" s="53" t="s">
        <v>129</v>
      </c>
      <c r="K16" s="53" t="s">
        <v>129</v>
      </c>
      <c r="L16" s="53" t="s">
        <v>129</v>
      </c>
      <c r="M16" s="53" t="s">
        <v>129</v>
      </c>
      <c r="N16" s="53" t="s">
        <v>129</v>
      </c>
      <c r="O16" s="53" t="s">
        <v>129</v>
      </c>
      <c r="P16" s="53" t="s">
        <v>129</v>
      </c>
      <c r="Q16" s="53" t="s">
        <v>129</v>
      </c>
      <c r="R16" s="53" t="s">
        <v>129</v>
      </c>
      <c r="S16" s="53">
        <v>21</v>
      </c>
      <c r="T16" s="53" t="s">
        <v>129</v>
      </c>
      <c r="U16" s="53">
        <v>24</v>
      </c>
      <c r="V16" s="53" t="s">
        <v>129</v>
      </c>
      <c r="W16" s="53">
        <v>13</v>
      </c>
      <c r="X16" s="53" t="s">
        <v>129</v>
      </c>
      <c r="Y16" s="53">
        <v>0</v>
      </c>
      <c r="Z16" s="53" t="s">
        <v>129</v>
      </c>
      <c r="AA16" s="53" t="s">
        <v>129</v>
      </c>
      <c r="AB16" s="53" t="s">
        <v>129</v>
      </c>
      <c r="AC16" s="53" t="s">
        <v>129</v>
      </c>
      <c r="AD16" s="53" t="s">
        <v>129</v>
      </c>
      <c r="AE16" s="53" t="s">
        <v>129</v>
      </c>
      <c r="AF16" s="53" t="s">
        <v>129</v>
      </c>
      <c r="AG16" s="53" t="s">
        <v>129</v>
      </c>
      <c r="AH16" s="53" t="s">
        <v>129</v>
      </c>
      <c r="AI16" s="53">
        <v>12</v>
      </c>
      <c r="AJ16" s="53" t="s">
        <v>129</v>
      </c>
      <c r="AK16" s="53">
        <v>193</v>
      </c>
      <c r="AL16" s="53" t="s">
        <v>129</v>
      </c>
      <c r="AM16" s="53">
        <v>22</v>
      </c>
      <c r="AN16" s="53" t="s">
        <v>129</v>
      </c>
      <c r="AO16" s="53">
        <v>2</v>
      </c>
      <c r="AP16" s="53" t="s">
        <v>129</v>
      </c>
      <c r="AQ16" s="53" t="s">
        <v>129</v>
      </c>
      <c r="AR16" s="53" t="s">
        <v>129</v>
      </c>
      <c r="AS16" s="53" t="s">
        <v>129</v>
      </c>
      <c r="AT16" s="53" t="s">
        <v>129</v>
      </c>
      <c r="AU16" s="53" t="s">
        <v>129</v>
      </c>
      <c r="AV16" s="53" t="s">
        <v>129</v>
      </c>
      <c r="AW16" s="53" t="s">
        <v>129</v>
      </c>
      <c r="AX16" s="53" t="s">
        <v>129</v>
      </c>
      <c r="AY16" s="53">
        <v>33</v>
      </c>
      <c r="AZ16" s="53" t="s">
        <v>129</v>
      </c>
      <c r="BA16" s="53">
        <v>67</v>
      </c>
      <c r="BB16" s="53" t="s">
        <v>129</v>
      </c>
      <c r="BC16" s="53">
        <v>26</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18</v>
      </c>
      <c r="D17" s="53" t="s">
        <v>129</v>
      </c>
      <c r="E17" s="53">
        <v>245</v>
      </c>
      <c r="F17" s="53" t="s">
        <v>129</v>
      </c>
      <c r="G17" s="53">
        <v>36</v>
      </c>
      <c r="H17" s="53" t="s">
        <v>129</v>
      </c>
      <c r="I17" s="53">
        <v>0</v>
      </c>
      <c r="J17" s="53" t="s">
        <v>129</v>
      </c>
      <c r="K17" s="53" t="s">
        <v>129</v>
      </c>
      <c r="L17" s="53" t="s">
        <v>129</v>
      </c>
      <c r="M17" s="53" t="s">
        <v>129</v>
      </c>
      <c r="N17" s="53" t="s">
        <v>129</v>
      </c>
      <c r="O17" s="53" t="s">
        <v>129</v>
      </c>
      <c r="P17" s="53" t="s">
        <v>129</v>
      </c>
      <c r="Q17" s="53" t="s">
        <v>129</v>
      </c>
      <c r="R17" s="53" t="s">
        <v>129</v>
      </c>
      <c r="S17" s="53">
        <v>17</v>
      </c>
      <c r="T17" s="53" t="s">
        <v>129</v>
      </c>
      <c r="U17" s="53">
        <v>37</v>
      </c>
      <c r="V17" s="53" t="s">
        <v>129</v>
      </c>
      <c r="W17" s="53">
        <v>19</v>
      </c>
      <c r="X17" s="53" t="s">
        <v>129</v>
      </c>
      <c r="Y17" s="53">
        <v>0</v>
      </c>
      <c r="Z17" s="53" t="s">
        <v>129</v>
      </c>
      <c r="AA17" s="53" t="s">
        <v>129</v>
      </c>
      <c r="AB17" s="53" t="s">
        <v>129</v>
      </c>
      <c r="AC17" s="53" t="s">
        <v>129</v>
      </c>
      <c r="AD17" s="53" t="s">
        <v>129</v>
      </c>
      <c r="AE17" s="53" t="s">
        <v>129</v>
      </c>
      <c r="AF17" s="53" t="s">
        <v>129</v>
      </c>
      <c r="AG17" s="53" t="s">
        <v>129</v>
      </c>
      <c r="AH17" s="53" t="s">
        <v>129</v>
      </c>
      <c r="AI17" s="53">
        <v>6</v>
      </c>
      <c r="AJ17" s="53" t="s">
        <v>129</v>
      </c>
      <c r="AK17" s="53">
        <v>208</v>
      </c>
      <c r="AL17" s="53" t="s">
        <v>129</v>
      </c>
      <c r="AM17" s="53">
        <v>12</v>
      </c>
      <c r="AN17" s="53" t="s">
        <v>129</v>
      </c>
      <c r="AO17" s="53">
        <v>0</v>
      </c>
      <c r="AP17" s="53" t="s">
        <v>129</v>
      </c>
      <c r="AQ17" s="53" t="s">
        <v>129</v>
      </c>
      <c r="AR17" s="53" t="s">
        <v>129</v>
      </c>
      <c r="AS17" s="53" t="s">
        <v>129</v>
      </c>
      <c r="AT17" s="53" t="s">
        <v>129</v>
      </c>
      <c r="AU17" s="53" t="s">
        <v>129</v>
      </c>
      <c r="AV17" s="53" t="s">
        <v>129</v>
      </c>
      <c r="AW17" s="53" t="s">
        <v>129</v>
      </c>
      <c r="AX17" s="53" t="s">
        <v>129</v>
      </c>
      <c r="AY17" s="53">
        <v>37</v>
      </c>
      <c r="AZ17" s="53" t="s">
        <v>129</v>
      </c>
      <c r="BA17" s="53">
        <v>89</v>
      </c>
      <c r="BB17" s="53" t="s">
        <v>129</v>
      </c>
      <c r="BC17" s="53">
        <v>18</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25</v>
      </c>
      <c r="D18" s="53" t="s">
        <v>129</v>
      </c>
      <c r="E18" s="53">
        <v>298</v>
      </c>
      <c r="F18" s="53" t="s">
        <v>129</v>
      </c>
      <c r="G18" s="53">
        <v>26</v>
      </c>
      <c r="H18" s="53" t="s">
        <v>129</v>
      </c>
      <c r="I18" s="53">
        <v>0</v>
      </c>
      <c r="J18" s="53" t="s">
        <v>129</v>
      </c>
      <c r="K18" s="53" t="s">
        <v>129</v>
      </c>
      <c r="L18" s="53" t="s">
        <v>129</v>
      </c>
      <c r="M18" s="53" t="s">
        <v>129</v>
      </c>
      <c r="N18" s="53" t="s">
        <v>129</v>
      </c>
      <c r="O18" s="53" t="s">
        <v>129</v>
      </c>
      <c r="P18" s="53" t="s">
        <v>129</v>
      </c>
      <c r="Q18" s="53" t="s">
        <v>129</v>
      </c>
      <c r="R18" s="53" t="s">
        <v>129</v>
      </c>
      <c r="S18" s="53">
        <v>29</v>
      </c>
      <c r="T18" s="53" t="s">
        <v>129</v>
      </c>
      <c r="U18" s="53">
        <v>29</v>
      </c>
      <c r="V18" s="53" t="s">
        <v>129</v>
      </c>
      <c r="W18" s="53">
        <v>13</v>
      </c>
      <c r="X18" s="53" t="s">
        <v>129</v>
      </c>
      <c r="Y18" s="53">
        <v>0</v>
      </c>
      <c r="Z18" s="53" t="s">
        <v>129</v>
      </c>
      <c r="AA18" s="53" t="s">
        <v>129</v>
      </c>
      <c r="AB18" s="53" t="s">
        <v>129</v>
      </c>
      <c r="AC18" s="53" t="s">
        <v>129</v>
      </c>
      <c r="AD18" s="53" t="s">
        <v>129</v>
      </c>
      <c r="AE18" s="53" t="s">
        <v>129</v>
      </c>
      <c r="AF18" s="53" t="s">
        <v>129</v>
      </c>
      <c r="AG18" s="53" t="s">
        <v>129</v>
      </c>
      <c r="AH18" s="53" t="s">
        <v>129</v>
      </c>
      <c r="AI18" s="53">
        <v>11</v>
      </c>
      <c r="AJ18" s="53" t="s">
        <v>129</v>
      </c>
      <c r="AK18" s="53">
        <v>209</v>
      </c>
      <c r="AL18" s="53" t="s">
        <v>129</v>
      </c>
      <c r="AM18" s="53">
        <v>15</v>
      </c>
      <c r="AN18" s="53" t="s">
        <v>129</v>
      </c>
      <c r="AO18" s="53">
        <v>3</v>
      </c>
      <c r="AP18" s="53" t="s">
        <v>129</v>
      </c>
      <c r="AQ18" s="53" t="s">
        <v>129</v>
      </c>
      <c r="AR18" s="53" t="s">
        <v>129</v>
      </c>
      <c r="AS18" s="53" t="s">
        <v>129</v>
      </c>
      <c r="AT18" s="53" t="s">
        <v>129</v>
      </c>
      <c r="AU18" s="53" t="s">
        <v>129</v>
      </c>
      <c r="AV18" s="53" t="s">
        <v>129</v>
      </c>
      <c r="AW18" s="53" t="s">
        <v>129</v>
      </c>
      <c r="AX18" s="53" t="s">
        <v>129</v>
      </c>
      <c r="AY18" s="53">
        <v>23</v>
      </c>
      <c r="AZ18" s="53" t="s">
        <v>129</v>
      </c>
      <c r="BA18" s="53">
        <v>67</v>
      </c>
      <c r="BB18" s="53" t="s">
        <v>129</v>
      </c>
      <c r="BC18" s="53">
        <v>36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15</v>
      </c>
      <c r="D19" s="53" t="s">
        <v>129</v>
      </c>
      <c r="E19" s="53">
        <v>234</v>
      </c>
      <c r="F19" s="53" t="s">
        <v>129</v>
      </c>
      <c r="G19" s="53">
        <v>30</v>
      </c>
      <c r="H19" s="53" t="s">
        <v>129</v>
      </c>
      <c r="I19" s="53">
        <v>0</v>
      </c>
      <c r="J19" s="53" t="s">
        <v>129</v>
      </c>
      <c r="K19" s="53" t="s">
        <v>129</v>
      </c>
      <c r="L19" s="53" t="s">
        <v>129</v>
      </c>
      <c r="M19" s="53" t="s">
        <v>129</v>
      </c>
      <c r="N19" s="53" t="s">
        <v>129</v>
      </c>
      <c r="O19" s="53" t="s">
        <v>129</v>
      </c>
      <c r="P19" s="53" t="s">
        <v>129</v>
      </c>
      <c r="Q19" s="53" t="s">
        <v>129</v>
      </c>
      <c r="R19" s="53" t="s">
        <v>129</v>
      </c>
      <c r="S19" s="53">
        <v>24</v>
      </c>
      <c r="T19" s="53" t="s">
        <v>129</v>
      </c>
      <c r="U19" s="53">
        <v>28</v>
      </c>
      <c r="V19" s="53" t="s">
        <v>129</v>
      </c>
      <c r="W19" s="53">
        <v>13</v>
      </c>
      <c r="X19" s="53" t="s">
        <v>129</v>
      </c>
      <c r="Y19" s="53">
        <v>0</v>
      </c>
      <c r="Z19" s="53" t="s">
        <v>129</v>
      </c>
      <c r="AA19" s="53" t="s">
        <v>129</v>
      </c>
      <c r="AB19" s="53" t="s">
        <v>129</v>
      </c>
      <c r="AC19" s="53" t="s">
        <v>129</v>
      </c>
      <c r="AD19" s="53" t="s">
        <v>129</v>
      </c>
      <c r="AE19" s="53" t="s">
        <v>129</v>
      </c>
      <c r="AF19" s="53" t="s">
        <v>129</v>
      </c>
      <c r="AG19" s="53" t="s">
        <v>129</v>
      </c>
      <c r="AH19" s="53" t="s">
        <v>129</v>
      </c>
      <c r="AI19" s="53">
        <v>10</v>
      </c>
      <c r="AJ19" s="53" t="s">
        <v>129</v>
      </c>
      <c r="AK19" s="53">
        <v>208</v>
      </c>
      <c r="AL19" s="53" t="s">
        <v>129</v>
      </c>
      <c r="AM19" s="53">
        <v>22</v>
      </c>
      <c r="AN19" s="53" t="s">
        <v>129</v>
      </c>
      <c r="AO19" s="53">
        <v>3</v>
      </c>
      <c r="AP19" s="53" t="s">
        <v>129</v>
      </c>
      <c r="AQ19" s="53" t="s">
        <v>129</v>
      </c>
      <c r="AR19" s="53" t="s">
        <v>129</v>
      </c>
      <c r="AS19" s="53" t="s">
        <v>129</v>
      </c>
      <c r="AT19" s="53" t="s">
        <v>129</v>
      </c>
      <c r="AU19" s="53" t="s">
        <v>129</v>
      </c>
      <c r="AV19" s="53" t="s">
        <v>129</v>
      </c>
      <c r="AW19" s="53" t="s">
        <v>129</v>
      </c>
      <c r="AX19" s="53" t="s">
        <v>129</v>
      </c>
      <c r="AY19" s="53">
        <v>29</v>
      </c>
      <c r="AZ19" s="53" t="s">
        <v>129</v>
      </c>
      <c r="BA19" s="53">
        <v>80</v>
      </c>
      <c r="BB19" s="53" t="s">
        <v>129</v>
      </c>
      <c r="BC19" s="53">
        <v>16</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20</v>
      </c>
      <c r="D20" s="53" t="s">
        <v>129</v>
      </c>
      <c r="E20" s="53">
        <v>243</v>
      </c>
      <c r="F20" s="53" t="s">
        <v>129</v>
      </c>
      <c r="G20" s="53">
        <v>41</v>
      </c>
      <c r="H20" s="53" t="s">
        <v>129</v>
      </c>
      <c r="I20" s="53">
        <v>0</v>
      </c>
      <c r="J20" s="53" t="s">
        <v>129</v>
      </c>
      <c r="K20" s="53" t="s">
        <v>129</v>
      </c>
      <c r="L20" s="53" t="s">
        <v>129</v>
      </c>
      <c r="M20" s="53" t="s">
        <v>129</v>
      </c>
      <c r="N20" s="53" t="s">
        <v>129</v>
      </c>
      <c r="O20" s="53" t="s">
        <v>129</v>
      </c>
      <c r="P20" s="53" t="s">
        <v>129</v>
      </c>
      <c r="Q20" s="53" t="s">
        <v>129</v>
      </c>
      <c r="R20" s="53" t="s">
        <v>129</v>
      </c>
      <c r="S20" s="53">
        <v>28</v>
      </c>
      <c r="T20" s="53" t="s">
        <v>129</v>
      </c>
      <c r="U20" s="53">
        <v>43</v>
      </c>
      <c r="V20" s="53" t="s">
        <v>129</v>
      </c>
      <c r="W20" s="53">
        <v>14</v>
      </c>
      <c r="X20" s="53" t="s">
        <v>129</v>
      </c>
      <c r="Y20" s="53">
        <v>0</v>
      </c>
      <c r="Z20" s="53" t="s">
        <v>129</v>
      </c>
      <c r="AA20" s="53" t="s">
        <v>129</v>
      </c>
      <c r="AB20" s="53" t="s">
        <v>129</v>
      </c>
      <c r="AC20" s="53" t="s">
        <v>129</v>
      </c>
      <c r="AD20" s="53" t="s">
        <v>129</v>
      </c>
      <c r="AE20" s="53" t="s">
        <v>129</v>
      </c>
      <c r="AF20" s="53" t="s">
        <v>129</v>
      </c>
      <c r="AG20" s="53" t="s">
        <v>129</v>
      </c>
      <c r="AH20" s="53" t="s">
        <v>129</v>
      </c>
      <c r="AI20" s="53">
        <v>25</v>
      </c>
      <c r="AJ20" s="53" t="s">
        <v>129</v>
      </c>
      <c r="AK20" s="53">
        <v>200</v>
      </c>
      <c r="AL20" s="53" t="s">
        <v>129</v>
      </c>
      <c r="AM20" s="53">
        <v>16</v>
      </c>
      <c r="AN20" s="53" t="s">
        <v>129</v>
      </c>
      <c r="AO20" s="53">
        <v>4</v>
      </c>
      <c r="AP20" s="53" t="s">
        <v>129</v>
      </c>
      <c r="AQ20" s="53" t="s">
        <v>129</v>
      </c>
      <c r="AR20" s="53" t="s">
        <v>129</v>
      </c>
      <c r="AS20" s="53" t="s">
        <v>129</v>
      </c>
      <c r="AT20" s="53" t="s">
        <v>129</v>
      </c>
      <c r="AU20" s="53" t="s">
        <v>129</v>
      </c>
      <c r="AV20" s="53" t="s">
        <v>129</v>
      </c>
      <c r="AW20" s="53" t="s">
        <v>129</v>
      </c>
      <c r="AX20" s="53" t="s">
        <v>129</v>
      </c>
      <c r="AY20" s="53">
        <v>26</v>
      </c>
      <c r="AZ20" s="53" t="s">
        <v>129</v>
      </c>
      <c r="BA20" s="53">
        <v>65</v>
      </c>
      <c r="BB20" s="53" t="s">
        <v>129</v>
      </c>
      <c r="BC20" s="53">
        <v>22</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24</v>
      </c>
      <c r="D21" s="53" t="s">
        <v>129</v>
      </c>
      <c r="E21" s="53">
        <v>236</v>
      </c>
      <c r="F21" s="53" t="s">
        <v>129</v>
      </c>
      <c r="G21" s="53">
        <v>30</v>
      </c>
      <c r="H21" s="53" t="s">
        <v>129</v>
      </c>
      <c r="I21" s="53">
        <v>0</v>
      </c>
      <c r="J21" s="53" t="s">
        <v>129</v>
      </c>
      <c r="K21" s="53" t="s">
        <v>129</v>
      </c>
      <c r="L21" s="53" t="s">
        <v>129</v>
      </c>
      <c r="M21" s="53" t="s">
        <v>129</v>
      </c>
      <c r="N21" s="53" t="s">
        <v>129</v>
      </c>
      <c r="O21" s="53" t="s">
        <v>129</v>
      </c>
      <c r="P21" s="53" t="s">
        <v>129</v>
      </c>
      <c r="Q21" s="53" t="s">
        <v>129</v>
      </c>
      <c r="R21" s="53" t="s">
        <v>129</v>
      </c>
      <c r="S21" s="53">
        <v>24</v>
      </c>
      <c r="T21" s="53" t="s">
        <v>129</v>
      </c>
      <c r="U21" s="53">
        <v>36</v>
      </c>
      <c r="V21" s="53" t="s">
        <v>129</v>
      </c>
      <c r="W21" s="53">
        <v>11</v>
      </c>
      <c r="X21" s="53" t="s">
        <v>129</v>
      </c>
      <c r="Y21" s="53">
        <v>0</v>
      </c>
      <c r="Z21" s="53" t="s">
        <v>129</v>
      </c>
      <c r="AA21" s="53" t="s">
        <v>129</v>
      </c>
      <c r="AB21" s="53" t="s">
        <v>129</v>
      </c>
      <c r="AC21" s="53" t="s">
        <v>129</v>
      </c>
      <c r="AD21" s="53" t="s">
        <v>129</v>
      </c>
      <c r="AE21" s="53" t="s">
        <v>129</v>
      </c>
      <c r="AF21" s="53" t="s">
        <v>129</v>
      </c>
      <c r="AG21" s="53" t="s">
        <v>129</v>
      </c>
      <c r="AH21" s="53" t="s">
        <v>129</v>
      </c>
      <c r="AI21" s="53">
        <v>22</v>
      </c>
      <c r="AJ21" s="53" t="s">
        <v>129</v>
      </c>
      <c r="AK21" s="53">
        <v>224</v>
      </c>
      <c r="AL21" s="53" t="s">
        <v>129</v>
      </c>
      <c r="AM21" s="53">
        <v>12</v>
      </c>
      <c r="AN21" s="53" t="s">
        <v>129</v>
      </c>
      <c r="AO21" s="53">
        <v>3</v>
      </c>
      <c r="AP21" s="53" t="s">
        <v>129</v>
      </c>
      <c r="AQ21" s="53" t="s">
        <v>129</v>
      </c>
      <c r="AR21" s="53" t="s">
        <v>129</v>
      </c>
      <c r="AS21" s="53" t="s">
        <v>129</v>
      </c>
      <c r="AT21" s="53" t="s">
        <v>129</v>
      </c>
      <c r="AU21" s="53" t="s">
        <v>129</v>
      </c>
      <c r="AV21" s="53" t="s">
        <v>129</v>
      </c>
      <c r="AW21" s="53" t="s">
        <v>129</v>
      </c>
      <c r="AX21" s="53" t="s">
        <v>129</v>
      </c>
      <c r="AY21" s="53">
        <v>42</v>
      </c>
      <c r="AZ21" s="53" t="s">
        <v>129</v>
      </c>
      <c r="BA21" s="53">
        <v>60</v>
      </c>
      <c r="BB21" s="53" t="s">
        <v>129</v>
      </c>
      <c r="BC21" s="53">
        <v>30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12</v>
      </c>
      <c r="D22" s="53" t="s">
        <v>129</v>
      </c>
      <c r="E22" s="53">
        <v>221</v>
      </c>
      <c r="F22" s="53" t="s">
        <v>129</v>
      </c>
      <c r="G22" s="53">
        <v>29</v>
      </c>
      <c r="H22" s="53" t="s">
        <v>129</v>
      </c>
      <c r="I22" s="53">
        <v>0</v>
      </c>
      <c r="J22" s="53" t="s">
        <v>129</v>
      </c>
      <c r="K22" s="53" t="s">
        <v>129</v>
      </c>
      <c r="L22" s="53" t="s">
        <v>129</v>
      </c>
      <c r="M22" s="53" t="s">
        <v>129</v>
      </c>
      <c r="N22" s="53" t="s">
        <v>129</v>
      </c>
      <c r="O22" s="53" t="s">
        <v>129</v>
      </c>
      <c r="P22" s="53" t="s">
        <v>129</v>
      </c>
      <c r="Q22" s="53" t="s">
        <v>129</v>
      </c>
      <c r="R22" s="53" t="s">
        <v>129</v>
      </c>
      <c r="S22" s="53">
        <v>18</v>
      </c>
      <c r="T22" s="53" t="s">
        <v>129</v>
      </c>
      <c r="U22" s="53">
        <v>28</v>
      </c>
      <c r="V22" s="53" t="s">
        <v>129</v>
      </c>
      <c r="W22" s="53">
        <v>13</v>
      </c>
      <c r="X22" s="53" t="s">
        <v>129</v>
      </c>
      <c r="Y22" s="53">
        <v>0</v>
      </c>
      <c r="Z22" s="53" t="s">
        <v>129</v>
      </c>
      <c r="AA22" s="53" t="s">
        <v>129</v>
      </c>
      <c r="AB22" s="53" t="s">
        <v>129</v>
      </c>
      <c r="AC22" s="53" t="s">
        <v>129</v>
      </c>
      <c r="AD22" s="53" t="s">
        <v>129</v>
      </c>
      <c r="AE22" s="53" t="s">
        <v>129</v>
      </c>
      <c r="AF22" s="53" t="s">
        <v>129</v>
      </c>
      <c r="AG22" s="53" t="s">
        <v>129</v>
      </c>
      <c r="AH22" s="53" t="s">
        <v>129</v>
      </c>
      <c r="AI22" s="53">
        <v>23</v>
      </c>
      <c r="AJ22" s="53" t="s">
        <v>129</v>
      </c>
      <c r="AK22" s="53">
        <v>145</v>
      </c>
      <c r="AL22" s="53" t="s">
        <v>129</v>
      </c>
      <c r="AM22" s="53">
        <v>19</v>
      </c>
      <c r="AN22" s="53" t="s">
        <v>129</v>
      </c>
      <c r="AO22" s="53">
        <v>2</v>
      </c>
      <c r="AP22" s="53" t="s">
        <v>129</v>
      </c>
      <c r="AQ22" s="53" t="s">
        <v>129</v>
      </c>
      <c r="AR22" s="53" t="s">
        <v>129</v>
      </c>
      <c r="AS22" s="53" t="s">
        <v>129</v>
      </c>
      <c r="AT22" s="53" t="s">
        <v>129</v>
      </c>
      <c r="AU22" s="53" t="s">
        <v>129</v>
      </c>
      <c r="AV22" s="53" t="s">
        <v>129</v>
      </c>
      <c r="AW22" s="53" t="s">
        <v>129</v>
      </c>
      <c r="AX22" s="53" t="s">
        <v>129</v>
      </c>
      <c r="AY22" s="53">
        <v>27</v>
      </c>
      <c r="AZ22" s="53" t="s">
        <v>129</v>
      </c>
      <c r="BA22" s="53">
        <v>37</v>
      </c>
      <c r="BB22" s="53" t="s">
        <v>129</v>
      </c>
      <c r="BC22" s="53">
        <v>33</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9</v>
      </c>
      <c r="D24" s="53" t="s">
        <v>129</v>
      </c>
      <c r="E24" s="53">
        <v>173</v>
      </c>
      <c r="F24" s="53" t="s">
        <v>129</v>
      </c>
      <c r="G24" s="53">
        <v>25</v>
      </c>
      <c r="H24" s="53" t="s">
        <v>129</v>
      </c>
      <c r="I24" s="53">
        <v>0</v>
      </c>
      <c r="J24" s="53" t="s">
        <v>129</v>
      </c>
      <c r="K24" s="53" t="s">
        <v>129</v>
      </c>
      <c r="L24" s="53" t="s">
        <v>129</v>
      </c>
      <c r="M24" s="53" t="s">
        <v>129</v>
      </c>
      <c r="N24" s="53" t="s">
        <v>129</v>
      </c>
      <c r="O24" s="53" t="s">
        <v>129</v>
      </c>
      <c r="P24" s="53" t="s">
        <v>129</v>
      </c>
      <c r="Q24" s="53" t="s">
        <v>129</v>
      </c>
      <c r="R24" s="53" t="s">
        <v>129</v>
      </c>
      <c r="S24" s="53">
        <v>18</v>
      </c>
      <c r="T24" s="53" t="s">
        <v>129</v>
      </c>
      <c r="U24" s="53">
        <v>39</v>
      </c>
      <c r="V24" s="53" t="s">
        <v>129</v>
      </c>
      <c r="W24" s="53">
        <v>13</v>
      </c>
      <c r="X24" s="53" t="s">
        <v>129</v>
      </c>
      <c r="Y24" s="53">
        <v>0</v>
      </c>
      <c r="Z24" s="53" t="s">
        <v>129</v>
      </c>
      <c r="AA24" s="53" t="s">
        <v>129</v>
      </c>
      <c r="AB24" s="53" t="s">
        <v>129</v>
      </c>
      <c r="AC24" s="53" t="s">
        <v>129</v>
      </c>
      <c r="AD24" s="53" t="s">
        <v>129</v>
      </c>
      <c r="AE24" s="53" t="s">
        <v>129</v>
      </c>
      <c r="AF24" s="53" t="s">
        <v>129</v>
      </c>
      <c r="AG24" s="53" t="s">
        <v>129</v>
      </c>
      <c r="AH24" s="53" t="s">
        <v>129</v>
      </c>
      <c r="AI24" s="53">
        <v>20</v>
      </c>
      <c r="AJ24" s="53" t="s">
        <v>129</v>
      </c>
      <c r="AK24" s="53">
        <v>175</v>
      </c>
      <c r="AL24" s="53" t="s">
        <v>129</v>
      </c>
      <c r="AM24" s="53">
        <v>20</v>
      </c>
      <c r="AN24" s="53" t="s">
        <v>129</v>
      </c>
      <c r="AO24" s="53">
        <v>2</v>
      </c>
      <c r="AP24" s="53" t="s">
        <v>129</v>
      </c>
      <c r="AQ24" s="53" t="s">
        <v>129</v>
      </c>
      <c r="AR24" s="53" t="s">
        <v>129</v>
      </c>
      <c r="AS24" s="53" t="s">
        <v>129</v>
      </c>
      <c r="AT24" s="53" t="s">
        <v>129</v>
      </c>
      <c r="AU24" s="53" t="s">
        <v>129</v>
      </c>
      <c r="AV24" s="53" t="s">
        <v>129</v>
      </c>
      <c r="AW24" s="53" t="s">
        <v>129</v>
      </c>
      <c r="AX24" s="53" t="s">
        <v>129</v>
      </c>
      <c r="AY24" s="53">
        <v>29</v>
      </c>
      <c r="AZ24" s="53" t="s">
        <v>129</v>
      </c>
      <c r="BA24" s="53">
        <v>27</v>
      </c>
      <c r="BB24" s="53" t="s">
        <v>129</v>
      </c>
      <c r="BC24" s="53">
        <v>19</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9</v>
      </c>
      <c r="D25" s="53" t="s">
        <v>129</v>
      </c>
      <c r="E25" s="53">
        <v>216</v>
      </c>
      <c r="F25" s="53" t="s">
        <v>129</v>
      </c>
      <c r="G25" s="53">
        <v>20</v>
      </c>
      <c r="H25" s="53" t="s">
        <v>129</v>
      </c>
      <c r="I25" s="53">
        <v>0</v>
      </c>
      <c r="J25" s="53" t="s">
        <v>129</v>
      </c>
      <c r="K25" s="53" t="s">
        <v>129</v>
      </c>
      <c r="L25" s="53" t="s">
        <v>129</v>
      </c>
      <c r="M25" s="53" t="s">
        <v>129</v>
      </c>
      <c r="N25" s="53" t="s">
        <v>129</v>
      </c>
      <c r="O25" s="53" t="s">
        <v>129</v>
      </c>
      <c r="P25" s="53" t="s">
        <v>129</v>
      </c>
      <c r="Q25" s="53" t="s">
        <v>129</v>
      </c>
      <c r="R25" s="53" t="s">
        <v>129</v>
      </c>
      <c r="S25" s="53">
        <v>22</v>
      </c>
      <c r="T25" s="53" t="s">
        <v>129</v>
      </c>
      <c r="U25" s="53">
        <v>54</v>
      </c>
      <c r="V25" s="53" t="s">
        <v>129</v>
      </c>
      <c r="W25" s="53">
        <v>14</v>
      </c>
      <c r="X25" s="53" t="s">
        <v>129</v>
      </c>
      <c r="Y25" s="53">
        <v>0</v>
      </c>
      <c r="Z25" s="53" t="s">
        <v>129</v>
      </c>
      <c r="AA25" s="53" t="s">
        <v>129</v>
      </c>
      <c r="AB25" s="53" t="s">
        <v>129</v>
      </c>
      <c r="AC25" s="53" t="s">
        <v>129</v>
      </c>
      <c r="AD25" s="53" t="s">
        <v>129</v>
      </c>
      <c r="AE25" s="53" t="s">
        <v>129</v>
      </c>
      <c r="AF25" s="53" t="s">
        <v>129</v>
      </c>
      <c r="AG25" s="53" t="s">
        <v>129</v>
      </c>
      <c r="AH25" s="53" t="s">
        <v>129</v>
      </c>
      <c r="AI25" s="53">
        <v>21</v>
      </c>
      <c r="AJ25" s="53" t="s">
        <v>129</v>
      </c>
      <c r="AK25" s="53">
        <v>178</v>
      </c>
      <c r="AL25" s="53" t="s">
        <v>129</v>
      </c>
      <c r="AM25" s="53">
        <v>18</v>
      </c>
      <c r="AN25" s="53" t="s">
        <v>129</v>
      </c>
      <c r="AO25" s="53">
        <v>2</v>
      </c>
      <c r="AP25" s="53" t="s">
        <v>129</v>
      </c>
      <c r="AQ25" s="53" t="s">
        <v>129</v>
      </c>
      <c r="AR25" s="53" t="s">
        <v>129</v>
      </c>
      <c r="AS25" s="53" t="s">
        <v>129</v>
      </c>
      <c r="AT25" s="53" t="s">
        <v>129</v>
      </c>
      <c r="AU25" s="53" t="s">
        <v>129</v>
      </c>
      <c r="AV25" s="53" t="s">
        <v>129</v>
      </c>
      <c r="AW25" s="53" t="s">
        <v>129</v>
      </c>
      <c r="AX25" s="53" t="s">
        <v>129</v>
      </c>
      <c r="AY25" s="53">
        <v>27</v>
      </c>
      <c r="AZ25" s="53" t="s">
        <v>129</v>
      </c>
      <c r="BA25" s="53">
        <v>31</v>
      </c>
      <c r="BB25" s="53" t="s">
        <v>129</v>
      </c>
      <c r="BC25" s="53">
        <v>25</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10</v>
      </c>
      <c r="D26" s="53" t="s">
        <v>129</v>
      </c>
      <c r="E26" s="53">
        <v>174</v>
      </c>
      <c r="F26" s="53" t="s">
        <v>129</v>
      </c>
      <c r="G26" s="53">
        <v>31</v>
      </c>
      <c r="H26" s="53" t="s">
        <v>129</v>
      </c>
      <c r="I26" s="53">
        <v>0</v>
      </c>
      <c r="J26" s="53" t="s">
        <v>129</v>
      </c>
      <c r="K26" s="53" t="s">
        <v>129</v>
      </c>
      <c r="L26" s="53" t="s">
        <v>129</v>
      </c>
      <c r="M26" s="53" t="s">
        <v>129</v>
      </c>
      <c r="N26" s="53" t="s">
        <v>129</v>
      </c>
      <c r="O26" s="53" t="s">
        <v>129</v>
      </c>
      <c r="P26" s="53" t="s">
        <v>129</v>
      </c>
      <c r="Q26" s="53" t="s">
        <v>129</v>
      </c>
      <c r="R26" s="53" t="s">
        <v>129</v>
      </c>
      <c r="S26" s="53">
        <v>26</v>
      </c>
      <c r="T26" s="53" t="s">
        <v>129</v>
      </c>
      <c r="U26" s="53">
        <v>35</v>
      </c>
      <c r="V26" s="53" t="s">
        <v>129</v>
      </c>
      <c r="W26" s="53">
        <v>19</v>
      </c>
      <c r="X26" s="53" t="s">
        <v>129</v>
      </c>
      <c r="Y26" s="53">
        <v>0</v>
      </c>
      <c r="Z26" s="53" t="s">
        <v>129</v>
      </c>
      <c r="AA26" s="53" t="s">
        <v>129</v>
      </c>
      <c r="AB26" s="53" t="s">
        <v>129</v>
      </c>
      <c r="AC26" s="53" t="s">
        <v>129</v>
      </c>
      <c r="AD26" s="53" t="s">
        <v>129</v>
      </c>
      <c r="AE26" s="53" t="s">
        <v>129</v>
      </c>
      <c r="AF26" s="53" t="s">
        <v>129</v>
      </c>
      <c r="AG26" s="53" t="s">
        <v>129</v>
      </c>
      <c r="AH26" s="53" t="s">
        <v>129</v>
      </c>
      <c r="AI26" s="53">
        <v>20</v>
      </c>
      <c r="AJ26" s="53" t="s">
        <v>129</v>
      </c>
      <c r="AK26" s="53">
        <v>169</v>
      </c>
      <c r="AL26" s="53" t="s">
        <v>129</v>
      </c>
      <c r="AM26" s="53">
        <v>24</v>
      </c>
      <c r="AN26" s="53" t="s">
        <v>129</v>
      </c>
      <c r="AO26" s="53">
        <v>1</v>
      </c>
      <c r="AP26" s="53" t="s">
        <v>129</v>
      </c>
      <c r="AQ26" s="53" t="s">
        <v>129</v>
      </c>
      <c r="AR26" s="53" t="s">
        <v>129</v>
      </c>
      <c r="AS26" s="53" t="s">
        <v>129</v>
      </c>
      <c r="AT26" s="53" t="s">
        <v>129</v>
      </c>
      <c r="AU26" s="53" t="s">
        <v>129</v>
      </c>
      <c r="AV26" s="53" t="s">
        <v>129</v>
      </c>
      <c r="AW26" s="53" t="s">
        <v>129</v>
      </c>
      <c r="AX26" s="53" t="s">
        <v>129</v>
      </c>
      <c r="AY26" s="53">
        <v>20</v>
      </c>
      <c r="AZ26" s="53" t="s">
        <v>129</v>
      </c>
      <c r="BA26" s="53">
        <v>34</v>
      </c>
      <c r="BB26" s="53" t="s">
        <v>129</v>
      </c>
      <c r="BC26" s="53">
        <v>18</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9</v>
      </c>
      <c r="D27" s="53" t="s">
        <v>129</v>
      </c>
      <c r="E27" s="53">
        <v>189</v>
      </c>
      <c r="F27" s="53" t="s">
        <v>129</v>
      </c>
      <c r="G27" s="53">
        <v>26</v>
      </c>
      <c r="H27" s="53" t="s">
        <v>129</v>
      </c>
      <c r="I27" s="53">
        <v>0</v>
      </c>
      <c r="J27" s="53" t="s">
        <v>129</v>
      </c>
      <c r="K27" s="53" t="s">
        <v>129</v>
      </c>
      <c r="L27" s="53" t="s">
        <v>129</v>
      </c>
      <c r="M27" s="53" t="s">
        <v>129</v>
      </c>
      <c r="N27" s="53" t="s">
        <v>129</v>
      </c>
      <c r="O27" s="53" t="s">
        <v>129</v>
      </c>
      <c r="P27" s="53" t="s">
        <v>129</v>
      </c>
      <c r="Q27" s="53" t="s">
        <v>129</v>
      </c>
      <c r="R27" s="53" t="s">
        <v>129</v>
      </c>
      <c r="S27" s="53">
        <v>31</v>
      </c>
      <c r="T27" s="53" t="s">
        <v>129</v>
      </c>
      <c r="U27" s="53">
        <v>45</v>
      </c>
      <c r="V27" s="53" t="s">
        <v>129</v>
      </c>
      <c r="W27" s="53">
        <v>19</v>
      </c>
      <c r="X27" s="53" t="s">
        <v>129</v>
      </c>
      <c r="Y27" s="53">
        <v>0</v>
      </c>
      <c r="Z27" s="53" t="s">
        <v>129</v>
      </c>
      <c r="AA27" s="53" t="s">
        <v>129</v>
      </c>
      <c r="AB27" s="53" t="s">
        <v>129</v>
      </c>
      <c r="AC27" s="53" t="s">
        <v>129</v>
      </c>
      <c r="AD27" s="53" t="s">
        <v>129</v>
      </c>
      <c r="AE27" s="53" t="s">
        <v>129</v>
      </c>
      <c r="AF27" s="53" t="s">
        <v>129</v>
      </c>
      <c r="AG27" s="53" t="s">
        <v>129</v>
      </c>
      <c r="AH27" s="53" t="s">
        <v>129</v>
      </c>
      <c r="AI27" s="53">
        <v>20</v>
      </c>
      <c r="AJ27" s="53" t="s">
        <v>129</v>
      </c>
      <c r="AK27" s="53">
        <v>178</v>
      </c>
      <c r="AL27" s="53" t="s">
        <v>129</v>
      </c>
      <c r="AM27" s="53">
        <v>28</v>
      </c>
      <c r="AN27" s="53" t="s">
        <v>129</v>
      </c>
      <c r="AO27" s="53">
        <v>2</v>
      </c>
      <c r="AP27" s="53" t="s">
        <v>129</v>
      </c>
      <c r="AQ27" s="53" t="s">
        <v>129</v>
      </c>
      <c r="AR27" s="53" t="s">
        <v>129</v>
      </c>
      <c r="AS27" s="53" t="s">
        <v>129</v>
      </c>
      <c r="AT27" s="53" t="s">
        <v>129</v>
      </c>
      <c r="AU27" s="53" t="s">
        <v>129</v>
      </c>
      <c r="AV27" s="53" t="s">
        <v>129</v>
      </c>
      <c r="AW27" s="53" t="s">
        <v>129</v>
      </c>
      <c r="AX27" s="53" t="s">
        <v>129</v>
      </c>
      <c r="AY27" s="53">
        <v>17</v>
      </c>
      <c r="AZ27" s="53" t="s">
        <v>129</v>
      </c>
      <c r="BA27" s="53">
        <v>33</v>
      </c>
      <c r="BB27" s="53" t="s">
        <v>129</v>
      </c>
      <c r="BC27" s="53">
        <v>21</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1</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16</v>
      </c>
      <c r="D29" s="53" t="s">
        <v>129</v>
      </c>
      <c r="E29" s="53">
        <v>192</v>
      </c>
      <c r="F29" s="53" t="s">
        <v>129</v>
      </c>
      <c r="G29" s="53">
        <v>45</v>
      </c>
      <c r="H29" s="53" t="s">
        <v>129</v>
      </c>
      <c r="I29" s="53">
        <v>1</v>
      </c>
      <c r="J29" s="53" t="s">
        <v>129</v>
      </c>
      <c r="K29" s="53" t="s">
        <v>129</v>
      </c>
      <c r="L29" s="53" t="s">
        <v>129</v>
      </c>
      <c r="M29" s="53" t="s">
        <v>129</v>
      </c>
      <c r="N29" s="53" t="s">
        <v>129</v>
      </c>
      <c r="O29" s="53" t="s">
        <v>129</v>
      </c>
      <c r="P29" s="53" t="s">
        <v>129</v>
      </c>
      <c r="Q29" s="53" t="s">
        <v>129</v>
      </c>
      <c r="R29" s="53" t="s">
        <v>129</v>
      </c>
      <c r="S29" s="53">
        <v>22</v>
      </c>
      <c r="T29" s="53" t="s">
        <v>129</v>
      </c>
      <c r="U29" s="53">
        <v>72</v>
      </c>
      <c r="V29" s="53" t="s">
        <v>129</v>
      </c>
      <c r="W29" s="53">
        <v>38</v>
      </c>
      <c r="X29" s="53" t="s">
        <v>129</v>
      </c>
      <c r="Y29" s="53">
        <v>0</v>
      </c>
      <c r="Z29" s="53" t="s">
        <v>129</v>
      </c>
      <c r="AA29" s="53" t="s">
        <v>129</v>
      </c>
      <c r="AB29" s="53" t="s">
        <v>129</v>
      </c>
      <c r="AC29" s="53" t="s">
        <v>129</v>
      </c>
      <c r="AD29" s="53" t="s">
        <v>129</v>
      </c>
      <c r="AE29" s="53" t="s">
        <v>129</v>
      </c>
      <c r="AF29" s="53" t="s">
        <v>129</v>
      </c>
      <c r="AG29" s="53" t="s">
        <v>129</v>
      </c>
      <c r="AH29" s="53" t="s">
        <v>129</v>
      </c>
      <c r="AI29" s="53">
        <v>41</v>
      </c>
      <c r="AJ29" s="53" t="s">
        <v>129</v>
      </c>
      <c r="AK29" s="53">
        <v>318</v>
      </c>
      <c r="AL29" s="53" t="s">
        <v>129</v>
      </c>
      <c r="AM29" s="53">
        <v>16</v>
      </c>
      <c r="AN29" s="53" t="s">
        <v>129</v>
      </c>
      <c r="AO29" s="53">
        <v>3</v>
      </c>
      <c r="AP29" s="53" t="s">
        <v>129</v>
      </c>
      <c r="AQ29" s="53" t="s">
        <v>129</v>
      </c>
      <c r="AR29" s="53" t="s">
        <v>129</v>
      </c>
      <c r="AS29" s="53" t="s">
        <v>129</v>
      </c>
      <c r="AT29" s="53" t="s">
        <v>129</v>
      </c>
      <c r="AU29" s="53" t="s">
        <v>129</v>
      </c>
      <c r="AV29" s="53" t="s">
        <v>129</v>
      </c>
      <c r="AW29" s="53" t="s">
        <v>129</v>
      </c>
      <c r="AX29" s="53" t="s">
        <v>129</v>
      </c>
      <c r="AY29" s="53">
        <v>37</v>
      </c>
      <c r="AZ29" s="53" t="s">
        <v>129</v>
      </c>
      <c r="BA29" s="53">
        <v>26</v>
      </c>
      <c r="BB29" s="53" t="s">
        <v>129</v>
      </c>
      <c r="BC29" s="53">
        <v>25</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12</v>
      </c>
      <c r="D30" s="53" t="s">
        <v>129</v>
      </c>
      <c r="E30" s="53">
        <v>236</v>
      </c>
      <c r="F30" s="53" t="s">
        <v>129</v>
      </c>
      <c r="G30" s="53">
        <v>37</v>
      </c>
      <c r="H30" s="53" t="s">
        <v>129</v>
      </c>
      <c r="I30" s="53">
        <v>0</v>
      </c>
      <c r="J30" s="53" t="s">
        <v>129</v>
      </c>
      <c r="K30" s="53" t="s">
        <v>129</v>
      </c>
      <c r="L30" s="53" t="s">
        <v>129</v>
      </c>
      <c r="M30" s="53" t="s">
        <v>129</v>
      </c>
      <c r="N30" s="53" t="s">
        <v>129</v>
      </c>
      <c r="O30" s="53" t="s">
        <v>129</v>
      </c>
      <c r="P30" s="53" t="s">
        <v>129</v>
      </c>
      <c r="Q30" s="53" t="s">
        <v>129</v>
      </c>
      <c r="R30" s="53" t="s">
        <v>129</v>
      </c>
      <c r="S30" s="53">
        <v>33</v>
      </c>
      <c r="T30" s="53" t="s">
        <v>129</v>
      </c>
      <c r="U30" s="53">
        <v>81</v>
      </c>
      <c r="V30" s="53" t="s">
        <v>129</v>
      </c>
      <c r="W30" s="53">
        <v>18</v>
      </c>
      <c r="X30" s="53" t="s">
        <v>129</v>
      </c>
      <c r="Y30" s="53">
        <v>0</v>
      </c>
      <c r="Z30" s="53" t="s">
        <v>129</v>
      </c>
      <c r="AA30" s="53" t="s">
        <v>129</v>
      </c>
      <c r="AB30" s="53" t="s">
        <v>129</v>
      </c>
      <c r="AC30" s="53" t="s">
        <v>129</v>
      </c>
      <c r="AD30" s="53" t="s">
        <v>129</v>
      </c>
      <c r="AE30" s="53" t="s">
        <v>129</v>
      </c>
      <c r="AF30" s="53" t="s">
        <v>129</v>
      </c>
      <c r="AG30" s="53" t="s">
        <v>129</v>
      </c>
      <c r="AH30" s="53" t="s">
        <v>129</v>
      </c>
      <c r="AI30" s="53">
        <v>41</v>
      </c>
      <c r="AJ30" s="53" t="s">
        <v>129</v>
      </c>
      <c r="AK30" s="53">
        <v>266</v>
      </c>
      <c r="AL30" s="53" t="s">
        <v>129</v>
      </c>
      <c r="AM30" s="53">
        <v>15</v>
      </c>
      <c r="AN30" s="53" t="s">
        <v>129</v>
      </c>
      <c r="AO30" s="53">
        <v>3</v>
      </c>
      <c r="AP30" s="53" t="s">
        <v>129</v>
      </c>
      <c r="AQ30" s="53" t="s">
        <v>129</v>
      </c>
      <c r="AR30" s="53" t="s">
        <v>129</v>
      </c>
      <c r="AS30" s="53" t="s">
        <v>129</v>
      </c>
      <c r="AT30" s="53" t="s">
        <v>129</v>
      </c>
      <c r="AU30" s="53" t="s">
        <v>129</v>
      </c>
      <c r="AV30" s="53" t="s">
        <v>129</v>
      </c>
      <c r="AW30" s="53" t="s">
        <v>129</v>
      </c>
      <c r="AX30" s="53" t="s">
        <v>129</v>
      </c>
      <c r="AY30" s="53">
        <v>40</v>
      </c>
      <c r="AZ30" s="53" t="s">
        <v>129</v>
      </c>
      <c r="BA30" s="53">
        <v>36</v>
      </c>
      <c r="BB30" s="53" t="s">
        <v>129</v>
      </c>
      <c r="BC30" s="53">
        <v>26</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22</v>
      </c>
      <c r="D31" s="53" t="s">
        <v>129</v>
      </c>
      <c r="E31" s="53">
        <v>263</v>
      </c>
      <c r="F31" s="53" t="s">
        <v>129</v>
      </c>
      <c r="G31" s="53">
        <v>64</v>
      </c>
      <c r="H31" s="53" t="s">
        <v>129</v>
      </c>
      <c r="I31" s="53">
        <v>0</v>
      </c>
      <c r="J31" s="53" t="s">
        <v>129</v>
      </c>
      <c r="K31" s="53" t="s">
        <v>129</v>
      </c>
      <c r="L31" s="53" t="s">
        <v>129</v>
      </c>
      <c r="M31" s="53" t="s">
        <v>129</v>
      </c>
      <c r="N31" s="53" t="s">
        <v>129</v>
      </c>
      <c r="O31" s="53" t="s">
        <v>129</v>
      </c>
      <c r="P31" s="53" t="s">
        <v>129</v>
      </c>
      <c r="Q31" s="53" t="s">
        <v>129</v>
      </c>
      <c r="R31" s="53" t="s">
        <v>129</v>
      </c>
      <c r="S31" s="53">
        <v>32</v>
      </c>
      <c r="T31" s="53" t="s">
        <v>129</v>
      </c>
      <c r="U31" s="53">
        <v>88</v>
      </c>
      <c r="V31" s="53" t="s">
        <v>129</v>
      </c>
      <c r="W31" s="53">
        <v>29</v>
      </c>
      <c r="X31" s="53" t="s">
        <v>129</v>
      </c>
      <c r="Y31" s="53">
        <v>0</v>
      </c>
      <c r="Z31" s="53" t="s">
        <v>129</v>
      </c>
      <c r="AA31" s="53" t="s">
        <v>129</v>
      </c>
      <c r="AB31" s="53" t="s">
        <v>129</v>
      </c>
      <c r="AC31" s="53" t="s">
        <v>129</v>
      </c>
      <c r="AD31" s="53" t="s">
        <v>129</v>
      </c>
      <c r="AE31" s="53" t="s">
        <v>129</v>
      </c>
      <c r="AF31" s="53" t="s">
        <v>129</v>
      </c>
      <c r="AG31" s="53" t="s">
        <v>129</v>
      </c>
      <c r="AH31" s="53" t="s">
        <v>129</v>
      </c>
      <c r="AI31" s="53">
        <v>64</v>
      </c>
      <c r="AJ31" s="53" t="s">
        <v>129</v>
      </c>
      <c r="AK31" s="53">
        <v>282</v>
      </c>
      <c r="AL31" s="53" t="s">
        <v>129</v>
      </c>
      <c r="AM31" s="53">
        <v>26</v>
      </c>
      <c r="AN31" s="53" t="s">
        <v>129</v>
      </c>
      <c r="AO31" s="53">
        <v>2</v>
      </c>
      <c r="AP31" s="53" t="s">
        <v>129</v>
      </c>
      <c r="AQ31" s="53" t="s">
        <v>129</v>
      </c>
      <c r="AR31" s="53" t="s">
        <v>129</v>
      </c>
      <c r="AS31" s="53" t="s">
        <v>129</v>
      </c>
      <c r="AT31" s="53" t="s">
        <v>129</v>
      </c>
      <c r="AU31" s="53" t="s">
        <v>129</v>
      </c>
      <c r="AV31" s="53" t="s">
        <v>129</v>
      </c>
      <c r="AW31" s="53" t="s">
        <v>129</v>
      </c>
      <c r="AX31" s="53" t="s">
        <v>129</v>
      </c>
      <c r="AY31" s="53">
        <v>33</v>
      </c>
      <c r="AZ31" s="53" t="s">
        <v>129</v>
      </c>
      <c r="BA31" s="53">
        <v>35</v>
      </c>
      <c r="BB31" s="53" t="s">
        <v>129</v>
      </c>
      <c r="BC31" s="53">
        <v>22</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18</v>
      </c>
      <c r="D32" s="53" t="s">
        <v>129</v>
      </c>
      <c r="E32" s="53">
        <v>206</v>
      </c>
      <c r="F32" s="53" t="s">
        <v>129</v>
      </c>
      <c r="G32" s="53">
        <v>44</v>
      </c>
      <c r="H32" s="53" t="s">
        <v>129</v>
      </c>
      <c r="I32" s="53">
        <v>0</v>
      </c>
      <c r="J32" s="53" t="s">
        <v>129</v>
      </c>
      <c r="K32" s="53" t="s">
        <v>129</v>
      </c>
      <c r="L32" s="53" t="s">
        <v>129</v>
      </c>
      <c r="M32" s="53" t="s">
        <v>129</v>
      </c>
      <c r="N32" s="53" t="s">
        <v>129</v>
      </c>
      <c r="O32" s="53" t="s">
        <v>129</v>
      </c>
      <c r="P32" s="53" t="s">
        <v>129</v>
      </c>
      <c r="Q32" s="53" t="s">
        <v>129</v>
      </c>
      <c r="R32" s="53" t="s">
        <v>129</v>
      </c>
      <c r="S32" s="53">
        <v>21</v>
      </c>
      <c r="T32" s="53" t="s">
        <v>129</v>
      </c>
      <c r="U32" s="53">
        <v>87</v>
      </c>
      <c r="V32" s="53" t="s">
        <v>129</v>
      </c>
      <c r="W32" s="53">
        <v>35</v>
      </c>
      <c r="X32" s="53" t="s">
        <v>129</v>
      </c>
      <c r="Y32" s="53">
        <v>0</v>
      </c>
      <c r="Z32" s="53" t="s">
        <v>129</v>
      </c>
      <c r="AA32" s="53" t="s">
        <v>129</v>
      </c>
      <c r="AB32" s="53" t="s">
        <v>129</v>
      </c>
      <c r="AC32" s="53" t="s">
        <v>129</v>
      </c>
      <c r="AD32" s="53" t="s">
        <v>129</v>
      </c>
      <c r="AE32" s="53" t="s">
        <v>129</v>
      </c>
      <c r="AF32" s="53" t="s">
        <v>129</v>
      </c>
      <c r="AG32" s="53" t="s">
        <v>129</v>
      </c>
      <c r="AH32" s="53" t="s">
        <v>129</v>
      </c>
      <c r="AI32" s="53">
        <v>66</v>
      </c>
      <c r="AJ32" s="53" t="s">
        <v>129</v>
      </c>
      <c r="AK32" s="53">
        <v>264</v>
      </c>
      <c r="AL32" s="53" t="s">
        <v>129</v>
      </c>
      <c r="AM32" s="53">
        <v>17</v>
      </c>
      <c r="AN32" s="53" t="s">
        <v>129</v>
      </c>
      <c r="AO32" s="53">
        <v>1</v>
      </c>
      <c r="AP32" s="53" t="s">
        <v>129</v>
      </c>
      <c r="AQ32" s="53" t="s">
        <v>129</v>
      </c>
      <c r="AR32" s="53" t="s">
        <v>129</v>
      </c>
      <c r="AS32" s="53" t="s">
        <v>129</v>
      </c>
      <c r="AT32" s="53" t="s">
        <v>129</v>
      </c>
      <c r="AU32" s="53" t="s">
        <v>129</v>
      </c>
      <c r="AV32" s="53" t="s">
        <v>129</v>
      </c>
      <c r="AW32" s="53" t="s">
        <v>129</v>
      </c>
      <c r="AX32" s="53" t="s">
        <v>129</v>
      </c>
      <c r="AY32" s="53">
        <v>26</v>
      </c>
      <c r="AZ32" s="53" t="s">
        <v>129</v>
      </c>
      <c r="BA32" s="53">
        <v>43</v>
      </c>
      <c r="BB32" s="53" t="s">
        <v>129</v>
      </c>
      <c r="BC32" s="53">
        <v>16</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19</v>
      </c>
      <c r="D33" s="53" t="s">
        <v>129</v>
      </c>
      <c r="E33" s="53">
        <v>239</v>
      </c>
      <c r="F33" s="53" t="s">
        <v>129</v>
      </c>
      <c r="G33" s="53">
        <v>50</v>
      </c>
      <c r="H33" s="53" t="s">
        <v>129</v>
      </c>
      <c r="I33" s="53">
        <v>1</v>
      </c>
      <c r="J33" s="53" t="s">
        <v>129</v>
      </c>
      <c r="K33" s="53" t="s">
        <v>129</v>
      </c>
      <c r="L33" s="53" t="s">
        <v>129</v>
      </c>
      <c r="M33" s="53" t="s">
        <v>129</v>
      </c>
      <c r="N33" s="53" t="s">
        <v>129</v>
      </c>
      <c r="O33" s="53" t="s">
        <v>129</v>
      </c>
      <c r="P33" s="53" t="s">
        <v>129</v>
      </c>
      <c r="Q33" s="53" t="s">
        <v>129</v>
      </c>
      <c r="R33" s="53" t="s">
        <v>129</v>
      </c>
      <c r="S33" s="53">
        <v>32</v>
      </c>
      <c r="T33" s="53" t="s">
        <v>129</v>
      </c>
      <c r="U33" s="53">
        <v>100</v>
      </c>
      <c r="V33" s="53" t="s">
        <v>129</v>
      </c>
      <c r="W33" s="53">
        <v>28</v>
      </c>
      <c r="X33" s="53" t="s">
        <v>129</v>
      </c>
      <c r="Y33" s="53">
        <v>0</v>
      </c>
      <c r="Z33" s="53" t="s">
        <v>129</v>
      </c>
      <c r="AA33" s="53" t="s">
        <v>129</v>
      </c>
      <c r="AB33" s="53" t="s">
        <v>129</v>
      </c>
      <c r="AC33" s="53" t="s">
        <v>129</v>
      </c>
      <c r="AD33" s="53" t="s">
        <v>129</v>
      </c>
      <c r="AE33" s="53" t="s">
        <v>129</v>
      </c>
      <c r="AF33" s="53" t="s">
        <v>129</v>
      </c>
      <c r="AG33" s="53" t="s">
        <v>129</v>
      </c>
      <c r="AH33" s="53" t="s">
        <v>129</v>
      </c>
      <c r="AI33" s="53">
        <v>72</v>
      </c>
      <c r="AJ33" s="53" t="s">
        <v>129</v>
      </c>
      <c r="AK33" s="53">
        <v>231</v>
      </c>
      <c r="AL33" s="53" t="s">
        <v>129</v>
      </c>
      <c r="AM33" s="53">
        <v>28</v>
      </c>
      <c r="AN33" s="53" t="s">
        <v>129</v>
      </c>
      <c r="AO33" s="53">
        <v>2</v>
      </c>
      <c r="AP33" s="53" t="s">
        <v>129</v>
      </c>
      <c r="AQ33" s="53" t="s">
        <v>129</v>
      </c>
      <c r="AR33" s="53" t="s">
        <v>129</v>
      </c>
      <c r="AS33" s="53" t="s">
        <v>129</v>
      </c>
      <c r="AT33" s="53" t="s">
        <v>129</v>
      </c>
      <c r="AU33" s="53" t="s">
        <v>129</v>
      </c>
      <c r="AV33" s="53" t="s">
        <v>129</v>
      </c>
      <c r="AW33" s="53" t="s">
        <v>129</v>
      </c>
      <c r="AX33" s="53" t="s">
        <v>129</v>
      </c>
      <c r="AY33" s="53">
        <v>24</v>
      </c>
      <c r="AZ33" s="53" t="s">
        <v>129</v>
      </c>
      <c r="BA33" s="53">
        <v>41</v>
      </c>
      <c r="BB33" s="53" t="s">
        <v>129</v>
      </c>
      <c r="BC33" s="53">
        <v>19</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21</v>
      </c>
      <c r="D34" s="53" t="s">
        <v>129</v>
      </c>
      <c r="E34" s="53">
        <v>209</v>
      </c>
      <c r="F34" s="53" t="s">
        <v>129</v>
      </c>
      <c r="G34" s="53">
        <v>36</v>
      </c>
      <c r="H34" s="53" t="s">
        <v>129</v>
      </c>
      <c r="I34" s="53">
        <v>0</v>
      </c>
      <c r="J34" s="53" t="s">
        <v>129</v>
      </c>
      <c r="K34" s="53" t="s">
        <v>129</v>
      </c>
      <c r="L34" s="53" t="s">
        <v>129</v>
      </c>
      <c r="M34" s="53" t="s">
        <v>129</v>
      </c>
      <c r="N34" s="53" t="s">
        <v>129</v>
      </c>
      <c r="O34" s="53" t="s">
        <v>129</v>
      </c>
      <c r="P34" s="53" t="s">
        <v>129</v>
      </c>
      <c r="Q34" s="53" t="s">
        <v>129</v>
      </c>
      <c r="R34" s="53" t="s">
        <v>129</v>
      </c>
      <c r="S34" s="53">
        <v>21</v>
      </c>
      <c r="T34" s="53" t="s">
        <v>129</v>
      </c>
      <c r="U34" s="53">
        <v>87</v>
      </c>
      <c r="V34" s="53" t="s">
        <v>129</v>
      </c>
      <c r="W34" s="53">
        <v>17</v>
      </c>
      <c r="X34" s="53" t="s">
        <v>129</v>
      </c>
      <c r="Y34" s="53">
        <v>0</v>
      </c>
      <c r="Z34" s="53" t="s">
        <v>129</v>
      </c>
      <c r="AA34" s="53" t="s">
        <v>129</v>
      </c>
      <c r="AB34" s="53" t="s">
        <v>129</v>
      </c>
      <c r="AC34" s="53" t="s">
        <v>129</v>
      </c>
      <c r="AD34" s="53" t="s">
        <v>129</v>
      </c>
      <c r="AE34" s="53" t="s">
        <v>129</v>
      </c>
      <c r="AF34" s="53" t="s">
        <v>129</v>
      </c>
      <c r="AG34" s="53" t="s">
        <v>129</v>
      </c>
      <c r="AH34" s="53" t="s">
        <v>129</v>
      </c>
      <c r="AI34" s="53">
        <v>71</v>
      </c>
      <c r="AJ34" s="53" t="s">
        <v>129</v>
      </c>
      <c r="AK34" s="53">
        <v>221</v>
      </c>
      <c r="AL34" s="53" t="s">
        <v>129</v>
      </c>
      <c r="AM34" s="53">
        <v>39</v>
      </c>
      <c r="AN34" s="53" t="s">
        <v>129</v>
      </c>
      <c r="AO34" s="53">
        <v>0</v>
      </c>
      <c r="AP34" s="53" t="s">
        <v>129</v>
      </c>
      <c r="AQ34" s="53" t="s">
        <v>129</v>
      </c>
      <c r="AR34" s="53" t="s">
        <v>129</v>
      </c>
      <c r="AS34" s="53" t="s">
        <v>129</v>
      </c>
      <c r="AT34" s="53" t="s">
        <v>129</v>
      </c>
      <c r="AU34" s="53" t="s">
        <v>129</v>
      </c>
      <c r="AV34" s="53" t="s">
        <v>129</v>
      </c>
      <c r="AW34" s="53" t="s">
        <v>129</v>
      </c>
      <c r="AX34" s="53" t="s">
        <v>129</v>
      </c>
      <c r="AY34" s="53">
        <v>26</v>
      </c>
      <c r="AZ34" s="53" t="s">
        <v>129</v>
      </c>
      <c r="BA34" s="53">
        <v>43</v>
      </c>
      <c r="BB34" s="53" t="s">
        <v>129</v>
      </c>
      <c r="BC34" s="53">
        <v>20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23</v>
      </c>
      <c r="D35" s="53" t="s">
        <v>129</v>
      </c>
      <c r="E35" s="53">
        <v>209</v>
      </c>
      <c r="F35" s="53" t="s">
        <v>129</v>
      </c>
      <c r="G35" s="53">
        <v>40</v>
      </c>
      <c r="H35" s="53" t="s">
        <v>129</v>
      </c>
      <c r="I35" s="53">
        <v>0</v>
      </c>
      <c r="J35" s="53" t="s">
        <v>129</v>
      </c>
      <c r="K35" s="53" t="s">
        <v>129</v>
      </c>
      <c r="L35" s="53" t="s">
        <v>129</v>
      </c>
      <c r="M35" s="53" t="s">
        <v>129</v>
      </c>
      <c r="N35" s="53" t="s">
        <v>129</v>
      </c>
      <c r="O35" s="53" t="s">
        <v>129</v>
      </c>
      <c r="P35" s="53" t="s">
        <v>129</v>
      </c>
      <c r="Q35" s="53" t="s">
        <v>129</v>
      </c>
      <c r="R35" s="53" t="s">
        <v>129</v>
      </c>
      <c r="S35" s="53">
        <v>27</v>
      </c>
      <c r="T35" s="53" t="s">
        <v>129</v>
      </c>
      <c r="U35" s="53">
        <v>73</v>
      </c>
      <c r="V35" s="53" t="s">
        <v>129</v>
      </c>
      <c r="W35" s="53">
        <v>19</v>
      </c>
      <c r="X35" s="53" t="s">
        <v>129</v>
      </c>
      <c r="Y35" s="53">
        <v>0</v>
      </c>
      <c r="Z35" s="53" t="s">
        <v>129</v>
      </c>
      <c r="AA35" s="53" t="s">
        <v>129</v>
      </c>
      <c r="AB35" s="53" t="s">
        <v>129</v>
      </c>
      <c r="AC35" s="53" t="s">
        <v>129</v>
      </c>
      <c r="AD35" s="53" t="s">
        <v>129</v>
      </c>
      <c r="AE35" s="53" t="s">
        <v>129</v>
      </c>
      <c r="AF35" s="53" t="s">
        <v>129</v>
      </c>
      <c r="AG35" s="53" t="s">
        <v>129</v>
      </c>
      <c r="AH35" s="53" t="s">
        <v>129</v>
      </c>
      <c r="AI35" s="53">
        <v>66</v>
      </c>
      <c r="AJ35" s="53" t="s">
        <v>129</v>
      </c>
      <c r="AK35" s="53">
        <v>208</v>
      </c>
      <c r="AL35" s="53" t="s">
        <v>129</v>
      </c>
      <c r="AM35" s="53">
        <v>26</v>
      </c>
      <c r="AN35" s="53" t="s">
        <v>129</v>
      </c>
      <c r="AO35" s="53">
        <v>3</v>
      </c>
      <c r="AP35" s="53" t="s">
        <v>129</v>
      </c>
      <c r="AQ35" s="53" t="s">
        <v>129</v>
      </c>
      <c r="AR35" s="53" t="s">
        <v>129</v>
      </c>
      <c r="AS35" s="53" t="s">
        <v>129</v>
      </c>
      <c r="AT35" s="53" t="s">
        <v>129</v>
      </c>
      <c r="AU35" s="53" t="s">
        <v>129</v>
      </c>
      <c r="AV35" s="53" t="s">
        <v>129</v>
      </c>
      <c r="AW35" s="53" t="s">
        <v>129</v>
      </c>
      <c r="AX35" s="53" t="s">
        <v>129</v>
      </c>
      <c r="AY35" s="53">
        <v>23</v>
      </c>
      <c r="AZ35" s="53" t="s">
        <v>129</v>
      </c>
      <c r="BA35" s="53">
        <v>43</v>
      </c>
      <c r="BB35" s="53" t="s">
        <v>129</v>
      </c>
      <c r="BC35" s="53">
        <v>25</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12</v>
      </c>
      <c r="D36" s="53" t="s">
        <v>129</v>
      </c>
      <c r="E36" s="53">
        <v>177</v>
      </c>
      <c r="F36" s="53" t="s">
        <v>129</v>
      </c>
      <c r="G36" s="53">
        <v>36</v>
      </c>
      <c r="H36" s="53" t="s">
        <v>129</v>
      </c>
      <c r="I36" s="53">
        <v>1</v>
      </c>
      <c r="J36" s="53" t="s">
        <v>129</v>
      </c>
      <c r="K36" s="53" t="s">
        <v>129</v>
      </c>
      <c r="L36" s="53" t="s">
        <v>129</v>
      </c>
      <c r="M36" s="53" t="s">
        <v>129</v>
      </c>
      <c r="N36" s="53" t="s">
        <v>129</v>
      </c>
      <c r="O36" s="53" t="s">
        <v>129</v>
      </c>
      <c r="P36" s="53" t="s">
        <v>129</v>
      </c>
      <c r="Q36" s="53" t="s">
        <v>129</v>
      </c>
      <c r="R36" s="53" t="s">
        <v>129</v>
      </c>
      <c r="S36" s="53">
        <v>13</v>
      </c>
      <c r="T36" s="53" t="s">
        <v>129</v>
      </c>
      <c r="U36" s="53">
        <v>54</v>
      </c>
      <c r="V36" s="53" t="s">
        <v>129</v>
      </c>
      <c r="W36" s="53">
        <v>13</v>
      </c>
      <c r="X36" s="53" t="s">
        <v>129</v>
      </c>
      <c r="Y36" s="53">
        <v>0</v>
      </c>
      <c r="Z36" s="53" t="s">
        <v>129</v>
      </c>
      <c r="AA36" s="53" t="s">
        <v>129</v>
      </c>
      <c r="AB36" s="53" t="s">
        <v>129</v>
      </c>
      <c r="AC36" s="53" t="s">
        <v>129</v>
      </c>
      <c r="AD36" s="53" t="s">
        <v>129</v>
      </c>
      <c r="AE36" s="53" t="s">
        <v>129</v>
      </c>
      <c r="AF36" s="53" t="s">
        <v>129</v>
      </c>
      <c r="AG36" s="53" t="s">
        <v>129</v>
      </c>
      <c r="AH36" s="53" t="s">
        <v>129</v>
      </c>
      <c r="AI36" s="53">
        <v>39</v>
      </c>
      <c r="AJ36" s="53" t="s">
        <v>129</v>
      </c>
      <c r="AK36" s="53">
        <v>143</v>
      </c>
      <c r="AL36" s="53" t="s">
        <v>129</v>
      </c>
      <c r="AM36" s="53">
        <v>10</v>
      </c>
      <c r="AN36" s="53" t="s">
        <v>129</v>
      </c>
      <c r="AO36" s="53">
        <v>1</v>
      </c>
      <c r="AP36" s="53" t="s">
        <v>129</v>
      </c>
      <c r="AQ36" s="53" t="s">
        <v>129</v>
      </c>
      <c r="AR36" s="53" t="s">
        <v>129</v>
      </c>
      <c r="AS36" s="53" t="s">
        <v>129</v>
      </c>
      <c r="AT36" s="53" t="s">
        <v>129</v>
      </c>
      <c r="AU36" s="53" t="s">
        <v>129</v>
      </c>
      <c r="AV36" s="53" t="s">
        <v>129</v>
      </c>
      <c r="AW36" s="53" t="s">
        <v>129</v>
      </c>
      <c r="AX36" s="53" t="s">
        <v>129</v>
      </c>
      <c r="AY36" s="53">
        <v>23</v>
      </c>
      <c r="AZ36" s="53" t="s">
        <v>129</v>
      </c>
      <c r="BA36" s="53">
        <v>31</v>
      </c>
      <c r="BB36" s="53" t="s">
        <v>129</v>
      </c>
      <c r="BC36" s="53">
        <v>26</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7B7E5-1386-4D82-9E40-296E1EDADE1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98</v>
      </c>
      <c r="J14" s="54" t="s">
        <v>158</v>
      </c>
      <c r="K14" s="54" t="s">
        <v>157</v>
      </c>
      <c r="L14" s="54" t="s">
        <v>156</v>
      </c>
      <c r="M14" s="54" t="s">
        <v>155</v>
      </c>
      <c r="N14" s="54" t="s">
        <v>154</v>
      </c>
      <c r="O14" s="54" t="s">
        <v>153</v>
      </c>
      <c r="P14" s="54" t="s">
        <v>152</v>
      </c>
      <c r="Q14" s="54" t="s">
        <v>98</v>
      </c>
      <c r="R14" s="54" t="s">
        <v>158</v>
      </c>
      <c r="S14" s="54" t="s">
        <v>157</v>
      </c>
      <c r="T14" s="54" t="s">
        <v>156</v>
      </c>
      <c r="U14" s="54" t="s">
        <v>155</v>
      </c>
      <c r="V14" s="54" t="s">
        <v>154</v>
      </c>
      <c r="W14" s="54" t="s">
        <v>153</v>
      </c>
      <c r="X14" s="54" t="s">
        <v>152</v>
      </c>
      <c r="Y14" s="54" t="s">
        <v>98</v>
      </c>
      <c r="Z14" s="54" t="s">
        <v>158</v>
      </c>
      <c r="AA14" s="54" t="s">
        <v>157</v>
      </c>
      <c r="AB14" s="54" t="s">
        <v>156</v>
      </c>
      <c r="AC14" s="54" t="s">
        <v>155</v>
      </c>
      <c r="AD14" s="54" t="s">
        <v>154</v>
      </c>
      <c r="AE14" s="54" t="s">
        <v>153</v>
      </c>
      <c r="AF14" s="54" t="s">
        <v>152</v>
      </c>
      <c r="AG14" s="54" t="s">
        <v>98</v>
      </c>
      <c r="AH14" s="54" t="s">
        <v>158</v>
      </c>
      <c r="AI14" s="54" t="s">
        <v>157</v>
      </c>
      <c r="AJ14" s="54" t="s">
        <v>156</v>
      </c>
      <c r="AK14" s="54" t="s">
        <v>155</v>
      </c>
      <c r="AL14" s="54" t="s">
        <v>154</v>
      </c>
      <c r="AM14" s="54" t="s">
        <v>153</v>
      </c>
      <c r="AN14" s="54" t="s">
        <v>152</v>
      </c>
      <c r="AO14" s="54" t="s">
        <v>98</v>
      </c>
      <c r="AP14" s="54" t="s">
        <v>158</v>
      </c>
      <c r="AQ14" s="54" t="s">
        <v>157</v>
      </c>
      <c r="AR14" s="54" t="s">
        <v>156</v>
      </c>
      <c r="AS14" s="54" t="s">
        <v>155</v>
      </c>
      <c r="AT14" s="54" t="s">
        <v>154</v>
      </c>
      <c r="AU14" s="54" t="s">
        <v>153</v>
      </c>
      <c r="AV14" s="54" t="s">
        <v>152</v>
      </c>
      <c r="AW14" s="54" t="s">
        <v>98</v>
      </c>
      <c r="AX14" s="54" t="s">
        <v>158</v>
      </c>
      <c r="AY14" s="54" t="s">
        <v>157</v>
      </c>
      <c r="AZ14" s="54" t="s">
        <v>156</v>
      </c>
      <c r="BA14" s="54" t="s">
        <v>155</v>
      </c>
      <c r="BB14" s="54" t="s">
        <v>154</v>
      </c>
      <c r="BC14" s="54" t="s">
        <v>153</v>
      </c>
      <c r="BD14" s="54" t="s">
        <v>152</v>
      </c>
      <c r="BE14" s="54" t="s">
        <v>98</v>
      </c>
      <c r="BF14" s="54" t="s">
        <v>158</v>
      </c>
      <c r="BG14" s="54" t="s">
        <v>157</v>
      </c>
      <c r="BH14" s="54" t="s">
        <v>156</v>
      </c>
      <c r="BI14" s="54" t="s">
        <v>155</v>
      </c>
      <c r="BJ14" s="54" t="s">
        <v>154</v>
      </c>
      <c r="BK14" s="54" t="s">
        <v>153</v>
      </c>
      <c r="BL14" s="54" t="s">
        <v>152</v>
      </c>
      <c r="BM14" s="54" t="s">
        <v>98</v>
      </c>
    </row>
    <row r="15" spans="1:65" ht="15" customHeight="1" x14ac:dyDescent="0.2">
      <c r="A15" s="53" t="s">
        <v>151</v>
      </c>
      <c r="B15" s="53" t="s">
        <v>129</v>
      </c>
      <c r="C15" s="53">
        <v>1</v>
      </c>
      <c r="D15" s="53" t="s">
        <v>129</v>
      </c>
      <c r="E15" s="53">
        <v>13</v>
      </c>
      <c r="F15" s="53" t="s">
        <v>129</v>
      </c>
      <c r="G15" s="53">
        <v>2</v>
      </c>
      <c r="H15" s="53" t="s">
        <v>129</v>
      </c>
      <c r="I15" s="53">
        <v>0</v>
      </c>
      <c r="J15" s="53" t="s">
        <v>129</v>
      </c>
      <c r="K15" s="53" t="s">
        <v>129</v>
      </c>
      <c r="L15" s="53" t="s">
        <v>129</v>
      </c>
      <c r="M15" s="53" t="s">
        <v>129</v>
      </c>
      <c r="N15" s="53" t="s">
        <v>129</v>
      </c>
      <c r="O15" s="53" t="s">
        <v>129</v>
      </c>
      <c r="P15" s="53" t="s">
        <v>129</v>
      </c>
      <c r="Q15" s="53" t="s">
        <v>129</v>
      </c>
      <c r="R15" s="53" t="s">
        <v>129</v>
      </c>
      <c r="S15" s="53">
        <v>1</v>
      </c>
      <c r="T15" s="53" t="s">
        <v>129</v>
      </c>
      <c r="U15" s="53">
        <v>2</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15</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7</v>
      </c>
      <c r="AZ15" s="53" t="s">
        <v>129</v>
      </c>
      <c r="BA15" s="53">
        <v>3</v>
      </c>
      <c r="BB15" s="53" t="s">
        <v>129</v>
      </c>
      <c r="BC15" s="53">
        <v>1</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0</v>
      </c>
      <c r="D16" s="53" t="s">
        <v>129</v>
      </c>
      <c r="E16" s="53">
        <v>21</v>
      </c>
      <c r="F16" s="53" t="s">
        <v>129</v>
      </c>
      <c r="G16" s="53">
        <v>1</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2</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17</v>
      </c>
      <c r="AL16" s="53" t="s">
        <v>129</v>
      </c>
      <c r="AM16" s="53">
        <v>2</v>
      </c>
      <c r="AN16" s="53" t="s">
        <v>129</v>
      </c>
      <c r="AO16" s="53">
        <v>0</v>
      </c>
      <c r="AP16" s="53" t="s">
        <v>129</v>
      </c>
      <c r="AQ16" s="53" t="s">
        <v>129</v>
      </c>
      <c r="AR16" s="53" t="s">
        <v>129</v>
      </c>
      <c r="AS16" s="53" t="s">
        <v>129</v>
      </c>
      <c r="AT16" s="53" t="s">
        <v>129</v>
      </c>
      <c r="AU16" s="53" t="s">
        <v>129</v>
      </c>
      <c r="AV16" s="53" t="s">
        <v>129</v>
      </c>
      <c r="AW16" s="53" t="s">
        <v>129</v>
      </c>
      <c r="AX16" s="53" t="s">
        <v>129</v>
      </c>
      <c r="AY16" s="53">
        <v>1</v>
      </c>
      <c r="AZ16" s="53" t="s">
        <v>129</v>
      </c>
      <c r="BA16" s="53">
        <v>2</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0</v>
      </c>
      <c r="D17" s="53" t="s">
        <v>129</v>
      </c>
      <c r="E17" s="53">
        <v>12</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2</v>
      </c>
      <c r="X17" s="53" t="s">
        <v>129</v>
      </c>
      <c r="Y17" s="53">
        <v>0</v>
      </c>
      <c r="Z17" s="53" t="s">
        <v>129</v>
      </c>
      <c r="AA17" s="53" t="s">
        <v>129</v>
      </c>
      <c r="AB17" s="53" t="s">
        <v>129</v>
      </c>
      <c r="AC17" s="53" t="s">
        <v>129</v>
      </c>
      <c r="AD17" s="53" t="s">
        <v>129</v>
      </c>
      <c r="AE17" s="53" t="s">
        <v>129</v>
      </c>
      <c r="AF17" s="53" t="s">
        <v>129</v>
      </c>
      <c r="AG17" s="53" t="s">
        <v>129</v>
      </c>
      <c r="AH17" s="53" t="s">
        <v>129</v>
      </c>
      <c r="AI17" s="53">
        <v>1</v>
      </c>
      <c r="AJ17" s="53" t="s">
        <v>129</v>
      </c>
      <c r="AK17" s="53">
        <v>18</v>
      </c>
      <c r="AL17" s="53" t="s">
        <v>129</v>
      </c>
      <c r="AM17" s="53">
        <v>2</v>
      </c>
      <c r="AN17" s="53" t="s">
        <v>129</v>
      </c>
      <c r="AO17" s="53">
        <v>0</v>
      </c>
      <c r="AP17" s="53" t="s">
        <v>129</v>
      </c>
      <c r="AQ17" s="53" t="s">
        <v>129</v>
      </c>
      <c r="AR17" s="53" t="s">
        <v>129</v>
      </c>
      <c r="AS17" s="53" t="s">
        <v>129</v>
      </c>
      <c r="AT17" s="53" t="s">
        <v>129</v>
      </c>
      <c r="AU17" s="53" t="s">
        <v>129</v>
      </c>
      <c r="AV17" s="53" t="s">
        <v>129</v>
      </c>
      <c r="AW17" s="53" t="s">
        <v>129</v>
      </c>
      <c r="AX17" s="53" t="s">
        <v>129</v>
      </c>
      <c r="AY17" s="53">
        <v>2</v>
      </c>
      <c r="AZ17" s="53" t="s">
        <v>129</v>
      </c>
      <c r="BA17" s="53">
        <v>3</v>
      </c>
      <c r="BB17" s="53" t="s">
        <v>129</v>
      </c>
      <c r="BC17" s="53">
        <v>2</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0</v>
      </c>
      <c r="D18" s="53" t="s">
        <v>129</v>
      </c>
      <c r="E18" s="53">
        <v>20</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1</v>
      </c>
      <c r="T18" s="53" t="s">
        <v>129</v>
      </c>
      <c r="U18" s="53">
        <v>2</v>
      </c>
      <c r="V18" s="53" t="s">
        <v>129</v>
      </c>
      <c r="W18" s="53">
        <v>1</v>
      </c>
      <c r="X18" s="53" t="s">
        <v>129</v>
      </c>
      <c r="Y18" s="53">
        <v>0</v>
      </c>
      <c r="Z18" s="53" t="s">
        <v>129</v>
      </c>
      <c r="AA18" s="53" t="s">
        <v>129</v>
      </c>
      <c r="AB18" s="53" t="s">
        <v>129</v>
      </c>
      <c r="AC18" s="53" t="s">
        <v>129</v>
      </c>
      <c r="AD18" s="53" t="s">
        <v>129</v>
      </c>
      <c r="AE18" s="53" t="s">
        <v>129</v>
      </c>
      <c r="AF18" s="53" t="s">
        <v>129</v>
      </c>
      <c r="AG18" s="53" t="s">
        <v>129</v>
      </c>
      <c r="AH18" s="53" t="s">
        <v>129</v>
      </c>
      <c r="AI18" s="53">
        <v>2</v>
      </c>
      <c r="AJ18" s="53" t="s">
        <v>129</v>
      </c>
      <c r="AK18" s="53">
        <v>13</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2</v>
      </c>
      <c r="AZ18" s="53" t="s">
        <v>129</v>
      </c>
      <c r="BA18" s="53">
        <v>3</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0</v>
      </c>
      <c r="D19" s="53" t="s">
        <v>129</v>
      </c>
      <c r="E19" s="53">
        <v>19</v>
      </c>
      <c r="F19" s="53" t="s">
        <v>129</v>
      </c>
      <c r="G19" s="53">
        <v>2</v>
      </c>
      <c r="H19" s="53" t="s">
        <v>129</v>
      </c>
      <c r="I19" s="53">
        <v>0</v>
      </c>
      <c r="J19" s="53" t="s">
        <v>129</v>
      </c>
      <c r="K19" s="53" t="s">
        <v>129</v>
      </c>
      <c r="L19" s="53" t="s">
        <v>129</v>
      </c>
      <c r="M19" s="53" t="s">
        <v>129</v>
      </c>
      <c r="N19" s="53" t="s">
        <v>129</v>
      </c>
      <c r="O19" s="53" t="s">
        <v>129</v>
      </c>
      <c r="P19" s="53" t="s">
        <v>129</v>
      </c>
      <c r="Q19" s="53" t="s">
        <v>129</v>
      </c>
      <c r="R19" s="53" t="s">
        <v>129</v>
      </c>
      <c r="S19" s="53">
        <v>1</v>
      </c>
      <c r="T19" s="53" t="s">
        <v>129</v>
      </c>
      <c r="U19" s="53">
        <v>0</v>
      </c>
      <c r="V19" s="53" t="s">
        <v>129</v>
      </c>
      <c r="W19" s="53">
        <v>2</v>
      </c>
      <c r="X19" s="53" t="s">
        <v>129</v>
      </c>
      <c r="Y19" s="53">
        <v>0</v>
      </c>
      <c r="Z19" s="53" t="s">
        <v>129</v>
      </c>
      <c r="AA19" s="53" t="s">
        <v>129</v>
      </c>
      <c r="AB19" s="53" t="s">
        <v>129</v>
      </c>
      <c r="AC19" s="53" t="s">
        <v>129</v>
      </c>
      <c r="AD19" s="53" t="s">
        <v>129</v>
      </c>
      <c r="AE19" s="53" t="s">
        <v>129</v>
      </c>
      <c r="AF19" s="53" t="s">
        <v>129</v>
      </c>
      <c r="AG19" s="53" t="s">
        <v>129</v>
      </c>
      <c r="AH19" s="53" t="s">
        <v>129</v>
      </c>
      <c r="AI19" s="53">
        <v>2</v>
      </c>
      <c r="AJ19" s="53" t="s">
        <v>129</v>
      </c>
      <c r="AK19" s="53">
        <v>14</v>
      </c>
      <c r="AL19" s="53" t="s">
        <v>129</v>
      </c>
      <c r="AM19" s="53">
        <v>1</v>
      </c>
      <c r="AN19" s="53" t="s">
        <v>129</v>
      </c>
      <c r="AO19" s="53">
        <v>0</v>
      </c>
      <c r="AP19" s="53" t="s">
        <v>129</v>
      </c>
      <c r="AQ19" s="53" t="s">
        <v>129</v>
      </c>
      <c r="AR19" s="53" t="s">
        <v>129</v>
      </c>
      <c r="AS19" s="53" t="s">
        <v>129</v>
      </c>
      <c r="AT19" s="53" t="s">
        <v>129</v>
      </c>
      <c r="AU19" s="53" t="s">
        <v>129</v>
      </c>
      <c r="AV19" s="53" t="s">
        <v>129</v>
      </c>
      <c r="AW19" s="53" t="s">
        <v>129</v>
      </c>
      <c r="AX19" s="53" t="s">
        <v>129</v>
      </c>
      <c r="AY19" s="53">
        <v>3</v>
      </c>
      <c r="AZ19" s="53" t="s">
        <v>129</v>
      </c>
      <c r="BA19" s="53">
        <v>2</v>
      </c>
      <c r="BB19" s="53" t="s">
        <v>129</v>
      </c>
      <c r="BC19" s="53">
        <v>2</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1</v>
      </c>
      <c r="D20" s="53" t="s">
        <v>129</v>
      </c>
      <c r="E20" s="53">
        <v>18</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5</v>
      </c>
      <c r="V20" s="53" t="s">
        <v>129</v>
      </c>
      <c r="W20" s="53">
        <v>3</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13</v>
      </c>
      <c r="AL20" s="53" t="s">
        <v>129</v>
      </c>
      <c r="AM20" s="53">
        <v>1</v>
      </c>
      <c r="AN20" s="53" t="s">
        <v>129</v>
      </c>
      <c r="AO20" s="53">
        <v>0</v>
      </c>
      <c r="AP20" s="53" t="s">
        <v>129</v>
      </c>
      <c r="AQ20" s="53" t="s">
        <v>129</v>
      </c>
      <c r="AR20" s="53" t="s">
        <v>129</v>
      </c>
      <c r="AS20" s="53" t="s">
        <v>129</v>
      </c>
      <c r="AT20" s="53" t="s">
        <v>129</v>
      </c>
      <c r="AU20" s="53" t="s">
        <v>129</v>
      </c>
      <c r="AV20" s="53" t="s">
        <v>129</v>
      </c>
      <c r="AW20" s="53" t="s">
        <v>129</v>
      </c>
      <c r="AX20" s="53" t="s">
        <v>129</v>
      </c>
      <c r="AY20" s="53">
        <v>3</v>
      </c>
      <c r="AZ20" s="53" t="s">
        <v>129</v>
      </c>
      <c r="BA20" s="53">
        <v>1</v>
      </c>
      <c r="BB20" s="53" t="s">
        <v>129</v>
      </c>
      <c r="BC20" s="53">
        <v>4</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1</v>
      </c>
      <c r="D21" s="53" t="s">
        <v>129</v>
      </c>
      <c r="E21" s="53">
        <v>22</v>
      </c>
      <c r="F21" s="53" t="s">
        <v>129</v>
      </c>
      <c r="G21" s="53">
        <v>2</v>
      </c>
      <c r="H21" s="53" t="s">
        <v>129</v>
      </c>
      <c r="I21" s="53">
        <v>0</v>
      </c>
      <c r="J21" s="53" t="s">
        <v>129</v>
      </c>
      <c r="K21" s="53" t="s">
        <v>129</v>
      </c>
      <c r="L21" s="53" t="s">
        <v>129</v>
      </c>
      <c r="M21" s="53" t="s">
        <v>129</v>
      </c>
      <c r="N21" s="53" t="s">
        <v>129</v>
      </c>
      <c r="O21" s="53" t="s">
        <v>129</v>
      </c>
      <c r="P21" s="53" t="s">
        <v>129</v>
      </c>
      <c r="Q21" s="53" t="s">
        <v>129</v>
      </c>
      <c r="R21" s="53" t="s">
        <v>129</v>
      </c>
      <c r="S21" s="53">
        <v>3</v>
      </c>
      <c r="T21" s="53" t="s">
        <v>129</v>
      </c>
      <c r="U21" s="53">
        <v>4</v>
      </c>
      <c r="V21" s="53" t="s">
        <v>129</v>
      </c>
      <c r="W21" s="53">
        <v>2</v>
      </c>
      <c r="X21" s="53" t="s">
        <v>129</v>
      </c>
      <c r="Y21" s="53">
        <v>0</v>
      </c>
      <c r="Z21" s="53" t="s">
        <v>129</v>
      </c>
      <c r="AA21" s="53" t="s">
        <v>129</v>
      </c>
      <c r="AB21" s="53" t="s">
        <v>129</v>
      </c>
      <c r="AC21" s="53" t="s">
        <v>129</v>
      </c>
      <c r="AD21" s="53" t="s">
        <v>129</v>
      </c>
      <c r="AE21" s="53" t="s">
        <v>129</v>
      </c>
      <c r="AF21" s="53" t="s">
        <v>129</v>
      </c>
      <c r="AG21" s="53" t="s">
        <v>129</v>
      </c>
      <c r="AH21" s="53" t="s">
        <v>129</v>
      </c>
      <c r="AI21" s="53">
        <v>1</v>
      </c>
      <c r="AJ21" s="53" t="s">
        <v>129</v>
      </c>
      <c r="AK21" s="53">
        <v>30</v>
      </c>
      <c r="AL21" s="53" t="s">
        <v>129</v>
      </c>
      <c r="AM21" s="53">
        <v>1</v>
      </c>
      <c r="AN21" s="53" t="s">
        <v>129</v>
      </c>
      <c r="AO21" s="53">
        <v>0</v>
      </c>
      <c r="AP21" s="53" t="s">
        <v>129</v>
      </c>
      <c r="AQ21" s="53" t="s">
        <v>129</v>
      </c>
      <c r="AR21" s="53" t="s">
        <v>129</v>
      </c>
      <c r="AS21" s="53" t="s">
        <v>129</v>
      </c>
      <c r="AT21" s="53" t="s">
        <v>129</v>
      </c>
      <c r="AU21" s="53" t="s">
        <v>129</v>
      </c>
      <c r="AV21" s="53" t="s">
        <v>129</v>
      </c>
      <c r="AW21" s="53" t="s">
        <v>129</v>
      </c>
      <c r="AX21" s="53" t="s">
        <v>129</v>
      </c>
      <c r="AY21" s="53">
        <v>1</v>
      </c>
      <c r="AZ21" s="53" t="s">
        <v>129</v>
      </c>
      <c r="BA21" s="53">
        <v>1</v>
      </c>
      <c r="BB21" s="53" t="s">
        <v>129</v>
      </c>
      <c r="BC21" s="53">
        <v>2</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1</v>
      </c>
      <c r="D22" s="53" t="s">
        <v>129</v>
      </c>
      <c r="E22" s="53">
        <v>28</v>
      </c>
      <c r="F22" s="53" t="s">
        <v>129</v>
      </c>
      <c r="G22" s="53">
        <v>3</v>
      </c>
      <c r="H22" s="53" t="s">
        <v>129</v>
      </c>
      <c r="I22" s="53">
        <v>0</v>
      </c>
      <c r="J22" s="53" t="s">
        <v>129</v>
      </c>
      <c r="K22" s="53" t="s">
        <v>129</v>
      </c>
      <c r="L22" s="53" t="s">
        <v>129</v>
      </c>
      <c r="M22" s="53" t="s">
        <v>129</v>
      </c>
      <c r="N22" s="53" t="s">
        <v>129</v>
      </c>
      <c r="O22" s="53" t="s">
        <v>129</v>
      </c>
      <c r="P22" s="53" t="s">
        <v>129</v>
      </c>
      <c r="Q22" s="53" t="s">
        <v>129</v>
      </c>
      <c r="R22" s="53" t="s">
        <v>129</v>
      </c>
      <c r="S22" s="53">
        <v>1</v>
      </c>
      <c r="T22" s="53" t="s">
        <v>129</v>
      </c>
      <c r="U22" s="53">
        <v>1</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21</v>
      </c>
      <c r="AL22" s="53" t="s">
        <v>129</v>
      </c>
      <c r="AM22" s="53">
        <v>3</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3</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0</v>
      </c>
      <c r="D24" s="53" t="s">
        <v>129</v>
      </c>
      <c r="E24" s="53">
        <v>15</v>
      </c>
      <c r="F24" s="53" t="s">
        <v>129</v>
      </c>
      <c r="G24" s="53">
        <v>1</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2</v>
      </c>
      <c r="V24" s="53" t="s">
        <v>129</v>
      </c>
      <c r="W24" s="53">
        <v>1</v>
      </c>
      <c r="X24" s="53" t="s">
        <v>129</v>
      </c>
      <c r="Y24" s="53">
        <v>0</v>
      </c>
      <c r="Z24" s="53" t="s">
        <v>129</v>
      </c>
      <c r="AA24" s="53" t="s">
        <v>129</v>
      </c>
      <c r="AB24" s="53" t="s">
        <v>129</v>
      </c>
      <c r="AC24" s="53" t="s">
        <v>129</v>
      </c>
      <c r="AD24" s="53" t="s">
        <v>129</v>
      </c>
      <c r="AE24" s="53" t="s">
        <v>129</v>
      </c>
      <c r="AF24" s="53" t="s">
        <v>129</v>
      </c>
      <c r="AG24" s="53" t="s">
        <v>129</v>
      </c>
      <c r="AH24" s="53" t="s">
        <v>129</v>
      </c>
      <c r="AI24" s="53">
        <v>1</v>
      </c>
      <c r="AJ24" s="53" t="s">
        <v>129</v>
      </c>
      <c r="AK24" s="53">
        <v>18</v>
      </c>
      <c r="AL24" s="53" t="s">
        <v>129</v>
      </c>
      <c r="AM24" s="53">
        <v>1</v>
      </c>
      <c r="AN24" s="53" t="s">
        <v>129</v>
      </c>
      <c r="AO24" s="53">
        <v>0</v>
      </c>
      <c r="AP24" s="53" t="s">
        <v>129</v>
      </c>
      <c r="AQ24" s="53" t="s">
        <v>129</v>
      </c>
      <c r="AR24" s="53" t="s">
        <v>129</v>
      </c>
      <c r="AS24" s="53" t="s">
        <v>129</v>
      </c>
      <c r="AT24" s="53" t="s">
        <v>129</v>
      </c>
      <c r="AU24" s="53" t="s">
        <v>129</v>
      </c>
      <c r="AV24" s="53" t="s">
        <v>129</v>
      </c>
      <c r="AW24" s="53" t="s">
        <v>129</v>
      </c>
      <c r="AX24" s="53" t="s">
        <v>129</v>
      </c>
      <c r="AY24" s="53">
        <v>1</v>
      </c>
      <c r="AZ24" s="53" t="s">
        <v>129</v>
      </c>
      <c r="BA24" s="53">
        <v>1</v>
      </c>
      <c r="BB24" s="53" t="s">
        <v>129</v>
      </c>
      <c r="BC24" s="53">
        <v>1</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0</v>
      </c>
      <c r="D25" s="53" t="s">
        <v>129</v>
      </c>
      <c r="E25" s="53">
        <v>21</v>
      </c>
      <c r="F25" s="53" t="s">
        <v>129</v>
      </c>
      <c r="G25" s="53">
        <v>3</v>
      </c>
      <c r="H25" s="53" t="s">
        <v>129</v>
      </c>
      <c r="I25" s="53">
        <v>0</v>
      </c>
      <c r="J25" s="53" t="s">
        <v>129</v>
      </c>
      <c r="K25" s="53" t="s">
        <v>129</v>
      </c>
      <c r="L25" s="53" t="s">
        <v>129</v>
      </c>
      <c r="M25" s="53" t="s">
        <v>129</v>
      </c>
      <c r="N25" s="53" t="s">
        <v>129</v>
      </c>
      <c r="O25" s="53" t="s">
        <v>129</v>
      </c>
      <c r="P25" s="53" t="s">
        <v>129</v>
      </c>
      <c r="Q25" s="53" t="s">
        <v>129</v>
      </c>
      <c r="R25" s="53" t="s">
        <v>129</v>
      </c>
      <c r="S25" s="53">
        <v>2</v>
      </c>
      <c r="T25" s="53" t="s">
        <v>129</v>
      </c>
      <c r="U25" s="53">
        <v>3</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10</v>
      </c>
      <c r="AL25" s="53" t="s">
        <v>129</v>
      </c>
      <c r="AM25" s="53">
        <v>1</v>
      </c>
      <c r="AN25" s="53" t="s">
        <v>129</v>
      </c>
      <c r="AO25" s="53">
        <v>0</v>
      </c>
      <c r="AP25" s="53" t="s">
        <v>129</v>
      </c>
      <c r="AQ25" s="53" t="s">
        <v>129</v>
      </c>
      <c r="AR25" s="53" t="s">
        <v>129</v>
      </c>
      <c r="AS25" s="53" t="s">
        <v>129</v>
      </c>
      <c r="AT25" s="53" t="s">
        <v>129</v>
      </c>
      <c r="AU25" s="53" t="s">
        <v>129</v>
      </c>
      <c r="AV25" s="53" t="s">
        <v>129</v>
      </c>
      <c r="AW25" s="53" t="s">
        <v>129</v>
      </c>
      <c r="AX25" s="53" t="s">
        <v>129</v>
      </c>
      <c r="AY25" s="53">
        <v>1</v>
      </c>
      <c r="AZ25" s="53" t="s">
        <v>129</v>
      </c>
      <c r="BA25" s="53">
        <v>3</v>
      </c>
      <c r="BB25" s="53" t="s">
        <v>129</v>
      </c>
      <c r="BC25" s="53">
        <v>3</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v>
      </c>
      <c r="D26" s="53" t="s">
        <v>129</v>
      </c>
      <c r="E26" s="53">
        <v>16</v>
      </c>
      <c r="F26" s="53" t="s">
        <v>129</v>
      </c>
      <c r="G26" s="53">
        <v>3</v>
      </c>
      <c r="H26" s="53" t="s">
        <v>129</v>
      </c>
      <c r="I26" s="53">
        <v>0</v>
      </c>
      <c r="J26" s="53" t="s">
        <v>129</v>
      </c>
      <c r="K26" s="53" t="s">
        <v>129</v>
      </c>
      <c r="L26" s="53" t="s">
        <v>129</v>
      </c>
      <c r="M26" s="53" t="s">
        <v>129</v>
      </c>
      <c r="N26" s="53" t="s">
        <v>129</v>
      </c>
      <c r="O26" s="53" t="s">
        <v>129</v>
      </c>
      <c r="P26" s="53" t="s">
        <v>129</v>
      </c>
      <c r="Q26" s="53" t="s">
        <v>129</v>
      </c>
      <c r="R26" s="53" t="s">
        <v>129</v>
      </c>
      <c r="S26" s="53">
        <v>2</v>
      </c>
      <c r="T26" s="53" t="s">
        <v>129</v>
      </c>
      <c r="U26" s="53">
        <v>3</v>
      </c>
      <c r="V26" s="53" t="s">
        <v>129</v>
      </c>
      <c r="W26" s="53">
        <v>2</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19</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v>3</v>
      </c>
      <c r="AZ26" s="53" t="s">
        <v>129</v>
      </c>
      <c r="BA26" s="53">
        <v>3</v>
      </c>
      <c r="BB26" s="53" t="s">
        <v>129</v>
      </c>
      <c r="BC26" s="53">
        <v>1</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1</v>
      </c>
      <c r="D27" s="53" t="s">
        <v>129</v>
      </c>
      <c r="E27" s="53">
        <v>17</v>
      </c>
      <c r="F27" s="53" t="s">
        <v>129</v>
      </c>
      <c r="G27" s="53">
        <v>3</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6</v>
      </c>
      <c r="V27" s="53" t="s">
        <v>129</v>
      </c>
      <c r="W27" s="53">
        <v>2</v>
      </c>
      <c r="X27" s="53" t="s">
        <v>129</v>
      </c>
      <c r="Y27" s="53">
        <v>0</v>
      </c>
      <c r="Z27" s="53" t="s">
        <v>129</v>
      </c>
      <c r="AA27" s="53" t="s">
        <v>129</v>
      </c>
      <c r="AB27" s="53" t="s">
        <v>129</v>
      </c>
      <c r="AC27" s="53" t="s">
        <v>129</v>
      </c>
      <c r="AD27" s="53" t="s">
        <v>129</v>
      </c>
      <c r="AE27" s="53" t="s">
        <v>129</v>
      </c>
      <c r="AF27" s="53" t="s">
        <v>129</v>
      </c>
      <c r="AG27" s="53" t="s">
        <v>129</v>
      </c>
      <c r="AH27" s="53" t="s">
        <v>129</v>
      </c>
      <c r="AI27" s="53">
        <v>2</v>
      </c>
      <c r="AJ27" s="53" t="s">
        <v>129</v>
      </c>
      <c r="AK27" s="53">
        <v>16</v>
      </c>
      <c r="AL27" s="53" t="s">
        <v>129</v>
      </c>
      <c r="AM27" s="53">
        <v>1</v>
      </c>
      <c r="AN27" s="53" t="s">
        <v>129</v>
      </c>
      <c r="AO27" s="53">
        <v>0</v>
      </c>
      <c r="AP27" s="53" t="s">
        <v>129</v>
      </c>
      <c r="AQ27" s="53" t="s">
        <v>129</v>
      </c>
      <c r="AR27" s="53" t="s">
        <v>129</v>
      </c>
      <c r="AS27" s="53" t="s">
        <v>129</v>
      </c>
      <c r="AT27" s="53" t="s">
        <v>129</v>
      </c>
      <c r="AU27" s="53" t="s">
        <v>129</v>
      </c>
      <c r="AV27" s="53" t="s">
        <v>129</v>
      </c>
      <c r="AW27" s="53" t="s">
        <v>129</v>
      </c>
      <c r="AX27" s="53" t="s">
        <v>129</v>
      </c>
      <c r="AY27" s="53">
        <v>4</v>
      </c>
      <c r="AZ27" s="53" t="s">
        <v>129</v>
      </c>
      <c r="BA27" s="53">
        <v>5</v>
      </c>
      <c r="BB27" s="53" t="s">
        <v>129</v>
      </c>
      <c r="BC27" s="53">
        <v>3</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0</v>
      </c>
      <c r="D29" s="53" t="s">
        <v>129</v>
      </c>
      <c r="E29" s="53">
        <v>18</v>
      </c>
      <c r="F29" s="53" t="s">
        <v>129</v>
      </c>
      <c r="G29" s="53">
        <v>2</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2</v>
      </c>
      <c r="V29" s="53" t="s">
        <v>129</v>
      </c>
      <c r="W29" s="53">
        <v>5</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17</v>
      </c>
      <c r="AL29" s="53" t="s">
        <v>129</v>
      </c>
      <c r="AM29" s="53">
        <v>1</v>
      </c>
      <c r="AN29" s="53" t="s">
        <v>129</v>
      </c>
      <c r="AO29" s="53">
        <v>1</v>
      </c>
      <c r="AP29" s="53" t="s">
        <v>129</v>
      </c>
      <c r="AQ29" s="53" t="s">
        <v>129</v>
      </c>
      <c r="AR29" s="53" t="s">
        <v>129</v>
      </c>
      <c r="AS29" s="53" t="s">
        <v>129</v>
      </c>
      <c r="AT29" s="53" t="s">
        <v>129</v>
      </c>
      <c r="AU29" s="53" t="s">
        <v>129</v>
      </c>
      <c r="AV29" s="53" t="s">
        <v>129</v>
      </c>
      <c r="AW29" s="53" t="s">
        <v>129</v>
      </c>
      <c r="AX29" s="53" t="s">
        <v>129</v>
      </c>
      <c r="AY29" s="53">
        <v>1</v>
      </c>
      <c r="AZ29" s="53" t="s">
        <v>129</v>
      </c>
      <c r="BA29" s="53">
        <v>5</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1</v>
      </c>
      <c r="D30" s="53" t="s">
        <v>129</v>
      </c>
      <c r="E30" s="53">
        <v>10</v>
      </c>
      <c r="F30" s="53" t="s">
        <v>129</v>
      </c>
      <c r="G30" s="53">
        <v>6</v>
      </c>
      <c r="H30" s="53" t="s">
        <v>129</v>
      </c>
      <c r="I30" s="53">
        <v>0</v>
      </c>
      <c r="J30" s="53" t="s">
        <v>129</v>
      </c>
      <c r="K30" s="53" t="s">
        <v>129</v>
      </c>
      <c r="L30" s="53" t="s">
        <v>129</v>
      </c>
      <c r="M30" s="53" t="s">
        <v>129</v>
      </c>
      <c r="N30" s="53" t="s">
        <v>129</v>
      </c>
      <c r="O30" s="53" t="s">
        <v>129</v>
      </c>
      <c r="P30" s="53" t="s">
        <v>129</v>
      </c>
      <c r="Q30" s="53" t="s">
        <v>129</v>
      </c>
      <c r="R30" s="53" t="s">
        <v>129</v>
      </c>
      <c r="S30" s="53">
        <v>1</v>
      </c>
      <c r="T30" s="53" t="s">
        <v>129</v>
      </c>
      <c r="U30" s="53">
        <v>8</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9</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1</v>
      </c>
      <c r="D31" s="53" t="s">
        <v>129</v>
      </c>
      <c r="E31" s="53">
        <v>12</v>
      </c>
      <c r="F31" s="53" t="s">
        <v>129</v>
      </c>
      <c r="G31" s="53">
        <v>1</v>
      </c>
      <c r="H31" s="53" t="s">
        <v>129</v>
      </c>
      <c r="I31" s="53">
        <v>0</v>
      </c>
      <c r="J31" s="53" t="s">
        <v>129</v>
      </c>
      <c r="K31" s="53" t="s">
        <v>129</v>
      </c>
      <c r="L31" s="53" t="s">
        <v>129</v>
      </c>
      <c r="M31" s="53" t="s">
        <v>129</v>
      </c>
      <c r="N31" s="53" t="s">
        <v>129</v>
      </c>
      <c r="O31" s="53" t="s">
        <v>129</v>
      </c>
      <c r="P31" s="53" t="s">
        <v>129</v>
      </c>
      <c r="Q31" s="53" t="s">
        <v>129</v>
      </c>
      <c r="R31" s="53" t="s">
        <v>129</v>
      </c>
      <c r="S31" s="53">
        <v>1</v>
      </c>
      <c r="T31" s="53" t="s">
        <v>129</v>
      </c>
      <c r="U31" s="53">
        <v>1</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1</v>
      </c>
      <c r="AJ31" s="53" t="s">
        <v>129</v>
      </c>
      <c r="AK31" s="53">
        <v>14</v>
      </c>
      <c r="AL31" s="53" t="s">
        <v>129</v>
      </c>
      <c r="AM31" s="53">
        <v>1</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2</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0</v>
      </c>
      <c r="D32" s="53" t="s">
        <v>129</v>
      </c>
      <c r="E32" s="53">
        <v>10</v>
      </c>
      <c r="F32" s="53" t="s">
        <v>129</v>
      </c>
      <c r="G32" s="53">
        <v>1</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4</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1</v>
      </c>
      <c r="AJ32" s="53" t="s">
        <v>129</v>
      </c>
      <c r="AK32" s="53">
        <v>10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3</v>
      </c>
      <c r="AZ32" s="53" t="s">
        <v>129</v>
      </c>
      <c r="BA32" s="53">
        <v>2</v>
      </c>
      <c r="BB32" s="53" t="s">
        <v>129</v>
      </c>
      <c r="BC32" s="53">
        <v>1</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0</v>
      </c>
      <c r="D33" s="53" t="s">
        <v>129</v>
      </c>
      <c r="E33" s="53">
        <v>6</v>
      </c>
      <c r="F33" s="53" t="s">
        <v>129</v>
      </c>
      <c r="G33" s="53">
        <v>2</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4</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1</v>
      </c>
      <c r="AJ33" s="53" t="s">
        <v>129</v>
      </c>
      <c r="AK33" s="53">
        <v>8</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1</v>
      </c>
      <c r="AZ33" s="53" t="s">
        <v>129</v>
      </c>
      <c r="BA33" s="53">
        <v>2</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1</v>
      </c>
      <c r="D34" s="53" t="s">
        <v>129</v>
      </c>
      <c r="E34" s="53">
        <v>10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1</v>
      </c>
      <c r="T34" s="53" t="s">
        <v>129</v>
      </c>
      <c r="U34" s="53">
        <v>1</v>
      </c>
      <c r="V34" s="53" t="s">
        <v>129</v>
      </c>
      <c r="W34" s="53">
        <v>1</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6</v>
      </c>
      <c r="AL34" s="53" t="s">
        <v>129</v>
      </c>
      <c r="AM34" s="53">
        <v>2</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0</v>
      </c>
      <c r="D35" s="53" t="s">
        <v>129</v>
      </c>
      <c r="E35" s="53">
        <v>8</v>
      </c>
      <c r="F35" s="53" t="s">
        <v>129</v>
      </c>
      <c r="G35" s="53">
        <v>2</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1</v>
      </c>
      <c r="V35" s="53" t="s">
        <v>129</v>
      </c>
      <c r="W35" s="53">
        <v>2</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6</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10</v>
      </c>
      <c r="F36" s="53" t="s">
        <v>129</v>
      </c>
      <c r="G36" s="53">
        <v>4</v>
      </c>
      <c r="H36" s="53" t="s">
        <v>129</v>
      </c>
      <c r="I36" s="53">
        <v>0</v>
      </c>
      <c r="J36" s="53" t="s">
        <v>129</v>
      </c>
      <c r="K36" s="53" t="s">
        <v>129</v>
      </c>
      <c r="L36" s="53" t="s">
        <v>129</v>
      </c>
      <c r="M36" s="53" t="s">
        <v>129</v>
      </c>
      <c r="N36" s="53" t="s">
        <v>129</v>
      </c>
      <c r="O36" s="53" t="s">
        <v>129</v>
      </c>
      <c r="P36" s="53" t="s">
        <v>129</v>
      </c>
      <c r="Q36" s="53" t="s">
        <v>129</v>
      </c>
      <c r="R36" s="53" t="s">
        <v>129</v>
      </c>
      <c r="S36" s="53">
        <v>3</v>
      </c>
      <c r="T36" s="53" t="s">
        <v>129</v>
      </c>
      <c r="U36" s="53">
        <v>3</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6</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3</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9AC7D-7553-4B24-BFEC-458C00B2328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98</v>
      </c>
      <c r="J14" s="54" t="s">
        <v>158</v>
      </c>
      <c r="K14" s="54" t="s">
        <v>157</v>
      </c>
      <c r="L14" s="54" t="s">
        <v>156</v>
      </c>
      <c r="M14" s="54" t="s">
        <v>155</v>
      </c>
      <c r="N14" s="54" t="s">
        <v>154</v>
      </c>
      <c r="O14" s="54" t="s">
        <v>153</v>
      </c>
      <c r="P14" s="54" t="s">
        <v>152</v>
      </c>
      <c r="Q14" s="54" t="s">
        <v>98</v>
      </c>
      <c r="R14" s="54" t="s">
        <v>158</v>
      </c>
      <c r="S14" s="54" t="s">
        <v>157</v>
      </c>
      <c r="T14" s="54" t="s">
        <v>156</v>
      </c>
      <c r="U14" s="54" t="s">
        <v>155</v>
      </c>
      <c r="V14" s="54" t="s">
        <v>154</v>
      </c>
      <c r="W14" s="54" t="s">
        <v>153</v>
      </c>
      <c r="X14" s="54" t="s">
        <v>152</v>
      </c>
      <c r="Y14" s="54" t="s">
        <v>98</v>
      </c>
      <c r="Z14" s="54" t="s">
        <v>158</v>
      </c>
      <c r="AA14" s="54" t="s">
        <v>157</v>
      </c>
      <c r="AB14" s="54" t="s">
        <v>156</v>
      </c>
      <c r="AC14" s="54" t="s">
        <v>155</v>
      </c>
      <c r="AD14" s="54" t="s">
        <v>154</v>
      </c>
      <c r="AE14" s="54" t="s">
        <v>153</v>
      </c>
      <c r="AF14" s="54" t="s">
        <v>152</v>
      </c>
      <c r="AG14" s="54" t="s">
        <v>98</v>
      </c>
      <c r="AH14" s="54" t="s">
        <v>158</v>
      </c>
      <c r="AI14" s="54" t="s">
        <v>157</v>
      </c>
      <c r="AJ14" s="54" t="s">
        <v>156</v>
      </c>
      <c r="AK14" s="54" t="s">
        <v>155</v>
      </c>
      <c r="AL14" s="54" t="s">
        <v>154</v>
      </c>
      <c r="AM14" s="54" t="s">
        <v>153</v>
      </c>
      <c r="AN14" s="54" t="s">
        <v>152</v>
      </c>
      <c r="AO14" s="54" t="s">
        <v>98</v>
      </c>
      <c r="AP14" s="54" t="s">
        <v>158</v>
      </c>
      <c r="AQ14" s="54" t="s">
        <v>157</v>
      </c>
      <c r="AR14" s="54" t="s">
        <v>156</v>
      </c>
      <c r="AS14" s="54" t="s">
        <v>155</v>
      </c>
      <c r="AT14" s="54" t="s">
        <v>154</v>
      </c>
      <c r="AU14" s="54" t="s">
        <v>153</v>
      </c>
      <c r="AV14" s="54" t="s">
        <v>152</v>
      </c>
      <c r="AW14" s="54" t="s">
        <v>98</v>
      </c>
      <c r="AX14" s="54" t="s">
        <v>158</v>
      </c>
      <c r="AY14" s="54" t="s">
        <v>157</v>
      </c>
      <c r="AZ14" s="54" t="s">
        <v>156</v>
      </c>
      <c r="BA14" s="54" t="s">
        <v>155</v>
      </c>
      <c r="BB14" s="54" t="s">
        <v>154</v>
      </c>
      <c r="BC14" s="54" t="s">
        <v>153</v>
      </c>
      <c r="BD14" s="54" t="s">
        <v>152</v>
      </c>
      <c r="BE14" s="54" t="s">
        <v>98</v>
      </c>
      <c r="BF14" s="54" t="s">
        <v>158</v>
      </c>
      <c r="BG14" s="54" t="s">
        <v>157</v>
      </c>
      <c r="BH14" s="54" t="s">
        <v>156</v>
      </c>
      <c r="BI14" s="54" t="s">
        <v>155</v>
      </c>
      <c r="BJ14" s="54" t="s">
        <v>154</v>
      </c>
      <c r="BK14" s="54" t="s">
        <v>153</v>
      </c>
      <c r="BL14" s="54" t="s">
        <v>152</v>
      </c>
      <c r="BM14" s="54" t="s">
        <v>98</v>
      </c>
    </row>
    <row r="15" spans="1:65" ht="15" customHeight="1" x14ac:dyDescent="0.2">
      <c r="A15" s="53" t="s">
        <v>151</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1</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0</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1</v>
      </c>
      <c r="AZ16" s="53" t="s">
        <v>129</v>
      </c>
      <c r="BA16" s="53">
        <v>0</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0</v>
      </c>
      <c r="D17" s="53" t="s">
        <v>129</v>
      </c>
      <c r="E17" s="53">
        <v>1</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0</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0</v>
      </c>
      <c r="D18" s="53" t="s">
        <v>129</v>
      </c>
      <c r="E18" s="53">
        <v>2</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1</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0</v>
      </c>
      <c r="D19" s="53" t="s">
        <v>129</v>
      </c>
      <c r="E19" s="53">
        <v>0</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0</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2</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0</v>
      </c>
      <c r="D21" s="53" t="s">
        <v>129</v>
      </c>
      <c r="E21" s="53">
        <v>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0</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0</v>
      </c>
      <c r="D22" s="53" t="s">
        <v>129</v>
      </c>
      <c r="E22" s="53">
        <v>2</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0</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2</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1</v>
      </c>
      <c r="D25" s="53" t="s">
        <v>129</v>
      </c>
      <c r="E25" s="53">
        <v>1</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1</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1</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0</v>
      </c>
      <c r="D26" s="53" t="s">
        <v>129</v>
      </c>
      <c r="E26" s="53">
        <v>0</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0</v>
      </c>
      <c r="D29" s="53" t="s">
        <v>129</v>
      </c>
      <c r="E29" s="53">
        <v>1</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0</v>
      </c>
      <c r="D30" s="53" t="s">
        <v>129</v>
      </c>
      <c r="E30" s="53">
        <v>2</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2</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0</v>
      </c>
      <c r="D31" s="53" t="s">
        <v>129</v>
      </c>
      <c r="E31" s="53">
        <v>0</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1</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0</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0</v>
      </c>
      <c r="D32" s="53" t="s">
        <v>129</v>
      </c>
      <c r="E32" s="53">
        <v>1</v>
      </c>
      <c r="F32" s="53" t="s">
        <v>129</v>
      </c>
      <c r="G32" s="53">
        <v>1</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1</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0</v>
      </c>
      <c r="D33" s="53" t="s">
        <v>129</v>
      </c>
      <c r="E33" s="53">
        <v>0</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1</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2</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0</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0</v>
      </c>
      <c r="D35" s="53" t="s">
        <v>129</v>
      </c>
      <c r="E35" s="53">
        <v>1</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2</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1</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9E87-F800-4EED-A3A2-0BB47072E599}">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98</v>
      </c>
      <c r="J14" s="54" t="s">
        <v>158</v>
      </c>
      <c r="K14" s="54" t="s">
        <v>157</v>
      </c>
      <c r="L14" s="54" t="s">
        <v>156</v>
      </c>
      <c r="M14" s="54" t="s">
        <v>155</v>
      </c>
      <c r="N14" s="54" t="s">
        <v>154</v>
      </c>
      <c r="O14" s="54" t="s">
        <v>153</v>
      </c>
      <c r="P14" s="54" t="s">
        <v>152</v>
      </c>
      <c r="Q14" s="54" t="s">
        <v>98</v>
      </c>
      <c r="R14" s="54" t="s">
        <v>158</v>
      </c>
      <c r="S14" s="54" t="s">
        <v>157</v>
      </c>
      <c r="T14" s="54" t="s">
        <v>156</v>
      </c>
      <c r="U14" s="54" t="s">
        <v>155</v>
      </c>
      <c r="V14" s="54" t="s">
        <v>154</v>
      </c>
      <c r="W14" s="54" t="s">
        <v>153</v>
      </c>
      <c r="X14" s="54" t="s">
        <v>152</v>
      </c>
      <c r="Y14" s="54" t="s">
        <v>98</v>
      </c>
      <c r="Z14" s="54" t="s">
        <v>158</v>
      </c>
      <c r="AA14" s="54" t="s">
        <v>157</v>
      </c>
      <c r="AB14" s="54" t="s">
        <v>156</v>
      </c>
      <c r="AC14" s="54" t="s">
        <v>155</v>
      </c>
      <c r="AD14" s="54" t="s">
        <v>154</v>
      </c>
      <c r="AE14" s="54" t="s">
        <v>153</v>
      </c>
      <c r="AF14" s="54" t="s">
        <v>152</v>
      </c>
      <c r="AG14" s="54" t="s">
        <v>98</v>
      </c>
      <c r="AH14" s="54" t="s">
        <v>158</v>
      </c>
      <c r="AI14" s="54" t="s">
        <v>157</v>
      </c>
      <c r="AJ14" s="54" t="s">
        <v>156</v>
      </c>
      <c r="AK14" s="54" t="s">
        <v>155</v>
      </c>
      <c r="AL14" s="54" t="s">
        <v>154</v>
      </c>
      <c r="AM14" s="54" t="s">
        <v>153</v>
      </c>
      <c r="AN14" s="54" t="s">
        <v>152</v>
      </c>
      <c r="AO14" s="54" t="s">
        <v>98</v>
      </c>
      <c r="AP14" s="54" t="s">
        <v>158</v>
      </c>
      <c r="AQ14" s="54" t="s">
        <v>157</v>
      </c>
      <c r="AR14" s="54" t="s">
        <v>156</v>
      </c>
      <c r="AS14" s="54" t="s">
        <v>155</v>
      </c>
      <c r="AT14" s="54" t="s">
        <v>154</v>
      </c>
      <c r="AU14" s="54" t="s">
        <v>153</v>
      </c>
      <c r="AV14" s="54" t="s">
        <v>152</v>
      </c>
      <c r="AW14" s="54" t="s">
        <v>98</v>
      </c>
      <c r="AX14" s="54" t="s">
        <v>158</v>
      </c>
      <c r="AY14" s="54" t="s">
        <v>157</v>
      </c>
      <c r="AZ14" s="54" t="s">
        <v>156</v>
      </c>
      <c r="BA14" s="54" t="s">
        <v>155</v>
      </c>
      <c r="BB14" s="54" t="s">
        <v>154</v>
      </c>
      <c r="BC14" s="54" t="s">
        <v>153</v>
      </c>
      <c r="BD14" s="54" t="s">
        <v>152</v>
      </c>
      <c r="BE14" s="54" t="s">
        <v>98</v>
      </c>
      <c r="BF14" s="54" t="s">
        <v>158</v>
      </c>
      <c r="BG14" s="54" t="s">
        <v>157</v>
      </c>
      <c r="BH14" s="54" t="s">
        <v>156</v>
      </c>
      <c r="BI14" s="54" t="s">
        <v>155</v>
      </c>
      <c r="BJ14" s="54" t="s">
        <v>154</v>
      </c>
      <c r="BK14" s="54" t="s">
        <v>153</v>
      </c>
      <c r="BL14" s="54" t="s">
        <v>152</v>
      </c>
      <c r="BM14" s="54" t="s">
        <v>98</v>
      </c>
    </row>
    <row r="15" spans="1:65" ht="15" customHeight="1" x14ac:dyDescent="0.2">
      <c r="A15" s="53" t="s">
        <v>151</v>
      </c>
      <c r="B15" s="53" t="s">
        <v>129</v>
      </c>
      <c r="C15" s="53">
        <v>17</v>
      </c>
      <c r="D15" s="53" t="s">
        <v>129</v>
      </c>
      <c r="E15" s="53">
        <v>275</v>
      </c>
      <c r="F15" s="53" t="s">
        <v>129</v>
      </c>
      <c r="G15" s="53">
        <v>31</v>
      </c>
      <c r="H15" s="53" t="s">
        <v>129</v>
      </c>
      <c r="I15" s="53">
        <v>0</v>
      </c>
      <c r="J15" s="53" t="s">
        <v>129</v>
      </c>
      <c r="K15" s="53" t="s">
        <v>129</v>
      </c>
      <c r="L15" s="53" t="s">
        <v>129</v>
      </c>
      <c r="M15" s="53" t="s">
        <v>129</v>
      </c>
      <c r="N15" s="53" t="s">
        <v>129</v>
      </c>
      <c r="O15" s="53" t="s">
        <v>129</v>
      </c>
      <c r="P15" s="53" t="s">
        <v>129</v>
      </c>
      <c r="Q15" s="53" t="s">
        <v>129</v>
      </c>
      <c r="R15" s="53" t="s">
        <v>129</v>
      </c>
      <c r="S15" s="53">
        <v>22</v>
      </c>
      <c r="T15" s="53" t="s">
        <v>129</v>
      </c>
      <c r="U15" s="53">
        <v>34</v>
      </c>
      <c r="V15" s="53" t="s">
        <v>129</v>
      </c>
      <c r="W15" s="53">
        <v>17</v>
      </c>
      <c r="X15" s="53" t="s">
        <v>129</v>
      </c>
      <c r="Y15" s="53">
        <v>0</v>
      </c>
      <c r="Z15" s="53" t="s">
        <v>129</v>
      </c>
      <c r="AA15" s="53" t="s">
        <v>129</v>
      </c>
      <c r="AB15" s="53" t="s">
        <v>129</v>
      </c>
      <c r="AC15" s="53" t="s">
        <v>129</v>
      </c>
      <c r="AD15" s="53" t="s">
        <v>129</v>
      </c>
      <c r="AE15" s="53" t="s">
        <v>129</v>
      </c>
      <c r="AF15" s="53" t="s">
        <v>129</v>
      </c>
      <c r="AG15" s="53" t="s">
        <v>129</v>
      </c>
      <c r="AH15" s="53" t="s">
        <v>129</v>
      </c>
      <c r="AI15" s="53">
        <v>9</v>
      </c>
      <c r="AJ15" s="53" t="s">
        <v>129</v>
      </c>
      <c r="AK15" s="53">
        <v>169</v>
      </c>
      <c r="AL15" s="53" t="s">
        <v>129</v>
      </c>
      <c r="AM15" s="53">
        <v>11</v>
      </c>
      <c r="AN15" s="53" t="s">
        <v>129</v>
      </c>
      <c r="AO15" s="53">
        <v>1</v>
      </c>
      <c r="AP15" s="53" t="s">
        <v>129</v>
      </c>
      <c r="AQ15" s="53" t="s">
        <v>129</v>
      </c>
      <c r="AR15" s="53" t="s">
        <v>129</v>
      </c>
      <c r="AS15" s="53" t="s">
        <v>129</v>
      </c>
      <c r="AT15" s="53" t="s">
        <v>129</v>
      </c>
      <c r="AU15" s="53" t="s">
        <v>129</v>
      </c>
      <c r="AV15" s="53" t="s">
        <v>129</v>
      </c>
      <c r="AW15" s="53" t="s">
        <v>129</v>
      </c>
      <c r="AX15" s="53" t="s">
        <v>129</v>
      </c>
      <c r="AY15" s="53">
        <v>44</v>
      </c>
      <c r="AZ15" s="53" t="s">
        <v>129</v>
      </c>
      <c r="BA15" s="53">
        <v>59</v>
      </c>
      <c r="BB15" s="53" t="s">
        <v>129</v>
      </c>
      <c r="BC15" s="53">
        <v>16</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26</v>
      </c>
      <c r="D16" s="53" t="s">
        <v>129</v>
      </c>
      <c r="E16" s="53">
        <v>324</v>
      </c>
      <c r="F16" s="53" t="s">
        <v>129</v>
      </c>
      <c r="G16" s="53">
        <v>34</v>
      </c>
      <c r="H16" s="53" t="s">
        <v>129</v>
      </c>
      <c r="I16" s="53">
        <v>0</v>
      </c>
      <c r="J16" s="53" t="s">
        <v>129</v>
      </c>
      <c r="K16" s="53" t="s">
        <v>129</v>
      </c>
      <c r="L16" s="53" t="s">
        <v>129</v>
      </c>
      <c r="M16" s="53" t="s">
        <v>129</v>
      </c>
      <c r="N16" s="53" t="s">
        <v>129</v>
      </c>
      <c r="O16" s="53" t="s">
        <v>129</v>
      </c>
      <c r="P16" s="53" t="s">
        <v>129</v>
      </c>
      <c r="Q16" s="53" t="s">
        <v>129</v>
      </c>
      <c r="R16" s="53" t="s">
        <v>129</v>
      </c>
      <c r="S16" s="53">
        <v>21</v>
      </c>
      <c r="T16" s="53" t="s">
        <v>129</v>
      </c>
      <c r="U16" s="53">
        <v>25</v>
      </c>
      <c r="V16" s="53" t="s">
        <v>129</v>
      </c>
      <c r="W16" s="53">
        <v>15</v>
      </c>
      <c r="X16" s="53" t="s">
        <v>129</v>
      </c>
      <c r="Y16" s="53">
        <v>0</v>
      </c>
      <c r="Z16" s="53" t="s">
        <v>129</v>
      </c>
      <c r="AA16" s="53" t="s">
        <v>129</v>
      </c>
      <c r="AB16" s="53" t="s">
        <v>129</v>
      </c>
      <c r="AC16" s="53" t="s">
        <v>129</v>
      </c>
      <c r="AD16" s="53" t="s">
        <v>129</v>
      </c>
      <c r="AE16" s="53" t="s">
        <v>129</v>
      </c>
      <c r="AF16" s="53" t="s">
        <v>129</v>
      </c>
      <c r="AG16" s="53" t="s">
        <v>129</v>
      </c>
      <c r="AH16" s="53" t="s">
        <v>129</v>
      </c>
      <c r="AI16" s="53">
        <v>12</v>
      </c>
      <c r="AJ16" s="53" t="s">
        <v>129</v>
      </c>
      <c r="AK16" s="53">
        <v>210</v>
      </c>
      <c r="AL16" s="53" t="s">
        <v>129</v>
      </c>
      <c r="AM16" s="53">
        <v>24</v>
      </c>
      <c r="AN16" s="53" t="s">
        <v>129</v>
      </c>
      <c r="AO16" s="53">
        <v>2</v>
      </c>
      <c r="AP16" s="53" t="s">
        <v>129</v>
      </c>
      <c r="AQ16" s="53" t="s">
        <v>129</v>
      </c>
      <c r="AR16" s="53" t="s">
        <v>129</v>
      </c>
      <c r="AS16" s="53" t="s">
        <v>129</v>
      </c>
      <c r="AT16" s="53" t="s">
        <v>129</v>
      </c>
      <c r="AU16" s="53" t="s">
        <v>129</v>
      </c>
      <c r="AV16" s="53" t="s">
        <v>129</v>
      </c>
      <c r="AW16" s="53" t="s">
        <v>129</v>
      </c>
      <c r="AX16" s="53" t="s">
        <v>129</v>
      </c>
      <c r="AY16" s="53">
        <v>35</v>
      </c>
      <c r="AZ16" s="53" t="s">
        <v>129</v>
      </c>
      <c r="BA16" s="53">
        <v>69</v>
      </c>
      <c r="BB16" s="53" t="s">
        <v>129</v>
      </c>
      <c r="BC16" s="53">
        <v>27</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18</v>
      </c>
      <c r="D17" s="53" t="s">
        <v>129</v>
      </c>
      <c r="E17" s="53">
        <v>258</v>
      </c>
      <c r="F17" s="53" t="s">
        <v>129</v>
      </c>
      <c r="G17" s="53">
        <v>36</v>
      </c>
      <c r="H17" s="53" t="s">
        <v>129</v>
      </c>
      <c r="I17" s="53">
        <v>0</v>
      </c>
      <c r="J17" s="53" t="s">
        <v>129</v>
      </c>
      <c r="K17" s="53" t="s">
        <v>129</v>
      </c>
      <c r="L17" s="53" t="s">
        <v>129</v>
      </c>
      <c r="M17" s="53" t="s">
        <v>129</v>
      </c>
      <c r="N17" s="53" t="s">
        <v>129</v>
      </c>
      <c r="O17" s="53" t="s">
        <v>129</v>
      </c>
      <c r="P17" s="53" t="s">
        <v>129</v>
      </c>
      <c r="Q17" s="53" t="s">
        <v>129</v>
      </c>
      <c r="R17" s="53" t="s">
        <v>129</v>
      </c>
      <c r="S17" s="53">
        <v>17</v>
      </c>
      <c r="T17" s="53" t="s">
        <v>129</v>
      </c>
      <c r="U17" s="53">
        <v>38</v>
      </c>
      <c r="V17" s="53" t="s">
        <v>129</v>
      </c>
      <c r="W17" s="53">
        <v>21</v>
      </c>
      <c r="X17" s="53" t="s">
        <v>129</v>
      </c>
      <c r="Y17" s="53">
        <v>0</v>
      </c>
      <c r="Z17" s="53" t="s">
        <v>129</v>
      </c>
      <c r="AA17" s="53" t="s">
        <v>129</v>
      </c>
      <c r="AB17" s="53" t="s">
        <v>129</v>
      </c>
      <c r="AC17" s="53" t="s">
        <v>129</v>
      </c>
      <c r="AD17" s="53" t="s">
        <v>129</v>
      </c>
      <c r="AE17" s="53" t="s">
        <v>129</v>
      </c>
      <c r="AF17" s="53" t="s">
        <v>129</v>
      </c>
      <c r="AG17" s="53" t="s">
        <v>129</v>
      </c>
      <c r="AH17" s="53" t="s">
        <v>129</v>
      </c>
      <c r="AI17" s="53">
        <v>7</v>
      </c>
      <c r="AJ17" s="53" t="s">
        <v>129</v>
      </c>
      <c r="AK17" s="53">
        <v>227</v>
      </c>
      <c r="AL17" s="53" t="s">
        <v>129</v>
      </c>
      <c r="AM17" s="53">
        <v>14</v>
      </c>
      <c r="AN17" s="53" t="s">
        <v>129</v>
      </c>
      <c r="AO17" s="53">
        <v>0</v>
      </c>
      <c r="AP17" s="53" t="s">
        <v>129</v>
      </c>
      <c r="AQ17" s="53" t="s">
        <v>129</v>
      </c>
      <c r="AR17" s="53" t="s">
        <v>129</v>
      </c>
      <c r="AS17" s="53" t="s">
        <v>129</v>
      </c>
      <c r="AT17" s="53" t="s">
        <v>129</v>
      </c>
      <c r="AU17" s="53" t="s">
        <v>129</v>
      </c>
      <c r="AV17" s="53" t="s">
        <v>129</v>
      </c>
      <c r="AW17" s="53" t="s">
        <v>129</v>
      </c>
      <c r="AX17" s="53" t="s">
        <v>129</v>
      </c>
      <c r="AY17" s="53">
        <v>39</v>
      </c>
      <c r="AZ17" s="53" t="s">
        <v>129</v>
      </c>
      <c r="BA17" s="53">
        <v>92</v>
      </c>
      <c r="BB17" s="53" t="s">
        <v>129</v>
      </c>
      <c r="BC17" s="53">
        <v>20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25</v>
      </c>
      <c r="D18" s="53" t="s">
        <v>129</v>
      </c>
      <c r="E18" s="53">
        <v>320</v>
      </c>
      <c r="F18" s="53" t="s">
        <v>129</v>
      </c>
      <c r="G18" s="53">
        <v>27</v>
      </c>
      <c r="H18" s="53" t="s">
        <v>129</v>
      </c>
      <c r="I18" s="53">
        <v>0</v>
      </c>
      <c r="J18" s="53" t="s">
        <v>129</v>
      </c>
      <c r="K18" s="53" t="s">
        <v>129</v>
      </c>
      <c r="L18" s="53" t="s">
        <v>129</v>
      </c>
      <c r="M18" s="53" t="s">
        <v>129</v>
      </c>
      <c r="N18" s="53" t="s">
        <v>129</v>
      </c>
      <c r="O18" s="53" t="s">
        <v>129</v>
      </c>
      <c r="P18" s="53" t="s">
        <v>129</v>
      </c>
      <c r="Q18" s="53" t="s">
        <v>129</v>
      </c>
      <c r="R18" s="53" t="s">
        <v>129</v>
      </c>
      <c r="S18" s="53">
        <v>30</v>
      </c>
      <c r="T18" s="53" t="s">
        <v>129</v>
      </c>
      <c r="U18" s="53">
        <v>32</v>
      </c>
      <c r="V18" s="53" t="s">
        <v>129</v>
      </c>
      <c r="W18" s="53">
        <v>14</v>
      </c>
      <c r="X18" s="53" t="s">
        <v>129</v>
      </c>
      <c r="Y18" s="53">
        <v>0</v>
      </c>
      <c r="Z18" s="53" t="s">
        <v>129</v>
      </c>
      <c r="AA18" s="53" t="s">
        <v>129</v>
      </c>
      <c r="AB18" s="53" t="s">
        <v>129</v>
      </c>
      <c r="AC18" s="53" t="s">
        <v>129</v>
      </c>
      <c r="AD18" s="53" t="s">
        <v>129</v>
      </c>
      <c r="AE18" s="53" t="s">
        <v>129</v>
      </c>
      <c r="AF18" s="53" t="s">
        <v>129</v>
      </c>
      <c r="AG18" s="53" t="s">
        <v>129</v>
      </c>
      <c r="AH18" s="53" t="s">
        <v>129</v>
      </c>
      <c r="AI18" s="53">
        <v>13</v>
      </c>
      <c r="AJ18" s="53" t="s">
        <v>129</v>
      </c>
      <c r="AK18" s="53">
        <v>223</v>
      </c>
      <c r="AL18" s="53" t="s">
        <v>129</v>
      </c>
      <c r="AM18" s="53">
        <v>15</v>
      </c>
      <c r="AN18" s="53" t="s">
        <v>129</v>
      </c>
      <c r="AO18" s="53">
        <v>3</v>
      </c>
      <c r="AP18" s="53" t="s">
        <v>129</v>
      </c>
      <c r="AQ18" s="53" t="s">
        <v>129</v>
      </c>
      <c r="AR18" s="53" t="s">
        <v>129</v>
      </c>
      <c r="AS18" s="53" t="s">
        <v>129</v>
      </c>
      <c r="AT18" s="53" t="s">
        <v>129</v>
      </c>
      <c r="AU18" s="53" t="s">
        <v>129</v>
      </c>
      <c r="AV18" s="53" t="s">
        <v>129</v>
      </c>
      <c r="AW18" s="53" t="s">
        <v>129</v>
      </c>
      <c r="AX18" s="53" t="s">
        <v>129</v>
      </c>
      <c r="AY18" s="53">
        <v>25</v>
      </c>
      <c r="AZ18" s="53" t="s">
        <v>129</v>
      </c>
      <c r="BA18" s="53">
        <v>70</v>
      </c>
      <c r="BB18" s="53" t="s">
        <v>129</v>
      </c>
      <c r="BC18" s="53">
        <v>36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15</v>
      </c>
      <c r="D19" s="53" t="s">
        <v>129</v>
      </c>
      <c r="E19" s="53">
        <v>253</v>
      </c>
      <c r="F19" s="53" t="s">
        <v>129</v>
      </c>
      <c r="G19" s="53">
        <v>32</v>
      </c>
      <c r="H19" s="53" t="s">
        <v>129</v>
      </c>
      <c r="I19" s="53">
        <v>0</v>
      </c>
      <c r="J19" s="53" t="s">
        <v>129</v>
      </c>
      <c r="K19" s="53" t="s">
        <v>129</v>
      </c>
      <c r="L19" s="53" t="s">
        <v>129</v>
      </c>
      <c r="M19" s="53" t="s">
        <v>129</v>
      </c>
      <c r="N19" s="53" t="s">
        <v>129</v>
      </c>
      <c r="O19" s="53" t="s">
        <v>129</v>
      </c>
      <c r="P19" s="53" t="s">
        <v>129</v>
      </c>
      <c r="Q19" s="53" t="s">
        <v>129</v>
      </c>
      <c r="R19" s="53" t="s">
        <v>129</v>
      </c>
      <c r="S19" s="53">
        <v>25</v>
      </c>
      <c r="T19" s="53" t="s">
        <v>129</v>
      </c>
      <c r="U19" s="53">
        <v>28</v>
      </c>
      <c r="V19" s="53" t="s">
        <v>129</v>
      </c>
      <c r="W19" s="53">
        <v>15</v>
      </c>
      <c r="X19" s="53" t="s">
        <v>129</v>
      </c>
      <c r="Y19" s="53">
        <v>0</v>
      </c>
      <c r="Z19" s="53" t="s">
        <v>129</v>
      </c>
      <c r="AA19" s="53" t="s">
        <v>129</v>
      </c>
      <c r="AB19" s="53" t="s">
        <v>129</v>
      </c>
      <c r="AC19" s="53" t="s">
        <v>129</v>
      </c>
      <c r="AD19" s="53" t="s">
        <v>129</v>
      </c>
      <c r="AE19" s="53" t="s">
        <v>129</v>
      </c>
      <c r="AF19" s="53" t="s">
        <v>129</v>
      </c>
      <c r="AG19" s="53" t="s">
        <v>129</v>
      </c>
      <c r="AH19" s="53" t="s">
        <v>129</v>
      </c>
      <c r="AI19" s="53">
        <v>12</v>
      </c>
      <c r="AJ19" s="53" t="s">
        <v>129</v>
      </c>
      <c r="AK19" s="53">
        <v>224</v>
      </c>
      <c r="AL19" s="53" t="s">
        <v>129</v>
      </c>
      <c r="AM19" s="53">
        <v>23</v>
      </c>
      <c r="AN19" s="53" t="s">
        <v>129</v>
      </c>
      <c r="AO19" s="53">
        <v>3</v>
      </c>
      <c r="AP19" s="53" t="s">
        <v>129</v>
      </c>
      <c r="AQ19" s="53" t="s">
        <v>129</v>
      </c>
      <c r="AR19" s="53" t="s">
        <v>129</v>
      </c>
      <c r="AS19" s="53" t="s">
        <v>129</v>
      </c>
      <c r="AT19" s="53" t="s">
        <v>129</v>
      </c>
      <c r="AU19" s="53" t="s">
        <v>129</v>
      </c>
      <c r="AV19" s="53" t="s">
        <v>129</v>
      </c>
      <c r="AW19" s="53" t="s">
        <v>129</v>
      </c>
      <c r="AX19" s="53" t="s">
        <v>129</v>
      </c>
      <c r="AY19" s="53">
        <v>32</v>
      </c>
      <c r="AZ19" s="53" t="s">
        <v>129</v>
      </c>
      <c r="BA19" s="53">
        <v>82</v>
      </c>
      <c r="BB19" s="53" t="s">
        <v>129</v>
      </c>
      <c r="BC19" s="53">
        <v>19</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21</v>
      </c>
      <c r="D20" s="53" t="s">
        <v>129</v>
      </c>
      <c r="E20" s="53">
        <v>261</v>
      </c>
      <c r="F20" s="53" t="s">
        <v>129</v>
      </c>
      <c r="G20" s="53">
        <v>41</v>
      </c>
      <c r="H20" s="53" t="s">
        <v>129</v>
      </c>
      <c r="I20" s="53">
        <v>0</v>
      </c>
      <c r="J20" s="53" t="s">
        <v>129</v>
      </c>
      <c r="K20" s="53" t="s">
        <v>129</v>
      </c>
      <c r="L20" s="53" t="s">
        <v>129</v>
      </c>
      <c r="M20" s="53" t="s">
        <v>129</v>
      </c>
      <c r="N20" s="53" t="s">
        <v>129</v>
      </c>
      <c r="O20" s="53" t="s">
        <v>129</v>
      </c>
      <c r="P20" s="53" t="s">
        <v>129</v>
      </c>
      <c r="Q20" s="53" t="s">
        <v>129</v>
      </c>
      <c r="R20" s="53" t="s">
        <v>129</v>
      </c>
      <c r="S20" s="53">
        <v>28</v>
      </c>
      <c r="T20" s="53" t="s">
        <v>129</v>
      </c>
      <c r="U20" s="53">
        <v>48</v>
      </c>
      <c r="V20" s="53" t="s">
        <v>129</v>
      </c>
      <c r="W20" s="53">
        <v>17</v>
      </c>
      <c r="X20" s="53" t="s">
        <v>129</v>
      </c>
      <c r="Y20" s="53">
        <v>0</v>
      </c>
      <c r="Z20" s="53" t="s">
        <v>129</v>
      </c>
      <c r="AA20" s="53" t="s">
        <v>129</v>
      </c>
      <c r="AB20" s="53" t="s">
        <v>129</v>
      </c>
      <c r="AC20" s="53" t="s">
        <v>129</v>
      </c>
      <c r="AD20" s="53" t="s">
        <v>129</v>
      </c>
      <c r="AE20" s="53" t="s">
        <v>129</v>
      </c>
      <c r="AF20" s="53" t="s">
        <v>129</v>
      </c>
      <c r="AG20" s="53" t="s">
        <v>129</v>
      </c>
      <c r="AH20" s="53" t="s">
        <v>129</v>
      </c>
      <c r="AI20" s="53">
        <v>25</v>
      </c>
      <c r="AJ20" s="53" t="s">
        <v>129</v>
      </c>
      <c r="AK20" s="53">
        <v>213</v>
      </c>
      <c r="AL20" s="53" t="s">
        <v>129</v>
      </c>
      <c r="AM20" s="53">
        <v>17</v>
      </c>
      <c r="AN20" s="53" t="s">
        <v>129</v>
      </c>
      <c r="AO20" s="53">
        <v>4</v>
      </c>
      <c r="AP20" s="53" t="s">
        <v>129</v>
      </c>
      <c r="AQ20" s="53" t="s">
        <v>129</v>
      </c>
      <c r="AR20" s="53" t="s">
        <v>129</v>
      </c>
      <c r="AS20" s="53" t="s">
        <v>129</v>
      </c>
      <c r="AT20" s="53" t="s">
        <v>129</v>
      </c>
      <c r="AU20" s="53" t="s">
        <v>129</v>
      </c>
      <c r="AV20" s="53" t="s">
        <v>129</v>
      </c>
      <c r="AW20" s="53" t="s">
        <v>129</v>
      </c>
      <c r="AX20" s="53" t="s">
        <v>129</v>
      </c>
      <c r="AY20" s="53">
        <v>29</v>
      </c>
      <c r="AZ20" s="53" t="s">
        <v>129</v>
      </c>
      <c r="BA20" s="53">
        <v>66</v>
      </c>
      <c r="BB20" s="53" t="s">
        <v>129</v>
      </c>
      <c r="BC20" s="53">
        <v>26</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25</v>
      </c>
      <c r="D21" s="53" t="s">
        <v>129</v>
      </c>
      <c r="E21" s="53">
        <v>258</v>
      </c>
      <c r="F21" s="53" t="s">
        <v>129</v>
      </c>
      <c r="G21" s="53">
        <v>32</v>
      </c>
      <c r="H21" s="53" t="s">
        <v>129</v>
      </c>
      <c r="I21" s="53">
        <v>0</v>
      </c>
      <c r="J21" s="53" t="s">
        <v>129</v>
      </c>
      <c r="K21" s="53" t="s">
        <v>129</v>
      </c>
      <c r="L21" s="53" t="s">
        <v>129</v>
      </c>
      <c r="M21" s="53" t="s">
        <v>129</v>
      </c>
      <c r="N21" s="53" t="s">
        <v>129</v>
      </c>
      <c r="O21" s="53" t="s">
        <v>129</v>
      </c>
      <c r="P21" s="53" t="s">
        <v>129</v>
      </c>
      <c r="Q21" s="53" t="s">
        <v>129</v>
      </c>
      <c r="R21" s="53" t="s">
        <v>129</v>
      </c>
      <c r="S21" s="53">
        <v>27</v>
      </c>
      <c r="T21" s="53" t="s">
        <v>129</v>
      </c>
      <c r="U21" s="53">
        <v>40</v>
      </c>
      <c r="V21" s="53" t="s">
        <v>129</v>
      </c>
      <c r="W21" s="53">
        <v>13</v>
      </c>
      <c r="X21" s="53" t="s">
        <v>129</v>
      </c>
      <c r="Y21" s="53">
        <v>0</v>
      </c>
      <c r="Z21" s="53" t="s">
        <v>129</v>
      </c>
      <c r="AA21" s="53" t="s">
        <v>129</v>
      </c>
      <c r="AB21" s="53" t="s">
        <v>129</v>
      </c>
      <c r="AC21" s="53" t="s">
        <v>129</v>
      </c>
      <c r="AD21" s="53" t="s">
        <v>129</v>
      </c>
      <c r="AE21" s="53" t="s">
        <v>129</v>
      </c>
      <c r="AF21" s="53" t="s">
        <v>129</v>
      </c>
      <c r="AG21" s="53" t="s">
        <v>129</v>
      </c>
      <c r="AH21" s="53" t="s">
        <v>129</v>
      </c>
      <c r="AI21" s="53">
        <v>23</v>
      </c>
      <c r="AJ21" s="53" t="s">
        <v>129</v>
      </c>
      <c r="AK21" s="53">
        <v>254</v>
      </c>
      <c r="AL21" s="53" t="s">
        <v>129</v>
      </c>
      <c r="AM21" s="53">
        <v>13</v>
      </c>
      <c r="AN21" s="53" t="s">
        <v>129</v>
      </c>
      <c r="AO21" s="53">
        <v>3</v>
      </c>
      <c r="AP21" s="53" t="s">
        <v>129</v>
      </c>
      <c r="AQ21" s="53" t="s">
        <v>129</v>
      </c>
      <c r="AR21" s="53" t="s">
        <v>129</v>
      </c>
      <c r="AS21" s="53" t="s">
        <v>129</v>
      </c>
      <c r="AT21" s="53" t="s">
        <v>129</v>
      </c>
      <c r="AU21" s="53" t="s">
        <v>129</v>
      </c>
      <c r="AV21" s="53" t="s">
        <v>129</v>
      </c>
      <c r="AW21" s="53" t="s">
        <v>129</v>
      </c>
      <c r="AX21" s="53" t="s">
        <v>129</v>
      </c>
      <c r="AY21" s="53">
        <v>43</v>
      </c>
      <c r="AZ21" s="53" t="s">
        <v>129</v>
      </c>
      <c r="BA21" s="53">
        <v>61</v>
      </c>
      <c r="BB21" s="53" t="s">
        <v>129</v>
      </c>
      <c r="BC21" s="53">
        <v>32</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13</v>
      </c>
      <c r="D22" s="53" t="s">
        <v>129</v>
      </c>
      <c r="E22" s="53">
        <v>251</v>
      </c>
      <c r="F22" s="53" t="s">
        <v>129</v>
      </c>
      <c r="G22" s="53">
        <v>32</v>
      </c>
      <c r="H22" s="53" t="s">
        <v>129</v>
      </c>
      <c r="I22" s="53">
        <v>0</v>
      </c>
      <c r="J22" s="53" t="s">
        <v>129</v>
      </c>
      <c r="K22" s="53" t="s">
        <v>129</v>
      </c>
      <c r="L22" s="53" t="s">
        <v>129</v>
      </c>
      <c r="M22" s="53" t="s">
        <v>129</v>
      </c>
      <c r="N22" s="53" t="s">
        <v>129</v>
      </c>
      <c r="O22" s="53" t="s">
        <v>129</v>
      </c>
      <c r="P22" s="53" t="s">
        <v>129</v>
      </c>
      <c r="Q22" s="53" t="s">
        <v>129</v>
      </c>
      <c r="R22" s="53" t="s">
        <v>129</v>
      </c>
      <c r="S22" s="53">
        <v>19</v>
      </c>
      <c r="T22" s="53" t="s">
        <v>129</v>
      </c>
      <c r="U22" s="53">
        <v>29</v>
      </c>
      <c r="V22" s="53" t="s">
        <v>129</v>
      </c>
      <c r="W22" s="53">
        <v>14</v>
      </c>
      <c r="X22" s="53" t="s">
        <v>129</v>
      </c>
      <c r="Y22" s="53">
        <v>0</v>
      </c>
      <c r="Z22" s="53" t="s">
        <v>129</v>
      </c>
      <c r="AA22" s="53" t="s">
        <v>129</v>
      </c>
      <c r="AB22" s="53" t="s">
        <v>129</v>
      </c>
      <c r="AC22" s="53" t="s">
        <v>129</v>
      </c>
      <c r="AD22" s="53" t="s">
        <v>129</v>
      </c>
      <c r="AE22" s="53" t="s">
        <v>129</v>
      </c>
      <c r="AF22" s="53" t="s">
        <v>129</v>
      </c>
      <c r="AG22" s="53" t="s">
        <v>129</v>
      </c>
      <c r="AH22" s="53" t="s">
        <v>129</v>
      </c>
      <c r="AI22" s="53">
        <v>25</v>
      </c>
      <c r="AJ22" s="53" t="s">
        <v>129</v>
      </c>
      <c r="AK22" s="53">
        <v>166</v>
      </c>
      <c r="AL22" s="53" t="s">
        <v>129</v>
      </c>
      <c r="AM22" s="53">
        <v>22</v>
      </c>
      <c r="AN22" s="53" t="s">
        <v>129</v>
      </c>
      <c r="AO22" s="53">
        <v>2</v>
      </c>
      <c r="AP22" s="53" t="s">
        <v>129</v>
      </c>
      <c r="AQ22" s="53" t="s">
        <v>129</v>
      </c>
      <c r="AR22" s="53" t="s">
        <v>129</v>
      </c>
      <c r="AS22" s="53" t="s">
        <v>129</v>
      </c>
      <c r="AT22" s="53" t="s">
        <v>129</v>
      </c>
      <c r="AU22" s="53" t="s">
        <v>129</v>
      </c>
      <c r="AV22" s="53" t="s">
        <v>129</v>
      </c>
      <c r="AW22" s="53" t="s">
        <v>129</v>
      </c>
      <c r="AX22" s="53" t="s">
        <v>129</v>
      </c>
      <c r="AY22" s="53">
        <v>27</v>
      </c>
      <c r="AZ22" s="53" t="s">
        <v>129</v>
      </c>
      <c r="BA22" s="53">
        <v>42</v>
      </c>
      <c r="BB22" s="53" t="s">
        <v>129</v>
      </c>
      <c r="BC22" s="53">
        <v>33</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9</v>
      </c>
      <c r="D24" s="53" t="s">
        <v>129</v>
      </c>
      <c r="E24" s="53">
        <v>188</v>
      </c>
      <c r="F24" s="53" t="s">
        <v>129</v>
      </c>
      <c r="G24" s="53">
        <v>26</v>
      </c>
      <c r="H24" s="53" t="s">
        <v>129</v>
      </c>
      <c r="I24" s="53">
        <v>0</v>
      </c>
      <c r="J24" s="53" t="s">
        <v>129</v>
      </c>
      <c r="K24" s="53" t="s">
        <v>129</v>
      </c>
      <c r="L24" s="53" t="s">
        <v>129</v>
      </c>
      <c r="M24" s="53" t="s">
        <v>129</v>
      </c>
      <c r="N24" s="53" t="s">
        <v>129</v>
      </c>
      <c r="O24" s="53" t="s">
        <v>129</v>
      </c>
      <c r="P24" s="53" t="s">
        <v>129</v>
      </c>
      <c r="Q24" s="53" t="s">
        <v>129</v>
      </c>
      <c r="R24" s="53" t="s">
        <v>129</v>
      </c>
      <c r="S24" s="53">
        <v>18</v>
      </c>
      <c r="T24" s="53" t="s">
        <v>129</v>
      </c>
      <c r="U24" s="53">
        <v>41</v>
      </c>
      <c r="V24" s="53" t="s">
        <v>129</v>
      </c>
      <c r="W24" s="53">
        <v>14</v>
      </c>
      <c r="X24" s="53" t="s">
        <v>129</v>
      </c>
      <c r="Y24" s="53">
        <v>0</v>
      </c>
      <c r="Z24" s="53" t="s">
        <v>129</v>
      </c>
      <c r="AA24" s="53" t="s">
        <v>129</v>
      </c>
      <c r="AB24" s="53" t="s">
        <v>129</v>
      </c>
      <c r="AC24" s="53" t="s">
        <v>129</v>
      </c>
      <c r="AD24" s="53" t="s">
        <v>129</v>
      </c>
      <c r="AE24" s="53" t="s">
        <v>129</v>
      </c>
      <c r="AF24" s="53" t="s">
        <v>129</v>
      </c>
      <c r="AG24" s="53" t="s">
        <v>129</v>
      </c>
      <c r="AH24" s="53" t="s">
        <v>129</v>
      </c>
      <c r="AI24" s="53">
        <v>21</v>
      </c>
      <c r="AJ24" s="53" t="s">
        <v>129</v>
      </c>
      <c r="AK24" s="53">
        <v>193</v>
      </c>
      <c r="AL24" s="53" t="s">
        <v>129</v>
      </c>
      <c r="AM24" s="53">
        <v>21</v>
      </c>
      <c r="AN24" s="53" t="s">
        <v>129</v>
      </c>
      <c r="AO24" s="53">
        <v>2</v>
      </c>
      <c r="AP24" s="53" t="s">
        <v>129</v>
      </c>
      <c r="AQ24" s="53" t="s">
        <v>129</v>
      </c>
      <c r="AR24" s="53" t="s">
        <v>129</v>
      </c>
      <c r="AS24" s="53" t="s">
        <v>129</v>
      </c>
      <c r="AT24" s="53" t="s">
        <v>129</v>
      </c>
      <c r="AU24" s="53" t="s">
        <v>129</v>
      </c>
      <c r="AV24" s="53" t="s">
        <v>129</v>
      </c>
      <c r="AW24" s="53" t="s">
        <v>129</v>
      </c>
      <c r="AX24" s="53" t="s">
        <v>129</v>
      </c>
      <c r="AY24" s="53">
        <v>30</v>
      </c>
      <c r="AZ24" s="53" t="s">
        <v>129</v>
      </c>
      <c r="BA24" s="53">
        <v>28</v>
      </c>
      <c r="BB24" s="53" t="s">
        <v>129</v>
      </c>
      <c r="BC24" s="53">
        <v>20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10</v>
      </c>
      <c r="D25" s="53" t="s">
        <v>129</v>
      </c>
      <c r="E25" s="53">
        <v>238</v>
      </c>
      <c r="F25" s="53" t="s">
        <v>129</v>
      </c>
      <c r="G25" s="53">
        <v>23</v>
      </c>
      <c r="H25" s="53" t="s">
        <v>129</v>
      </c>
      <c r="I25" s="53">
        <v>0</v>
      </c>
      <c r="J25" s="53" t="s">
        <v>129</v>
      </c>
      <c r="K25" s="53" t="s">
        <v>129</v>
      </c>
      <c r="L25" s="53" t="s">
        <v>129</v>
      </c>
      <c r="M25" s="53" t="s">
        <v>129</v>
      </c>
      <c r="N25" s="53" t="s">
        <v>129</v>
      </c>
      <c r="O25" s="53" t="s">
        <v>129</v>
      </c>
      <c r="P25" s="53" t="s">
        <v>129</v>
      </c>
      <c r="Q25" s="53" t="s">
        <v>129</v>
      </c>
      <c r="R25" s="53" t="s">
        <v>129</v>
      </c>
      <c r="S25" s="53">
        <v>24</v>
      </c>
      <c r="T25" s="53" t="s">
        <v>129</v>
      </c>
      <c r="U25" s="53">
        <v>58</v>
      </c>
      <c r="V25" s="53" t="s">
        <v>129</v>
      </c>
      <c r="W25" s="53">
        <v>15</v>
      </c>
      <c r="X25" s="53" t="s">
        <v>129</v>
      </c>
      <c r="Y25" s="53">
        <v>0</v>
      </c>
      <c r="Z25" s="53" t="s">
        <v>129</v>
      </c>
      <c r="AA25" s="53" t="s">
        <v>129</v>
      </c>
      <c r="AB25" s="53" t="s">
        <v>129</v>
      </c>
      <c r="AC25" s="53" t="s">
        <v>129</v>
      </c>
      <c r="AD25" s="53" t="s">
        <v>129</v>
      </c>
      <c r="AE25" s="53" t="s">
        <v>129</v>
      </c>
      <c r="AF25" s="53" t="s">
        <v>129</v>
      </c>
      <c r="AG25" s="53" t="s">
        <v>129</v>
      </c>
      <c r="AH25" s="53" t="s">
        <v>129</v>
      </c>
      <c r="AI25" s="53">
        <v>21</v>
      </c>
      <c r="AJ25" s="53" t="s">
        <v>129</v>
      </c>
      <c r="AK25" s="53">
        <v>188</v>
      </c>
      <c r="AL25" s="53" t="s">
        <v>129</v>
      </c>
      <c r="AM25" s="53">
        <v>19</v>
      </c>
      <c r="AN25" s="53" t="s">
        <v>129</v>
      </c>
      <c r="AO25" s="53">
        <v>2</v>
      </c>
      <c r="AP25" s="53" t="s">
        <v>129</v>
      </c>
      <c r="AQ25" s="53" t="s">
        <v>129</v>
      </c>
      <c r="AR25" s="53" t="s">
        <v>129</v>
      </c>
      <c r="AS25" s="53" t="s">
        <v>129</v>
      </c>
      <c r="AT25" s="53" t="s">
        <v>129</v>
      </c>
      <c r="AU25" s="53" t="s">
        <v>129</v>
      </c>
      <c r="AV25" s="53" t="s">
        <v>129</v>
      </c>
      <c r="AW25" s="53" t="s">
        <v>129</v>
      </c>
      <c r="AX25" s="53" t="s">
        <v>129</v>
      </c>
      <c r="AY25" s="53">
        <v>29</v>
      </c>
      <c r="AZ25" s="53" t="s">
        <v>129</v>
      </c>
      <c r="BA25" s="53">
        <v>34</v>
      </c>
      <c r="BB25" s="53" t="s">
        <v>129</v>
      </c>
      <c r="BC25" s="53">
        <v>28</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11</v>
      </c>
      <c r="D26" s="53" t="s">
        <v>129</v>
      </c>
      <c r="E26" s="53">
        <v>190</v>
      </c>
      <c r="F26" s="53" t="s">
        <v>129</v>
      </c>
      <c r="G26" s="53">
        <v>34</v>
      </c>
      <c r="H26" s="53" t="s">
        <v>129</v>
      </c>
      <c r="I26" s="53">
        <v>0</v>
      </c>
      <c r="J26" s="53" t="s">
        <v>129</v>
      </c>
      <c r="K26" s="53" t="s">
        <v>129</v>
      </c>
      <c r="L26" s="53" t="s">
        <v>129</v>
      </c>
      <c r="M26" s="53" t="s">
        <v>129</v>
      </c>
      <c r="N26" s="53" t="s">
        <v>129</v>
      </c>
      <c r="O26" s="53" t="s">
        <v>129</v>
      </c>
      <c r="P26" s="53" t="s">
        <v>129</v>
      </c>
      <c r="Q26" s="53" t="s">
        <v>129</v>
      </c>
      <c r="R26" s="53" t="s">
        <v>129</v>
      </c>
      <c r="S26" s="53">
        <v>28</v>
      </c>
      <c r="T26" s="53" t="s">
        <v>129</v>
      </c>
      <c r="U26" s="53">
        <v>38</v>
      </c>
      <c r="V26" s="53" t="s">
        <v>129</v>
      </c>
      <c r="W26" s="53">
        <v>21</v>
      </c>
      <c r="X26" s="53" t="s">
        <v>129</v>
      </c>
      <c r="Y26" s="53">
        <v>0</v>
      </c>
      <c r="Z26" s="53" t="s">
        <v>129</v>
      </c>
      <c r="AA26" s="53" t="s">
        <v>129</v>
      </c>
      <c r="AB26" s="53" t="s">
        <v>129</v>
      </c>
      <c r="AC26" s="53" t="s">
        <v>129</v>
      </c>
      <c r="AD26" s="53" t="s">
        <v>129</v>
      </c>
      <c r="AE26" s="53" t="s">
        <v>129</v>
      </c>
      <c r="AF26" s="53" t="s">
        <v>129</v>
      </c>
      <c r="AG26" s="53" t="s">
        <v>129</v>
      </c>
      <c r="AH26" s="53" t="s">
        <v>129</v>
      </c>
      <c r="AI26" s="53">
        <v>20</v>
      </c>
      <c r="AJ26" s="53" t="s">
        <v>129</v>
      </c>
      <c r="AK26" s="53">
        <v>188</v>
      </c>
      <c r="AL26" s="53" t="s">
        <v>129</v>
      </c>
      <c r="AM26" s="53">
        <v>25</v>
      </c>
      <c r="AN26" s="53" t="s">
        <v>129</v>
      </c>
      <c r="AO26" s="53">
        <v>1</v>
      </c>
      <c r="AP26" s="53" t="s">
        <v>129</v>
      </c>
      <c r="AQ26" s="53" t="s">
        <v>129</v>
      </c>
      <c r="AR26" s="53" t="s">
        <v>129</v>
      </c>
      <c r="AS26" s="53" t="s">
        <v>129</v>
      </c>
      <c r="AT26" s="53" t="s">
        <v>129</v>
      </c>
      <c r="AU26" s="53" t="s">
        <v>129</v>
      </c>
      <c r="AV26" s="53" t="s">
        <v>129</v>
      </c>
      <c r="AW26" s="53" t="s">
        <v>129</v>
      </c>
      <c r="AX26" s="53" t="s">
        <v>129</v>
      </c>
      <c r="AY26" s="53">
        <v>23</v>
      </c>
      <c r="AZ26" s="53" t="s">
        <v>129</v>
      </c>
      <c r="BA26" s="53">
        <v>37</v>
      </c>
      <c r="BB26" s="53" t="s">
        <v>129</v>
      </c>
      <c r="BC26" s="53">
        <v>19</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10</v>
      </c>
      <c r="D27" s="53" t="s">
        <v>129</v>
      </c>
      <c r="E27" s="53">
        <v>206</v>
      </c>
      <c r="F27" s="53" t="s">
        <v>129</v>
      </c>
      <c r="G27" s="53">
        <v>29</v>
      </c>
      <c r="H27" s="53" t="s">
        <v>129</v>
      </c>
      <c r="I27" s="53">
        <v>0</v>
      </c>
      <c r="J27" s="53" t="s">
        <v>129</v>
      </c>
      <c r="K27" s="53" t="s">
        <v>129</v>
      </c>
      <c r="L27" s="53" t="s">
        <v>129</v>
      </c>
      <c r="M27" s="53" t="s">
        <v>129</v>
      </c>
      <c r="N27" s="53" t="s">
        <v>129</v>
      </c>
      <c r="O27" s="53" t="s">
        <v>129</v>
      </c>
      <c r="P27" s="53" t="s">
        <v>129</v>
      </c>
      <c r="Q27" s="53" t="s">
        <v>129</v>
      </c>
      <c r="R27" s="53" t="s">
        <v>129</v>
      </c>
      <c r="S27" s="53">
        <v>31</v>
      </c>
      <c r="T27" s="53" t="s">
        <v>129</v>
      </c>
      <c r="U27" s="53">
        <v>51</v>
      </c>
      <c r="V27" s="53" t="s">
        <v>129</v>
      </c>
      <c r="W27" s="53">
        <v>21</v>
      </c>
      <c r="X27" s="53" t="s">
        <v>129</v>
      </c>
      <c r="Y27" s="53">
        <v>0</v>
      </c>
      <c r="Z27" s="53" t="s">
        <v>129</v>
      </c>
      <c r="AA27" s="53" t="s">
        <v>129</v>
      </c>
      <c r="AB27" s="53" t="s">
        <v>129</v>
      </c>
      <c r="AC27" s="53" t="s">
        <v>129</v>
      </c>
      <c r="AD27" s="53" t="s">
        <v>129</v>
      </c>
      <c r="AE27" s="53" t="s">
        <v>129</v>
      </c>
      <c r="AF27" s="53" t="s">
        <v>129</v>
      </c>
      <c r="AG27" s="53" t="s">
        <v>129</v>
      </c>
      <c r="AH27" s="53" t="s">
        <v>129</v>
      </c>
      <c r="AI27" s="53">
        <v>22</v>
      </c>
      <c r="AJ27" s="53" t="s">
        <v>129</v>
      </c>
      <c r="AK27" s="53">
        <v>194</v>
      </c>
      <c r="AL27" s="53" t="s">
        <v>129</v>
      </c>
      <c r="AM27" s="53">
        <v>29</v>
      </c>
      <c r="AN27" s="53" t="s">
        <v>129</v>
      </c>
      <c r="AO27" s="53">
        <v>2</v>
      </c>
      <c r="AP27" s="53" t="s">
        <v>129</v>
      </c>
      <c r="AQ27" s="53" t="s">
        <v>129</v>
      </c>
      <c r="AR27" s="53" t="s">
        <v>129</v>
      </c>
      <c r="AS27" s="53" t="s">
        <v>129</v>
      </c>
      <c r="AT27" s="53" t="s">
        <v>129</v>
      </c>
      <c r="AU27" s="53" t="s">
        <v>129</v>
      </c>
      <c r="AV27" s="53" t="s">
        <v>129</v>
      </c>
      <c r="AW27" s="53" t="s">
        <v>129</v>
      </c>
      <c r="AX27" s="53" t="s">
        <v>129</v>
      </c>
      <c r="AY27" s="53">
        <v>21</v>
      </c>
      <c r="AZ27" s="53" t="s">
        <v>129</v>
      </c>
      <c r="BA27" s="53">
        <v>38</v>
      </c>
      <c r="BB27" s="53" t="s">
        <v>129</v>
      </c>
      <c r="BC27" s="53">
        <v>24</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1</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16</v>
      </c>
      <c r="D29" s="53" t="s">
        <v>129</v>
      </c>
      <c r="E29" s="53">
        <v>211</v>
      </c>
      <c r="F29" s="53" t="s">
        <v>129</v>
      </c>
      <c r="G29" s="53">
        <v>47</v>
      </c>
      <c r="H29" s="53" t="s">
        <v>129</v>
      </c>
      <c r="I29" s="53">
        <v>1</v>
      </c>
      <c r="J29" s="53" t="s">
        <v>129</v>
      </c>
      <c r="K29" s="53" t="s">
        <v>129</v>
      </c>
      <c r="L29" s="53" t="s">
        <v>129</v>
      </c>
      <c r="M29" s="53" t="s">
        <v>129</v>
      </c>
      <c r="N29" s="53" t="s">
        <v>129</v>
      </c>
      <c r="O29" s="53" t="s">
        <v>129</v>
      </c>
      <c r="P29" s="53" t="s">
        <v>129</v>
      </c>
      <c r="Q29" s="53" t="s">
        <v>129</v>
      </c>
      <c r="R29" s="53" t="s">
        <v>129</v>
      </c>
      <c r="S29" s="53">
        <v>22</v>
      </c>
      <c r="T29" s="53" t="s">
        <v>129</v>
      </c>
      <c r="U29" s="53">
        <v>74</v>
      </c>
      <c r="V29" s="53" t="s">
        <v>129</v>
      </c>
      <c r="W29" s="53">
        <v>43</v>
      </c>
      <c r="X29" s="53" t="s">
        <v>129</v>
      </c>
      <c r="Y29" s="53">
        <v>0</v>
      </c>
      <c r="Z29" s="53" t="s">
        <v>129</v>
      </c>
      <c r="AA29" s="53" t="s">
        <v>129</v>
      </c>
      <c r="AB29" s="53" t="s">
        <v>129</v>
      </c>
      <c r="AC29" s="53" t="s">
        <v>129</v>
      </c>
      <c r="AD29" s="53" t="s">
        <v>129</v>
      </c>
      <c r="AE29" s="53" t="s">
        <v>129</v>
      </c>
      <c r="AF29" s="53" t="s">
        <v>129</v>
      </c>
      <c r="AG29" s="53" t="s">
        <v>129</v>
      </c>
      <c r="AH29" s="53" t="s">
        <v>129</v>
      </c>
      <c r="AI29" s="53">
        <v>41</v>
      </c>
      <c r="AJ29" s="53" t="s">
        <v>129</v>
      </c>
      <c r="AK29" s="53">
        <v>335</v>
      </c>
      <c r="AL29" s="53" t="s">
        <v>129</v>
      </c>
      <c r="AM29" s="53">
        <v>17</v>
      </c>
      <c r="AN29" s="53" t="s">
        <v>129</v>
      </c>
      <c r="AO29" s="53">
        <v>4</v>
      </c>
      <c r="AP29" s="53" t="s">
        <v>129</v>
      </c>
      <c r="AQ29" s="53" t="s">
        <v>129</v>
      </c>
      <c r="AR29" s="53" t="s">
        <v>129</v>
      </c>
      <c r="AS29" s="53" t="s">
        <v>129</v>
      </c>
      <c r="AT29" s="53" t="s">
        <v>129</v>
      </c>
      <c r="AU29" s="53" t="s">
        <v>129</v>
      </c>
      <c r="AV29" s="53" t="s">
        <v>129</v>
      </c>
      <c r="AW29" s="53" t="s">
        <v>129</v>
      </c>
      <c r="AX29" s="53" t="s">
        <v>129</v>
      </c>
      <c r="AY29" s="53">
        <v>38</v>
      </c>
      <c r="AZ29" s="53" t="s">
        <v>129</v>
      </c>
      <c r="BA29" s="53">
        <v>31</v>
      </c>
      <c r="BB29" s="53" t="s">
        <v>129</v>
      </c>
      <c r="BC29" s="53">
        <v>25</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13</v>
      </c>
      <c r="D30" s="53" t="s">
        <v>129</v>
      </c>
      <c r="E30" s="53">
        <v>248</v>
      </c>
      <c r="F30" s="53" t="s">
        <v>129</v>
      </c>
      <c r="G30" s="53">
        <v>43</v>
      </c>
      <c r="H30" s="53" t="s">
        <v>129</v>
      </c>
      <c r="I30" s="53">
        <v>0</v>
      </c>
      <c r="J30" s="53" t="s">
        <v>129</v>
      </c>
      <c r="K30" s="53" t="s">
        <v>129</v>
      </c>
      <c r="L30" s="53" t="s">
        <v>129</v>
      </c>
      <c r="M30" s="53" t="s">
        <v>129</v>
      </c>
      <c r="N30" s="53" t="s">
        <v>129</v>
      </c>
      <c r="O30" s="53" t="s">
        <v>129</v>
      </c>
      <c r="P30" s="53" t="s">
        <v>129</v>
      </c>
      <c r="Q30" s="53" t="s">
        <v>129</v>
      </c>
      <c r="R30" s="53" t="s">
        <v>129</v>
      </c>
      <c r="S30" s="53">
        <v>34</v>
      </c>
      <c r="T30" s="53" t="s">
        <v>129</v>
      </c>
      <c r="U30" s="53">
        <v>89</v>
      </c>
      <c r="V30" s="53" t="s">
        <v>129</v>
      </c>
      <c r="W30" s="53">
        <v>18</v>
      </c>
      <c r="X30" s="53" t="s">
        <v>129</v>
      </c>
      <c r="Y30" s="53">
        <v>0</v>
      </c>
      <c r="Z30" s="53" t="s">
        <v>129</v>
      </c>
      <c r="AA30" s="53" t="s">
        <v>129</v>
      </c>
      <c r="AB30" s="53" t="s">
        <v>129</v>
      </c>
      <c r="AC30" s="53" t="s">
        <v>129</v>
      </c>
      <c r="AD30" s="53" t="s">
        <v>129</v>
      </c>
      <c r="AE30" s="53" t="s">
        <v>129</v>
      </c>
      <c r="AF30" s="53" t="s">
        <v>129</v>
      </c>
      <c r="AG30" s="53" t="s">
        <v>129</v>
      </c>
      <c r="AH30" s="53" t="s">
        <v>129</v>
      </c>
      <c r="AI30" s="53">
        <v>41</v>
      </c>
      <c r="AJ30" s="53" t="s">
        <v>129</v>
      </c>
      <c r="AK30" s="53">
        <v>277</v>
      </c>
      <c r="AL30" s="53" t="s">
        <v>129</v>
      </c>
      <c r="AM30" s="53">
        <v>15</v>
      </c>
      <c r="AN30" s="53" t="s">
        <v>129</v>
      </c>
      <c r="AO30" s="53">
        <v>3</v>
      </c>
      <c r="AP30" s="53" t="s">
        <v>129</v>
      </c>
      <c r="AQ30" s="53" t="s">
        <v>129</v>
      </c>
      <c r="AR30" s="53" t="s">
        <v>129</v>
      </c>
      <c r="AS30" s="53" t="s">
        <v>129</v>
      </c>
      <c r="AT30" s="53" t="s">
        <v>129</v>
      </c>
      <c r="AU30" s="53" t="s">
        <v>129</v>
      </c>
      <c r="AV30" s="53" t="s">
        <v>129</v>
      </c>
      <c r="AW30" s="53" t="s">
        <v>129</v>
      </c>
      <c r="AX30" s="53" t="s">
        <v>129</v>
      </c>
      <c r="AY30" s="53">
        <v>40</v>
      </c>
      <c r="AZ30" s="53" t="s">
        <v>129</v>
      </c>
      <c r="BA30" s="53">
        <v>37</v>
      </c>
      <c r="BB30" s="53" t="s">
        <v>129</v>
      </c>
      <c r="BC30" s="53">
        <v>26</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23</v>
      </c>
      <c r="D31" s="53" t="s">
        <v>129</v>
      </c>
      <c r="E31" s="53">
        <v>275</v>
      </c>
      <c r="F31" s="53" t="s">
        <v>129</v>
      </c>
      <c r="G31" s="53">
        <v>65</v>
      </c>
      <c r="H31" s="53" t="s">
        <v>129</v>
      </c>
      <c r="I31" s="53">
        <v>0</v>
      </c>
      <c r="J31" s="53" t="s">
        <v>129</v>
      </c>
      <c r="K31" s="53" t="s">
        <v>129</v>
      </c>
      <c r="L31" s="53" t="s">
        <v>129</v>
      </c>
      <c r="M31" s="53" t="s">
        <v>129</v>
      </c>
      <c r="N31" s="53" t="s">
        <v>129</v>
      </c>
      <c r="O31" s="53" t="s">
        <v>129</v>
      </c>
      <c r="P31" s="53" t="s">
        <v>129</v>
      </c>
      <c r="Q31" s="53" t="s">
        <v>129</v>
      </c>
      <c r="R31" s="53" t="s">
        <v>129</v>
      </c>
      <c r="S31" s="53">
        <v>33</v>
      </c>
      <c r="T31" s="53" t="s">
        <v>129</v>
      </c>
      <c r="U31" s="53">
        <v>89</v>
      </c>
      <c r="V31" s="53" t="s">
        <v>129</v>
      </c>
      <c r="W31" s="53">
        <v>29</v>
      </c>
      <c r="X31" s="53" t="s">
        <v>129</v>
      </c>
      <c r="Y31" s="53">
        <v>0</v>
      </c>
      <c r="Z31" s="53" t="s">
        <v>129</v>
      </c>
      <c r="AA31" s="53" t="s">
        <v>129</v>
      </c>
      <c r="AB31" s="53" t="s">
        <v>129</v>
      </c>
      <c r="AC31" s="53" t="s">
        <v>129</v>
      </c>
      <c r="AD31" s="53" t="s">
        <v>129</v>
      </c>
      <c r="AE31" s="53" t="s">
        <v>129</v>
      </c>
      <c r="AF31" s="53" t="s">
        <v>129</v>
      </c>
      <c r="AG31" s="53" t="s">
        <v>129</v>
      </c>
      <c r="AH31" s="53" t="s">
        <v>129</v>
      </c>
      <c r="AI31" s="53">
        <v>65</v>
      </c>
      <c r="AJ31" s="53" t="s">
        <v>129</v>
      </c>
      <c r="AK31" s="53">
        <v>297</v>
      </c>
      <c r="AL31" s="53" t="s">
        <v>129</v>
      </c>
      <c r="AM31" s="53">
        <v>27</v>
      </c>
      <c r="AN31" s="53" t="s">
        <v>129</v>
      </c>
      <c r="AO31" s="53">
        <v>2</v>
      </c>
      <c r="AP31" s="53" t="s">
        <v>129</v>
      </c>
      <c r="AQ31" s="53" t="s">
        <v>129</v>
      </c>
      <c r="AR31" s="53" t="s">
        <v>129</v>
      </c>
      <c r="AS31" s="53" t="s">
        <v>129</v>
      </c>
      <c r="AT31" s="53" t="s">
        <v>129</v>
      </c>
      <c r="AU31" s="53" t="s">
        <v>129</v>
      </c>
      <c r="AV31" s="53" t="s">
        <v>129</v>
      </c>
      <c r="AW31" s="53" t="s">
        <v>129</v>
      </c>
      <c r="AX31" s="53" t="s">
        <v>129</v>
      </c>
      <c r="AY31" s="53">
        <v>33</v>
      </c>
      <c r="AZ31" s="53" t="s">
        <v>129</v>
      </c>
      <c r="BA31" s="53">
        <v>37</v>
      </c>
      <c r="BB31" s="53" t="s">
        <v>129</v>
      </c>
      <c r="BC31" s="53">
        <v>22</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18</v>
      </c>
      <c r="D32" s="53" t="s">
        <v>129</v>
      </c>
      <c r="E32" s="53">
        <v>217</v>
      </c>
      <c r="F32" s="53" t="s">
        <v>129</v>
      </c>
      <c r="G32" s="53">
        <v>46</v>
      </c>
      <c r="H32" s="53" t="s">
        <v>129</v>
      </c>
      <c r="I32" s="53">
        <v>0</v>
      </c>
      <c r="J32" s="53" t="s">
        <v>129</v>
      </c>
      <c r="K32" s="53" t="s">
        <v>129</v>
      </c>
      <c r="L32" s="53" t="s">
        <v>129</v>
      </c>
      <c r="M32" s="53" t="s">
        <v>129</v>
      </c>
      <c r="N32" s="53" t="s">
        <v>129</v>
      </c>
      <c r="O32" s="53" t="s">
        <v>129</v>
      </c>
      <c r="P32" s="53" t="s">
        <v>129</v>
      </c>
      <c r="Q32" s="53" t="s">
        <v>129</v>
      </c>
      <c r="R32" s="53" t="s">
        <v>129</v>
      </c>
      <c r="S32" s="53">
        <v>21</v>
      </c>
      <c r="T32" s="53" t="s">
        <v>129</v>
      </c>
      <c r="U32" s="53">
        <v>92</v>
      </c>
      <c r="V32" s="53" t="s">
        <v>129</v>
      </c>
      <c r="W32" s="53">
        <v>35</v>
      </c>
      <c r="X32" s="53" t="s">
        <v>129</v>
      </c>
      <c r="Y32" s="53">
        <v>0</v>
      </c>
      <c r="Z32" s="53" t="s">
        <v>129</v>
      </c>
      <c r="AA32" s="53" t="s">
        <v>129</v>
      </c>
      <c r="AB32" s="53" t="s">
        <v>129</v>
      </c>
      <c r="AC32" s="53" t="s">
        <v>129</v>
      </c>
      <c r="AD32" s="53" t="s">
        <v>129</v>
      </c>
      <c r="AE32" s="53" t="s">
        <v>129</v>
      </c>
      <c r="AF32" s="53" t="s">
        <v>129</v>
      </c>
      <c r="AG32" s="53" t="s">
        <v>129</v>
      </c>
      <c r="AH32" s="53" t="s">
        <v>129</v>
      </c>
      <c r="AI32" s="53">
        <v>67</v>
      </c>
      <c r="AJ32" s="53" t="s">
        <v>129</v>
      </c>
      <c r="AK32" s="53">
        <v>275</v>
      </c>
      <c r="AL32" s="53" t="s">
        <v>129</v>
      </c>
      <c r="AM32" s="53">
        <v>17</v>
      </c>
      <c r="AN32" s="53" t="s">
        <v>129</v>
      </c>
      <c r="AO32" s="53">
        <v>1</v>
      </c>
      <c r="AP32" s="53" t="s">
        <v>129</v>
      </c>
      <c r="AQ32" s="53" t="s">
        <v>129</v>
      </c>
      <c r="AR32" s="53" t="s">
        <v>129</v>
      </c>
      <c r="AS32" s="53" t="s">
        <v>129</v>
      </c>
      <c r="AT32" s="53" t="s">
        <v>129</v>
      </c>
      <c r="AU32" s="53" t="s">
        <v>129</v>
      </c>
      <c r="AV32" s="53" t="s">
        <v>129</v>
      </c>
      <c r="AW32" s="53" t="s">
        <v>129</v>
      </c>
      <c r="AX32" s="53" t="s">
        <v>129</v>
      </c>
      <c r="AY32" s="53">
        <v>29</v>
      </c>
      <c r="AZ32" s="53" t="s">
        <v>129</v>
      </c>
      <c r="BA32" s="53">
        <v>45</v>
      </c>
      <c r="BB32" s="53" t="s">
        <v>129</v>
      </c>
      <c r="BC32" s="53">
        <v>17</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19</v>
      </c>
      <c r="D33" s="53" t="s">
        <v>129</v>
      </c>
      <c r="E33" s="53">
        <v>245</v>
      </c>
      <c r="F33" s="53" t="s">
        <v>129</v>
      </c>
      <c r="G33" s="53">
        <v>52</v>
      </c>
      <c r="H33" s="53" t="s">
        <v>129</v>
      </c>
      <c r="I33" s="53">
        <v>1</v>
      </c>
      <c r="J33" s="53" t="s">
        <v>129</v>
      </c>
      <c r="K33" s="53" t="s">
        <v>129</v>
      </c>
      <c r="L33" s="53" t="s">
        <v>129</v>
      </c>
      <c r="M33" s="53" t="s">
        <v>129</v>
      </c>
      <c r="N33" s="53" t="s">
        <v>129</v>
      </c>
      <c r="O33" s="53" t="s">
        <v>129</v>
      </c>
      <c r="P33" s="53" t="s">
        <v>129</v>
      </c>
      <c r="Q33" s="53" t="s">
        <v>129</v>
      </c>
      <c r="R33" s="53" t="s">
        <v>129</v>
      </c>
      <c r="S33" s="53">
        <v>32</v>
      </c>
      <c r="T33" s="53" t="s">
        <v>129</v>
      </c>
      <c r="U33" s="53">
        <v>104</v>
      </c>
      <c r="V33" s="53" t="s">
        <v>129</v>
      </c>
      <c r="W33" s="53">
        <v>28</v>
      </c>
      <c r="X33" s="53" t="s">
        <v>129</v>
      </c>
      <c r="Y33" s="53">
        <v>0</v>
      </c>
      <c r="Z33" s="53" t="s">
        <v>129</v>
      </c>
      <c r="AA33" s="53" t="s">
        <v>129</v>
      </c>
      <c r="AB33" s="53" t="s">
        <v>129</v>
      </c>
      <c r="AC33" s="53" t="s">
        <v>129</v>
      </c>
      <c r="AD33" s="53" t="s">
        <v>129</v>
      </c>
      <c r="AE33" s="53" t="s">
        <v>129</v>
      </c>
      <c r="AF33" s="53" t="s">
        <v>129</v>
      </c>
      <c r="AG33" s="53" t="s">
        <v>129</v>
      </c>
      <c r="AH33" s="53" t="s">
        <v>129</v>
      </c>
      <c r="AI33" s="53">
        <v>73</v>
      </c>
      <c r="AJ33" s="53" t="s">
        <v>129</v>
      </c>
      <c r="AK33" s="53">
        <v>239</v>
      </c>
      <c r="AL33" s="53" t="s">
        <v>129</v>
      </c>
      <c r="AM33" s="53">
        <v>28</v>
      </c>
      <c r="AN33" s="53" t="s">
        <v>129</v>
      </c>
      <c r="AO33" s="53">
        <v>2</v>
      </c>
      <c r="AP33" s="53" t="s">
        <v>129</v>
      </c>
      <c r="AQ33" s="53" t="s">
        <v>129</v>
      </c>
      <c r="AR33" s="53" t="s">
        <v>129</v>
      </c>
      <c r="AS33" s="53" t="s">
        <v>129</v>
      </c>
      <c r="AT33" s="53" t="s">
        <v>129</v>
      </c>
      <c r="AU33" s="53" t="s">
        <v>129</v>
      </c>
      <c r="AV33" s="53" t="s">
        <v>129</v>
      </c>
      <c r="AW33" s="53" t="s">
        <v>129</v>
      </c>
      <c r="AX33" s="53" t="s">
        <v>129</v>
      </c>
      <c r="AY33" s="53">
        <v>25</v>
      </c>
      <c r="AZ33" s="53" t="s">
        <v>129</v>
      </c>
      <c r="BA33" s="53">
        <v>44</v>
      </c>
      <c r="BB33" s="53" t="s">
        <v>129</v>
      </c>
      <c r="BC33" s="53">
        <v>19</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22</v>
      </c>
      <c r="D34" s="53" t="s">
        <v>129</v>
      </c>
      <c r="E34" s="53">
        <v>219</v>
      </c>
      <c r="F34" s="53" t="s">
        <v>129</v>
      </c>
      <c r="G34" s="53">
        <v>36</v>
      </c>
      <c r="H34" s="53" t="s">
        <v>129</v>
      </c>
      <c r="I34" s="53">
        <v>0</v>
      </c>
      <c r="J34" s="53" t="s">
        <v>129</v>
      </c>
      <c r="K34" s="53" t="s">
        <v>129</v>
      </c>
      <c r="L34" s="53" t="s">
        <v>129</v>
      </c>
      <c r="M34" s="53" t="s">
        <v>129</v>
      </c>
      <c r="N34" s="53" t="s">
        <v>129</v>
      </c>
      <c r="O34" s="53" t="s">
        <v>129</v>
      </c>
      <c r="P34" s="53" t="s">
        <v>129</v>
      </c>
      <c r="Q34" s="53" t="s">
        <v>129</v>
      </c>
      <c r="R34" s="53" t="s">
        <v>129</v>
      </c>
      <c r="S34" s="53">
        <v>22</v>
      </c>
      <c r="T34" s="53" t="s">
        <v>129</v>
      </c>
      <c r="U34" s="53">
        <v>90</v>
      </c>
      <c r="V34" s="53" t="s">
        <v>129</v>
      </c>
      <c r="W34" s="53">
        <v>18</v>
      </c>
      <c r="X34" s="53" t="s">
        <v>129</v>
      </c>
      <c r="Y34" s="53">
        <v>0</v>
      </c>
      <c r="Z34" s="53" t="s">
        <v>129</v>
      </c>
      <c r="AA34" s="53" t="s">
        <v>129</v>
      </c>
      <c r="AB34" s="53" t="s">
        <v>129</v>
      </c>
      <c r="AC34" s="53" t="s">
        <v>129</v>
      </c>
      <c r="AD34" s="53" t="s">
        <v>129</v>
      </c>
      <c r="AE34" s="53" t="s">
        <v>129</v>
      </c>
      <c r="AF34" s="53" t="s">
        <v>129</v>
      </c>
      <c r="AG34" s="53" t="s">
        <v>129</v>
      </c>
      <c r="AH34" s="53" t="s">
        <v>129</v>
      </c>
      <c r="AI34" s="53">
        <v>71</v>
      </c>
      <c r="AJ34" s="53" t="s">
        <v>129</v>
      </c>
      <c r="AK34" s="53">
        <v>227</v>
      </c>
      <c r="AL34" s="53" t="s">
        <v>129</v>
      </c>
      <c r="AM34" s="53">
        <v>41</v>
      </c>
      <c r="AN34" s="53" t="s">
        <v>129</v>
      </c>
      <c r="AO34" s="53">
        <v>0</v>
      </c>
      <c r="AP34" s="53" t="s">
        <v>129</v>
      </c>
      <c r="AQ34" s="53" t="s">
        <v>129</v>
      </c>
      <c r="AR34" s="53" t="s">
        <v>129</v>
      </c>
      <c r="AS34" s="53" t="s">
        <v>129</v>
      </c>
      <c r="AT34" s="53" t="s">
        <v>129</v>
      </c>
      <c r="AU34" s="53" t="s">
        <v>129</v>
      </c>
      <c r="AV34" s="53" t="s">
        <v>129</v>
      </c>
      <c r="AW34" s="53" t="s">
        <v>129</v>
      </c>
      <c r="AX34" s="53" t="s">
        <v>129</v>
      </c>
      <c r="AY34" s="53">
        <v>26</v>
      </c>
      <c r="AZ34" s="53" t="s">
        <v>129</v>
      </c>
      <c r="BA34" s="53">
        <v>44</v>
      </c>
      <c r="BB34" s="53" t="s">
        <v>129</v>
      </c>
      <c r="BC34" s="53">
        <v>20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23</v>
      </c>
      <c r="D35" s="53" t="s">
        <v>129</v>
      </c>
      <c r="E35" s="53">
        <v>218</v>
      </c>
      <c r="F35" s="53" t="s">
        <v>129</v>
      </c>
      <c r="G35" s="53">
        <v>42</v>
      </c>
      <c r="H35" s="53" t="s">
        <v>129</v>
      </c>
      <c r="I35" s="53">
        <v>0</v>
      </c>
      <c r="J35" s="53" t="s">
        <v>129</v>
      </c>
      <c r="K35" s="53" t="s">
        <v>129</v>
      </c>
      <c r="L35" s="53" t="s">
        <v>129</v>
      </c>
      <c r="M35" s="53" t="s">
        <v>129</v>
      </c>
      <c r="N35" s="53" t="s">
        <v>129</v>
      </c>
      <c r="O35" s="53" t="s">
        <v>129</v>
      </c>
      <c r="P35" s="53" t="s">
        <v>129</v>
      </c>
      <c r="Q35" s="53" t="s">
        <v>129</v>
      </c>
      <c r="R35" s="53" t="s">
        <v>129</v>
      </c>
      <c r="S35" s="53">
        <v>27</v>
      </c>
      <c r="T35" s="53" t="s">
        <v>129</v>
      </c>
      <c r="U35" s="53">
        <v>74</v>
      </c>
      <c r="V35" s="53" t="s">
        <v>129</v>
      </c>
      <c r="W35" s="53">
        <v>21</v>
      </c>
      <c r="X35" s="53" t="s">
        <v>129</v>
      </c>
      <c r="Y35" s="53">
        <v>0</v>
      </c>
      <c r="Z35" s="53" t="s">
        <v>129</v>
      </c>
      <c r="AA35" s="53" t="s">
        <v>129</v>
      </c>
      <c r="AB35" s="53" t="s">
        <v>129</v>
      </c>
      <c r="AC35" s="53" t="s">
        <v>129</v>
      </c>
      <c r="AD35" s="53" t="s">
        <v>129</v>
      </c>
      <c r="AE35" s="53" t="s">
        <v>129</v>
      </c>
      <c r="AF35" s="53" t="s">
        <v>129</v>
      </c>
      <c r="AG35" s="53" t="s">
        <v>129</v>
      </c>
      <c r="AH35" s="53" t="s">
        <v>129</v>
      </c>
      <c r="AI35" s="53">
        <v>66</v>
      </c>
      <c r="AJ35" s="53" t="s">
        <v>129</v>
      </c>
      <c r="AK35" s="53">
        <v>216</v>
      </c>
      <c r="AL35" s="53" t="s">
        <v>129</v>
      </c>
      <c r="AM35" s="53">
        <v>26</v>
      </c>
      <c r="AN35" s="53" t="s">
        <v>129</v>
      </c>
      <c r="AO35" s="53">
        <v>3</v>
      </c>
      <c r="AP35" s="53" t="s">
        <v>129</v>
      </c>
      <c r="AQ35" s="53" t="s">
        <v>129</v>
      </c>
      <c r="AR35" s="53" t="s">
        <v>129</v>
      </c>
      <c r="AS35" s="53" t="s">
        <v>129</v>
      </c>
      <c r="AT35" s="53" t="s">
        <v>129</v>
      </c>
      <c r="AU35" s="53" t="s">
        <v>129</v>
      </c>
      <c r="AV35" s="53" t="s">
        <v>129</v>
      </c>
      <c r="AW35" s="53" t="s">
        <v>129</v>
      </c>
      <c r="AX35" s="53" t="s">
        <v>129</v>
      </c>
      <c r="AY35" s="53">
        <v>23</v>
      </c>
      <c r="AZ35" s="53" t="s">
        <v>129</v>
      </c>
      <c r="BA35" s="53">
        <v>43</v>
      </c>
      <c r="BB35" s="53" t="s">
        <v>129</v>
      </c>
      <c r="BC35" s="53">
        <v>25</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12</v>
      </c>
      <c r="D36" s="53" t="s">
        <v>129</v>
      </c>
      <c r="E36" s="53">
        <v>187</v>
      </c>
      <c r="F36" s="53" t="s">
        <v>129</v>
      </c>
      <c r="G36" s="53">
        <v>40</v>
      </c>
      <c r="H36" s="53" t="s">
        <v>129</v>
      </c>
      <c r="I36" s="53">
        <v>1</v>
      </c>
      <c r="J36" s="53" t="s">
        <v>129</v>
      </c>
      <c r="K36" s="53" t="s">
        <v>129</v>
      </c>
      <c r="L36" s="53" t="s">
        <v>129</v>
      </c>
      <c r="M36" s="53" t="s">
        <v>129</v>
      </c>
      <c r="N36" s="53" t="s">
        <v>129</v>
      </c>
      <c r="O36" s="53" t="s">
        <v>129</v>
      </c>
      <c r="P36" s="53" t="s">
        <v>129</v>
      </c>
      <c r="Q36" s="53" t="s">
        <v>129</v>
      </c>
      <c r="R36" s="53" t="s">
        <v>129</v>
      </c>
      <c r="S36" s="53">
        <v>16</v>
      </c>
      <c r="T36" s="53" t="s">
        <v>129</v>
      </c>
      <c r="U36" s="53">
        <v>57</v>
      </c>
      <c r="V36" s="53" t="s">
        <v>129</v>
      </c>
      <c r="W36" s="53">
        <v>13</v>
      </c>
      <c r="X36" s="53" t="s">
        <v>129</v>
      </c>
      <c r="Y36" s="53">
        <v>0</v>
      </c>
      <c r="Z36" s="53" t="s">
        <v>129</v>
      </c>
      <c r="AA36" s="53" t="s">
        <v>129</v>
      </c>
      <c r="AB36" s="53" t="s">
        <v>129</v>
      </c>
      <c r="AC36" s="53" t="s">
        <v>129</v>
      </c>
      <c r="AD36" s="53" t="s">
        <v>129</v>
      </c>
      <c r="AE36" s="53" t="s">
        <v>129</v>
      </c>
      <c r="AF36" s="53" t="s">
        <v>129</v>
      </c>
      <c r="AG36" s="53" t="s">
        <v>129</v>
      </c>
      <c r="AH36" s="53" t="s">
        <v>129</v>
      </c>
      <c r="AI36" s="53">
        <v>39</v>
      </c>
      <c r="AJ36" s="53" t="s">
        <v>129</v>
      </c>
      <c r="AK36" s="53">
        <v>150</v>
      </c>
      <c r="AL36" s="53" t="s">
        <v>129</v>
      </c>
      <c r="AM36" s="53">
        <v>10</v>
      </c>
      <c r="AN36" s="53" t="s">
        <v>129</v>
      </c>
      <c r="AO36" s="53">
        <v>1</v>
      </c>
      <c r="AP36" s="53" t="s">
        <v>129</v>
      </c>
      <c r="AQ36" s="53" t="s">
        <v>129</v>
      </c>
      <c r="AR36" s="53" t="s">
        <v>129</v>
      </c>
      <c r="AS36" s="53" t="s">
        <v>129</v>
      </c>
      <c r="AT36" s="53" t="s">
        <v>129</v>
      </c>
      <c r="AU36" s="53" t="s">
        <v>129</v>
      </c>
      <c r="AV36" s="53" t="s">
        <v>129</v>
      </c>
      <c r="AW36" s="53" t="s">
        <v>129</v>
      </c>
      <c r="AX36" s="53" t="s">
        <v>129</v>
      </c>
      <c r="AY36" s="53">
        <v>23</v>
      </c>
      <c r="AZ36" s="53" t="s">
        <v>129</v>
      </c>
      <c r="BA36" s="53">
        <v>34</v>
      </c>
      <c r="BB36" s="53" t="s">
        <v>129</v>
      </c>
      <c r="BC36" s="53">
        <v>26</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2023-03-09T02:22:48Z</dcterms:modified>
</cp:coreProperties>
</file>