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tables/table1.xml" ContentType="application/vnd.openxmlformats-officedocument.spreadsheetml.table+xml"/>
  <Override PartName="/xl/pivotTables/pivotTable1.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mc:AlternateContent xmlns:mc="http://schemas.openxmlformats.org/markup-compatibility/2006">
    <mc:Choice Requires="x15">
      <x15ac:absPath xmlns:x15ac="http://schemas.microsoft.com/office/spreadsheetml/2010/11/ac" url="C:\Users\User\Desktop\Data Sheet of Smith Street-Ferry Street\"/>
    </mc:Choice>
  </mc:AlternateContent>
  <xr:revisionPtr revIDLastSave="0" documentId="13_ncr:1_{A9C5C4F2-14B2-46EE-9531-4BFF87D8E6CA}" xr6:coauthVersionLast="47" xr6:coauthVersionMax="47" xr10:uidLastSave="{00000000-0000-0000-0000-000000000000}"/>
  <bookViews>
    <workbookView xWindow="-120" yWindow="-120" windowWidth="29040" windowHeight="17640" firstSheet="2" activeTab="3" xr2:uid="{00000000-000D-0000-FFFF-FFFF00000000}"/>
  </bookViews>
  <sheets>
    <sheet name="Input" sheetId="1" state="veryHidden" r:id="rId1"/>
    <sheet name="Ranges" sheetId="2" state="veryHidden" r:id="rId2"/>
    <sheet name="Table" sheetId="3" r:id="rId3"/>
    <sheet name="Statistics" sheetId="14" r:id="rId4"/>
    <sheet name="PivotData" sheetId="16" state="veryHidden" r:id="rId5"/>
    <sheet name="Graph" sheetId="23" r:id="rId6"/>
  </sheets>
  <definedNames>
    <definedName name="rngApproaches">Ranges!$B$4:$H$4</definedName>
    <definedName name="rngAxisLabels">OFFSET(Graph!$A$9,0,0,COUNTA(Graph!$B$9:$B$10000),1)</definedName>
    <definedName name="rngBasicInfo">Input!$C$9:$C$12</definedName>
    <definedName name="rngCountInterval">Input!$I$9</definedName>
    <definedName name="rngGPS">Input!$C$16</definedName>
    <definedName name="rngMovements">Ranges!$B$8:$H$14</definedName>
    <definedName name="rngQueueLimits">Graph!$O$5:$BL$10</definedName>
    <definedName name="rngSeriesLimit1">OFFSET(Graph!$C$9,0,0,COUNTA(Graph!$B$9:$B$10000),1)</definedName>
    <definedName name="rngSeriesLimit2">OFFSET(Graph!$D$9,0,0,COUNTA(Graph!$B$9:$B$10000),1)</definedName>
    <definedName name="rngSeriesQueue">OFFSET(Graph!$B$9,0,0,COUNTA(Graph!$B$9:$B$10000),1)</definedName>
    <definedName name="rngSurveyPeriods">Input!$I$12:$L$14</definedName>
    <definedName name="Slicer_Approach">#N/A</definedName>
    <definedName name="Slicer_Movement">#N/A</definedName>
    <definedName name="Slicer_Survey_Period">#N/A</definedName>
  </definedNames>
  <calcPr calcId="181029"/>
  <pivotCaches>
    <pivotCache cacheId="1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15" i="14" l="1"/>
  <c r="K14" i="14"/>
  <c r="K13" i="14"/>
  <c r="K12" i="14"/>
  <c r="K19" i="14" s="1"/>
  <c r="K23" i="14" s="1"/>
  <c r="K11" i="14"/>
  <c r="K10" i="14"/>
  <c r="K18" i="14" s="1"/>
  <c r="K9" i="14"/>
  <c r="K8" i="14"/>
  <c r="J19" i="14"/>
  <c r="J23" i="14" s="1"/>
  <c r="J15" i="14"/>
  <c r="J14" i="14"/>
  <c r="J24" i="14" s="1"/>
  <c r="J13" i="14"/>
  <c r="J12" i="14"/>
  <c r="J11" i="14"/>
  <c r="J10" i="14"/>
  <c r="J18" i="14" s="1"/>
  <c r="J9" i="14"/>
  <c r="J8" i="14"/>
  <c r="G19" i="14"/>
  <c r="G23" i="14" s="1"/>
  <c r="G15" i="14"/>
  <c r="G14" i="14"/>
  <c r="G24" i="14" s="1"/>
  <c r="G13" i="14"/>
  <c r="G12" i="14"/>
  <c r="G11" i="14"/>
  <c r="G10" i="14"/>
  <c r="G18" i="14" s="1"/>
  <c r="G9" i="14"/>
  <c r="G8" i="14"/>
  <c r="F19" i="14"/>
  <c r="F23" i="14" s="1"/>
  <c r="F18" i="14"/>
  <c r="F21" i="14" s="1"/>
  <c r="F15" i="14"/>
  <c r="F14" i="14"/>
  <c r="F24" i="14" s="1"/>
  <c r="F13" i="14"/>
  <c r="F12" i="14"/>
  <c r="F11" i="14"/>
  <c r="F10" i="14"/>
  <c r="F9" i="14"/>
  <c r="F8" i="14"/>
  <c r="C18" i="14"/>
  <c r="C20" i="14" s="1"/>
  <c r="C15" i="14"/>
  <c r="C14" i="14"/>
  <c r="C24" i="14" s="1"/>
  <c r="C13" i="14"/>
  <c r="C12" i="14"/>
  <c r="C19" i="14" s="1"/>
  <c r="C23" i="14" s="1"/>
  <c r="C11" i="14"/>
  <c r="C22" i="14" s="1"/>
  <c r="C10" i="14"/>
  <c r="C9" i="14"/>
  <c r="C8" i="14"/>
  <c r="F31" i="23"/>
  <c r="E31" i="23"/>
  <c r="F30" i="23"/>
  <c r="E30" i="23"/>
  <c r="F29" i="23"/>
  <c r="E29" i="23"/>
  <c r="F28" i="23"/>
  <c r="E28" i="23"/>
  <c r="F27" i="23"/>
  <c r="E27" i="23"/>
  <c r="F26" i="23"/>
  <c r="E26" i="23"/>
  <c r="F25" i="23"/>
  <c r="E25" i="23"/>
  <c r="F24" i="23"/>
  <c r="E24" i="23"/>
  <c r="F23" i="23"/>
  <c r="E23" i="23"/>
  <c r="F22" i="23"/>
  <c r="E22" i="23"/>
  <c r="F21" i="23"/>
  <c r="E21" i="23"/>
  <c r="F20" i="23"/>
  <c r="E20" i="23"/>
  <c r="F19" i="23"/>
  <c r="E19" i="23"/>
  <c r="F18" i="23"/>
  <c r="E18" i="23"/>
  <c r="F17" i="23"/>
  <c r="E17" i="23"/>
  <c r="F16" i="23"/>
  <c r="E16" i="23"/>
  <c r="F15" i="23"/>
  <c r="E15" i="23"/>
  <c r="F14" i="23"/>
  <c r="E14" i="23"/>
  <c r="F13" i="23"/>
  <c r="E13" i="23"/>
  <c r="F12" i="23"/>
  <c r="E12" i="23"/>
  <c r="F11" i="23"/>
  <c r="E11" i="23"/>
  <c r="F10" i="23"/>
  <c r="E10" i="23"/>
  <c r="F9" i="23"/>
  <c r="E9" i="23"/>
  <c r="C8" i="23"/>
  <c r="E901" i="23" s="1"/>
  <c r="E33" i="23" l="1"/>
  <c r="E35" i="23"/>
  <c r="E37" i="23"/>
  <c r="E39" i="23"/>
  <c r="E41" i="23"/>
  <c r="E43" i="23"/>
  <c r="E45" i="23"/>
  <c r="E47" i="23"/>
  <c r="E49" i="23"/>
  <c r="E51" i="23"/>
  <c r="E53" i="23"/>
  <c r="E55" i="23"/>
  <c r="E57" i="23"/>
  <c r="E59" i="23"/>
  <c r="E61" i="23"/>
  <c r="E63" i="23"/>
  <c r="E65" i="23"/>
  <c r="E67" i="23"/>
  <c r="E69" i="23"/>
  <c r="E71" i="23"/>
  <c r="E73" i="23"/>
  <c r="E75" i="23"/>
  <c r="E77" i="23"/>
  <c r="E79" i="23"/>
  <c r="E81" i="23"/>
  <c r="E83" i="23"/>
  <c r="E85" i="23"/>
  <c r="E87" i="23"/>
  <c r="E89" i="23"/>
  <c r="E91" i="23"/>
  <c r="E93" i="23"/>
  <c r="E95" i="23"/>
  <c r="E97" i="23"/>
  <c r="E99" i="23"/>
  <c r="E101" i="23"/>
  <c r="E103" i="23"/>
  <c r="E105" i="23"/>
  <c r="E107" i="23"/>
  <c r="E109" i="23"/>
  <c r="E111" i="23"/>
  <c r="E113" i="23"/>
  <c r="E115" i="23"/>
  <c r="E117" i="23"/>
  <c r="E119" i="23"/>
  <c r="E121" i="23"/>
  <c r="E123" i="23"/>
  <c r="E125" i="23"/>
  <c r="E127" i="23"/>
  <c r="E129" i="23"/>
  <c r="E131" i="23"/>
  <c r="E133" i="23"/>
  <c r="E135" i="23"/>
  <c r="E137" i="23"/>
  <c r="E139" i="23"/>
  <c r="E141" i="23"/>
  <c r="E143" i="23"/>
  <c r="E145" i="23"/>
  <c r="E147" i="23"/>
  <c r="E149" i="23"/>
  <c r="E151" i="23"/>
  <c r="E153" i="23"/>
  <c r="E155" i="23"/>
  <c r="E157" i="23"/>
  <c r="E32" i="23"/>
  <c r="E34" i="23"/>
  <c r="E36" i="23"/>
  <c r="E38" i="23"/>
  <c r="E40" i="23"/>
  <c r="E42" i="23"/>
  <c r="E44" i="23"/>
  <c r="E46" i="23"/>
  <c r="E48" i="23"/>
  <c r="E50" i="23"/>
  <c r="E52" i="23"/>
  <c r="E54" i="23"/>
  <c r="E56" i="23"/>
  <c r="E58" i="23"/>
  <c r="E60" i="23"/>
  <c r="E62" i="23"/>
  <c r="E64" i="23"/>
  <c r="E66" i="23"/>
  <c r="E68" i="23"/>
  <c r="E70" i="23"/>
  <c r="E72" i="23"/>
  <c r="E74" i="23"/>
  <c r="E76" i="23"/>
  <c r="E78" i="23"/>
  <c r="E80" i="23"/>
  <c r="E82" i="23"/>
  <c r="E84" i="23"/>
  <c r="E86" i="23"/>
  <c r="E88" i="23"/>
  <c r="E90" i="23"/>
  <c r="E92" i="23"/>
  <c r="E94" i="23"/>
  <c r="E96" i="23"/>
  <c r="E98" i="23"/>
  <c r="E100" i="23"/>
  <c r="E102" i="23"/>
  <c r="E104" i="23"/>
  <c r="E106" i="23"/>
  <c r="E108" i="23"/>
  <c r="E110" i="23"/>
  <c r="E112" i="23"/>
  <c r="E114" i="23"/>
  <c r="E116" i="23"/>
  <c r="E118" i="23"/>
  <c r="E120" i="23"/>
  <c r="E122" i="23"/>
  <c r="E124" i="23"/>
  <c r="E126" i="23"/>
  <c r="E128" i="23"/>
  <c r="E130" i="23"/>
  <c r="E132" i="23"/>
  <c r="E134" i="23"/>
  <c r="E136" i="23"/>
  <c r="E138" i="23"/>
  <c r="E140" i="23"/>
  <c r="E142" i="23"/>
  <c r="E144" i="23"/>
  <c r="E146" i="23"/>
  <c r="E148" i="23"/>
  <c r="E150" i="23"/>
  <c r="E152" i="23"/>
  <c r="E154" i="23"/>
  <c r="E156" i="23"/>
  <c r="J21" i="14"/>
  <c r="J20" i="14"/>
  <c r="J22" i="14"/>
  <c r="K20" i="14"/>
  <c r="K21" i="14"/>
  <c r="K24" i="14"/>
  <c r="G21" i="14"/>
  <c r="G20" i="14"/>
  <c r="G22" i="14"/>
  <c r="K22" i="14"/>
  <c r="C21" i="14"/>
  <c r="F22" i="14"/>
  <c r="F20" i="14"/>
  <c r="E200" i="23"/>
  <c r="E172" i="23"/>
  <c r="E204" i="23"/>
  <c r="E236" i="23"/>
  <c r="E268" i="23"/>
  <c r="E300" i="23"/>
  <c r="E332" i="23"/>
  <c r="E394" i="23"/>
  <c r="E328" i="23"/>
  <c r="E208" i="23"/>
  <c r="E304" i="23"/>
  <c r="E344" i="23"/>
  <c r="E404" i="23"/>
  <c r="E264" i="23"/>
  <c r="E240" i="23"/>
  <c r="E276" i="23"/>
  <c r="E308" i="23"/>
  <c r="E420" i="23"/>
  <c r="E386" i="23"/>
  <c r="E180" i="23"/>
  <c r="E232" i="23"/>
  <c r="E212" i="23"/>
  <c r="E168" i="23"/>
  <c r="E296" i="23"/>
  <c r="E176" i="23"/>
  <c r="E272" i="23"/>
  <c r="E244" i="23"/>
  <c r="E350" i="23"/>
  <c r="E184" i="23"/>
  <c r="E216" i="23"/>
  <c r="E248" i="23"/>
  <c r="E280" i="23"/>
  <c r="E312" i="23"/>
  <c r="E356" i="23"/>
  <c r="E468" i="23"/>
  <c r="E188" i="23"/>
  <c r="E220" i="23"/>
  <c r="E252" i="23"/>
  <c r="E284" i="23"/>
  <c r="E316" i="23"/>
  <c r="E362" i="23"/>
  <c r="E582" i="23"/>
  <c r="E160" i="23"/>
  <c r="E192" i="23"/>
  <c r="E224" i="23"/>
  <c r="E256" i="23"/>
  <c r="E288" i="23"/>
  <c r="E320" i="23"/>
  <c r="E370" i="23"/>
  <c r="E677" i="23"/>
  <c r="E164" i="23"/>
  <c r="E196" i="23"/>
  <c r="E228" i="23"/>
  <c r="E260" i="23"/>
  <c r="E292" i="23"/>
  <c r="E324" i="23"/>
  <c r="E378" i="23"/>
  <c r="E1408" i="23"/>
  <c r="E1404" i="23"/>
  <c r="E1400" i="23"/>
  <c r="E1396" i="23"/>
  <c r="E1392" i="23"/>
  <c r="E1388" i="23"/>
  <c r="E1384" i="23"/>
  <c r="E1380" i="23"/>
  <c r="E1376" i="23"/>
  <c r="E1372" i="23"/>
  <c r="E1368" i="23"/>
  <c r="E1364" i="23"/>
  <c r="E1360" i="23"/>
  <c r="E1356" i="23"/>
  <c r="E1352" i="23"/>
  <c r="E1348" i="23"/>
  <c r="E1344" i="23"/>
  <c r="E1340" i="23"/>
  <c r="E1336" i="23"/>
  <c r="E1332" i="23"/>
  <c r="E1328" i="23"/>
  <c r="E1324" i="23"/>
  <c r="E1320" i="23"/>
  <c r="E1316" i="23"/>
  <c r="E1312" i="23"/>
  <c r="E1308" i="23"/>
  <c r="E1304" i="23"/>
  <c r="E1300" i="23"/>
  <c r="E1296" i="23"/>
  <c r="E1292" i="23"/>
  <c r="E1288" i="23"/>
  <c r="E1284" i="23"/>
  <c r="E1280" i="23"/>
  <c r="E1276" i="23"/>
  <c r="E1272" i="23"/>
  <c r="E1268" i="23"/>
  <c r="E1264" i="23"/>
  <c r="E1260" i="23"/>
  <c r="E1256" i="23"/>
  <c r="E1252" i="23"/>
  <c r="E1248" i="23"/>
  <c r="E1244" i="23"/>
  <c r="E1240" i="23"/>
  <c r="E1236" i="23"/>
  <c r="E1232" i="23"/>
  <c r="E1228" i="23"/>
  <c r="E1224" i="23"/>
  <c r="E1220" i="23"/>
  <c r="E1216" i="23"/>
  <c r="E1212" i="23"/>
  <c r="E1208" i="23"/>
  <c r="E1204" i="23"/>
  <c r="E1200" i="23"/>
  <c r="E1196" i="23"/>
  <c r="E1192" i="23"/>
  <c r="E1188" i="23"/>
  <c r="E1184" i="23"/>
  <c r="E1180" i="23"/>
  <c r="E1176" i="23"/>
  <c r="E1172" i="23"/>
  <c r="E1168" i="23"/>
  <c r="E1164" i="23"/>
  <c r="E1160" i="23"/>
  <c r="E1156" i="23"/>
  <c r="E1152" i="23"/>
  <c r="E1148" i="23"/>
  <c r="E1144" i="23"/>
  <c r="E1140" i="23"/>
  <c r="E1136" i="23"/>
  <c r="E1132" i="23"/>
  <c r="E1128" i="23"/>
  <c r="E1124" i="23"/>
  <c r="E1120" i="23"/>
  <c r="E1116" i="23"/>
  <c r="E1112" i="23"/>
  <c r="E1108" i="23"/>
  <c r="E1104" i="23"/>
  <c r="E1100" i="23"/>
  <c r="E1096" i="23"/>
  <c r="E1092" i="23"/>
  <c r="E1088" i="23"/>
  <c r="E1084" i="23"/>
  <c r="E1080" i="23"/>
  <c r="E1076" i="23"/>
  <c r="E1407" i="23"/>
  <c r="E1403" i="23"/>
  <c r="E1399" i="23"/>
  <c r="E1395" i="23"/>
  <c r="E1391" i="23"/>
  <c r="E1387" i="23"/>
  <c r="E1383" i="23"/>
  <c r="E1379" i="23"/>
  <c r="E1375" i="23"/>
  <c r="E1371" i="23"/>
  <c r="E1367" i="23"/>
  <c r="E1363" i="23"/>
  <c r="E1359" i="23"/>
  <c r="E1355" i="23"/>
  <c r="E1351" i="23"/>
  <c r="E1347" i="23"/>
  <c r="E1343" i="23"/>
  <c r="E1339" i="23"/>
  <c r="E1335" i="23"/>
  <c r="E1331" i="23"/>
  <c r="E1327" i="23"/>
  <c r="E1323" i="23"/>
  <c r="E1319" i="23"/>
  <c r="E1315" i="23"/>
  <c r="E1311" i="23"/>
  <c r="E1307" i="23"/>
  <c r="E1303" i="23"/>
  <c r="E1299" i="23"/>
  <c r="E1295" i="23"/>
  <c r="E1291" i="23"/>
  <c r="E1287" i="23"/>
  <c r="E1283" i="23"/>
  <c r="E1279" i="23"/>
  <c r="E1275" i="23"/>
  <c r="E1271" i="23"/>
  <c r="E1267" i="23"/>
  <c r="E1263" i="23"/>
  <c r="E1259" i="23"/>
  <c r="E1255" i="23"/>
  <c r="E1251" i="23"/>
  <c r="E1247" i="23"/>
  <c r="E1243" i="23"/>
  <c r="E1239" i="23"/>
  <c r="E1235" i="23"/>
  <c r="E1231" i="23"/>
  <c r="E1227" i="23"/>
  <c r="E1223" i="23"/>
  <c r="E1219" i="23"/>
  <c r="E1215" i="23"/>
  <c r="E1211" i="23"/>
  <c r="E1207" i="23"/>
  <c r="E1203" i="23"/>
  <c r="E1199" i="23"/>
  <c r="E1195" i="23"/>
  <c r="E1191" i="23"/>
  <c r="E1187" i="23"/>
  <c r="E1183" i="23"/>
  <c r="E1179" i="23"/>
  <c r="E1175" i="23"/>
  <c r="E1171" i="23"/>
  <c r="E1167" i="23"/>
  <c r="E1163" i="23"/>
  <c r="E1159" i="23"/>
  <c r="E1155" i="23"/>
  <c r="E1151" i="23"/>
  <c r="E1147" i="23"/>
  <c r="E1143" i="23"/>
  <c r="E1139" i="23"/>
  <c r="E1135" i="23"/>
  <c r="E1131" i="23"/>
  <c r="E1127" i="23"/>
  <c r="E1123" i="23"/>
  <c r="E1119" i="23"/>
  <c r="E1115" i="23"/>
  <c r="E1111" i="23"/>
  <c r="E1107" i="23"/>
  <c r="E1103" i="23"/>
  <c r="E1099" i="23"/>
  <c r="E1095" i="23"/>
  <c r="E1091" i="23"/>
  <c r="E1087" i="23"/>
  <c r="E1083" i="23"/>
  <c r="E1079" i="23"/>
  <c r="E1075" i="23"/>
  <c r="E1406" i="23"/>
  <c r="E1402" i="23"/>
  <c r="E1398" i="23"/>
  <c r="E1394" i="23"/>
  <c r="E1390" i="23"/>
  <c r="E1386" i="23"/>
  <c r="E1382" i="23"/>
  <c r="E1378" i="23"/>
  <c r="E1374" i="23"/>
  <c r="E1370" i="23"/>
  <c r="E1366" i="23"/>
  <c r="E1362" i="23"/>
  <c r="E1358" i="23"/>
  <c r="E1354" i="23"/>
  <c r="E1350" i="23"/>
  <c r="E1346" i="23"/>
  <c r="E1342" i="23"/>
  <c r="E1338" i="23"/>
  <c r="E1334" i="23"/>
  <c r="E1330" i="23"/>
  <c r="E1326" i="23"/>
  <c r="E1322" i="23"/>
  <c r="E1318" i="23"/>
  <c r="E1314" i="23"/>
  <c r="E1310" i="23"/>
  <c r="E1306" i="23"/>
  <c r="E1302" i="23"/>
  <c r="E1298" i="23"/>
  <c r="E1294" i="23"/>
  <c r="E1290" i="23"/>
  <c r="E1286" i="23"/>
  <c r="E1282" i="23"/>
  <c r="E1278" i="23"/>
  <c r="E1274" i="23"/>
  <c r="E1270" i="23"/>
  <c r="E1266" i="23"/>
  <c r="E1262" i="23"/>
  <c r="E1258" i="23"/>
  <c r="E1254" i="23"/>
  <c r="E1250" i="23"/>
  <c r="E1246" i="23"/>
  <c r="E1242" i="23"/>
  <c r="E1238" i="23"/>
  <c r="E1234" i="23"/>
  <c r="E1230" i="23"/>
  <c r="E1226" i="23"/>
  <c r="E1222" i="23"/>
  <c r="E1218" i="23"/>
  <c r="E1214" i="23"/>
  <c r="E1210" i="23"/>
  <c r="E1206" i="23"/>
  <c r="E1202" i="23"/>
  <c r="E1198" i="23"/>
  <c r="E1194" i="23"/>
  <c r="E1190" i="23"/>
  <c r="E1186" i="23"/>
  <c r="E1182" i="23"/>
  <c r="E1178" i="23"/>
  <c r="E1174" i="23"/>
  <c r="E1170" i="23"/>
  <c r="E1166" i="23"/>
  <c r="E1162" i="23"/>
  <c r="E1158" i="23"/>
  <c r="E1154" i="23"/>
  <c r="E1150" i="23"/>
  <c r="E1146" i="23"/>
  <c r="E1142" i="23"/>
  <c r="E1138" i="23"/>
  <c r="E1134" i="23"/>
  <c r="E1130" i="23"/>
  <c r="E1126" i="23"/>
  <c r="E1122" i="23"/>
  <c r="E1118" i="23"/>
  <c r="E1114" i="23"/>
  <c r="E1110" i="23"/>
  <c r="E1106" i="23"/>
  <c r="E1102" i="23"/>
  <c r="E1098" i="23"/>
  <c r="E1094" i="23"/>
  <c r="E1090" i="23"/>
  <c r="E1086" i="23"/>
  <c r="E1082" i="23"/>
  <c r="E1078" i="23"/>
  <c r="E1073" i="23"/>
  <c r="E1405" i="23"/>
  <c r="E1389" i="23"/>
  <c r="E1373" i="23"/>
  <c r="E1357" i="23"/>
  <c r="E1341" i="23"/>
  <c r="E1325" i="23"/>
  <c r="E1309" i="23"/>
  <c r="E1293" i="23"/>
  <c r="E1277" i="23"/>
  <c r="E1261" i="23"/>
  <c r="E1245" i="23"/>
  <c r="E1229" i="23"/>
  <c r="E1213" i="23"/>
  <c r="E1197" i="23"/>
  <c r="E1181" i="23"/>
  <c r="E1165" i="23"/>
  <c r="E1149" i="23"/>
  <c r="E1133" i="23"/>
  <c r="E1117" i="23"/>
  <c r="E1101" i="23"/>
  <c r="E1085" i="23"/>
  <c r="E1068" i="23"/>
  <c r="E1064" i="23"/>
  <c r="E1060" i="23"/>
  <c r="E1056" i="23"/>
  <c r="E1052" i="23"/>
  <c r="E1048" i="23"/>
  <c r="E1044" i="23"/>
  <c r="E1040" i="23"/>
  <c r="E1036" i="23"/>
  <c r="E1032" i="23"/>
  <c r="E1028" i="23"/>
  <c r="E1024" i="23"/>
  <c r="E1020" i="23"/>
  <c r="E1016" i="23"/>
  <c r="E1012" i="23"/>
  <c r="E1008" i="23"/>
  <c r="E1004" i="23"/>
  <c r="E1000" i="23"/>
  <c r="E996" i="23"/>
  <c r="E992" i="23"/>
  <c r="E988" i="23"/>
  <c r="E984" i="23"/>
  <c r="E980" i="23"/>
  <c r="E976" i="23"/>
  <c r="E972" i="23"/>
  <c r="E968" i="23"/>
  <c r="E964" i="23"/>
  <c r="E960" i="23"/>
  <c r="E956" i="23"/>
  <c r="E952" i="23"/>
  <c r="E948" i="23"/>
  <c r="E944" i="23"/>
  <c r="E940" i="23"/>
  <c r="E936" i="23"/>
  <c r="E932" i="23"/>
  <c r="E928" i="23"/>
  <c r="E924" i="23"/>
  <c r="E920" i="23"/>
  <c r="E916" i="23"/>
  <c r="E912" i="23"/>
  <c r="E908" i="23"/>
  <c r="E904" i="23"/>
  <c r="E900" i="23"/>
  <c r="E896" i="23"/>
  <c r="E892" i="23"/>
  <c r="E888" i="23"/>
  <c r="E884" i="23"/>
  <c r="E880" i="23"/>
  <c r="E876" i="23"/>
  <c r="E872" i="23"/>
  <c r="E868" i="23"/>
  <c r="E864" i="23"/>
  <c r="E860" i="23"/>
  <c r="E1072" i="23"/>
  <c r="E1401" i="23"/>
  <c r="E1385" i="23"/>
  <c r="E1369" i="23"/>
  <c r="E1353" i="23"/>
  <c r="E1337" i="23"/>
  <c r="E1321" i="23"/>
  <c r="E1305" i="23"/>
  <c r="E1289" i="23"/>
  <c r="E1273" i="23"/>
  <c r="E1257" i="23"/>
  <c r="E1241" i="23"/>
  <c r="E1225" i="23"/>
  <c r="E1209" i="23"/>
  <c r="E1193" i="23"/>
  <c r="E1177" i="23"/>
  <c r="E1161" i="23"/>
  <c r="E1145" i="23"/>
  <c r="E1129" i="23"/>
  <c r="E1113" i="23"/>
  <c r="E1097" i="23"/>
  <c r="E1081" i="23"/>
  <c r="E1071" i="23"/>
  <c r="E1067" i="23"/>
  <c r="E1063" i="23"/>
  <c r="E1059" i="23"/>
  <c r="E1055" i="23"/>
  <c r="E1051" i="23"/>
  <c r="E1047" i="23"/>
  <c r="E1043" i="23"/>
  <c r="E1039" i="23"/>
  <c r="E1035" i="23"/>
  <c r="E1031" i="23"/>
  <c r="E1027" i="23"/>
  <c r="E1023" i="23"/>
  <c r="E1019" i="23"/>
  <c r="E1015" i="23"/>
  <c r="E1011" i="23"/>
  <c r="E1007" i="23"/>
  <c r="E1003" i="23"/>
  <c r="E999" i="23"/>
  <c r="E995" i="23"/>
  <c r="E991" i="23"/>
  <c r="E987" i="23"/>
  <c r="E983" i="23"/>
  <c r="E979" i="23"/>
  <c r="E975" i="23"/>
  <c r="E971" i="23"/>
  <c r="E967" i="23"/>
  <c r="E963" i="23"/>
  <c r="E959" i="23"/>
  <c r="E955" i="23"/>
  <c r="E951" i="23"/>
  <c r="E947" i="23"/>
  <c r="E943" i="23"/>
  <c r="E939" i="23"/>
  <c r="E935" i="23"/>
  <c r="E931" i="23"/>
  <c r="E927" i="23"/>
  <c r="E923" i="23"/>
  <c r="E919" i="23"/>
  <c r="E915" i="23"/>
  <c r="E911" i="23"/>
  <c r="E907" i="23"/>
  <c r="E903" i="23"/>
  <c r="E899" i="23"/>
  <c r="E895" i="23"/>
  <c r="E891" i="23"/>
  <c r="E887" i="23"/>
  <c r="E883" i="23"/>
  <c r="E879" i="23"/>
  <c r="E875" i="23"/>
  <c r="E1397" i="23"/>
  <c r="E1381" i="23"/>
  <c r="E1365" i="23"/>
  <c r="E1349" i="23"/>
  <c r="E1333" i="23"/>
  <c r="E1317" i="23"/>
  <c r="E1301" i="23"/>
  <c r="E1285" i="23"/>
  <c r="E1269" i="23"/>
  <c r="E1253" i="23"/>
  <c r="E1237" i="23"/>
  <c r="E1221" i="23"/>
  <c r="E1205" i="23"/>
  <c r="E1189" i="23"/>
  <c r="E1173" i="23"/>
  <c r="E1157" i="23"/>
  <c r="E1141" i="23"/>
  <c r="E1125" i="23"/>
  <c r="E1109" i="23"/>
  <c r="E1093" i="23"/>
  <c r="E1077" i="23"/>
  <c r="E1070" i="23"/>
  <c r="E1066" i="23"/>
  <c r="E1062" i="23"/>
  <c r="E1058" i="23"/>
  <c r="E1054" i="23"/>
  <c r="E1050" i="23"/>
  <c r="E1046" i="23"/>
  <c r="E1042" i="23"/>
  <c r="E1038" i="23"/>
  <c r="E1034" i="23"/>
  <c r="E1030" i="23"/>
  <c r="E1026" i="23"/>
  <c r="E1022" i="23"/>
  <c r="E1018" i="23"/>
  <c r="E1014" i="23"/>
  <c r="E1010" i="23"/>
  <c r="E1006" i="23"/>
  <c r="E1002" i="23"/>
  <c r="E998" i="23"/>
  <c r="E994" i="23"/>
  <c r="E990" i="23"/>
  <c r="E986" i="23"/>
  <c r="E982" i="23"/>
  <c r="E978" i="23"/>
  <c r="E974" i="23"/>
  <c r="E970" i="23"/>
  <c r="E966" i="23"/>
  <c r="E962" i="23"/>
  <c r="E958" i="23"/>
  <c r="E954" i="23"/>
  <c r="E950" i="23"/>
  <c r="E946" i="23"/>
  <c r="E942" i="23"/>
  <c r="E938" i="23"/>
  <c r="E934" i="23"/>
  <c r="E930" i="23"/>
  <c r="E926" i="23"/>
  <c r="E922" i="23"/>
  <c r="E918" i="23"/>
  <c r="E914" i="23"/>
  <c r="E910" i="23"/>
  <c r="E906" i="23"/>
  <c r="E902" i="23"/>
  <c r="E898" i="23"/>
  <c r="E894" i="23"/>
  <c r="E890" i="23"/>
  <c r="E886" i="23"/>
  <c r="E882" i="23"/>
  <c r="E878" i="23"/>
  <c r="E874" i="23"/>
  <c r="E1074" i="23"/>
  <c r="E863" i="23"/>
  <c r="E857" i="23"/>
  <c r="E852" i="23"/>
  <c r="E843" i="23"/>
  <c r="E834" i="23"/>
  <c r="E825" i="23"/>
  <c r="E820" i="23"/>
  <c r="E816" i="23"/>
  <c r="E812" i="23"/>
  <c r="E808" i="23"/>
  <c r="E804" i="23"/>
  <c r="E800" i="23"/>
  <c r="E796" i="23"/>
  <c r="E792" i="23"/>
  <c r="E788" i="23"/>
  <c r="E784" i="23"/>
  <c r="E780" i="23"/>
  <c r="E776" i="23"/>
  <c r="E772" i="23"/>
  <c r="E768" i="23"/>
  <c r="E764" i="23"/>
  <c r="E760" i="23"/>
  <c r="E756" i="23"/>
  <c r="E752" i="23"/>
  <c r="E748" i="23"/>
  <c r="E744" i="23"/>
  <c r="E740" i="23"/>
  <c r="E736" i="23"/>
  <c r="E732" i="23"/>
  <c r="E728" i="23"/>
  <c r="E724" i="23"/>
  <c r="E720" i="23"/>
  <c r="E716" i="23"/>
  <c r="E712" i="23"/>
  <c r="E708" i="23"/>
  <c r="E704" i="23"/>
  <c r="E700" i="23"/>
  <c r="E696" i="23"/>
  <c r="E692" i="23"/>
  <c r="E688" i="23"/>
  <c r="E684" i="23"/>
  <c r="E680" i="23"/>
  <c r="E676" i="23"/>
  <c r="E672" i="23"/>
  <c r="E668" i="23"/>
  <c r="E664" i="23"/>
  <c r="E660" i="23"/>
  <c r="E656" i="23"/>
  <c r="E652" i="23"/>
  <c r="E648" i="23"/>
  <c r="E644" i="23"/>
  <c r="E640" i="23"/>
  <c r="E636" i="23"/>
  <c r="E632" i="23"/>
  <c r="E628" i="23"/>
  <c r="E624" i="23"/>
  <c r="E620" i="23"/>
  <c r="E616" i="23"/>
  <c r="E612" i="23"/>
  <c r="E608" i="23"/>
  <c r="E604" i="23"/>
  <c r="E600" i="23"/>
  <c r="E596" i="23"/>
  <c r="E592" i="23"/>
  <c r="E588" i="23"/>
  <c r="E584" i="23"/>
  <c r="E580" i="23"/>
  <c r="E576" i="23"/>
  <c r="E572" i="23"/>
  <c r="E568" i="23"/>
  <c r="E564" i="23"/>
  <c r="E1393" i="23"/>
  <c r="E1329" i="23"/>
  <c r="E1265" i="23"/>
  <c r="E1201" i="23"/>
  <c r="E1137" i="23"/>
  <c r="E1057" i="23"/>
  <c r="E1041" i="23"/>
  <c r="E1025" i="23"/>
  <c r="E1009" i="23"/>
  <c r="E993" i="23"/>
  <c r="E977" i="23"/>
  <c r="E961" i="23"/>
  <c r="E945" i="23"/>
  <c r="E929" i="23"/>
  <c r="E913" i="23"/>
  <c r="E897" i="23"/>
  <c r="E881" i="23"/>
  <c r="E869" i="23"/>
  <c r="E862" i="23"/>
  <c r="E856" i="23"/>
  <c r="E847" i="23"/>
  <c r="E838" i="23"/>
  <c r="E829" i="23"/>
  <c r="E824" i="23"/>
  <c r="E851" i="23"/>
  <c r="E842" i="23"/>
  <c r="E833" i="23"/>
  <c r="E828" i="23"/>
  <c r="E819" i="23"/>
  <c r="E815" i="23"/>
  <c r="E811" i="23"/>
  <c r="E807" i="23"/>
  <c r="E803" i="23"/>
  <c r="E799" i="23"/>
  <c r="E795" i="23"/>
  <c r="E791" i="23"/>
  <c r="E787" i="23"/>
  <c r="E783" i="23"/>
  <c r="E779" i="23"/>
  <c r="E775" i="23"/>
  <c r="E771" i="23"/>
  <c r="E767" i="23"/>
  <c r="E763" i="23"/>
  <c r="E759" i="23"/>
  <c r="E755" i="23"/>
  <c r="E751" i="23"/>
  <c r="E747" i="23"/>
  <c r="E743" i="23"/>
  <c r="E739" i="23"/>
  <c r="E735" i="23"/>
  <c r="E731" i="23"/>
  <c r="E727" i="23"/>
  <c r="E723" i="23"/>
  <c r="E719" i="23"/>
  <c r="E715" i="23"/>
  <c r="E711" i="23"/>
  <c r="E707" i="23"/>
  <c r="E703" i="23"/>
  <c r="E699" i="23"/>
  <c r="E695" i="23"/>
  <c r="E691" i="23"/>
  <c r="E687" i="23"/>
  <c r="E683" i="23"/>
  <c r="E679" i="23"/>
  <c r="E675" i="23"/>
  <c r="E671" i="23"/>
  <c r="E667" i="23"/>
  <c r="E663" i="23"/>
  <c r="E659" i="23"/>
  <c r="E655" i="23"/>
  <c r="E651" i="23"/>
  <c r="E647" i="23"/>
  <c r="E643" i="23"/>
  <c r="E639" i="23"/>
  <c r="E635" i="23"/>
  <c r="E631" i="23"/>
  <c r="E627" i="23"/>
  <c r="E623" i="23"/>
  <c r="E619" i="23"/>
  <c r="E615" i="23"/>
  <c r="E611" i="23"/>
  <c r="E607" i="23"/>
  <c r="E603" i="23"/>
  <c r="E1377" i="23"/>
  <c r="E1313" i="23"/>
  <c r="E1249" i="23"/>
  <c r="E1185" i="23"/>
  <c r="E1121" i="23"/>
  <c r="E1069" i="23"/>
  <c r="E1053" i="23"/>
  <c r="E1037" i="23"/>
  <c r="E1021" i="23"/>
  <c r="E1005" i="23"/>
  <c r="E989" i="23"/>
  <c r="E973" i="23"/>
  <c r="E957" i="23"/>
  <c r="E941" i="23"/>
  <c r="E925" i="23"/>
  <c r="E909" i="23"/>
  <c r="E893" i="23"/>
  <c r="E877" i="23"/>
  <c r="E867" i="23"/>
  <c r="E861" i="23"/>
  <c r="E855" i="23"/>
  <c r="E846" i="23"/>
  <c r="E837" i="23"/>
  <c r="E832" i="23"/>
  <c r="E823" i="23"/>
  <c r="E866" i="23"/>
  <c r="E850" i="23"/>
  <c r="E841" i="23"/>
  <c r="E836" i="23"/>
  <c r="E827" i="23"/>
  <c r="E818" i="23"/>
  <c r="E814" i="23"/>
  <c r="E810" i="23"/>
  <c r="E806" i="23"/>
  <c r="E802" i="23"/>
  <c r="E798" i="23"/>
  <c r="E794" i="23"/>
  <c r="E790" i="23"/>
  <c r="E786" i="23"/>
  <c r="E782" i="23"/>
  <c r="E778" i="23"/>
  <c r="E774" i="23"/>
  <c r="E770" i="23"/>
  <c r="E766" i="23"/>
  <c r="E762" i="23"/>
  <c r="E758" i="23"/>
  <c r="E754" i="23"/>
  <c r="E750" i="23"/>
  <c r="E746" i="23"/>
  <c r="E742" i="23"/>
  <c r="E738" i="23"/>
  <c r="E734" i="23"/>
  <c r="E730" i="23"/>
  <c r="E726" i="23"/>
  <c r="E722" i="23"/>
  <c r="E718" i="23"/>
  <c r="E714" i="23"/>
  <c r="E710" i="23"/>
  <c r="E706" i="23"/>
  <c r="E702" i="23"/>
  <c r="E698" i="23"/>
  <c r="E694" i="23"/>
  <c r="E690" i="23"/>
  <c r="E686" i="23"/>
  <c r="E682" i="23"/>
  <c r="E678" i="23"/>
  <c r="E674" i="23"/>
  <c r="E670" i="23"/>
  <c r="E666" i="23"/>
  <c r="E662" i="23"/>
  <c r="E658" i="23"/>
  <c r="E654" i="23"/>
  <c r="E650" i="23"/>
  <c r="E646" i="23"/>
  <c r="E642" i="23"/>
  <c r="E638" i="23"/>
  <c r="E634" i="23"/>
  <c r="E630" i="23"/>
  <c r="E626" i="23"/>
  <c r="E622" i="23"/>
  <c r="E618" i="23"/>
  <c r="E614" i="23"/>
  <c r="E610" i="23"/>
  <c r="E606" i="23"/>
  <c r="E602" i="23"/>
  <c r="E598" i="23"/>
  <c r="E594" i="23"/>
  <c r="E1361" i="23"/>
  <c r="E1297" i="23"/>
  <c r="E1233" i="23"/>
  <c r="E1169" i="23"/>
  <c r="E1105" i="23"/>
  <c r="E1065" i="23"/>
  <c r="E1049" i="23"/>
  <c r="E1033" i="23"/>
  <c r="E1017" i="23"/>
  <c r="E1001" i="23"/>
  <c r="E985" i="23"/>
  <c r="E969" i="23"/>
  <c r="E953" i="23"/>
  <c r="E937" i="23"/>
  <c r="E921" i="23"/>
  <c r="E905" i="23"/>
  <c r="E889" i="23"/>
  <c r="E873" i="23"/>
  <c r="E859" i="23"/>
  <c r="E854" i="23"/>
  <c r="E845" i="23"/>
  <c r="E840" i="23"/>
  <c r="E831" i="23"/>
  <c r="E822" i="23"/>
  <c r="E835" i="23"/>
  <c r="E817" i="23"/>
  <c r="E801" i="23"/>
  <c r="E785" i="23"/>
  <c r="E769" i="23"/>
  <c r="E753" i="23"/>
  <c r="E737" i="23"/>
  <c r="E721" i="23"/>
  <c r="E705" i="23"/>
  <c r="E689" i="23"/>
  <c r="E673" i="23"/>
  <c r="E657" i="23"/>
  <c r="E641" i="23"/>
  <c r="E625" i="23"/>
  <c r="E609" i="23"/>
  <c r="E597" i="23"/>
  <c r="E586" i="23"/>
  <c r="E577" i="23"/>
  <c r="E563" i="23"/>
  <c r="E559" i="23"/>
  <c r="E555" i="23"/>
  <c r="E551" i="23"/>
  <c r="E547" i="23"/>
  <c r="E543" i="23"/>
  <c r="E539" i="23"/>
  <c r="E535" i="23"/>
  <c r="E531" i="23"/>
  <c r="E527" i="23"/>
  <c r="E523" i="23"/>
  <c r="E519" i="23"/>
  <c r="E515" i="23"/>
  <c r="E511" i="23"/>
  <c r="E507" i="23"/>
  <c r="E503" i="23"/>
  <c r="E499" i="23"/>
  <c r="E495" i="23"/>
  <c r="E491" i="23"/>
  <c r="E487" i="23"/>
  <c r="E483" i="23"/>
  <c r="E479" i="23"/>
  <c r="E475" i="23"/>
  <c r="E471" i="23"/>
  <c r="E467" i="23"/>
  <c r="E463" i="23"/>
  <c r="E459" i="23"/>
  <c r="E455" i="23"/>
  <c r="E451" i="23"/>
  <c r="E447" i="23"/>
  <c r="E443" i="23"/>
  <c r="E439" i="23"/>
  <c r="E435" i="23"/>
  <c r="E431" i="23"/>
  <c r="E427" i="23"/>
  <c r="E423" i="23"/>
  <c r="E419" i="23"/>
  <c r="E415" i="23"/>
  <c r="E411" i="23"/>
  <c r="E407" i="23"/>
  <c r="E403" i="23"/>
  <c r="E399" i="23"/>
  <c r="E395" i="23"/>
  <c r="E391" i="23"/>
  <c r="E387" i="23"/>
  <c r="E383" i="23"/>
  <c r="E379" i="23"/>
  <c r="E375" i="23"/>
  <c r="E371" i="23"/>
  <c r="E367" i="23"/>
  <c r="E363" i="23"/>
  <c r="E359" i="23"/>
  <c r="E355" i="23"/>
  <c r="E351" i="23"/>
  <c r="E347" i="23"/>
  <c r="E343" i="23"/>
  <c r="E339" i="23"/>
  <c r="E335" i="23"/>
  <c r="E1345" i="23"/>
  <c r="E1089" i="23"/>
  <c r="E1013" i="23"/>
  <c r="E949" i="23"/>
  <c r="E885" i="23"/>
  <c r="E853" i="23"/>
  <c r="E590" i="23"/>
  <c r="E581" i="23"/>
  <c r="E567" i="23"/>
  <c r="E871" i="23"/>
  <c r="E849" i="23"/>
  <c r="E813" i="23"/>
  <c r="E797" i="23"/>
  <c r="E781" i="23"/>
  <c r="E765" i="23"/>
  <c r="E749" i="23"/>
  <c r="E733" i="23"/>
  <c r="E717" i="23"/>
  <c r="E701" i="23"/>
  <c r="E685" i="23"/>
  <c r="E669" i="23"/>
  <c r="E653" i="23"/>
  <c r="E637" i="23"/>
  <c r="E621" i="23"/>
  <c r="E605" i="23"/>
  <c r="E595" i="23"/>
  <c r="E585" i="23"/>
  <c r="E571" i="23"/>
  <c r="E562" i="23"/>
  <c r="E558" i="23"/>
  <c r="E554" i="23"/>
  <c r="E550" i="23"/>
  <c r="E546" i="23"/>
  <c r="E542" i="23"/>
  <c r="E538" i="23"/>
  <c r="E534" i="23"/>
  <c r="E530" i="23"/>
  <c r="E526" i="23"/>
  <c r="E522" i="23"/>
  <c r="E518" i="23"/>
  <c r="E514" i="23"/>
  <c r="E510" i="23"/>
  <c r="E506" i="23"/>
  <c r="E502" i="23"/>
  <c r="E498" i="23"/>
  <c r="E494" i="23"/>
  <c r="E490" i="23"/>
  <c r="E486" i="23"/>
  <c r="E482" i="23"/>
  <c r="E478" i="23"/>
  <c r="E474" i="23"/>
  <c r="E470" i="23"/>
  <c r="E466" i="23"/>
  <c r="E462" i="23"/>
  <c r="E458" i="23"/>
  <c r="E454" i="23"/>
  <c r="E450" i="23"/>
  <c r="E446" i="23"/>
  <c r="E442" i="23"/>
  <c r="E438" i="23"/>
  <c r="E434" i="23"/>
  <c r="E430" i="23"/>
  <c r="E426" i="23"/>
  <c r="E422" i="23"/>
  <c r="E418" i="23"/>
  <c r="E414" i="23"/>
  <c r="E410" i="23"/>
  <c r="E406" i="23"/>
  <c r="E1281" i="23"/>
  <c r="E1061" i="23"/>
  <c r="E997" i="23"/>
  <c r="E933" i="23"/>
  <c r="E870" i="23"/>
  <c r="E848" i="23"/>
  <c r="E830" i="23"/>
  <c r="E589" i="23"/>
  <c r="E575" i="23"/>
  <c r="E566" i="23"/>
  <c r="E865" i="23"/>
  <c r="E844" i="23"/>
  <c r="E826" i="23"/>
  <c r="E809" i="23"/>
  <c r="E793" i="23"/>
  <c r="E777" i="23"/>
  <c r="E761" i="23"/>
  <c r="E745" i="23"/>
  <c r="E729" i="23"/>
  <c r="E713" i="23"/>
  <c r="E697" i="23"/>
  <c r="E681" i="23"/>
  <c r="E665" i="23"/>
  <c r="E649" i="23"/>
  <c r="E633" i="23"/>
  <c r="E617" i="23"/>
  <c r="E601" i="23"/>
  <c r="E593" i="23"/>
  <c r="E579" i="23"/>
  <c r="E570" i="23"/>
  <c r="E561" i="23"/>
  <c r="E557" i="23"/>
  <c r="E553" i="23"/>
  <c r="E549" i="23"/>
  <c r="E545" i="23"/>
  <c r="E541" i="23"/>
  <c r="E537" i="23"/>
  <c r="E533" i="23"/>
  <c r="E529" i="23"/>
  <c r="E525" i="23"/>
  <c r="E521" i="23"/>
  <c r="E517" i="23"/>
  <c r="E513" i="23"/>
  <c r="E509" i="23"/>
  <c r="E505" i="23"/>
  <c r="E501" i="23"/>
  <c r="E497" i="23"/>
  <c r="E493" i="23"/>
  <c r="E489" i="23"/>
  <c r="E485" i="23"/>
  <c r="E481" i="23"/>
  <c r="E477" i="23"/>
  <c r="E473" i="23"/>
  <c r="E469" i="23"/>
  <c r="E465" i="23"/>
  <c r="E461" i="23"/>
  <c r="E457" i="23"/>
  <c r="E453" i="23"/>
  <c r="E449" i="23"/>
  <c r="E445" i="23"/>
  <c r="E441" i="23"/>
  <c r="E437" i="23"/>
  <c r="E433" i="23"/>
  <c r="E429" i="23"/>
  <c r="E425" i="23"/>
  <c r="E421" i="23"/>
  <c r="E417" i="23"/>
  <c r="E413" i="23"/>
  <c r="E409" i="23"/>
  <c r="E405" i="23"/>
  <c r="E401" i="23"/>
  <c r="E397" i="23"/>
  <c r="E393" i="23"/>
  <c r="E389" i="23"/>
  <c r="E385" i="23"/>
  <c r="E381" i="23"/>
  <c r="E377" i="23"/>
  <c r="E373" i="23"/>
  <c r="E369" i="23"/>
  <c r="E365" i="23"/>
  <c r="E361" i="23"/>
  <c r="E357" i="23"/>
  <c r="E353" i="23"/>
  <c r="E349" i="23"/>
  <c r="E345" i="23"/>
  <c r="E341" i="23"/>
  <c r="E337" i="23"/>
  <c r="E1217" i="23"/>
  <c r="E1045" i="23"/>
  <c r="E981" i="23"/>
  <c r="E917" i="23"/>
  <c r="E583" i="23"/>
  <c r="E574" i="23"/>
  <c r="E565" i="23"/>
  <c r="E338" i="23"/>
  <c r="E364" i="23"/>
  <c r="E372" i="23"/>
  <c r="E380" i="23"/>
  <c r="E388" i="23"/>
  <c r="E396" i="23"/>
  <c r="E821" i="23"/>
  <c r="E965" i="23"/>
  <c r="E452" i="23"/>
  <c r="E516" i="23"/>
  <c r="E548" i="23"/>
  <c r="E161" i="23"/>
  <c r="E165" i="23"/>
  <c r="E169" i="23"/>
  <c r="E173" i="23"/>
  <c r="E177" i="23"/>
  <c r="E181" i="23"/>
  <c r="E185" i="23"/>
  <c r="E189" i="23"/>
  <c r="E193" i="23"/>
  <c r="E197" i="23"/>
  <c r="E201" i="23"/>
  <c r="E205" i="23"/>
  <c r="E209" i="23"/>
  <c r="E213" i="23"/>
  <c r="E217" i="23"/>
  <c r="E221" i="23"/>
  <c r="E225" i="23"/>
  <c r="E229" i="23"/>
  <c r="E233" i="23"/>
  <c r="E237" i="23"/>
  <c r="E241" i="23"/>
  <c r="E245" i="23"/>
  <c r="E249" i="23"/>
  <c r="E253" i="23"/>
  <c r="E257" i="23"/>
  <c r="E261" i="23"/>
  <c r="E265" i="23"/>
  <c r="E269" i="23"/>
  <c r="E273" i="23"/>
  <c r="E277" i="23"/>
  <c r="E281" i="23"/>
  <c r="E285" i="23"/>
  <c r="E289" i="23"/>
  <c r="E293" i="23"/>
  <c r="E297" i="23"/>
  <c r="E301" i="23"/>
  <c r="E305" i="23"/>
  <c r="E309" i="23"/>
  <c r="E313" i="23"/>
  <c r="E317" i="23"/>
  <c r="E321" i="23"/>
  <c r="E325" i="23"/>
  <c r="E329" i="23"/>
  <c r="E333" i="23"/>
  <c r="E352" i="23"/>
  <c r="E358" i="23"/>
  <c r="E408" i="23"/>
  <c r="E424" i="23"/>
  <c r="E440" i="23"/>
  <c r="E456" i="23"/>
  <c r="E472" i="23"/>
  <c r="E488" i="23"/>
  <c r="E504" i="23"/>
  <c r="E520" i="23"/>
  <c r="E536" i="23"/>
  <c r="E552" i="23"/>
  <c r="E569" i="23"/>
  <c r="E587" i="23"/>
  <c r="E629" i="23"/>
  <c r="E693" i="23"/>
  <c r="E757" i="23"/>
  <c r="E613" i="23"/>
  <c r="E340" i="23"/>
  <c r="E346" i="23"/>
  <c r="E366" i="23"/>
  <c r="E374" i="23"/>
  <c r="E382" i="23"/>
  <c r="E390" i="23"/>
  <c r="E398" i="23"/>
  <c r="E573" i="23"/>
  <c r="E591" i="23"/>
  <c r="E839" i="23"/>
  <c r="E1029" i="23"/>
  <c r="E158" i="23"/>
  <c r="E162" i="23"/>
  <c r="E166" i="23"/>
  <c r="E170" i="23"/>
  <c r="E174" i="23"/>
  <c r="E178" i="23"/>
  <c r="E182" i="23"/>
  <c r="E186" i="23"/>
  <c r="E190" i="23"/>
  <c r="E194" i="23"/>
  <c r="E198" i="23"/>
  <c r="E202" i="23"/>
  <c r="E206" i="23"/>
  <c r="E210" i="23"/>
  <c r="E214" i="23"/>
  <c r="E218" i="23"/>
  <c r="E222" i="23"/>
  <c r="E226" i="23"/>
  <c r="E230" i="23"/>
  <c r="E234" i="23"/>
  <c r="E238" i="23"/>
  <c r="E242" i="23"/>
  <c r="E246" i="23"/>
  <c r="E250" i="23"/>
  <c r="E254" i="23"/>
  <c r="E258" i="23"/>
  <c r="E262" i="23"/>
  <c r="E266" i="23"/>
  <c r="E270" i="23"/>
  <c r="E274" i="23"/>
  <c r="E278" i="23"/>
  <c r="E282" i="23"/>
  <c r="E286" i="23"/>
  <c r="E290" i="23"/>
  <c r="E294" i="23"/>
  <c r="E298" i="23"/>
  <c r="E302" i="23"/>
  <c r="E306" i="23"/>
  <c r="E310" i="23"/>
  <c r="E314" i="23"/>
  <c r="E318" i="23"/>
  <c r="E322" i="23"/>
  <c r="E326" i="23"/>
  <c r="E330" i="23"/>
  <c r="E334" i="23"/>
  <c r="E360" i="23"/>
  <c r="E412" i="23"/>
  <c r="E428" i="23"/>
  <c r="E444" i="23"/>
  <c r="E460" i="23"/>
  <c r="E476" i="23"/>
  <c r="E492" i="23"/>
  <c r="E508" i="23"/>
  <c r="E524" i="23"/>
  <c r="E540" i="23"/>
  <c r="E556" i="23"/>
  <c r="E645" i="23"/>
  <c r="E709" i="23"/>
  <c r="E773" i="23"/>
  <c r="E484" i="23"/>
  <c r="E741" i="23"/>
  <c r="E348" i="23"/>
  <c r="E354" i="23"/>
  <c r="E368" i="23"/>
  <c r="E376" i="23"/>
  <c r="E384" i="23"/>
  <c r="E392" i="23"/>
  <c r="E400" i="23"/>
  <c r="E1153" i="23"/>
  <c r="E436" i="23"/>
  <c r="E500" i="23"/>
  <c r="E532" i="23"/>
  <c r="E805" i="23"/>
  <c r="E159" i="23"/>
  <c r="E163" i="23"/>
  <c r="E167" i="23"/>
  <c r="E171" i="23"/>
  <c r="E175" i="23"/>
  <c r="E179" i="23"/>
  <c r="E183" i="23"/>
  <c r="E187" i="23"/>
  <c r="E191" i="23"/>
  <c r="E195" i="23"/>
  <c r="E199" i="23"/>
  <c r="E203" i="23"/>
  <c r="E207" i="23"/>
  <c r="E211" i="23"/>
  <c r="E215" i="23"/>
  <c r="E219" i="23"/>
  <c r="E223" i="23"/>
  <c r="E227" i="23"/>
  <c r="E231" i="23"/>
  <c r="E235" i="23"/>
  <c r="E239" i="23"/>
  <c r="E243" i="23"/>
  <c r="E247" i="23"/>
  <c r="E251" i="23"/>
  <c r="E255" i="23"/>
  <c r="E259" i="23"/>
  <c r="E263" i="23"/>
  <c r="E267" i="23"/>
  <c r="E271" i="23"/>
  <c r="E275" i="23"/>
  <c r="E279" i="23"/>
  <c r="E283" i="23"/>
  <c r="E287" i="23"/>
  <c r="E291" i="23"/>
  <c r="E295" i="23"/>
  <c r="E299" i="23"/>
  <c r="E303" i="23"/>
  <c r="E307" i="23"/>
  <c r="E311" i="23"/>
  <c r="E315" i="23"/>
  <c r="E319" i="23"/>
  <c r="E323" i="23"/>
  <c r="E327" i="23"/>
  <c r="E331" i="23"/>
  <c r="E336" i="23"/>
  <c r="E342" i="23"/>
  <c r="E402" i="23"/>
  <c r="E416" i="23"/>
  <c r="E432" i="23"/>
  <c r="E448" i="23"/>
  <c r="E464" i="23"/>
  <c r="E480" i="23"/>
  <c r="E496" i="23"/>
  <c r="E512" i="23"/>
  <c r="E528" i="23"/>
  <c r="E544" i="23"/>
  <c r="E560" i="23"/>
  <c r="E578" i="23"/>
  <c r="E599" i="23"/>
  <c r="E661" i="23"/>
  <c r="E725" i="23"/>
  <c r="E789" i="23"/>
  <c r="E858" i="23"/>
  <c r="D8" i="23"/>
  <c r="F33" i="23" l="1"/>
  <c r="F157" i="23"/>
  <c r="F155" i="23"/>
  <c r="F153" i="23"/>
  <c r="F151" i="23"/>
  <c r="F149" i="23"/>
  <c r="F147" i="23"/>
  <c r="F145" i="23"/>
  <c r="F143" i="23"/>
  <c r="F141" i="23"/>
  <c r="F139" i="23"/>
  <c r="F137" i="23"/>
  <c r="F135" i="23"/>
  <c r="F133" i="23"/>
  <c r="F131" i="23"/>
  <c r="F129" i="23"/>
  <c r="F127" i="23"/>
  <c r="F125" i="23"/>
  <c r="F123" i="23"/>
  <c r="F121" i="23"/>
  <c r="F119" i="23"/>
  <c r="F117" i="23"/>
  <c r="F115" i="23"/>
  <c r="F113" i="23"/>
  <c r="F111" i="23"/>
  <c r="F109" i="23"/>
  <c r="F107" i="23"/>
  <c r="F105" i="23"/>
  <c r="F103" i="23"/>
  <c r="F101" i="23"/>
  <c r="F99" i="23"/>
  <c r="F97" i="23"/>
  <c r="F95" i="23"/>
  <c r="F93" i="23"/>
  <c r="F91" i="23"/>
  <c r="F89" i="23"/>
  <c r="F87" i="23"/>
  <c r="F85" i="23"/>
  <c r="F83" i="23"/>
  <c r="F81" i="23"/>
  <c r="F79" i="23"/>
  <c r="F77" i="23"/>
  <c r="F75" i="23"/>
  <c r="F73" i="23"/>
  <c r="F71" i="23"/>
  <c r="F69" i="23"/>
  <c r="F67" i="23"/>
  <c r="F65" i="23"/>
  <c r="F63" i="23"/>
  <c r="F61" i="23"/>
  <c r="F59" i="23"/>
  <c r="F57" i="23"/>
  <c r="F55" i="23"/>
  <c r="F53" i="23"/>
  <c r="F51" i="23"/>
  <c r="F49" i="23"/>
  <c r="F47" i="23"/>
  <c r="F45" i="23"/>
  <c r="F43" i="23"/>
  <c r="F41" i="23"/>
  <c r="F39" i="23"/>
  <c r="F37" i="23"/>
  <c r="F35" i="23"/>
  <c r="F42" i="23"/>
  <c r="F38" i="23"/>
  <c r="F34" i="23"/>
  <c r="F156" i="23"/>
  <c r="F154" i="23"/>
  <c r="F152" i="23"/>
  <c r="F150" i="23"/>
  <c r="F148" i="23"/>
  <c r="F146" i="23"/>
  <c r="F144" i="23"/>
  <c r="F142" i="23"/>
  <c r="F140" i="23"/>
  <c r="F138" i="23"/>
  <c r="F136" i="23"/>
  <c r="F134" i="23"/>
  <c r="F132" i="23"/>
  <c r="F130" i="23"/>
  <c r="F128" i="23"/>
  <c r="F126" i="23"/>
  <c r="F124" i="23"/>
  <c r="F122" i="23"/>
  <c r="F120" i="23"/>
  <c r="F118" i="23"/>
  <c r="F116" i="23"/>
  <c r="F114" i="23"/>
  <c r="F112" i="23"/>
  <c r="F110" i="23"/>
  <c r="F108" i="23"/>
  <c r="F106" i="23"/>
  <c r="F104" i="23"/>
  <c r="F102" i="23"/>
  <c r="F100" i="23"/>
  <c r="F98" i="23"/>
  <c r="F96" i="23"/>
  <c r="F94" i="23"/>
  <c r="F92" i="23"/>
  <c r="F90" i="23"/>
  <c r="F88" i="23"/>
  <c r="F86" i="23"/>
  <c r="F84" i="23"/>
  <c r="F82" i="23"/>
  <c r="F80" i="23"/>
  <c r="F78" i="23"/>
  <c r="F76" i="23"/>
  <c r="F74" i="23"/>
  <c r="F72" i="23"/>
  <c r="F70" i="23"/>
  <c r="F68" i="23"/>
  <c r="F66" i="23"/>
  <c r="F64" i="23"/>
  <c r="F62" i="23"/>
  <c r="F60" i="23"/>
  <c r="F58" i="23"/>
  <c r="F56" i="23"/>
  <c r="F54" i="23"/>
  <c r="F52" i="23"/>
  <c r="F50" i="23"/>
  <c r="F48" i="23"/>
  <c r="F46" i="23"/>
  <c r="F44" i="23"/>
  <c r="F40" i="23"/>
  <c r="F36" i="23"/>
  <c r="F32" i="23"/>
  <c r="F1408" i="23"/>
  <c r="F1404" i="23"/>
  <c r="F1400" i="23"/>
  <c r="F1396" i="23"/>
  <c r="F1392" i="23"/>
  <c r="F1388" i="23"/>
  <c r="F1384" i="23"/>
  <c r="F1380" i="23"/>
  <c r="F1376" i="23"/>
  <c r="F1372" i="23"/>
  <c r="F1368" i="23"/>
  <c r="F1364" i="23"/>
  <c r="F1360" i="23"/>
  <c r="F1356" i="23"/>
  <c r="F1352" i="23"/>
  <c r="F1348" i="23"/>
  <c r="F1344" i="23"/>
  <c r="F1340" i="23"/>
  <c r="F1336" i="23"/>
  <c r="F1332" i="23"/>
  <c r="F1328" i="23"/>
  <c r="F1324" i="23"/>
  <c r="F1320" i="23"/>
  <c r="F1316" i="23"/>
  <c r="F1312" i="23"/>
  <c r="F1308" i="23"/>
  <c r="F1304" i="23"/>
  <c r="F1300" i="23"/>
  <c r="F1296" i="23"/>
  <c r="F1292" i="23"/>
  <c r="F1288" i="23"/>
  <c r="F1284" i="23"/>
  <c r="F1280" i="23"/>
  <c r="F1276" i="23"/>
  <c r="F1272" i="23"/>
  <c r="F1268" i="23"/>
  <c r="F1264" i="23"/>
  <c r="F1260" i="23"/>
  <c r="F1256" i="23"/>
  <c r="F1252" i="23"/>
  <c r="F1248" i="23"/>
  <c r="F1244" i="23"/>
  <c r="F1240" i="23"/>
  <c r="F1236" i="23"/>
  <c r="F1232" i="23"/>
  <c r="F1228" i="23"/>
  <c r="F1224" i="23"/>
  <c r="F1220" i="23"/>
  <c r="F1216" i="23"/>
  <c r="F1212" i="23"/>
  <c r="F1208" i="23"/>
  <c r="F1204" i="23"/>
  <c r="F1200" i="23"/>
  <c r="F1196" i="23"/>
  <c r="F1192" i="23"/>
  <c r="F1188" i="23"/>
  <c r="F1184" i="23"/>
  <c r="F1180" i="23"/>
  <c r="F1176" i="23"/>
  <c r="F1172" i="23"/>
  <c r="F1168" i="23"/>
  <c r="F1164" i="23"/>
  <c r="F1160" i="23"/>
  <c r="F1156" i="23"/>
  <c r="F1152" i="23"/>
  <c r="F1148" i="23"/>
  <c r="F1144" i="23"/>
  <c r="F1140" i="23"/>
  <c r="F1136" i="23"/>
  <c r="F1132" i="23"/>
  <c r="F1128" i="23"/>
  <c r="F1124" i="23"/>
  <c r="F1120" i="23"/>
  <c r="F1116" i="23"/>
  <c r="F1112" i="23"/>
  <c r="F1108" i="23"/>
  <c r="F1104" i="23"/>
  <c r="F1100" i="23"/>
  <c r="F1096" i="23"/>
  <c r="F1092" i="23"/>
  <c r="F1088" i="23"/>
  <c r="F1084" i="23"/>
  <c r="F1080" i="23"/>
  <c r="F1076" i="23"/>
  <c r="F1407" i="23"/>
  <c r="F1403" i="23"/>
  <c r="F1399" i="23"/>
  <c r="F1395" i="23"/>
  <c r="F1391" i="23"/>
  <c r="F1387" i="23"/>
  <c r="F1383" i="23"/>
  <c r="F1379" i="23"/>
  <c r="F1375" i="23"/>
  <c r="F1371" i="23"/>
  <c r="F1367" i="23"/>
  <c r="F1363" i="23"/>
  <c r="F1359" i="23"/>
  <c r="F1355" i="23"/>
  <c r="F1351" i="23"/>
  <c r="F1347" i="23"/>
  <c r="F1343" i="23"/>
  <c r="F1339" i="23"/>
  <c r="F1335" i="23"/>
  <c r="F1331" i="23"/>
  <c r="F1327" i="23"/>
  <c r="F1323" i="23"/>
  <c r="F1319" i="23"/>
  <c r="F1315" i="23"/>
  <c r="F1311" i="23"/>
  <c r="F1307" i="23"/>
  <c r="F1303" i="23"/>
  <c r="F1299" i="23"/>
  <c r="F1295" i="23"/>
  <c r="F1291" i="23"/>
  <c r="F1287" i="23"/>
  <c r="F1283" i="23"/>
  <c r="F1279" i="23"/>
  <c r="F1275" i="23"/>
  <c r="F1271" i="23"/>
  <c r="F1267" i="23"/>
  <c r="F1263" i="23"/>
  <c r="F1259" i="23"/>
  <c r="F1255" i="23"/>
  <c r="F1251" i="23"/>
  <c r="F1247" i="23"/>
  <c r="F1243" i="23"/>
  <c r="F1239" i="23"/>
  <c r="F1235" i="23"/>
  <c r="F1231" i="23"/>
  <c r="F1227" i="23"/>
  <c r="F1223" i="23"/>
  <c r="F1219" i="23"/>
  <c r="F1215" i="23"/>
  <c r="F1211" i="23"/>
  <c r="F1207" i="23"/>
  <c r="F1203" i="23"/>
  <c r="F1199" i="23"/>
  <c r="F1195" i="23"/>
  <c r="F1191" i="23"/>
  <c r="F1187" i="23"/>
  <c r="F1183" i="23"/>
  <c r="F1179" i="23"/>
  <c r="F1175" i="23"/>
  <c r="F1171" i="23"/>
  <c r="F1167" i="23"/>
  <c r="F1163" i="23"/>
  <c r="F1159" i="23"/>
  <c r="F1155" i="23"/>
  <c r="F1151" i="23"/>
  <c r="F1147" i="23"/>
  <c r="F1143" i="23"/>
  <c r="F1139" i="23"/>
  <c r="F1135" i="23"/>
  <c r="F1131" i="23"/>
  <c r="F1127" i="23"/>
  <c r="F1123" i="23"/>
  <c r="F1119" i="23"/>
  <c r="F1115" i="23"/>
  <c r="F1111" i="23"/>
  <c r="F1107" i="23"/>
  <c r="F1103" i="23"/>
  <c r="F1099" i="23"/>
  <c r="F1095" i="23"/>
  <c r="F1091" i="23"/>
  <c r="F1087" i="23"/>
  <c r="F1083" i="23"/>
  <c r="F1079" i="23"/>
  <c r="F1075" i="23"/>
  <c r="F1071" i="23"/>
  <c r="F1406" i="23"/>
  <c r="F1402" i="23"/>
  <c r="F1398" i="23"/>
  <c r="F1394" i="23"/>
  <c r="F1390" i="23"/>
  <c r="F1386" i="23"/>
  <c r="F1382" i="23"/>
  <c r="F1378" i="23"/>
  <c r="F1374" i="23"/>
  <c r="F1370" i="23"/>
  <c r="F1366" i="23"/>
  <c r="F1362" i="23"/>
  <c r="F1358" i="23"/>
  <c r="F1354" i="23"/>
  <c r="F1350" i="23"/>
  <c r="F1346" i="23"/>
  <c r="F1342" i="23"/>
  <c r="F1338" i="23"/>
  <c r="F1334" i="23"/>
  <c r="F1330" i="23"/>
  <c r="F1326" i="23"/>
  <c r="F1322" i="23"/>
  <c r="F1318" i="23"/>
  <c r="F1314" i="23"/>
  <c r="F1310" i="23"/>
  <c r="F1306" i="23"/>
  <c r="F1302" i="23"/>
  <c r="F1298" i="23"/>
  <c r="F1294" i="23"/>
  <c r="F1290" i="23"/>
  <c r="F1286" i="23"/>
  <c r="F1282" i="23"/>
  <c r="F1278" i="23"/>
  <c r="F1274" i="23"/>
  <c r="F1270" i="23"/>
  <c r="F1266" i="23"/>
  <c r="F1262" i="23"/>
  <c r="F1258" i="23"/>
  <c r="F1254" i="23"/>
  <c r="F1250" i="23"/>
  <c r="F1246" i="23"/>
  <c r="F1242" i="23"/>
  <c r="F1238" i="23"/>
  <c r="F1234" i="23"/>
  <c r="F1230" i="23"/>
  <c r="F1226" i="23"/>
  <c r="F1222" i="23"/>
  <c r="F1218" i="23"/>
  <c r="F1214" i="23"/>
  <c r="F1210" i="23"/>
  <c r="F1206" i="23"/>
  <c r="F1202" i="23"/>
  <c r="F1198" i="23"/>
  <c r="F1194" i="23"/>
  <c r="F1190" i="23"/>
  <c r="F1186" i="23"/>
  <c r="F1182" i="23"/>
  <c r="F1178" i="23"/>
  <c r="F1174" i="23"/>
  <c r="F1170" i="23"/>
  <c r="F1166" i="23"/>
  <c r="F1162" i="23"/>
  <c r="F1158" i="23"/>
  <c r="F1154" i="23"/>
  <c r="F1150" i="23"/>
  <c r="F1146" i="23"/>
  <c r="F1142" i="23"/>
  <c r="F1138" i="23"/>
  <c r="F1134" i="23"/>
  <c r="F1130" i="23"/>
  <c r="F1126" i="23"/>
  <c r="F1122" i="23"/>
  <c r="F1118" i="23"/>
  <c r="F1114" i="23"/>
  <c r="F1110" i="23"/>
  <c r="F1106" i="23"/>
  <c r="F1102" i="23"/>
  <c r="F1098" i="23"/>
  <c r="F1094" i="23"/>
  <c r="F1090" i="23"/>
  <c r="F1086" i="23"/>
  <c r="F1082" i="23"/>
  <c r="F1078" i="23"/>
  <c r="F1074" i="23"/>
  <c r="F1405" i="23"/>
  <c r="F1389" i="23"/>
  <c r="F1373" i="23"/>
  <c r="F1357" i="23"/>
  <c r="F1341" i="23"/>
  <c r="F1325" i="23"/>
  <c r="F1309" i="23"/>
  <c r="F1293" i="23"/>
  <c r="F1277" i="23"/>
  <c r="F1261" i="23"/>
  <c r="F1245" i="23"/>
  <c r="F1229" i="23"/>
  <c r="F1213" i="23"/>
  <c r="F1197" i="23"/>
  <c r="F1181" i="23"/>
  <c r="F1165" i="23"/>
  <c r="F1149" i="23"/>
  <c r="F1133" i="23"/>
  <c r="F1117" i="23"/>
  <c r="F1101" i="23"/>
  <c r="F1085" i="23"/>
  <c r="F1068" i="23"/>
  <c r="F1064" i="23"/>
  <c r="F1060" i="23"/>
  <c r="F1056" i="23"/>
  <c r="F1052" i="23"/>
  <c r="F1048" i="23"/>
  <c r="F1044" i="23"/>
  <c r="F1040" i="23"/>
  <c r="F1036" i="23"/>
  <c r="F1032" i="23"/>
  <c r="F1028" i="23"/>
  <c r="F1024" i="23"/>
  <c r="F1020" i="23"/>
  <c r="F1016" i="23"/>
  <c r="F1012" i="23"/>
  <c r="F1008" i="23"/>
  <c r="F1004" i="23"/>
  <c r="F1000" i="23"/>
  <c r="F996" i="23"/>
  <c r="F992" i="23"/>
  <c r="F988" i="23"/>
  <c r="F984" i="23"/>
  <c r="F980" i="23"/>
  <c r="F976" i="23"/>
  <c r="F972" i="23"/>
  <c r="F968" i="23"/>
  <c r="F964" i="23"/>
  <c r="F960" i="23"/>
  <c r="F956" i="23"/>
  <c r="F952" i="23"/>
  <c r="F948" i="23"/>
  <c r="F944" i="23"/>
  <c r="F940" i="23"/>
  <c r="F936" i="23"/>
  <c r="F932" i="23"/>
  <c r="F928" i="23"/>
  <c r="F924" i="23"/>
  <c r="F920" i="23"/>
  <c r="F916" i="23"/>
  <c r="F912" i="23"/>
  <c r="F908" i="23"/>
  <c r="F904" i="23"/>
  <c r="F900" i="23"/>
  <c r="F896" i="23"/>
  <c r="F892" i="23"/>
  <c r="F888" i="23"/>
  <c r="F884" i="23"/>
  <c r="F880" i="23"/>
  <c r="F876" i="23"/>
  <c r="F872" i="23"/>
  <c r="F868" i="23"/>
  <c r="F864" i="23"/>
  <c r="F860" i="23"/>
  <c r="F856" i="23"/>
  <c r="F852" i="23"/>
  <c r="F848" i="23"/>
  <c r="F844" i="23"/>
  <c r="F840" i="23"/>
  <c r="F836" i="23"/>
  <c r="F832" i="23"/>
  <c r="F828" i="23"/>
  <c r="F824" i="23"/>
  <c r="F820" i="23"/>
  <c r="F1072" i="23"/>
  <c r="F1401" i="23"/>
  <c r="F1385" i="23"/>
  <c r="F1369" i="23"/>
  <c r="F1353" i="23"/>
  <c r="F1337" i="23"/>
  <c r="F1321" i="23"/>
  <c r="F1305" i="23"/>
  <c r="F1289" i="23"/>
  <c r="F1273" i="23"/>
  <c r="F1257" i="23"/>
  <c r="F1241" i="23"/>
  <c r="F1225" i="23"/>
  <c r="F1209" i="23"/>
  <c r="F1193" i="23"/>
  <c r="F1177" i="23"/>
  <c r="F1161" i="23"/>
  <c r="F1145" i="23"/>
  <c r="F1129" i="23"/>
  <c r="F1113" i="23"/>
  <c r="F1097" i="23"/>
  <c r="F1081" i="23"/>
  <c r="F1067" i="23"/>
  <c r="F1063" i="23"/>
  <c r="F1059" i="23"/>
  <c r="F1055" i="23"/>
  <c r="F1051" i="23"/>
  <c r="F1047" i="23"/>
  <c r="F1043" i="23"/>
  <c r="F1039" i="23"/>
  <c r="F1035" i="23"/>
  <c r="F1031" i="23"/>
  <c r="F1027" i="23"/>
  <c r="F1023" i="23"/>
  <c r="F1019" i="23"/>
  <c r="F1015" i="23"/>
  <c r="F1011" i="23"/>
  <c r="F1007" i="23"/>
  <c r="F1003" i="23"/>
  <c r="F999" i="23"/>
  <c r="F995" i="23"/>
  <c r="F991" i="23"/>
  <c r="F987" i="23"/>
  <c r="F983" i="23"/>
  <c r="F979" i="23"/>
  <c r="F975" i="23"/>
  <c r="F971" i="23"/>
  <c r="F967" i="23"/>
  <c r="F963" i="23"/>
  <c r="F959" i="23"/>
  <c r="F955" i="23"/>
  <c r="F951" i="23"/>
  <c r="F947" i="23"/>
  <c r="F943" i="23"/>
  <c r="F939" i="23"/>
  <c r="F935" i="23"/>
  <c r="F931" i="23"/>
  <c r="F927" i="23"/>
  <c r="F923" i="23"/>
  <c r="F919" i="23"/>
  <c r="F915" i="23"/>
  <c r="F911" i="23"/>
  <c r="F907" i="23"/>
  <c r="F903" i="23"/>
  <c r="F899" i="23"/>
  <c r="F895" i="23"/>
  <c r="F891" i="23"/>
  <c r="F887" i="23"/>
  <c r="F883" i="23"/>
  <c r="F879" i="23"/>
  <c r="F875" i="23"/>
  <c r="F871" i="23"/>
  <c r="F1397" i="23"/>
  <c r="F1381" i="23"/>
  <c r="F1365" i="23"/>
  <c r="F1349" i="23"/>
  <c r="F1333" i="23"/>
  <c r="F1317" i="23"/>
  <c r="F1301" i="23"/>
  <c r="F1285" i="23"/>
  <c r="F1269" i="23"/>
  <c r="F1253" i="23"/>
  <c r="F1237" i="23"/>
  <c r="F1221" i="23"/>
  <c r="F1205" i="23"/>
  <c r="F1189" i="23"/>
  <c r="F1173" i="23"/>
  <c r="F1157" i="23"/>
  <c r="F1141" i="23"/>
  <c r="F1125" i="23"/>
  <c r="F1109" i="23"/>
  <c r="F1093" i="23"/>
  <c r="F1077" i="23"/>
  <c r="F1070" i="23"/>
  <c r="F1066" i="23"/>
  <c r="F1062" i="23"/>
  <c r="F1058" i="23"/>
  <c r="F1054" i="23"/>
  <c r="F1050" i="23"/>
  <c r="F1046" i="23"/>
  <c r="F1042" i="23"/>
  <c r="F1038" i="23"/>
  <c r="F1034" i="23"/>
  <c r="F1030" i="23"/>
  <c r="F1026" i="23"/>
  <c r="F1022" i="23"/>
  <c r="F1018" i="23"/>
  <c r="F1014" i="23"/>
  <c r="F1010" i="23"/>
  <c r="F1006" i="23"/>
  <c r="F1002" i="23"/>
  <c r="F998" i="23"/>
  <c r="F994" i="23"/>
  <c r="F990" i="23"/>
  <c r="F986" i="23"/>
  <c r="F982" i="23"/>
  <c r="F978" i="23"/>
  <c r="F974" i="23"/>
  <c r="F970" i="23"/>
  <c r="F966" i="23"/>
  <c r="F962" i="23"/>
  <c r="F958" i="23"/>
  <c r="F954" i="23"/>
  <c r="F950" i="23"/>
  <c r="F946" i="23"/>
  <c r="F942" i="23"/>
  <c r="F938" i="23"/>
  <c r="F934" i="23"/>
  <c r="F930" i="23"/>
  <c r="F926" i="23"/>
  <c r="F922" i="23"/>
  <c r="F918" i="23"/>
  <c r="F914" i="23"/>
  <c r="F910" i="23"/>
  <c r="F906" i="23"/>
  <c r="F902" i="23"/>
  <c r="F898" i="23"/>
  <c r="F894" i="23"/>
  <c r="F890" i="23"/>
  <c r="F886" i="23"/>
  <c r="F882" i="23"/>
  <c r="F878" i="23"/>
  <c r="F874" i="23"/>
  <c r="F870" i="23"/>
  <c r="F866" i="23"/>
  <c r="F862" i="23"/>
  <c r="F858" i="23"/>
  <c r="F1393" i="23"/>
  <c r="F1329" i="23"/>
  <c r="F1265" i="23"/>
  <c r="F1201" i="23"/>
  <c r="F1137" i="23"/>
  <c r="F1057" i="23"/>
  <c r="F1041" i="23"/>
  <c r="F1025" i="23"/>
  <c r="F1009" i="23"/>
  <c r="F993" i="23"/>
  <c r="F977" i="23"/>
  <c r="F961" i="23"/>
  <c r="F945" i="23"/>
  <c r="F929" i="23"/>
  <c r="F913" i="23"/>
  <c r="F897" i="23"/>
  <c r="F881" i="23"/>
  <c r="F869" i="23"/>
  <c r="F847" i="23"/>
  <c r="F838" i="23"/>
  <c r="F829" i="23"/>
  <c r="F1073" i="23"/>
  <c r="F851" i="23"/>
  <c r="F842" i="23"/>
  <c r="F833" i="23"/>
  <c r="F819" i="23"/>
  <c r="F815" i="23"/>
  <c r="F811" i="23"/>
  <c r="F807" i="23"/>
  <c r="F803" i="23"/>
  <c r="F799" i="23"/>
  <c r="F795" i="23"/>
  <c r="F791" i="23"/>
  <c r="F787" i="23"/>
  <c r="F783" i="23"/>
  <c r="F779" i="23"/>
  <c r="F775" i="23"/>
  <c r="F771" i="23"/>
  <c r="F767" i="23"/>
  <c r="F763" i="23"/>
  <c r="F759" i="23"/>
  <c r="F755" i="23"/>
  <c r="F751" i="23"/>
  <c r="F747" i="23"/>
  <c r="F743" i="23"/>
  <c r="F739" i="23"/>
  <c r="F735" i="23"/>
  <c r="F731" i="23"/>
  <c r="F727" i="23"/>
  <c r="F723" i="23"/>
  <c r="F719" i="23"/>
  <c r="F715" i="23"/>
  <c r="F711" i="23"/>
  <c r="F707" i="23"/>
  <c r="F703" i="23"/>
  <c r="F699" i="23"/>
  <c r="F695" i="23"/>
  <c r="F691" i="23"/>
  <c r="F687" i="23"/>
  <c r="F683" i="23"/>
  <c r="F679" i="23"/>
  <c r="F675" i="23"/>
  <c r="F671" i="23"/>
  <c r="F667" i="23"/>
  <c r="F663" i="23"/>
  <c r="F659" i="23"/>
  <c r="F655" i="23"/>
  <c r="F651" i="23"/>
  <c r="F647" i="23"/>
  <c r="F643" i="23"/>
  <c r="F639" i="23"/>
  <c r="F635" i="23"/>
  <c r="F631" i="23"/>
  <c r="F627" i="23"/>
  <c r="F623" i="23"/>
  <c r="F619" i="23"/>
  <c r="F615" i="23"/>
  <c r="F611" i="23"/>
  <c r="F607" i="23"/>
  <c r="F603" i="23"/>
  <c r="F599" i="23"/>
  <c r="F595" i="23"/>
  <c r="F1377" i="23"/>
  <c r="F1313" i="23"/>
  <c r="F1249" i="23"/>
  <c r="F1185" i="23"/>
  <c r="F1121" i="23"/>
  <c r="F1069" i="23"/>
  <c r="F1053" i="23"/>
  <c r="F1037" i="23"/>
  <c r="F1021" i="23"/>
  <c r="F1005" i="23"/>
  <c r="F989" i="23"/>
  <c r="F973" i="23"/>
  <c r="F957" i="23"/>
  <c r="F941" i="23"/>
  <c r="F925" i="23"/>
  <c r="F909" i="23"/>
  <c r="F893" i="23"/>
  <c r="F877" i="23"/>
  <c r="F867" i="23"/>
  <c r="F861" i="23"/>
  <c r="F855" i="23"/>
  <c r="F846" i="23"/>
  <c r="F837" i="23"/>
  <c r="F823" i="23"/>
  <c r="F850" i="23"/>
  <c r="F841" i="23"/>
  <c r="F827" i="23"/>
  <c r="F818" i="23"/>
  <c r="F814" i="23"/>
  <c r="F810" i="23"/>
  <c r="F806" i="23"/>
  <c r="F802" i="23"/>
  <c r="F798" i="23"/>
  <c r="F794" i="23"/>
  <c r="F790" i="23"/>
  <c r="F786" i="23"/>
  <c r="F782" i="23"/>
  <c r="F778" i="23"/>
  <c r="F774" i="23"/>
  <c r="F770" i="23"/>
  <c r="F766" i="23"/>
  <c r="F762" i="23"/>
  <c r="F758" i="23"/>
  <c r="F754" i="23"/>
  <c r="F750" i="23"/>
  <c r="F746" i="23"/>
  <c r="F742" i="23"/>
  <c r="F738" i="23"/>
  <c r="F734" i="23"/>
  <c r="F730" i="23"/>
  <c r="F726" i="23"/>
  <c r="F722" i="23"/>
  <c r="F718" i="23"/>
  <c r="F714" i="23"/>
  <c r="F710" i="23"/>
  <c r="F706" i="23"/>
  <c r="F702" i="23"/>
  <c r="F698" i="23"/>
  <c r="F694" i="23"/>
  <c r="F690" i="23"/>
  <c r="F686" i="23"/>
  <c r="F682" i="23"/>
  <c r="F678" i="23"/>
  <c r="F674" i="23"/>
  <c r="F670" i="23"/>
  <c r="F666" i="23"/>
  <c r="F662" i="23"/>
  <c r="F658" i="23"/>
  <c r="F654" i="23"/>
  <c r="F650" i="23"/>
  <c r="F646" i="23"/>
  <c r="F642" i="23"/>
  <c r="F638" i="23"/>
  <c r="F634" i="23"/>
  <c r="F630" i="23"/>
  <c r="F626" i="23"/>
  <c r="F622" i="23"/>
  <c r="F618" i="23"/>
  <c r="F614" i="23"/>
  <c r="F610" i="23"/>
  <c r="F606" i="23"/>
  <c r="F602" i="23"/>
  <c r="F1361" i="23"/>
  <c r="F1297" i="23"/>
  <c r="F1233" i="23"/>
  <c r="F1169" i="23"/>
  <c r="F1105" i="23"/>
  <c r="F1065" i="23"/>
  <c r="F1049" i="23"/>
  <c r="F1033" i="23"/>
  <c r="F1017" i="23"/>
  <c r="F1001" i="23"/>
  <c r="F985" i="23"/>
  <c r="F969" i="23"/>
  <c r="F953" i="23"/>
  <c r="F937" i="23"/>
  <c r="F921" i="23"/>
  <c r="F905" i="23"/>
  <c r="F889" i="23"/>
  <c r="F873" i="23"/>
  <c r="F859" i="23"/>
  <c r="F854" i="23"/>
  <c r="F845" i="23"/>
  <c r="F831" i="23"/>
  <c r="F822" i="23"/>
  <c r="F865" i="23"/>
  <c r="F849" i="23"/>
  <c r="F835" i="23"/>
  <c r="F826" i="23"/>
  <c r="F817" i="23"/>
  <c r="F813" i="23"/>
  <c r="F809" i="23"/>
  <c r="F805" i="23"/>
  <c r="F801" i="23"/>
  <c r="F797" i="23"/>
  <c r="F793" i="23"/>
  <c r="F789" i="23"/>
  <c r="F785" i="23"/>
  <c r="F781" i="23"/>
  <c r="F777" i="23"/>
  <c r="F773" i="23"/>
  <c r="F769" i="23"/>
  <c r="F765" i="23"/>
  <c r="F761" i="23"/>
  <c r="F757" i="23"/>
  <c r="F753" i="23"/>
  <c r="F749" i="23"/>
  <c r="F745" i="23"/>
  <c r="F741" i="23"/>
  <c r="F737" i="23"/>
  <c r="F733" i="23"/>
  <c r="F729" i="23"/>
  <c r="F725" i="23"/>
  <c r="F721" i="23"/>
  <c r="F717" i="23"/>
  <c r="F713" i="23"/>
  <c r="F709" i="23"/>
  <c r="F705" i="23"/>
  <c r="F701" i="23"/>
  <c r="F697" i="23"/>
  <c r="F693" i="23"/>
  <c r="F689" i="23"/>
  <c r="F685" i="23"/>
  <c r="F681" i="23"/>
  <c r="F677" i="23"/>
  <c r="F673" i="23"/>
  <c r="F669" i="23"/>
  <c r="F665" i="23"/>
  <c r="F661" i="23"/>
  <c r="F657" i="23"/>
  <c r="F653" i="23"/>
  <c r="F649" i="23"/>
  <c r="F645" i="23"/>
  <c r="F641" i="23"/>
  <c r="F637" i="23"/>
  <c r="F633" i="23"/>
  <c r="F629" i="23"/>
  <c r="F625" i="23"/>
  <c r="F621" i="23"/>
  <c r="F617" i="23"/>
  <c r="F613" i="23"/>
  <c r="F609" i="23"/>
  <c r="F605" i="23"/>
  <c r="F601" i="23"/>
  <c r="F597" i="23"/>
  <c r="F593" i="23"/>
  <c r="F1345" i="23"/>
  <c r="F1089" i="23"/>
  <c r="F1013" i="23"/>
  <c r="F949" i="23"/>
  <c r="F885" i="23"/>
  <c r="F853" i="23"/>
  <c r="F590" i="23"/>
  <c r="F581" i="23"/>
  <c r="F572" i="23"/>
  <c r="F567" i="23"/>
  <c r="F834" i="23"/>
  <c r="F816" i="23"/>
  <c r="F800" i="23"/>
  <c r="F784" i="23"/>
  <c r="F768" i="23"/>
  <c r="F752" i="23"/>
  <c r="F736" i="23"/>
  <c r="F720" i="23"/>
  <c r="F704" i="23"/>
  <c r="F688" i="23"/>
  <c r="F672" i="23"/>
  <c r="F656" i="23"/>
  <c r="F640" i="23"/>
  <c r="F624" i="23"/>
  <c r="F608" i="23"/>
  <c r="F596" i="23"/>
  <c r="F585" i="23"/>
  <c r="F576" i="23"/>
  <c r="F571" i="23"/>
  <c r="F562" i="23"/>
  <c r="F558" i="23"/>
  <c r="F554" i="23"/>
  <c r="F550" i="23"/>
  <c r="F546" i="23"/>
  <c r="F542" i="23"/>
  <c r="F538" i="23"/>
  <c r="F534" i="23"/>
  <c r="F530" i="23"/>
  <c r="F526" i="23"/>
  <c r="F522" i="23"/>
  <c r="F518" i="23"/>
  <c r="F514" i="23"/>
  <c r="F510" i="23"/>
  <c r="F506" i="23"/>
  <c r="F502" i="23"/>
  <c r="F498" i="23"/>
  <c r="F494" i="23"/>
  <c r="F490" i="23"/>
  <c r="F486" i="23"/>
  <c r="F482" i="23"/>
  <c r="F478" i="23"/>
  <c r="F474" i="23"/>
  <c r="F470" i="23"/>
  <c r="F466" i="23"/>
  <c r="F462" i="23"/>
  <c r="F458" i="23"/>
  <c r="F454" i="23"/>
  <c r="F450" i="23"/>
  <c r="F446" i="23"/>
  <c r="F442" i="23"/>
  <c r="F438" i="23"/>
  <c r="F434" i="23"/>
  <c r="F430" i="23"/>
  <c r="F426" i="23"/>
  <c r="F422" i="23"/>
  <c r="F418" i="23"/>
  <c r="F414" i="23"/>
  <c r="F410" i="23"/>
  <c r="F406" i="23"/>
  <c r="F402" i="23"/>
  <c r="F398" i="23"/>
  <c r="F394" i="23"/>
  <c r="F390" i="23"/>
  <c r="F386" i="23"/>
  <c r="F382" i="23"/>
  <c r="F378" i="23"/>
  <c r="F374" i="23"/>
  <c r="F370" i="23"/>
  <c r="F366" i="23"/>
  <c r="F362" i="23"/>
  <c r="F358" i="23"/>
  <c r="F354" i="23"/>
  <c r="F350" i="23"/>
  <c r="F346" i="23"/>
  <c r="F342" i="23"/>
  <c r="F338" i="23"/>
  <c r="F334" i="23"/>
  <c r="F1281" i="23"/>
  <c r="F1061" i="23"/>
  <c r="F997" i="23"/>
  <c r="F933" i="23"/>
  <c r="F830" i="23"/>
  <c r="F589" i="23"/>
  <c r="F580" i="23"/>
  <c r="F575" i="23"/>
  <c r="F566" i="23"/>
  <c r="F812" i="23"/>
  <c r="F796" i="23"/>
  <c r="F780" i="23"/>
  <c r="F764" i="23"/>
  <c r="F748" i="23"/>
  <c r="F732" i="23"/>
  <c r="F716" i="23"/>
  <c r="F700" i="23"/>
  <c r="F684" i="23"/>
  <c r="F668" i="23"/>
  <c r="F652" i="23"/>
  <c r="F636" i="23"/>
  <c r="F620" i="23"/>
  <c r="F604" i="23"/>
  <c r="F594" i="23"/>
  <c r="F584" i="23"/>
  <c r="F579" i="23"/>
  <c r="F570" i="23"/>
  <c r="F561" i="23"/>
  <c r="F557" i="23"/>
  <c r="F553" i="23"/>
  <c r="F549" i="23"/>
  <c r="F545" i="23"/>
  <c r="F541" i="23"/>
  <c r="F537" i="23"/>
  <c r="F533" i="23"/>
  <c r="F529" i="23"/>
  <c r="F525" i="23"/>
  <c r="F521" i="23"/>
  <c r="F517" i="23"/>
  <c r="F513" i="23"/>
  <c r="F509" i="23"/>
  <c r="F505" i="23"/>
  <c r="F501" i="23"/>
  <c r="F497" i="23"/>
  <c r="F493" i="23"/>
  <c r="F489" i="23"/>
  <c r="F485" i="23"/>
  <c r="F481" i="23"/>
  <c r="F477" i="23"/>
  <c r="F473" i="23"/>
  <c r="F469" i="23"/>
  <c r="F465" i="23"/>
  <c r="F461" i="23"/>
  <c r="F457" i="23"/>
  <c r="F453" i="23"/>
  <c r="F449" i="23"/>
  <c r="F445" i="23"/>
  <c r="F441" i="23"/>
  <c r="F437" i="23"/>
  <c r="F433" i="23"/>
  <c r="F429" i="23"/>
  <c r="F425" i="23"/>
  <c r="F421" i="23"/>
  <c r="F417" i="23"/>
  <c r="F413" i="23"/>
  <c r="F409" i="23"/>
  <c r="F405" i="23"/>
  <c r="F401" i="23"/>
  <c r="F1217" i="23"/>
  <c r="F1045" i="23"/>
  <c r="F981" i="23"/>
  <c r="F917" i="23"/>
  <c r="F588" i="23"/>
  <c r="F583" i="23"/>
  <c r="F574" i="23"/>
  <c r="F565" i="23"/>
  <c r="F863" i="23"/>
  <c r="F843" i="23"/>
  <c r="F825" i="23"/>
  <c r="F808" i="23"/>
  <c r="F792" i="23"/>
  <c r="F776" i="23"/>
  <c r="F760" i="23"/>
  <c r="F744" i="23"/>
  <c r="F728" i="23"/>
  <c r="F712" i="23"/>
  <c r="F696" i="23"/>
  <c r="F680" i="23"/>
  <c r="F664" i="23"/>
  <c r="F648" i="23"/>
  <c r="F632" i="23"/>
  <c r="F616" i="23"/>
  <c r="F600" i="23"/>
  <c r="F592" i="23"/>
  <c r="F587" i="23"/>
  <c r="F578" i="23"/>
  <c r="F569" i="23"/>
  <c r="F560" i="23"/>
  <c r="F556" i="23"/>
  <c r="F552" i="23"/>
  <c r="F548" i="23"/>
  <c r="F544" i="23"/>
  <c r="F540" i="23"/>
  <c r="F536" i="23"/>
  <c r="F532" i="23"/>
  <c r="F528" i="23"/>
  <c r="F524" i="23"/>
  <c r="F520" i="23"/>
  <c r="F516" i="23"/>
  <c r="F512" i="23"/>
  <c r="F508" i="23"/>
  <c r="F504" i="23"/>
  <c r="F500" i="23"/>
  <c r="F496" i="23"/>
  <c r="F492" i="23"/>
  <c r="F488" i="23"/>
  <c r="F484" i="23"/>
  <c r="F480" i="23"/>
  <c r="F476" i="23"/>
  <c r="F472" i="23"/>
  <c r="F468" i="23"/>
  <c r="F464" i="23"/>
  <c r="F460" i="23"/>
  <c r="F456" i="23"/>
  <c r="F452" i="23"/>
  <c r="F448" i="23"/>
  <c r="F444" i="23"/>
  <c r="F440" i="23"/>
  <c r="F436" i="23"/>
  <c r="F432" i="23"/>
  <c r="F428" i="23"/>
  <c r="F424" i="23"/>
  <c r="F420" i="23"/>
  <c r="F416" i="23"/>
  <c r="F412" i="23"/>
  <c r="F408" i="23"/>
  <c r="F404" i="23"/>
  <c r="F400" i="23"/>
  <c r="F396" i="23"/>
  <c r="F392" i="23"/>
  <c r="F388" i="23"/>
  <c r="F384" i="23"/>
  <c r="F380" i="23"/>
  <c r="F376" i="23"/>
  <c r="F372" i="23"/>
  <c r="F368" i="23"/>
  <c r="F364" i="23"/>
  <c r="F1153" i="23"/>
  <c r="F393" i="23"/>
  <c r="F385" i="23"/>
  <c r="F377" i="23"/>
  <c r="F369" i="23"/>
  <c r="F361" i="23"/>
  <c r="F355" i="23"/>
  <c r="F348" i="23"/>
  <c r="F564" i="23"/>
  <c r="F483" i="23"/>
  <c r="F323" i="23"/>
  <c r="F299" i="23"/>
  <c r="F275" i="23"/>
  <c r="F247" i="23"/>
  <c r="F219" i="23"/>
  <c r="F199" i="23"/>
  <c r="F183" i="23"/>
  <c r="F163" i="23"/>
  <c r="F857" i="23"/>
  <c r="F788" i="23"/>
  <c r="F724" i="23"/>
  <c r="F660" i="23"/>
  <c r="F598" i="23"/>
  <c r="F577" i="23"/>
  <c r="F559" i="23"/>
  <c r="F543" i="23"/>
  <c r="F527" i="23"/>
  <c r="F511" i="23"/>
  <c r="F495" i="23"/>
  <c r="F479" i="23"/>
  <c r="F463" i="23"/>
  <c r="F447" i="23"/>
  <c r="F431" i="23"/>
  <c r="F415" i="23"/>
  <c r="F360" i="23"/>
  <c r="F341" i="23"/>
  <c r="F335" i="23"/>
  <c r="F330" i="23"/>
  <c r="F326" i="23"/>
  <c r="F322" i="23"/>
  <c r="F318" i="23"/>
  <c r="F314" i="23"/>
  <c r="F310" i="23"/>
  <c r="F306" i="23"/>
  <c r="F302" i="23"/>
  <c r="F298" i="23"/>
  <c r="F294" i="23"/>
  <c r="F290" i="23"/>
  <c r="F286" i="23"/>
  <c r="F282" i="23"/>
  <c r="F278" i="23"/>
  <c r="F274" i="23"/>
  <c r="F270" i="23"/>
  <c r="F266" i="23"/>
  <c r="F262" i="23"/>
  <c r="F258" i="23"/>
  <c r="F254" i="23"/>
  <c r="F250" i="23"/>
  <c r="F246" i="23"/>
  <c r="F242" i="23"/>
  <c r="F238" i="23"/>
  <c r="F234" i="23"/>
  <c r="F230" i="23"/>
  <c r="F226" i="23"/>
  <c r="F222" i="23"/>
  <c r="F218" i="23"/>
  <c r="F214" i="23"/>
  <c r="F210" i="23"/>
  <c r="F206" i="23"/>
  <c r="F202" i="23"/>
  <c r="F198" i="23"/>
  <c r="F194" i="23"/>
  <c r="F190" i="23"/>
  <c r="F186" i="23"/>
  <c r="F182" i="23"/>
  <c r="F178" i="23"/>
  <c r="F174" i="23"/>
  <c r="F170" i="23"/>
  <c r="F166" i="23"/>
  <c r="F162" i="23"/>
  <c r="F158" i="23"/>
  <c r="F356" i="23"/>
  <c r="F612" i="23"/>
  <c r="F563" i="23"/>
  <c r="F499" i="23"/>
  <c r="F451" i="23"/>
  <c r="F343" i="23"/>
  <c r="F327" i="23"/>
  <c r="F307" i="23"/>
  <c r="F283" i="23"/>
  <c r="F267" i="23"/>
  <c r="F243" i="23"/>
  <c r="F223" i="23"/>
  <c r="F203" i="23"/>
  <c r="F179" i="23"/>
  <c r="F159" i="23"/>
  <c r="F1029" i="23"/>
  <c r="F839" i="23"/>
  <c r="F591" i="23"/>
  <c r="F573" i="23"/>
  <c r="F399" i="23"/>
  <c r="F391" i="23"/>
  <c r="F383" i="23"/>
  <c r="F375" i="23"/>
  <c r="F367" i="23"/>
  <c r="F353" i="23"/>
  <c r="F347" i="23"/>
  <c r="F340" i="23"/>
  <c r="F337" i="23"/>
  <c r="F804" i="23"/>
  <c r="F435" i="23"/>
  <c r="F349" i="23"/>
  <c r="F315" i="23"/>
  <c r="F291" i="23"/>
  <c r="F259" i="23"/>
  <c r="F239" i="23"/>
  <c r="F215" i="23"/>
  <c r="F191" i="23"/>
  <c r="F167" i="23"/>
  <c r="F772" i="23"/>
  <c r="F708" i="23"/>
  <c r="F644" i="23"/>
  <c r="F555" i="23"/>
  <c r="F539" i="23"/>
  <c r="F523" i="23"/>
  <c r="F507" i="23"/>
  <c r="F491" i="23"/>
  <c r="F475" i="23"/>
  <c r="F459" i="23"/>
  <c r="F443" i="23"/>
  <c r="F427" i="23"/>
  <c r="F411" i="23"/>
  <c r="F359" i="23"/>
  <c r="F352" i="23"/>
  <c r="F333" i="23"/>
  <c r="F329" i="23"/>
  <c r="F325" i="23"/>
  <c r="F321" i="23"/>
  <c r="F317" i="23"/>
  <c r="F313" i="23"/>
  <c r="F309" i="23"/>
  <c r="F305" i="23"/>
  <c r="F301" i="23"/>
  <c r="F297" i="23"/>
  <c r="F293" i="23"/>
  <c r="F289" i="23"/>
  <c r="F285" i="23"/>
  <c r="F281" i="23"/>
  <c r="F277" i="23"/>
  <c r="F273" i="23"/>
  <c r="F269" i="23"/>
  <c r="F265" i="23"/>
  <c r="F261" i="23"/>
  <c r="F257" i="23"/>
  <c r="F253" i="23"/>
  <c r="F249" i="23"/>
  <c r="F245" i="23"/>
  <c r="F241" i="23"/>
  <c r="F237" i="23"/>
  <c r="F233" i="23"/>
  <c r="F229" i="23"/>
  <c r="F225" i="23"/>
  <c r="F221" i="23"/>
  <c r="F217" i="23"/>
  <c r="F213" i="23"/>
  <c r="F209" i="23"/>
  <c r="F205" i="23"/>
  <c r="F201" i="23"/>
  <c r="F197" i="23"/>
  <c r="F193" i="23"/>
  <c r="F189" i="23"/>
  <c r="F185" i="23"/>
  <c r="F181" i="23"/>
  <c r="F177" i="23"/>
  <c r="F173" i="23"/>
  <c r="F169" i="23"/>
  <c r="F165" i="23"/>
  <c r="F161" i="23"/>
  <c r="F363" i="23"/>
  <c r="F740" i="23"/>
  <c r="F515" i="23"/>
  <c r="F403" i="23"/>
  <c r="F319" i="23"/>
  <c r="F295" i="23"/>
  <c r="F263" i="23"/>
  <c r="F235" i="23"/>
  <c r="F207" i="23"/>
  <c r="F175" i="23"/>
  <c r="F965" i="23"/>
  <c r="F821" i="23"/>
  <c r="F397" i="23"/>
  <c r="F389" i="23"/>
  <c r="F381" i="23"/>
  <c r="F373" i="23"/>
  <c r="F365" i="23"/>
  <c r="F345" i="23"/>
  <c r="F339" i="23"/>
  <c r="F901" i="23"/>
  <c r="F582" i="23"/>
  <c r="F395" i="23"/>
  <c r="F379" i="23"/>
  <c r="F371" i="23"/>
  <c r="F676" i="23"/>
  <c r="F531" i="23"/>
  <c r="F467" i="23"/>
  <c r="F336" i="23"/>
  <c r="F311" i="23"/>
  <c r="F287" i="23"/>
  <c r="F271" i="23"/>
  <c r="F251" i="23"/>
  <c r="F231" i="23"/>
  <c r="F211" i="23"/>
  <c r="F187" i="23"/>
  <c r="F756" i="23"/>
  <c r="F692" i="23"/>
  <c r="F628" i="23"/>
  <c r="F586" i="23"/>
  <c r="F568" i="23"/>
  <c r="F551" i="23"/>
  <c r="F535" i="23"/>
  <c r="F519" i="23"/>
  <c r="F503" i="23"/>
  <c r="F487" i="23"/>
  <c r="F471" i="23"/>
  <c r="F455" i="23"/>
  <c r="F439" i="23"/>
  <c r="F423" i="23"/>
  <c r="F407" i="23"/>
  <c r="F357" i="23"/>
  <c r="F351" i="23"/>
  <c r="F344" i="23"/>
  <c r="F332" i="23"/>
  <c r="F328" i="23"/>
  <c r="F324" i="23"/>
  <c r="F320" i="23"/>
  <c r="F316" i="23"/>
  <c r="F312" i="23"/>
  <c r="F308" i="23"/>
  <c r="F304" i="23"/>
  <c r="F300" i="23"/>
  <c r="F296" i="23"/>
  <c r="F292" i="23"/>
  <c r="F288" i="23"/>
  <c r="F284" i="23"/>
  <c r="F280" i="23"/>
  <c r="F276" i="23"/>
  <c r="F272" i="23"/>
  <c r="F268" i="23"/>
  <c r="F264" i="23"/>
  <c r="F260" i="23"/>
  <c r="F256" i="23"/>
  <c r="F252" i="23"/>
  <c r="F248" i="23"/>
  <c r="F244" i="23"/>
  <c r="F240" i="23"/>
  <c r="F236" i="23"/>
  <c r="F232" i="23"/>
  <c r="F228" i="23"/>
  <c r="F224" i="23"/>
  <c r="F220" i="23"/>
  <c r="F216" i="23"/>
  <c r="F212" i="23"/>
  <c r="F208" i="23"/>
  <c r="F204" i="23"/>
  <c r="F200" i="23"/>
  <c r="F196" i="23"/>
  <c r="F192" i="23"/>
  <c r="F188" i="23"/>
  <c r="F184" i="23"/>
  <c r="F180" i="23"/>
  <c r="F176" i="23"/>
  <c r="F172" i="23"/>
  <c r="F168" i="23"/>
  <c r="F164" i="23"/>
  <c r="F160" i="23"/>
  <c r="F387" i="23"/>
  <c r="F547" i="23"/>
  <c r="F419" i="23"/>
  <c r="F331" i="23"/>
  <c r="F303" i="23"/>
  <c r="F279" i="23"/>
  <c r="F255" i="23"/>
  <c r="F227" i="23"/>
  <c r="F195" i="23"/>
  <c r="F171" i="23"/>
  <c r="D6" i="23" l="1"/>
  <c r="C6" i="23"/>
  <c r="B14" i="14" l="1"/>
  <c r="B12" i="14"/>
  <c r="B19" i="14" s="1"/>
  <c r="B13" i="14"/>
  <c r="B11" i="14"/>
  <c r="B10" i="14"/>
  <c r="B18" i="14" s="1"/>
  <c r="B9" i="14"/>
  <c r="B8" i="14"/>
  <c r="C7" i="23" l="1"/>
  <c r="C10" i="23" l="1"/>
  <c r="C9" i="23"/>
  <c r="C12" i="23"/>
  <c r="C11" i="23"/>
  <c r="C13" i="23"/>
  <c r="C17" i="23"/>
  <c r="C21" i="23"/>
  <c r="C25" i="23"/>
  <c r="C29" i="23"/>
  <c r="C33" i="23"/>
  <c r="C37" i="23"/>
  <c r="C41" i="23"/>
  <c r="C45" i="23"/>
  <c r="C49" i="23"/>
  <c r="C53" i="23"/>
  <c r="C57" i="23"/>
  <c r="C61" i="23"/>
  <c r="C65" i="23"/>
  <c r="C69" i="23"/>
  <c r="C73" i="23"/>
  <c r="C77" i="23"/>
  <c r="C81" i="23"/>
  <c r="C85" i="23"/>
  <c r="C89" i="23"/>
  <c r="C93" i="23"/>
  <c r="C97" i="23"/>
  <c r="C101" i="23"/>
  <c r="C105" i="23"/>
  <c r="C109" i="23"/>
  <c r="C113" i="23"/>
  <c r="C117" i="23"/>
  <c r="C121" i="23"/>
  <c r="C125" i="23"/>
  <c r="C129" i="23"/>
  <c r="C133" i="23"/>
  <c r="C137" i="23"/>
  <c r="C141" i="23"/>
  <c r="C145" i="23"/>
  <c r="C149" i="23"/>
  <c r="C153" i="23"/>
  <c r="C157" i="23"/>
  <c r="C161" i="23"/>
  <c r="C165" i="23"/>
  <c r="C169" i="23"/>
  <c r="C173" i="23"/>
  <c r="C177" i="23"/>
  <c r="C181" i="23"/>
  <c r="C185" i="23"/>
  <c r="C189" i="23"/>
  <c r="C193" i="23"/>
  <c r="C197" i="23"/>
  <c r="C201" i="23"/>
  <c r="C205" i="23"/>
  <c r="C209" i="23"/>
  <c r="C213" i="23"/>
  <c r="C217" i="23"/>
  <c r="C221" i="23"/>
  <c r="C225" i="23"/>
  <c r="C229" i="23"/>
  <c r="C233" i="23"/>
  <c r="C237" i="23"/>
  <c r="C241" i="23"/>
  <c r="C245" i="23"/>
  <c r="C249" i="23"/>
  <c r="C253" i="23"/>
  <c r="C257" i="23"/>
  <c r="C261" i="23"/>
  <c r="C265" i="23"/>
  <c r="C269" i="23"/>
  <c r="C273" i="23"/>
  <c r="C277" i="23"/>
  <c r="C281" i="23"/>
  <c r="C285" i="23"/>
  <c r="C289" i="23"/>
  <c r="C293" i="23"/>
  <c r="C297" i="23"/>
  <c r="C301" i="23"/>
  <c r="C305" i="23"/>
  <c r="C309" i="23"/>
  <c r="C313" i="23"/>
  <c r="C317" i="23"/>
  <c r="C321" i="23"/>
  <c r="C325" i="23"/>
  <c r="C329" i="23"/>
  <c r="C333" i="23"/>
  <c r="C337" i="23"/>
  <c r="C341" i="23"/>
  <c r="C15" i="23"/>
  <c r="C19" i="23"/>
  <c r="C23" i="23"/>
  <c r="C27" i="23"/>
  <c r="C31" i="23"/>
  <c r="C35" i="23"/>
  <c r="C39" i="23"/>
  <c r="C43" i="23"/>
  <c r="C47" i="23"/>
  <c r="C51" i="23"/>
  <c r="C55" i="23"/>
  <c r="C59" i="23"/>
  <c r="C63" i="23"/>
  <c r="C67" i="23"/>
  <c r="C71" i="23"/>
  <c r="C75" i="23"/>
  <c r="C79" i="23"/>
  <c r="C83" i="23"/>
  <c r="C87" i="23"/>
  <c r="C91" i="23"/>
  <c r="C95" i="23"/>
  <c r="C99" i="23"/>
  <c r="C103" i="23"/>
  <c r="C107" i="23"/>
  <c r="C111" i="23"/>
  <c r="C115" i="23"/>
  <c r="C119" i="23"/>
  <c r="C123" i="23"/>
  <c r="C127" i="23"/>
  <c r="C131" i="23"/>
  <c r="C135" i="23"/>
  <c r="C139" i="23"/>
  <c r="C143" i="23"/>
  <c r="C147" i="23"/>
  <c r="C151" i="23"/>
  <c r="C155" i="23"/>
  <c r="C159" i="23"/>
  <c r="C163" i="23"/>
  <c r="C167" i="23"/>
  <c r="C171" i="23"/>
  <c r="C175" i="23"/>
  <c r="C179" i="23"/>
  <c r="C183" i="23"/>
  <c r="C187" i="23"/>
  <c r="C191" i="23"/>
  <c r="C195" i="23"/>
  <c r="C199" i="23"/>
  <c r="C203" i="23"/>
  <c r="C207" i="23"/>
  <c r="C211" i="23"/>
  <c r="C215" i="23"/>
  <c r="C219" i="23"/>
  <c r="C223" i="23"/>
  <c r="C227" i="23"/>
  <c r="C231" i="23"/>
  <c r="C235" i="23"/>
  <c r="C239" i="23"/>
  <c r="C243" i="23"/>
  <c r="C247" i="23"/>
  <c r="C251" i="23"/>
  <c r="C255" i="23"/>
  <c r="C259" i="23"/>
  <c r="C263" i="23"/>
  <c r="C267" i="23"/>
  <c r="C271" i="23"/>
  <c r="C275" i="23"/>
  <c r="C279" i="23"/>
  <c r="C283" i="23"/>
  <c r="C287" i="23"/>
  <c r="C291" i="23"/>
  <c r="C295" i="23"/>
  <c r="C299" i="23"/>
  <c r="C303" i="23"/>
  <c r="C307" i="23"/>
  <c r="C311" i="23"/>
  <c r="C315" i="23"/>
  <c r="C16" i="23"/>
  <c r="C20" i="23"/>
  <c r="C24" i="23"/>
  <c r="C28" i="23"/>
  <c r="C32" i="23"/>
  <c r="C36" i="23"/>
  <c r="C40" i="23"/>
  <c r="C44" i="23"/>
  <c r="C48" i="23"/>
  <c r="C52" i="23"/>
  <c r="C56" i="23"/>
  <c r="C60" i="23"/>
  <c r="C64" i="23"/>
  <c r="C68" i="23"/>
  <c r="C72" i="23"/>
  <c r="C76" i="23"/>
  <c r="C80" i="23"/>
  <c r="C84" i="23"/>
  <c r="C88" i="23"/>
  <c r="C92" i="23"/>
  <c r="C96" i="23"/>
  <c r="C100" i="23"/>
  <c r="C104" i="23"/>
  <c r="C108" i="23"/>
  <c r="C112" i="23"/>
  <c r="C116" i="23"/>
  <c r="C120" i="23"/>
  <c r="C124" i="23"/>
  <c r="C128" i="23"/>
  <c r="C132" i="23"/>
  <c r="C136" i="23"/>
  <c r="C140" i="23"/>
  <c r="C144" i="23"/>
  <c r="C148" i="23"/>
  <c r="C152" i="23"/>
  <c r="C156" i="23"/>
  <c r="C160" i="23"/>
  <c r="C164" i="23"/>
  <c r="C168" i="23"/>
  <c r="C172" i="23"/>
  <c r="C176" i="23"/>
  <c r="C180" i="23"/>
  <c r="C184" i="23"/>
  <c r="C188" i="23"/>
  <c r="C192" i="23"/>
  <c r="C196" i="23"/>
  <c r="C200" i="23"/>
  <c r="C204" i="23"/>
  <c r="C208" i="23"/>
  <c r="C212" i="23"/>
  <c r="C216" i="23"/>
  <c r="C220" i="23"/>
  <c r="C224" i="23"/>
  <c r="C228" i="23"/>
  <c r="C232" i="23"/>
  <c r="C236" i="23"/>
  <c r="C240" i="23"/>
  <c r="C244" i="23"/>
  <c r="C248" i="23"/>
  <c r="C252" i="23"/>
  <c r="C256" i="23"/>
  <c r="C260" i="23"/>
  <c r="C264" i="23"/>
  <c r="C268" i="23"/>
  <c r="C272" i="23"/>
  <c r="C276" i="23"/>
  <c r="C280" i="23"/>
  <c r="C284" i="23"/>
  <c r="C288" i="23"/>
  <c r="C292" i="23"/>
  <c r="C296" i="23"/>
  <c r="C300" i="23"/>
  <c r="C304" i="23"/>
  <c r="C308" i="23"/>
  <c r="C312" i="23"/>
  <c r="C316" i="23"/>
  <c r="C320" i="23"/>
  <c r="C324" i="23"/>
  <c r="C14" i="23"/>
  <c r="C30" i="23"/>
  <c r="C46" i="23"/>
  <c r="C62" i="23"/>
  <c r="C78" i="23"/>
  <c r="C94" i="23"/>
  <c r="C110" i="23"/>
  <c r="C126" i="23"/>
  <c r="C142" i="23"/>
  <c r="C158" i="23"/>
  <c r="C174" i="23"/>
  <c r="C190" i="23"/>
  <c r="C206" i="23"/>
  <c r="C222" i="23"/>
  <c r="C238" i="23"/>
  <c r="C254" i="23"/>
  <c r="C270" i="23"/>
  <c r="C286" i="23"/>
  <c r="C328" i="23"/>
  <c r="C335" i="23"/>
  <c r="C351" i="23"/>
  <c r="C355" i="23"/>
  <c r="C359" i="23"/>
  <c r="C363" i="23"/>
  <c r="C367" i="23"/>
  <c r="C371" i="23"/>
  <c r="C375" i="23"/>
  <c r="C379" i="23"/>
  <c r="C383" i="23"/>
  <c r="C387" i="23"/>
  <c r="C391" i="23"/>
  <c r="C395" i="23"/>
  <c r="C399" i="23"/>
  <c r="C403" i="23"/>
  <c r="C407" i="23"/>
  <c r="C411" i="23"/>
  <c r="C415" i="23"/>
  <c r="C419" i="23"/>
  <c r="C423" i="23"/>
  <c r="C427" i="23"/>
  <c r="C431" i="23"/>
  <c r="C435" i="23"/>
  <c r="C439" i="23"/>
  <c r="C443" i="23"/>
  <c r="C447" i="23"/>
  <c r="C451" i="23"/>
  <c r="C455" i="23"/>
  <c r="C459" i="23"/>
  <c r="C463" i="23"/>
  <c r="C467" i="23"/>
  <c r="C471" i="23"/>
  <c r="C475" i="23"/>
  <c r="C479" i="23"/>
  <c r="C483" i="23"/>
  <c r="C487" i="23"/>
  <c r="C491" i="23"/>
  <c r="C495" i="23"/>
  <c r="C499" i="23"/>
  <c r="C503" i="23"/>
  <c r="C507" i="23"/>
  <c r="C511" i="23"/>
  <c r="C515" i="23"/>
  <c r="C519" i="23"/>
  <c r="C523" i="23"/>
  <c r="C527" i="23"/>
  <c r="C531" i="23"/>
  <c r="C535" i="23"/>
  <c r="C539" i="23"/>
  <c r="C543" i="23"/>
  <c r="C547" i="23"/>
  <c r="C551" i="23"/>
  <c r="C555" i="23"/>
  <c r="C559" i="23"/>
  <c r="C563" i="23"/>
  <c r="C567" i="23"/>
  <c r="C571" i="23"/>
  <c r="C575" i="23"/>
  <c r="C579" i="23"/>
  <c r="C583" i="23"/>
  <c r="C587" i="23"/>
  <c r="C302" i="23"/>
  <c r="C322" i="23"/>
  <c r="C342" i="23"/>
  <c r="C347" i="23"/>
  <c r="C18" i="23"/>
  <c r="C34" i="23"/>
  <c r="C50" i="23"/>
  <c r="C66" i="23"/>
  <c r="C82" i="23"/>
  <c r="C98" i="23"/>
  <c r="C114" i="23"/>
  <c r="C130" i="23"/>
  <c r="C146" i="23"/>
  <c r="C162" i="23"/>
  <c r="C178" i="23"/>
  <c r="C194" i="23"/>
  <c r="C210" i="23"/>
  <c r="C226" i="23"/>
  <c r="C242" i="23"/>
  <c r="C258" i="23"/>
  <c r="C274" i="23"/>
  <c r="C290" i="23"/>
  <c r="C314" i="23"/>
  <c r="C323" i="23"/>
  <c r="C330" i="23"/>
  <c r="C336" i="23"/>
  <c r="C343" i="23"/>
  <c r="C352" i="23"/>
  <c r="C356" i="23"/>
  <c r="C360" i="23"/>
  <c r="C364" i="23"/>
  <c r="C368" i="23"/>
  <c r="C372" i="23"/>
  <c r="C376" i="23"/>
  <c r="C380" i="23"/>
  <c r="C384" i="23"/>
  <c r="C388" i="23"/>
  <c r="C392" i="23"/>
  <c r="C396" i="23"/>
  <c r="C400" i="23"/>
  <c r="C404" i="23"/>
  <c r="C408" i="23"/>
  <c r="C412" i="23"/>
  <c r="C416" i="23"/>
  <c r="C420" i="23"/>
  <c r="C424" i="23"/>
  <c r="C428" i="23"/>
  <c r="C432" i="23"/>
  <c r="C436" i="23"/>
  <c r="C440" i="23"/>
  <c r="C444" i="23"/>
  <c r="C448" i="23"/>
  <c r="C452" i="23"/>
  <c r="C456" i="23"/>
  <c r="C460" i="23"/>
  <c r="C464" i="23"/>
  <c r="C468" i="23"/>
  <c r="C472" i="23"/>
  <c r="C476" i="23"/>
  <c r="C480" i="23"/>
  <c r="C484" i="23"/>
  <c r="C488" i="23"/>
  <c r="C492" i="23"/>
  <c r="C496" i="23"/>
  <c r="C500" i="23"/>
  <c r="C504" i="23"/>
  <c r="C508" i="23"/>
  <c r="C512" i="23"/>
  <c r="C516" i="23"/>
  <c r="C520" i="23"/>
  <c r="C524" i="23"/>
  <c r="C528" i="23"/>
  <c r="C532" i="23"/>
  <c r="C536" i="23"/>
  <c r="C540" i="23"/>
  <c r="C544" i="23"/>
  <c r="C548" i="23"/>
  <c r="C552" i="23"/>
  <c r="C556" i="23"/>
  <c r="C560" i="23"/>
  <c r="C564" i="23"/>
  <c r="C568" i="23"/>
  <c r="C331" i="23"/>
  <c r="C348" i="23"/>
  <c r="C22" i="23"/>
  <c r="C38" i="23"/>
  <c r="C54" i="23"/>
  <c r="C70" i="23"/>
  <c r="C86" i="23"/>
  <c r="C102" i="23"/>
  <c r="C118" i="23"/>
  <c r="C134" i="23"/>
  <c r="C150" i="23"/>
  <c r="C166" i="23"/>
  <c r="C182" i="23"/>
  <c r="C198" i="23"/>
  <c r="C214" i="23"/>
  <c r="C230" i="23"/>
  <c r="C246" i="23"/>
  <c r="C262" i="23"/>
  <c r="C278" i="23"/>
  <c r="C294" i="23"/>
  <c r="C306" i="23"/>
  <c r="C338" i="23"/>
  <c r="C344" i="23"/>
  <c r="C353" i="23"/>
  <c r="C357" i="23"/>
  <c r="C361" i="23"/>
  <c r="C365" i="23"/>
  <c r="C369" i="23"/>
  <c r="C373" i="23"/>
  <c r="C377" i="23"/>
  <c r="C381" i="23"/>
  <c r="C385" i="23"/>
  <c r="C389" i="23"/>
  <c r="C393" i="23"/>
  <c r="C397" i="23"/>
  <c r="C401" i="23"/>
  <c r="C405" i="23"/>
  <c r="C409" i="23"/>
  <c r="C413" i="23"/>
  <c r="C417" i="23"/>
  <c r="C421" i="23"/>
  <c r="C425" i="23"/>
  <c r="C429" i="23"/>
  <c r="C433" i="23"/>
  <c r="C437" i="23"/>
  <c r="C441" i="23"/>
  <c r="C445" i="23"/>
  <c r="C449" i="23"/>
  <c r="C453" i="23"/>
  <c r="C457" i="23"/>
  <c r="C461" i="23"/>
  <c r="C465" i="23"/>
  <c r="C469" i="23"/>
  <c r="C473" i="23"/>
  <c r="C477" i="23"/>
  <c r="C481" i="23"/>
  <c r="C485" i="23"/>
  <c r="C489" i="23"/>
  <c r="C493" i="23"/>
  <c r="C497" i="23"/>
  <c r="C501" i="23"/>
  <c r="C505" i="23"/>
  <c r="C509" i="23"/>
  <c r="C513" i="23"/>
  <c r="C517" i="23"/>
  <c r="C521" i="23"/>
  <c r="C525" i="23"/>
  <c r="C529" i="23"/>
  <c r="C533" i="23"/>
  <c r="C537" i="23"/>
  <c r="C541" i="23"/>
  <c r="C545" i="23"/>
  <c r="C549" i="23"/>
  <c r="C553" i="23"/>
  <c r="C557" i="23"/>
  <c r="C561" i="23"/>
  <c r="C565" i="23"/>
  <c r="C569" i="23"/>
  <c r="C573" i="23"/>
  <c r="C577" i="23"/>
  <c r="C581" i="23"/>
  <c r="C585" i="23"/>
  <c r="C318" i="23"/>
  <c r="C326" i="23"/>
  <c r="C332" i="23"/>
  <c r="C339" i="23"/>
  <c r="C349" i="23"/>
  <c r="C26" i="23"/>
  <c r="C90" i="23"/>
  <c r="C154" i="23"/>
  <c r="C218" i="23"/>
  <c r="C282" i="23"/>
  <c r="C327" i="23"/>
  <c r="C350" i="23"/>
  <c r="C366" i="23"/>
  <c r="C382" i="23"/>
  <c r="C398" i="23"/>
  <c r="C414" i="23"/>
  <c r="C430" i="23"/>
  <c r="C446" i="23"/>
  <c r="C462" i="23"/>
  <c r="C478" i="23"/>
  <c r="C494" i="23"/>
  <c r="C510" i="23"/>
  <c r="C526" i="23"/>
  <c r="C542" i="23"/>
  <c r="C558" i="23"/>
  <c r="C572" i="23"/>
  <c r="C595" i="23"/>
  <c r="C599" i="23"/>
  <c r="C603" i="23"/>
  <c r="C607" i="23"/>
  <c r="C611" i="23"/>
  <c r="C615" i="23"/>
  <c r="C619" i="23"/>
  <c r="C623" i="23"/>
  <c r="C627" i="23"/>
  <c r="C631" i="23"/>
  <c r="C635" i="23"/>
  <c r="C639" i="23"/>
  <c r="C643" i="23"/>
  <c r="C647" i="23"/>
  <c r="C651" i="23"/>
  <c r="C655" i="23"/>
  <c r="C659" i="23"/>
  <c r="C663" i="23"/>
  <c r="C667" i="23"/>
  <c r="C671" i="23"/>
  <c r="C675" i="23"/>
  <c r="C679" i="23"/>
  <c r="C683" i="23"/>
  <c r="C687" i="23"/>
  <c r="C691" i="23"/>
  <c r="C695" i="23"/>
  <c r="C699" i="23"/>
  <c r="C703" i="23"/>
  <c r="C707" i="23"/>
  <c r="C711" i="23"/>
  <c r="C715" i="23"/>
  <c r="C719" i="23"/>
  <c r="C723" i="23"/>
  <c r="C727" i="23"/>
  <c r="C731" i="23"/>
  <c r="C735" i="23"/>
  <c r="C739" i="23"/>
  <c r="C743" i="23"/>
  <c r="C747" i="23"/>
  <c r="C751" i="23"/>
  <c r="C755" i="23"/>
  <c r="C759" i="23"/>
  <c r="C763" i="23"/>
  <c r="C767" i="23"/>
  <c r="C771" i="23"/>
  <c r="C775" i="23"/>
  <c r="C779" i="23"/>
  <c r="C783" i="23"/>
  <c r="C787" i="23"/>
  <c r="C791" i="23"/>
  <c r="C795" i="23"/>
  <c r="C799" i="23"/>
  <c r="C803" i="23"/>
  <c r="C807" i="23"/>
  <c r="C811" i="23"/>
  <c r="C815" i="23"/>
  <c r="C819" i="23"/>
  <c r="C823" i="23"/>
  <c r="C827" i="23"/>
  <c r="C831" i="23"/>
  <c r="C835" i="23"/>
  <c r="C839" i="23"/>
  <c r="C843" i="23"/>
  <c r="C847" i="23"/>
  <c r="C851" i="23"/>
  <c r="C855" i="23"/>
  <c r="C859" i="23"/>
  <c r="C574" i="23"/>
  <c r="C584" i="23"/>
  <c r="C591" i="23"/>
  <c r="C42" i="23"/>
  <c r="C106" i="23"/>
  <c r="C170" i="23"/>
  <c r="C234" i="23"/>
  <c r="C298" i="23"/>
  <c r="C354" i="23"/>
  <c r="C370" i="23"/>
  <c r="C386" i="23"/>
  <c r="C402" i="23"/>
  <c r="C418" i="23"/>
  <c r="C434" i="23"/>
  <c r="C450" i="23"/>
  <c r="C466" i="23"/>
  <c r="C482" i="23"/>
  <c r="C498" i="23"/>
  <c r="C514" i="23"/>
  <c r="C530" i="23"/>
  <c r="C546" i="23"/>
  <c r="C334" i="23"/>
  <c r="C576" i="23"/>
  <c r="C58" i="23"/>
  <c r="C122" i="23"/>
  <c r="C186" i="23"/>
  <c r="C250" i="23"/>
  <c r="C358" i="23"/>
  <c r="C374" i="23"/>
  <c r="C390" i="23"/>
  <c r="C406" i="23"/>
  <c r="C422" i="23"/>
  <c r="C438" i="23"/>
  <c r="C454" i="23"/>
  <c r="C470" i="23"/>
  <c r="C486" i="23"/>
  <c r="C502" i="23"/>
  <c r="C518" i="23"/>
  <c r="C534" i="23"/>
  <c r="C550" i="23"/>
  <c r="C566" i="23"/>
  <c r="C578" i="23"/>
  <c r="C588" i="23"/>
  <c r="C593" i="23"/>
  <c r="C597" i="23"/>
  <c r="C601" i="23"/>
  <c r="C605" i="23"/>
  <c r="C609" i="23"/>
  <c r="C613" i="23"/>
  <c r="C617" i="23"/>
  <c r="C621" i="23"/>
  <c r="C625" i="23"/>
  <c r="C629" i="23"/>
  <c r="C633" i="23"/>
  <c r="C637" i="23"/>
  <c r="C641" i="23"/>
  <c r="C645" i="23"/>
  <c r="C649" i="23"/>
  <c r="C653" i="23"/>
  <c r="C657" i="23"/>
  <c r="C661" i="23"/>
  <c r="C665" i="23"/>
  <c r="C669" i="23"/>
  <c r="C673" i="23"/>
  <c r="C677" i="23"/>
  <c r="C681" i="23"/>
  <c r="C685" i="23"/>
  <c r="C689" i="23"/>
  <c r="C693" i="23"/>
  <c r="C697" i="23"/>
  <c r="C701" i="23"/>
  <c r="C705" i="23"/>
  <c r="C709" i="23"/>
  <c r="C713" i="23"/>
  <c r="C717" i="23"/>
  <c r="C721" i="23"/>
  <c r="C725" i="23"/>
  <c r="C729" i="23"/>
  <c r="C733" i="23"/>
  <c r="C737" i="23"/>
  <c r="C741" i="23"/>
  <c r="C745" i="23"/>
  <c r="C749" i="23"/>
  <c r="C753" i="23"/>
  <c r="C757" i="23"/>
  <c r="C761" i="23"/>
  <c r="C765" i="23"/>
  <c r="C769" i="23"/>
  <c r="C773" i="23"/>
  <c r="C777" i="23"/>
  <c r="C781" i="23"/>
  <c r="C785" i="23"/>
  <c r="C789" i="23"/>
  <c r="C793" i="23"/>
  <c r="C797" i="23"/>
  <c r="C801" i="23"/>
  <c r="C805" i="23"/>
  <c r="C809" i="23"/>
  <c r="C813" i="23"/>
  <c r="C817" i="23"/>
  <c r="C821" i="23"/>
  <c r="C825" i="23"/>
  <c r="C829" i="23"/>
  <c r="C833" i="23"/>
  <c r="C837" i="23"/>
  <c r="C841" i="23"/>
  <c r="C310" i="23"/>
  <c r="C340" i="23"/>
  <c r="C589" i="23"/>
  <c r="C74" i="23"/>
  <c r="C138" i="23"/>
  <c r="C202" i="23"/>
  <c r="C266" i="23"/>
  <c r="C319" i="23"/>
  <c r="C345" i="23"/>
  <c r="C362" i="23"/>
  <c r="C378" i="23"/>
  <c r="C394" i="23"/>
  <c r="C410" i="23"/>
  <c r="C426" i="23"/>
  <c r="C442" i="23"/>
  <c r="C458" i="23"/>
  <c r="C474" i="23"/>
  <c r="C490" i="23"/>
  <c r="C506" i="23"/>
  <c r="C522" i="23"/>
  <c r="C538" i="23"/>
  <c r="C554" i="23"/>
  <c r="C570" i="23"/>
  <c r="C580" i="23"/>
  <c r="C594" i="23"/>
  <c r="C598" i="23"/>
  <c r="C602" i="23"/>
  <c r="C606" i="23"/>
  <c r="C610" i="23"/>
  <c r="C614" i="23"/>
  <c r="C618" i="23"/>
  <c r="C622" i="23"/>
  <c r="C626" i="23"/>
  <c r="C630" i="23"/>
  <c r="C634" i="23"/>
  <c r="C638" i="23"/>
  <c r="C642" i="23"/>
  <c r="C646" i="23"/>
  <c r="C650" i="23"/>
  <c r="C654" i="23"/>
  <c r="C658" i="23"/>
  <c r="C662" i="23"/>
  <c r="C666" i="23"/>
  <c r="C670" i="23"/>
  <c r="C674" i="23"/>
  <c r="C678" i="23"/>
  <c r="C682" i="23"/>
  <c r="C686" i="23"/>
  <c r="C690" i="23"/>
  <c r="C694" i="23"/>
  <c r="C698" i="23"/>
  <c r="C702" i="23"/>
  <c r="C706" i="23"/>
  <c r="C710" i="23"/>
  <c r="C714" i="23"/>
  <c r="C718" i="23"/>
  <c r="C722" i="23"/>
  <c r="C726" i="23"/>
  <c r="C730" i="23"/>
  <c r="C734" i="23"/>
  <c r="C738" i="23"/>
  <c r="C742" i="23"/>
  <c r="C746" i="23"/>
  <c r="C750" i="23"/>
  <c r="C754" i="23"/>
  <c r="C758" i="23"/>
  <c r="C762" i="23"/>
  <c r="C766" i="23"/>
  <c r="C770" i="23"/>
  <c r="C774" i="23"/>
  <c r="C778" i="23"/>
  <c r="C782" i="23"/>
  <c r="C786" i="23"/>
  <c r="C790" i="23"/>
  <c r="C794" i="23"/>
  <c r="C798" i="23"/>
  <c r="C802" i="23"/>
  <c r="C806" i="23"/>
  <c r="C810" i="23"/>
  <c r="C814" i="23"/>
  <c r="C818" i="23"/>
  <c r="C822" i="23"/>
  <c r="C826" i="23"/>
  <c r="C830" i="23"/>
  <c r="C834" i="23"/>
  <c r="C590" i="23"/>
  <c r="C856" i="23"/>
  <c r="C862" i="23"/>
  <c r="C866" i="23"/>
  <c r="C870" i="23"/>
  <c r="C874" i="23"/>
  <c r="C878" i="23"/>
  <c r="C882" i="23"/>
  <c r="C886" i="23"/>
  <c r="C890" i="23"/>
  <c r="C894" i="23"/>
  <c r="C898" i="23"/>
  <c r="C902" i="23"/>
  <c r="C906" i="23"/>
  <c r="C910" i="23"/>
  <c r="C914" i="23"/>
  <c r="C918" i="23"/>
  <c r="C922" i="23"/>
  <c r="C926" i="23"/>
  <c r="C930" i="23"/>
  <c r="C934" i="23"/>
  <c r="C938" i="23"/>
  <c r="C942" i="23"/>
  <c r="C946" i="23"/>
  <c r="C950" i="23"/>
  <c r="C954" i="23"/>
  <c r="C958" i="23"/>
  <c r="C962" i="23"/>
  <c r="C966" i="23"/>
  <c r="C970" i="23"/>
  <c r="C974" i="23"/>
  <c r="C978" i="23"/>
  <c r="C982" i="23"/>
  <c r="C986" i="23"/>
  <c r="C990" i="23"/>
  <c r="C994" i="23"/>
  <c r="C998" i="23"/>
  <c r="C1002" i="23"/>
  <c r="C1006" i="23"/>
  <c r="C1010" i="23"/>
  <c r="C1014" i="23"/>
  <c r="C1018" i="23"/>
  <c r="C1022" i="23"/>
  <c r="C1026" i="23"/>
  <c r="C1030" i="23"/>
  <c r="C1034" i="23"/>
  <c r="C1038" i="23"/>
  <c r="C1042" i="23"/>
  <c r="C1046" i="23"/>
  <c r="C1050" i="23"/>
  <c r="C1054" i="23"/>
  <c r="C1058" i="23"/>
  <c r="C1062" i="23"/>
  <c r="C1066" i="23"/>
  <c r="C1070" i="23"/>
  <c r="C1074" i="23"/>
  <c r="C1078" i="23"/>
  <c r="C1082" i="23"/>
  <c r="C1086" i="23"/>
  <c r="C1090" i="23"/>
  <c r="C1094" i="23"/>
  <c r="C1098" i="23"/>
  <c r="C1102" i="23"/>
  <c r="C1106" i="23"/>
  <c r="C1110" i="23"/>
  <c r="C592" i="23"/>
  <c r="C608" i="23"/>
  <c r="C624" i="23"/>
  <c r="C640" i="23"/>
  <c r="C656" i="23"/>
  <c r="C672" i="23"/>
  <c r="C688" i="23"/>
  <c r="C704" i="23"/>
  <c r="C720" i="23"/>
  <c r="C736" i="23"/>
  <c r="C752" i="23"/>
  <c r="C768" i="23"/>
  <c r="C784" i="23"/>
  <c r="C800" i="23"/>
  <c r="C816" i="23"/>
  <c r="C832" i="23"/>
  <c r="C844" i="23"/>
  <c r="C850" i="23"/>
  <c r="C857" i="23"/>
  <c r="C845" i="23"/>
  <c r="C863" i="23"/>
  <c r="C867" i="23"/>
  <c r="C871" i="23"/>
  <c r="C875" i="23"/>
  <c r="C879" i="23"/>
  <c r="C883" i="23"/>
  <c r="C887" i="23"/>
  <c r="C891" i="23"/>
  <c r="C895" i="23"/>
  <c r="C899" i="23"/>
  <c r="C903" i="23"/>
  <c r="C907" i="23"/>
  <c r="C911" i="23"/>
  <c r="C915" i="23"/>
  <c r="C919" i="23"/>
  <c r="C923" i="23"/>
  <c r="C927" i="23"/>
  <c r="C931" i="23"/>
  <c r="C935" i="23"/>
  <c r="C939" i="23"/>
  <c r="C943" i="23"/>
  <c r="C947" i="23"/>
  <c r="C951" i="23"/>
  <c r="C955" i="23"/>
  <c r="C959" i="23"/>
  <c r="C963" i="23"/>
  <c r="C967" i="23"/>
  <c r="C971" i="23"/>
  <c r="C975" i="23"/>
  <c r="C979" i="23"/>
  <c r="C983" i="23"/>
  <c r="C987" i="23"/>
  <c r="C991" i="23"/>
  <c r="C995" i="23"/>
  <c r="C999" i="23"/>
  <c r="C1003" i="23"/>
  <c r="C1007" i="23"/>
  <c r="C1011" i="23"/>
  <c r="C1015" i="23"/>
  <c r="C1019" i="23"/>
  <c r="C1023" i="23"/>
  <c r="C1027" i="23"/>
  <c r="C1031" i="23"/>
  <c r="C1035" i="23"/>
  <c r="C1039" i="23"/>
  <c r="C1043" i="23"/>
  <c r="C1047" i="23"/>
  <c r="C1051" i="23"/>
  <c r="C1055" i="23"/>
  <c r="C1059" i="23"/>
  <c r="C1063" i="23"/>
  <c r="C1067" i="23"/>
  <c r="C1071" i="23"/>
  <c r="C1075" i="23"/>
  <c r="C1079" i="23"/>
  <c r="C1083" i="23"/>
  <c r="C1087" i="23"/>
  <c r="C1091" i="23"/>
  <c r="C1095" i="23"/>
  <c r="C1099" i="23"/>
  <c r="C1103" i="23"/>
  <c r="C1107" i="23"/>
  <c r="C1111" i="23"/>
  <c r="C562" i="23"/>
  <c r="C596" i="23"/>
  <c r="C612" i="23"/>
  <c r="C628" i="23"/>
  <c r="C644" i="23"/>
  <c r="C660" i="23"/>
  <c r="C676" i="23"/>
  <c r="C692" i="23"/>
  <c r="C708" i="23"/>
  <c r="C724" i="23"/>
  <c r="C740" i="23"/>
  <c r="C756" i="23"/>
  <c r="C772" i="23"/>
  <c r="C788" i="23"/>
  <c r="C804" i="23"/>
  <c r="C820" i="23"/>
  <c r="C836" i="23"/>
  <c r="C852" i="23"/>
  <c r="C858" i="23"/>
  <c r="C838" i="23"/>
  <c r="C846" i="23"/>
  <c r="C853" i="23"/>
  <c r="C864" i="23"/>
  <c r="C868" i="23"/>
  <c r="C872" i="23"/>
  <c r="C876" i="23"/>
  <c r="C880" i="23"/>
  <c r="C884" i="23"/>
  <c r="C888" i="23"/>
  <c r="C892" i="23"/>
  <c r="C896" i="23"/>
  <c r="C900" i="23"/>
  <c r="C904" i="23"/>
  <c r="C908" i="23"/>
  <c r="C912" i="23"/>
  <c r="C916" i="23"/>
  <c r="C920" i="23"/>
  <c r="C924" i="23"/>
  <c r="C928" i="23"/>
  <c r="C932" i="23"/>
  <c r="C936" i="23"/>
  <c r="C940" i="23"/>
  <c r="C944" i="23"/>
  <c r="C948" i="23"/>
  <c r="C952" i="23"/>
  <c r="C956" i="23"/>
  <c r="C960" i="23"/>
  <c r="C964" i="23"/>
  <c r="C968" i="23"/>
  <c r="C972" i="23"/>
  <c r="C976" i="23"/>
  <c r="C980" i="23"/>
  <c r="C984" i="23"/>
  <c r="C988" i="23"/>
  <c r="C992" i="23"/>
  <c r="C996" i="23"/>
  <c r="C1000" i="23"/>
  <c r="C1004" i="23"/>
  <c r="C1008" i="23"/>
  <c r="C1012" i="23"/>
  <c r="C1016" i="23"/>
  <c r="C1020" i="23"/>
  <c r="C1024" i="23"/>
  <c r="C1028" i="23"/>
  <c r="C1032" i="23"/>
  <c r="C1036" i="23"/>
  <c r="C1040" i="23"/>
  <c r="C1044" i="23"/>
  <c r="C1048" i="23"/>
  <c r="C1052" i="23"/>
  <c r="C1056" i="23"/>
  <c r="C1060" i="23"/>
  <c r="C1064" i="23"/>
  <c r="C1068" i="23"/>
  <c r="C1072" i="23"/>
  <c r="C1076" i="23"/>
  <c r="C1080" i="23"/>
  <c r="C1084" i="23"/>
  <c r="C1088" i="23"/>
  <c r="C1092" i="23"/>
  <c r="C1096" i="23"/>
  <c r="C1100" i="23"/>
  <c r="C1104" i="23"/>
  <c r="C1108" i="23"/>
  <c r="C1112" i="23"/>
  <c r="C1116" i="23"/>
  <c r="C346" i="23"/>
  <c r="C600" i="23"/>
  <c r="C616" i="23"/>
  <c r="C632" i="23"/>
  <c r="C648" i="23"/>
  <c r="C664" i="23"/>
  <c r="C680" i="23"/>
  <c r="C696" i="23"/>
  <c r="C712" i="23"/>
  <c r="C728" i="23"/>
  <c r="C744" i="23"/>
  <c r="C760" i="23"/>
  <c r="C776" i="23"/>
  <c r="C792" i="23"/>
  <c r="C808" i="23"/>
  <c r="C824" i="23"/>
  <c r="C860" i="23"/>
  <c r="C582" i="23"/>
  <c r="C840" i="23"/>
  <c r="C848" i="23"/>
  <c r="C854" i="23"/>
  <c r="C861" i="23"/>
  <c r="C865" i="23"/>
  <c r="C869" i="23"/>
  <c r="C873" i="23"/>
  <c r="C877" i="23"/>
  <c r="C881" i="23"/>
  <c r="C885" i="23"/>
  <c r="C889" i="23"/>
  <c r="C893" i="23"/>
  <c r="C897" i="23"/>
  <c r="C901" i="23"/>
  <c r="C905" i="23"/>
  <c r="C909" i="23"/>
  <c r="C913" i="23"/>
  <c r="C917" i="23"/>
  <c r="C921" i="23"/>
  <c r="C925" i="23"/>
  <c r="C929" i="23"/>
  <c r="C933" i="23"/>
  <c r="C937" i="23"/>
  <c r="C941" i="23"/>
  <c r="C945" i="23"/>
  <c r="C949" i="23"/>
  <c r="C953" i="23"/>
  <c r="C957" i="23"/>
  <c r="C961" i="23"/>
  <c r="C965" i="23"/>
  <c r="C969" i="23"/>
  <c r="C973" i="23"/>
  <c r="C977" i="23"/>
  <c r="C981" i="23"/>
  <c r="C985" i="23"/>
  <c r="C989" i="23"/>
  <c r="C993" i="23"/>
  <c r="C997" i="23"/>
  <c r="C1001" i="23"/>
  <c r="C1005" i="23"/>
  <c r="C1009" i="23"/>
  <c r="C1013" i="23"/>
  <c r="C1017" i="23"/>
  <c r="C1021" i="23"/>
  <c r="C1025" i="23"/>
  <c r="C1029" i="23"/>
  <c r="C1033" i="23"/>
  <c r="C1037" i="23"/>
  <c r="C1041" i="23"/>
  <c r="C1045" i="23"/>
  <c r="C1049" i="23"/>
  <c r="C1053" i="23"/>
  <c r="C1057" i="23"/>
  <c r="C1061" i="23"/>
  <c r="C1065" i="23"/>
  <c r="C1069" i="23"/>
  <c r="C1073" i="23"/>
  <c r="C1077" i="23"/>
  <c r="C1081" i="23"/>
  <c r="C1085" i="23"/>
  <c r="C1089" i="23"/>
  <c r="C1093" i="23"/>
  <c r="C1097" i="23"/>
  <c r="C1101" i="23"/>
  <c r="C1105" i="23"/>
  <c r="C1109" i="23"/>
  <c r="C1113" i="23"/>
  <c r="C684" i="23"/>
  <c r="C812" i="23"/>
  <c r="C1290" i="23"/>
  <c r="C1334" i="23"/>
  <c r="C1346" i="23"/>
  <c r="C1354" i="23"/>
  <c r="C1362" i="23"/>
  <c r="C1370" i="23"/>
  <c r="C1378" i="23"/>
  <c r="C1386" i="23"/>
  <c r="C1390" i="23"/>
  <c r="C1398" i="23"/>
  <c r="C1402" i="23"/>
  <c r="C700" i="23"/>
  <c r="C828" i="23"/>
  <c r="C1118" i="23"/>
  <c r="C1122" i="23"/>
  <c r="C1126" i="23"/>
  <c r="C1130" i="23"/>
  <c r="C1134" i="23"/>
  <c r="C1138" i="23"/>
  <c r="C1142" i="23"/>
  <c r="C1146" i="23"/>
  <c r="C1150" i="23"/>
  <c r="C1154" i="23"/>
  <c r="C1158" i="23"/>
  <c r="C1162" i="23"/>
  <c r="C1166" i="23"/>
  <c r="C1170" i="23"/>
  <c r="C1174" i="23"/>
  <c r="C1178" i="23"/>
  <c r="C1182" i="23"/>
  <c r="C1186" i="23"/>
  <c r="C1190" i="23"/>
  <c r="C1194" i="23"/>
  <c r="C1198" i="23"/>
  <c r="C1202" i="23"/>
  <c r="C1206" i="23"/>
  <c r="C1210" i="23"/>
  <c r="C1214" i="23"/>
  <c r="C1218" i="23"/>
  <c r="C1222" i="23"/>
  <c r="C1226" i="23"/>
  <c r="C1230" i="23"/>
  <c r="C1234" i="23"/>
  <c r="C1238" i="23"/>
  <c r="C1242" i="23"/>
  <c r="C1246" i="23"/>
  <c r="C1250" i="23"/>
  <c r="C1254" i="23"/>
  <c r="C1258" i="23"/>
  <c r="C1262" i="23"/>
  <c r="C1266" i="23"/>
  <c r="C1270" i="23"/>
  <c r="C1274" i="23"/>
  <c r="C1278" i="23"/>
  <c r="C1282" i="23"/>
  <c r="C1286" i="23"/>
  <c r="C1294" i="23"/>
  <c r="C1298" i="23"/>
  <c r="C1302" i="23"/>
  <c r="C1306" i="23"/>
  <c r="C1310" i="23"/>
  <c r="C1314" i="23"/>
  <c r="C1318" i="23"/>
  <c r="C1322" i="23"/>
  <c r="C1326" i="23"/>
  <c r="C1330" i="23"/>
  <c r="C1338" i="23"/>
  <c r="C1342" i="23"/>
  <c r="C1350" i="23"/>
  <c r="C1358" i="23"/>
  <c r="C1366" i="23"/>
  <c r="C1374" i="23"/>
  <c r="C1382" i="23"/>
  <c r="C1394" i="23"/>
  <c r="C1406" i="23"/>
  <c r="C586" i="23"/>
  <c r="C716" i="23"/>
  <c r="C842" i="23"/>
  <c r="C604" i="23"/>
  <c r="C732" i="23"/>
  <c r="C849" i="23"/>
  <c r="C1119" i="23"/>
  <c r="C1123" i="23"/>
  <c r="C1127" i="23"/>
  <c r="C1131" i="23"/>
  <c r="C1135" i="23"/>
  <c r="C1139" i="23"/>
  <c r="C1143" i="23"/>
  <c r="C1147" i="23"/>
  <c r="C1151" i="23"/>
  <c r="C1155" i="23"/>
  <c r="C1159" i="23"/>
  <c r="C1163" i="23"/>
  <c r="C1167" i="23"/>
  <c r="C1171" i="23"/>
  <c r="C1175" i="23"/>
  <c r="C1179" i="23"/>
  <c r="C1183" i="23"/>
  <c r="C1187" i="23"/>
  <c r="C1191" i="23"/>
  <c r="C1195" i="23"/>
  <c r="C1199" i="23"/>
  <c r="C1203" i="23"/>
  <c r="C1207" i="23"/>
  <c r="C1211" i="23"/>
  <c r="C1215" i="23"/>
  <c r="C1219" i="23"/>
  <c r="C1223" i="23"/>
  <c r="C1227" i="23"/>
  <c r="C1231" i="23"/>
  <c r="C1235" i="23"/>
  <c r="C1239" i="23"/>
  <c r="C1243" i="23"/>
  <c r="C1247" i="23"/>
  <c r="C1251" i="23"/>
  <c r="C1255" i="23"/>
  <c r="C1259" i="23"/>
  <c r="C1263" i="23"/>
  <c r="C1267" i="23"/>
  <c r="C1271" i="23"/>
  <c r="C1275" i="23"/>
  <c r="C1279" i="23"/>
  <c r="C1283" i="23"/>
  <c r="C1287" i="23"/>
  <c r="C1291" i="23"/>
  <c r="C1295" i="23"/>
  <c r="C1299" i="23"/>
  <c r="C1303" i="23"/>
  <c r="C1307" i="23"/>
  <c r="C1311" i="23"/>
  <c r="C1315" i="23"/>
  <c r="C1319" i="23"/>
  <c r="C1323" i="23"/>
  <c r="C1327" i="23"/>
  <c r="C1331" i="23"/>
  <c r="C1335" i="23"/>
  <c r="C1339" i="23"/>
  <c r="C1343" i="23"/>
  <c r="C1347" i="23"/>
  <c r="C1351" i="23"/>
  <c r="C1355" i="23"/>
  <c r="C1359" i="23"/>
  <c r="C1363" i="23"/>
  <c r="C1367" i="23"/>
  <c r="C1371" i="23"/>
  <c r="C1375" i="23"/>
  <c r="C1379" i="23"/>
  <c r="C1383" i="23"/>
  <c r="C1387" i="23"/>
  <c r="C1391" i="23"/>
  <c r="C1395" i="23"/>
  <c r="C1399" i="23"/>
  <c r="C1403" i="23"/>
  <c r="C1407" i="23"/>
  <c r="C620" i="23"/>
  <c r="C748" i="23"/>
  <c r="C636" i="23"/>
  <c r="C764" i="23"/>
  <c r="C1114" i="23"/>
  <c r="C1120" i="23"/>
  <c r="C1124" i="23"/>
  <c r="C1128" i="23"/>
  <c r="C1132" i="23"/>
  <c r="C1136" i="23"/>
  <c r="C1140" i="23"/>
  <c r="C1144" i="23"/>
  <c r="C1148" i="23"/>
  <c r="C1152" i="23"/>
  <c r="C1156" i="23"/>
  <c r="C1160" i="23"/>
  <c r="C1164" i="23"/>
  <c r="C1168" i="23"/>
  <c r="C1172" i="23"/>
  <c r="C1176" i="23"/>
  <c r="C1180" i="23"/>
  <c r="C1184" i="23"/>
  <c r="C1188" i="23"/>
  <c r="C1192" i="23"/>
  <c r="C1196" i="23"/>
  <c r="C1200" i="23"/>
  <c r="C1204" i="23"/>
  <c r="C1208" i="23"/>
  <c r="C1212" i="23"/>
  <c r="C1216" i="23"/>
  <c r="C1220" i="23"/>
  <c r="C1224" i="23"/>
  <c r="C1228" i="23"/>
  <c r="C1232" i="23"/>
  <c r="C1236" i="23"/>
  <c r="C1240" i="23"/>
  <c r="C1244" i="23"/>
  <c r="C1248" i="23"/>
  <c r="C1252" i="23"/>
  <c r="C1256" i="23"/>
  <c r="C1260" i="23"/>
  <c r="C1264" i="23"/>
  <c r="C1268" i="23"/>
  <c r="C1272" i="23"/>
  <c r="C1276" i="23"/>
  <c r="C1280" i="23"/>
  <c r="C1284" i="23"/>
  <c r="C1288" i="23"/>
  <c r="C1292" i="23"/>
  <c r="C1296" i="23"/>
  <c r="C1300" i="23"/>
  <c r="C1304" i="23"/>
  <c r="C1308" i="23"/>
  <c r="C1312" i="23"/>
  <c r="C1316" i="23"/>
  <c r="C1320" i="23"/>
  <c r="C1324" i="23"/>
  <c r="C1328" i="23"/>
  <c r="C1332" i="23"/>
  <c r="C1336" i="23"/>
  <c r="C1340" i="23"/>
  <c r="C1344" i="23"/>
  <c r="C1348" i="23"/>
  <c r="C1352" i="23"/>
  <c r="C1356" i="23"/>
  <c r="C1360" i="23"/>
  <c r="C1364" i="23"/>
  <c r="C1368" i="23"/>
  <c r="C1372" i="23"/>
  <c r="C1376" i="23"/>
  <c r="C1380" i="23"/>
  <c r="C1384" i="23"/>
  <c r="C1388" i="23"/>
  <c r="C1392" i="23"/>
  <c r="C1396" i="23"/>
  <c r="C1400" i="23"/>
  <c r="C1404" i="23"/>
  <c r="C1408" i="23"/>
  <c r="C652" i="23"/>
  <c r="C780" i="23"/>
  <c r="C1115" i="23"/>
  <c r="C668" i="23"/>
  <c r="C796" i="23"/>
  <c r="C1117" i="23"/>
  <c r="C1149" i="23"/>
  <c r="C1181" i="23"/>
  <c r="C1213" i="23"/>
  <c r="C1245" i="23"/>
  <c r="C1277" i="23"/>
  <c r="C1309" i="23"/>
  <c r="C1341" i="23"/>
  <c r="C1373" i="23"/>
  <c r="C1405" i="23"/>
  <c r="C1121" i="23"/>
  <c r="C1153" i="23"/>
  <c r="C1185" i="23"/>
  <c r="C1217" i="23"/>
  <c r="C1249" i="23"/>
  <c r="C1281" i="23"/>
  <c r="C1313" i="23"/>
  <c r="C1345" i="23"/>
  <c r="C1377" i="23"/>
  <c r="C1137" i="23"/>
  <c r="C1393" i="23"/>
  <c r="C1125" i="23"/>
  <c r="C1157" i="23"/>
  <c r="C1189" i="23"/>
  <c r="C1221" i="23"/>
  <c r="C1253" i="23"/>
  <c r="C1285" i="23"/>
  <c r="C1317" i="23"/>
  <c r="C1349" i="23"/>
  <c r="C1381" i="23"/>
  <c r="C1169" i="23"/>
  <c r="C1265" i="23"/>
  <c r="C1361" i="23"/>
  <c r="C1129" i="23"/>
  <c r="C1161" i="23"/>
  <c r="C1193" i="23"/>
  <c r="C1225" i="23"/>
  <c r="C1257" i="23"/>
  <c r="C1289" i="23"/>
  <c r="C1321" i="23"/>
  <c r="C1353" i="23"/>
  <c r="C1385" i="23"/>
  <c r="C1133" i="23"/>
  <c r="C1165" i="23"/>
  <c r="C1197" i="23"/>
  <c r="C1229" i="23"/>
  <c r="C1261" i="23"/>
  <c r="C1293" i="23"/>
  <c r="C1325" i="23"/>
  <c r="C1357" i="23"/>
  <c r="C1389" i="23"/>
  <c r="C1201" i="23"/>
  <c r="C1329" i="23"/>
  <c r="C1141" i="23"/>
  <c r="C1173" i="23"/>
  <c r="C1205" i="23"/>
  <c r="C1237" i="23"/>
  <c r="C1269" i="23"/>
  <c r="C1301" i="23"/>
  <c r="C1333" i="23"/>
  <c r="C1365" i="23"/>
  <c r="C1397" i="23"/>
  <c r="C1297" i="23"/>
  <c r="C1145" i="23"/>
  <c r="C1177" i="23"/>
  <c r="C1209" i="23"/>
  <c r="C1241" i="23"/>
  <c r="C1273" i="23"/>
  <c r="C1305" i="23"/>
  <c r="C1337" i="23"/>
  <c r="C1369" i="23"/>
  <c r="C1401" i="23"/>
  <c r="C1233" i="23"/>
  <c r="D7" i="23"/>
  <c r="B2" i="23"/>
  <c r="D10" i="23" l="1"/>
  <c r="D9" i="23"/>
  <c r="D11" i="23"/>
  <c r="D12" i="23"/>
  <c r="D13" i="23"/>
  <c r="D17" i="23"/>
  <c r="D21" i="23"/>
  <c r="D25" i="23"/>
  <c r="D29" i="23"/>
  <c r="D33" i="23"/>
  <c r="D37" i="23"/>
  <c r="D41" i="23"/>
  <c r="D45" i="23"/>
  <c r="D49" i="23"/>
  <c r="D53" i="23"/>
  <c r="D57" i="23"/>
  <c r="D61" i="23"/>
  <c r="D65" i="23"/>
  <c r="D69" i="23"/>
  <c r="D73" i="23"/>
  <c r="D77" i="23"/>
  <c r="D81" i="23"/>
  <c r="D85" i="23"/>
  <c r="D89" i="23"/>
  <c r="D93" i="23"/>
  <c r="D97" i="23"/>
  <c r="D101" i="23"/>
  <c r="D105" i="23"/>
  <c r="D109" i="23"/>
  <c r="D113" i="23"/>
  <c r="D117" i="23"/>
  <c r="D121" i="23"/>
  <c r="D125" i="23"/>
  <c r="D129" i="23"/>
  <c r="D133" i="23"/>
  <c r="D137" i="23"/>
  <c r="D141" i="23"/>
  <c r="D145" i="23"/>
  <c r="D149" i="23"/>
  <c r="D153" i="23"/>
  <c r="D157" i="23"/>
  <c r="D161" i="23"/>
  <c r="D165" i="23"/>
  <c r="D169" i="23"/>
  <c r="D173" i="23"/>
  <c r="D177" i="23"/>
  <c r="D181" i="23"/>
  <c r="D185" i="23"/>
  <c r="D189" i="23"/>
  <c r="D193" i="23"/>
  <c r="D197" i="23"/>
  <c r="D201" i="23"/>
  <c r="D205" i="23"/>
  <c r="D209" i="23"/>
  <c r="D213" i="23"/>
  <c r="D217" i="23"/>
  <c r="D221" i="23"/>
  <c r="D225" i="23"/>
  <c r="D229" i="23"/>
  <c r="D233" i="23"/>
  <c r="D237" i="23"/>
  <c r="D241" i="23"/>
  <c r="D245" i="23"/>
  <c r="D249" i="23"/>
  <c r="D253" i="23"/>
  <c r="D257" i="23"/>
  <c r="D261" i="23"/>
  <c r="D265" i="23"/>
  <c r="D269" i="23"/>
  <c r="D273" i="23"/>
  <c r="D277" i="23"/>
  <c r="D281" i="23"/>
  <c r="D285" i="23"/>
  <c r="D289" i="23"/>
  <c r="D293" i="23"/>
  <c r="D297" i="23"/>
  <c r="D301" i="23"/>
  <c r="D305" i="23"/>
  <c r="D309" i="23"/>
  <c r="D313" i="23"/>
  <c r="D317" i="23"/>
  <c r="D321" i="23"/>
  <c r="D325" i="23"/>
  <c r="D329" i="23"/>
  <c r="D333" i="23"/>
  <c r="D337" i="23"/>
  <c r="D341" i="23"/>
  <c r="D345" i="23"/>
  <c r="D349" i="23"/>
  <c r="D14" i="23"/>
  <c r="D18" i="23"/>
  <c r="D22" i="23"/>
  <c r="D26" i="23"/>
  <c r="D30" i="23"/>
  <c r="D34" i="23"/>
  <c r="D38" i="23"/>
  <c r="D42" i="23"/>
  <c r="D46" i="23"/>
  <c r="D50" i="23"/>
  <c r="D54" i="23"/>
  <c r="D58" i="23"/>
  <c r="D62" i="23"/>
  <c r="D66" i="23"/>
  <c r="D70" i="23"/>
  <c r="D74" i="23"/>
  <c r="D78" i="23"/>
  <c r="D82" i="23"/>
  <c r="D86" i="23"/>
  <c r="D90" i="23"/>
  <c r="D94" i="23"/>
  <c r="D98" i="23"/>
  <c r="D102" i="23"/>
  <c r="D106" i="23"/>
  <c r="D110" i="23"/>
  <c r="D114" i="23"/>
  <c r="D118" i="23"/>
  <c r="D122" i="23"/>
  <c r="D126" i="23"/>
  <c r="D130" i="23"/>
  <c r="D134" i="23"/>
  <c r="D138" i="23"/>
  <c r="D142" i="23"/>
  <c r="D146" i="23"/>
  <c r="D150" i="23"/>
  <c r="D154" i="23"/>
  <c r="D158" i="23"/>
  <c r="D162" i="23"/>
  <c r="D166" i="23"/>
  <c r="D170" i="23"/>
  <c r="D174" i="23"/>
  <c r="D178" i="23"/>
  <c r="D182" i="23"/>
  <c r="D186" i="23"/>
  <c r="D190" i="23"/>
  <c r="D194" i="23"/>
  <c r="D198" i="23"/>
  <c r="D202" i="23"/>
  <c r="D206" i="23"/>
  <c r="D210" i="23"/>
  <c r="D214" i="23"/>
  <c r="D218" i="23"/>
  <c r="D222" i="23"/>
  <c r="D226" i="23"/>
  <c r="D230" i="23"/>
  <c r="D234" i="23"/>
  <c r="D238" i="23"/>
  <c r="D242" i="23"/>
  <c r="D246" i="23"/>
  <c r="D250" i="23"/>
  <c r="D254" i="23"/>
  <c r="D258" i="23"/>
  <c r="D262" i="23"/>
  <c r="D266" i="23"/>
  <c r="D270" i="23"/>
  <c r="D274" i="23"/>
  <c r="D278" i="23"/>
  <c r="D282" i="23"/>
  <c r="D286" i="23"/>
  <c r="D290" i="23"/>
  <c r="D294" i="23"/>
  <c r="D298" i="23"/>
  <c r="D302" i="23"/>
  <c r="D306" i="23"/>
  <c r="D310" i="23"/>
  <c r="D314" i="23"/>
  <c r="D318" i="23"/>
  <c r="D322" i="23"/>
  <c r="D326" i="23"/>
  <c r="D330" i="23"/>
  <c r="D334" i="23"/>
  <c r="D338" i="23"/>
  <c r="D342" i="23"/>
  <c r="D15" i="23"/>
  <c r="D19" i="23"/>
  <c r="D23" i="23"/>
  <c r="D27" i="23"/>
  <c r="D31" i="23"/>
  <c r="D35" i="23"/>
  <c r="D39" i="23"/>
  <c r="D43" i="23"/>
  <c r="D47" i="23"/>
  <c r="D51" i="23"/>
  <c r="D55" i="23"/>
  <c r="D59" i="23"/>
  <c r="D63" i="23"/>
  <c r="D67" i="23"/>
  <c r="D71" i="23"/>
  <c r="D75" i="23"/>
  <c r="D79" i="23"/>
  <c r="D83" i="23"/>
  <c r="D87" i="23"/>
  <c r="D91" i="23"/>
  <c r="D95" i="23"/>
  <c r="D99" i="23"/>
  <c r="D103" i="23"/>
  <c r="D107" i="23"/>
  <c r="D111" i="23"/>
  <c r="D115" i="23"/>
  <c r="D119" i="23"/>
  <c r="D123" i="23"/>
  <c r="D127" i="23"/>
  <c r="D131" i="23"/>
  <c r="D135" i="23"/>
  <c r="D139" i="23"/>
  <c r="D143" i="23"/>
  <c r="D147" i="23"/>
  <c r="D151" i="23"/>
  <c r="D155" i="23"/>
  <c r="D159" i="23"/>
  <c r="D163" i="23"/>
  <c r="D167" i="23"/>
  <c r="D171" i="23"/>
  <c r="D175" i="23"/>
  <c r="D179" i="23"/>
  <c r="D183" i="23"/>
  <c r="D187" i="23"/>
  <c r="D191" i="23"/>
  <c r="D195" i="23"/>
  <c r="D199" i="23"/>
  <c r="D203" i="23"/>
  <c r="D207" i="23"/>
  <c r="D211" i="23"/>
  <c r="D215" i="23"/>
  <c r="D219" i="23"/>
  <c r="D223" i="23"/>
  <c r="D227" i="23"/>
  <c r="D231" i="23"/>
  <c r="D235" i="23"/>
  <c r="D239" i="23"/>
  <c r="D243" i="23"/>
  <c r="D247" i="23"/>
  <c r="D251" i="23"/>
  <c r="D255" i="23"/>
  <c r="D259" i="23"/>
  <c r="D263" i="23"/>
  <c r="D267" i="23"/>
  <c r="D271" i="23"/>
  <c r="D275" i="23"/>
  <c r="D279" i="23"/>
  <c r="D283" i="23"/>
  <c r="D287" i="23"/>
  <c r="D291" i="23"/>
  <c r="D295" i="23"/>
  <c r="D300" i="23"/>
  <c r="D311" i="23"/>
  <c r="D320" i="23"/>
  <c r="D340" i="23"/>
  <c r="D346" i="23"/>
  <c r="D16" i="23"/>
  <c r="D32" i="23"/>
  <c r="D48" i="23"/>
  <c r="D64" i="23"/>
  <c r="D80" i="23"/>
  <c r="D96" i="23"/>
  <c r="D112" i="23"/>
  <c r="D128" i="23"/>
  <c r="D144" i="23"/>
  <c r="D160" i="23"/>
  <c r="D176" i="23"/>
  <c r="D192" i="23"/>
  <c r="D208" i="23"/>
  <c r="D224" i="23"/>
  <c r="D240" i="23"/>
  <c r="D256" i="23"/>
  <c r="D272" i="23"/>
  <c r="D288" i="23"/>
  <c r="D312" i="23"/>
  <c r="D328" i="23"/>
  <c r="D335" i="23"/>
  <c r="D351" i="23"/>
  <c r="D355" i="23"/>
  <c r="D359" i="23"/>
  <c r="D363" i="23"/>
  <c r="D367" i="23"/>
  <c r="D371" i="23"/>
  <c r="D375" i="23"/>
  <c r="D379" i="23"/>
  <c r="D383" i="23"/>
  <c r="D387" i="23"/>
  <c r="D391" i="23"/>
  <c r="D395" i="23"/>
  <c r="D399" i="23"/>
  <c r="D403" i="23"/>
  <c r="D407" i="23"/>
  <c r="D411" i="23"/>
  <c r="D415" i="23"/>
  <c r="D419" i="23"/>
  <c r="D423" i="23"/>
  <c r="D427" i="23"/>
  <c r="D431" i="23"/>
  <c r="D435" i="23"/>
  <c r="D439" i="23"/>
  <c r="D443" i="23"/>
  <c r="D447" i="23"/>
  <c r="D451" i="23"/>
  <c r="D455" i="23"/>
  <c r="D459" i="23"/>
  <c r="D463" i="23"/>
  <c r="D467" i="23"/>
  <c r="D471" i="23"/>
  <c r="D475" i="23"/>
  <c r="D479" i="23"/>
  <c r="D483" i="23"/>
  <c r="D487" i="23"/>
  <c r="D491" i="23"/>
  <c r="D495" i="23"/>
  <c r="D499" i="23"/>
  <c r="D503" i="23"/>
  <c r="D507" i="23"/>
  <c r="D511" i="23"/>
  <c r="D515" i="23"/>
  <c r="D519" i="23"/>
  <c r="D523" i="23"/>
  <c r="D527" i="23"/>
  <c r="D531" i="23"/>
  <c r="D535" i="23"/>
  <c r="D539" i="23"/>
  <c r="D543" i="23"/>
  <c r="D547" i="23"/>
  <c r="D551" i="23"/>
  <c r="D555" i="23"/>
  <c r="D559" i="23"/>
  <c r="D563" i="23"/>
  <c r="D567" i="23"/>
  <c r="D571" i="23"/>
  <c r="D575" i="23"/>
  <c r="D579" i="23"/>
  <c r="D583" i="23"/>
  <c r="D587" i="23"/>
  <c r="D591" i="23"/>
  <c r="D303" i="23"/>
  <c r="D347" i="23"/>
  <c r="D20" i="23"/>
  <c r="D36" i="23"/>
  <c r="D52" i="23"/>
  <c r="D68" i="23"/>
  <c r="D84" i="23"/>
  <c r="D100" i="23"/>
  <c r="D116" i="23"/>
  <c r="D132" i="23"/>
  <c r="D148" i="23"/>
  <c r="D164" i="23"/>
  <c r="D180" i="23"/>
  <c r="D196" i="23"/>
  <c r="D212" i="23"/>
  <c r="D228" i="23"/>
  <c r="D244" i="23"/>
  <c r="D260" i="23"/>
  <c r="D276" i="23"/>
  <c r="D292" i="23"/>
  <c r="D304" i="23"/>
  <c r="D315" i="23"/>
  <c r="D323" i="23"/>
  <c r="D336" i="23"/>
  <c r="D343" i="23"/>
  <c r="D352" i="23"/>
  <c r="D356" i="23"/>
  <c r="D360" i="23"/>
  <c r="D364" i="23"/>
  <c r="D368" i="23"/>
  <c r="D372" i="23"/>
  <c r="D376" i="23"/>
  <c r="D380" i="23"/>
  <c r="D384" i="23"/>
  <c r="D388" i="23"/>
  <c r="D392" i="23"/>
  <c r="D396" i="23"/>
  <c r="D400" i="23"/>
  <c r="D404" i="23"/>
  <c r="D408" i="23"/>
  <c r="D412" i="23"/>
  <c r="D416" i="23"/>
  <c r="D420" i="23"/>
  <c r="D424" i="23"/>
  <c r="D428" i="23"/>
  <c r="D432" i="23"/>
  <c r="D436" i="23"/>
  <c r="D440" i="23"/>
  <c r="D444" i="23"/>
  <c r="D448" i="23"/>
  <c r="D452" i="23"/>
  <c r="D456" i="23"/>
  <c r="D460" i="23"/>
  <c r="D464" i="23"/>
  <c r="D468" i="23"/>
  <c r="D472" i="23"/>
  <c r="D476" i="23"/>
  <c r="D480" i="23"/>
  <c r="D484" i="23"/>
  <c r="D488" i="23"/>
  <c r="D492" i="23"/>
  <c r="D496" i="23"/>
  <c r="D500" i="23"/>
  <c r="D504" i="23"/>
  <c r="D508" i="23"/>
  <c r="D512" i="23"/>
  <c r="D516" i="23"/>
  <c r="D520" i="23"/>
  <c r="D524" i="23"/>
  <c r="D528" i="23"/>
  <c r="D532" i="23"/>
  <c r="D536" i="23"/>
  <c r="D540" i="23"/>
  <c r="D544" i="23"/>
  <c r="D548" i="23"/>
  <c r="D552" i="23"/>
  <c r="D556" i="23"/>
  <c r="D560" i="23"/>
  <c r="D564" i="23"/>
  <c r="D568" i="23"/>
  <c r="D572" i="23"/>
  <c r="D576" i="23"/>
  <c r="D580" i="23"/>
  <c r="D584" i="23"/>
  <c r="D588" i="23"/>
  <c r="D316" i="23"/>
  <c r="D324" i="23"/>
  <c r="D331" i="23"/>
  <c r="D348" i="23"/>
  <c r="D24" i="23"/>
  <c r="D40" i="23"/>
  <c r="D56" i="23"/>
  <c r="D72" i="23"/>
  <c r="D88" i="23"/>
  <c r="D104" i="23"/>
  <c r="D120" i="23"/>
  <c r="D136" i="23"/>
  <c r="D152" i="23"/>
  <c r="D168" i="23"/>
  <c r="D184" i="23"/>
  <c r="D200" i="23"/>
  <c r="D216" i="23"/>
  <c r="D232" i="23"/>
  <c r="D248" i="23"/>
  <c r="D264" i="23"/>
  <c r="D280" i="23"/>
  <c r="D296" i="23"/>
  <c r="D307" i="23"/>
  <c r="D344" i="23"/>
  <c r="D353" i="23"/>
  <c r="D357" i="23"/>
  <c r="D361" i="23"/>
  <c r="D365" i="23"/>
  <c r="D369" i="23"/>
  <c r="D373" i="23"/>
  <c r="D377" i="23"/>
  <c r="D381" i="23"/>
  <c r="D385" i="23"/>
  <c r="D389" i="23"/>
  <c r="D393" i="23"/>
  <c r="D397" i="23"/>
  <c r="D401" i="23"/>
  <c r="D405" i="23"/>
  <c r="D409" i="23"/>
  <c r="D413" i="23"/>
  <c r="D417" i="23"/>
  <c r="D421" i="23"/>
  <c r="D425" i="23"/>
  <c r="D429" i="23"/>
  <c r="D433" i="23"/>
  <c r="D437" i="23"/>
  <c r="D441" i="23"/>
  <c r="D445" i="23"/>
  <c r="D449" i="23"/>
  <c r="D453" i="23"/>
  <c r="D457" i="23"/>
  <c r="D461" i="23"/>
  <c r="D465" i="23"/>
  <c r="D469" i="23"/>
  <c r="D473" i="23"/>
  <c r="D477" i="23"/>
  <c r="D481" i="23"/>
  <c r="D485" i="23"/>
  <c r="D489" i="23"/>
  <c r="D493" i="23"/>
  <c r="D497" i="23"/>
  <c r="D501" i="23"/>
  <c r="D505" i="23"/>
  <c r="D509" i="23"/>
  <c r="D513" i="23"/>
  <c r="D517" i="23"/>
  <c r="D521" i="23"/>
  <c r="D525" i="23"/>
  <c r="D529" i="23"/>
  <c r="D533" i="23"/>
  <c r="D537" i="23"/>
  <c r="D541" i="23"/>
  <c r="D545" i="23"/>
  <c r="D549" i="23"/>
  <c r="D553" i="23"/>
  <c r="D557" i="23"/>
  <c r="D561" i="23"/>
  <c r="D565" i="23"/>
  <c r="D569" i="23"/>
  <c r="D573" i="23"/>
  <c r="D577" i="23"/>
  <c r="D581" i="23"/>
  <c r="D585" i="23"/>
  <c r="D582" i="23"/>
  <c r="D590" i="23"/>
  <c r="D28" i="23"/>
  <c r="D92" i="23"/>
  <c r="D156" i="23"/>
  <c r="D220" i="23"/>
  <c r="D284" i="23"/>
  <c r="D327" i="23"/>
  <c r="D350" i="23"/>
  <c r="D366" i="23"/>
  <c r="D382" i="23"/>
  <c r="D398" i="23"/>
  <c r="D414" i="23"/>
  <c r="D430" i="23"/>
  <c r="D446" i="23"/>
  <c r="D462" i="23"/>
  <c r="D478" i="23"/>
  <c r="D494" i="23"/>
  <c r="D510" i="23"/>
  <c r="D526" i="23"/>
  <c r="D542" i="23"/>
  <c r="D558" i="23"/>
  <c r="D595" i="23"/>
  <c r="D599" i="23"/>
  <c r="D603" i="23"/>
  <c r="D607" i="23"/>
  <c r="D611" i="23"/>
  <c r="D615" i="23"/>
  <c r="D619" i="23"/>
  <c r="D623" i="23"/>
  <c r="D627" i="23"/>
  <c r="D631" i="23"/>
  <c r="D635" i="23"/>
  <c r="D639" i="23"/>
  <c r="D643" i="23"/>
  <c r="D647" i="23"/>
  <c r="D651" i="23"/>
  <c r="D655" i="23"/>
  <c r="D659" i="23"/>
  <c r="D663" i="23"/>
  <c r="D667" i="23"/>
  <c r="D671" i="23"/>
  <c r="D675" i="23"/>
  <c r="D679" i="23"/>
  <c r="D683" i="23"/>
  <c r="D687" i="23"/>
  <c r="D691" i="23"/>
  <c r="D695" i="23"/>
  <c r="D699" i="23"/>
  <c r="D703" i="23"/>
  <c r="D707" i="23"/>
  <c r="D711" i="23"/>
  <c r="D715" i="23"/>
  <c r="D719" i="23"/>
  <c r="D723" i="23"/>
  <c r="D727" i="23"/>
  <c r="D731" i="23"/>
  <c r="D735" i="23"/>
  <c r="D739" i="23"/>
  <c r="D743" i="23"/>
  <c r="D747" i="23"/>
  <c r="D751" i="23"/>
  <c r="D755" i="23"/>
  <c r="D759" i="23"/>
  <c r="D763" i="23"/>
  <c r="D767" i="23"/>
  <c r="D771" i="23"/>
  <c r="D775" i="23"/>
  <c r="D779" i="23"/>
  <c r="D783" i="23"/>
  <c r="D787" i="23"/>
  <c r="D791" i="23"/>
  <c r="D795" i="23"/>
  <c r="D799" i="23"/>
  <c r="D803" i="23"/>
  <c r="D807" i="23"/>
  <c r="D811" i="23"/>
  <c r="D815" i="23"/>
  <c r="D819" i="23"/>
  <c r="D823" i="23"/>
  <c r="D827" i="23"/>
  <c r="D831" i="23"/>
  <c r="D835" i="23"/>
  <c r="D839" i="23"/>
  <c r="D843" i="23"/>
  <c r="D847" i="23"/>
  <c r="D851" i="23"/>
  <c r="D855" i="23"/>
  <c r="D859" i="23"/>
  <c r="D332" i="23"/>
  <c r="D44" i="23"/>
  <c r="D108" i="23"/>
  <c r="D172" i="23"/>
  <c r="D236" i="23"/>
  <c r="D299" i="23"/>
  <c r="D354" i="23"/>
  <c r="D370" i="23"/>
  <c r="D386" i="23"/>
  <c r="D402" i="23"/>
  <c r="D418" i="23"/>
  <c r="D434" i="23"/>
  <c r="D450" i="23"/>
  <c r="D466" i="23"/>
  <c r="D482" i="23"/>
  <c r="D498" i="23"/>
  <c r="D514" i="23"/>
  <c r="D530" i="23"/>
  <c r="D546" i="23"/>
  <c r="D562" i="23"/>
  <c r="D586" i="23"/>
  <c r="D592" i="23"/>
  <c r="D596" i="23"/>
  <c r="D600" i="23"/>
  <c r="D604" i="23"/>
  <c r="D608" i="23"/>
  <c r="D612" i="23"/>
  <c r="D616" i="23"/>
  <c r="D620" i="23"/>
  <c r="D624" i="23"/>
  <c r="D628" i="23"/>
  <c r="D632" i="23"/>
  <c r="D636" i="23"/>
  <c r="D640" i="23"/>
  <c r="D644" i="23"/>
  <c r="D648" i="23"/>
  <c r="D652" i="23"/>
  <c r="D656" i="23"/>
  <c r="D660" i="23"/>
  <c r="D664" i="23"/>
  <c r="D668" i="23"/>
  <c r="D672" i="23"/>
  <c r="D676" i="23"/>
  <c r="D680" i="23"/>
  <c r="D684" i="23"/>
  <c r="D688" i="23"/>
  <c r="D692" i="23"/>
  <c r="D696" i="23"/>
  <c r="D700" i="23"/>
  <c r="D704" i="23"/>
  <c r="D708" i="23"/>
  <c r="D712" i="23"/>
  <c r="D716" i="23"/>
  <c r="D720" i="23"/>
  <c r="D724" i="23"/>
  <c r="D728" i="23"/>
  <c r="D732" i="23"/>
  <c r="D736" i="23"/>
  <c r="D740" i="23"/>
  <c r="D744" i="23"/>
  <c r="D748" i="23"/>
  <c r="D752" i="23"/>
  <c r="D756" i="23"/>
  <c r="D760" i="23"/>
  <c r="D764" i="23"/>
  <c r="D768" i="23"/>
  <c r="D772" i="23"/>
  <c r="D776" i="23"/>
  <c r="D780" i="23"/>
  <c r="D784" i="23"/>
  <c r="D788" i="23"/>
  <c r="D792" i="23"/>
  <c r="D796" i="23"/>
  <c r="D800" i="23"/>
  <c r="D804" i="23"/>
  <c r="D808" i="23"/>
  <c r="D812" i="23"/>
  <c r="D816" i="23"/>
  <c r="D820" i="23"/>
  <c r="D824" i="23"/>
  <c r="D828" i="23"/>
  <c r="D832" i="23"/>
  <c r="D836" i="23"/>
  <c r="D840" i="23"/>
  <c r="D844" i="23"/>
  <c r="D848" i="23"/>
  <c r="D852" i="23"/>
  <c r="D856" i="23"/>
  <c r="D860" i="23"/>
  <c r="D308" i="23"/>
  <c r="D339" i="23"/>
  <c r="D60" i="23"/>
  <c r="D124" i="23"/>
  <c r="D188" i="23"/>
  <c r="D252" i="23"/>
  <c r="D358" i="23"/>
  <c r="D374" i="23"/>
  <c r="D390" i="23"/>
  <c r="D406" i="23"/>
  <c r="D422" i="23"/>
  <c r="D438" i="23"/>
  <c r="D454" i="23"/>
  <c r="D470" i="23"/>
  <c r="D486" i="23"/>
  <c r="D502" i="23"/>
  <c r="D518" i="23"/>
  <c r="D534" i="23"/>
  <c r="D550" i="23"/>
  <c r="D566" i="23"/>
  <c r="D578" i="23"/>
  <c r="D593" i="23"/>
  <c r="D597" i="23"/>
  <c r="D601" i="23"/>
  <c r="D605" i="23"/>
  <c r="D609" i="23"/>
  <c r="D613" i="23"/>
  <c r="D617" i="23"/>
  <c r="D621" i="23"/>
  <c r="D625" i="23"/>
  <c r="D629" i="23"/>
  <c r="D633" i="23"/>
  <c r="D637" i="23"/>
  <c r="D641" i="23"/>
  <c r="D645" i="23"/>
  <c r="D649" i="23"/>
  <c r="D653" i="23"/>
  <c r="D657" i="23"/>
  <c r="D661" i="23"/>
  <c r="D665" i="23"/>
  <c r="D669" i="23"/>
  <c r="D673" i="23"/>
  <c r="D677" i="23"/>
  <c r="D681" i="23"/>
  <c r="D685" i="23"/>
  <c r="D689" i="23"/>
  <c r="D693" i="23"/>
  <c r="D697" i="23"/>
  <c r="D701" i="23"/>
  <c r="D705" i="23"/>
  <c r="D709" i="23"/>
  <c r="D713" i="23"/>
  <c r="D717" i="23"/>
  <c r="D721" i="23"/>
  <c r="D725" i="23"/>
  <c r="D729" i="23"/>
  <c r="D733" i="23"/>
  <c r="D737" i="23"/>
  <c r="D741" i="23"/>
  <c r="D745" i="23"/>
  <c r="D749" i="23"/>
  <c r="D753" i="23"/>
  <c r="D757" i="23"/>
  <c r="D761" i="23"/>
  <c r="D765" i="23"/>
  <c r="D769" i="23"/>
  <c r="D773" i="23"/>
  <c r="D777" i="23"/>
  <c r="D781" i="23"/>
  <c r="D785" i="23"/>
  <c r="D789" i="23"/>
  <c r="D793" i="23"/>
  <c r="D797" i="23"/>
  <c r="D801" i="23"/>
  <c r="D805" i="23"/>
  <c r="D809" i="23"/>
  <c r="D813" i="23"/>
  <c r="D817" i="23"/>
  <c r="D821" i="23"/>
  <c r="D825" i="23"/>
  <c r="D829" i="23"/>
  <c r="D833" i="23"/>
  <c r="D837" i="23"/>
  <c r="D841" i="23"/>
  <c r="D589" i="23"/>
  <c r="D76" i="23"/>
  <c r="D394" i="23"/>
  <c r="D522" i="23"/>
  <c r="D606" i="23"/>
  <c r="D622" i="23"/>
  <c r="D638" i="23"/>
  <c r="D654" i="23"/>
  <c r="D670" i="23"/>
  <c r="D686" i="23"/>
  <c r="D702" i="23"/>
  <c r="D718" i="23"/>
  <c r="D734" i="23"/>
  <c r="D750" i="23"/>
  <c r="D766" i="23"/>
  <c r="D782" i="23"/>
  <c r="D798" i="23"/>
  <c r="D814" i="23"/>
  <c r="D830" i="23"/>
  <c r="D842" i="23"/>
  <c r="D849" i="23"/>
  <c r="D140" i="23"/>
  <c r="D410" i="23"/>
  <c r="D538" i="23"/>
  <c r="D862" i="23"/>
  <c r="D866" i="23"/>
  <c r="D870" i="23"/>
  <c r="D874" i="23"/>
  <c r="D878" i="23"/>
  <c r="D882" i="23"/>
  <c r="D886" i="23"/>
  <c r="D890" i="23"/>
  <c r="D894" i="23"/>
  <c r="D898" i="23"/>
  <c r="D902" i="23"/>
  <c r="D906" i="23"/>
  <c r="D910" i="23"/>
  <c r="D914" i="23"/>
  <c r="D918" i="23"/>
  <c r="D922" i="23"/>
  <c r="D926" i="23"/>
  <c r="D930" i="23"/>
  <c r="D934" i="23"/>
  <c r="D938" i="23"/>
  <c r="D942" i="23"/>
  <c r="D946" i="23"/>
  <c r="D950" i="23"/>
  <c r="D954" i="23"/>
  <c r="D958" i="23"/>
  <c r="D962" i="23"/>
  <c r="D966" i="23"/>
  <c r="D970" i="23"/>
  <c r="D974" i="23"/>
  <c r="D978" i="23"/>
  <c r="D982" i="23"/>
  <c r="D986" i="23"/>
  <c r="D990" i="23"/>
  <c r="D994" i="23"/>
  <c r="D998" i="23"/>
  <c r="D1002" i="23"/>
  <c r="D1006" i="23"/>
  <c r="D1010" i="23"/>
  <c r="D1014" i="23"/>
  <c r="D1018" i="23"/>
  <c r="D1022" i="23"/>
  <c r="D1026" i="23"/>
  <c r="D1030" i="23"/>
  <c r="D1034" i="23"/>
  <c r="D1038" i="23"/>
  <c r="D1042" i="23"/>
  <c r="D1046" i="23"/>
  <c r="D1050" i="23"/>
  <c r="D1054" i="23"/>
  <c r="D1058" i="23"/>
  <c r="D1062" i="23"/>
  <c r="D1066" i="23"/>
  <c r="D1070" i="23"/>
  <c r="D1074" i="23"/>
  <c r="D1078" i="23"/>
  <c r="D1082" i="23"/>
  <c r="D1086" i="23"/>
  <c r="D1090" i="23"/>
  <c r="D1094" i="23"/>
  <c r="D1098" i="23"/>
  <c r="D1102" i="23"/>
  <c r="D1106" i="23"/>
  <c r="D1110" i="23"/>
  <c r="D1114" i="23"/>
  <c r="D204" i="23"/>
  <c r="D426" i="23"/>
  <c r="D554" i="23"/>
  <c r="D594" i="23"/>
  <c r="D610" i="23"/>
  <c r="D626" i="23"/>
  <c r="D642" i="23"/>
  <c r="D658" i="23"/>
  <c r="D674" i="23"/>
  <c r="D690" i="23"/>
  <c r="D706" i="23"/>
  <c r="D722" i="23"/>
  <c r="D738" i="23"/>
  <c r="D754" i="23"/>
  <c r="D770" i="23"/>
  <c r="D786" i="23"/>
  <c r="D802" i="23"/>
  <c r="D818" i="23"/>
  <c r="D834" i="23"/>
  <c r="D850" i="23"/>
  <c r="D857" i="23"/>
  <c r="D268" i="23"/>
  <c r="D442" i="23"/>
  <c r="D845" i="23"/>
  <c r="D863" i="23"/>
  <c r="D867" i="23"/>
  <c r="D871" i="23"/>
  <c r="D875" i="23"/>
  <c r="D879" i="23"/>
  <c r="D883" i="23"/>
  <c r="D887" i="23"/>
  <c r="D891" i="23"/>
  <c r="D895" i="23"/>
  <c r="D899" i="23"/>
  <c r="D903" i="23"/>
  <c r="D907" i="23"/>
  <c r="D911" i="23"/>
  <c r="D915" i="23"/>
  <c r="D919" i="23"/>
  <c r="D923" i="23"/>
  <c r="D927" i="23"/>
  <c r="D931" i="23"/>
  <c r="D935" i="23"/>
  <c r="D939" i="23"/>
  <c r="D943" i="23"/>
  <c r="D947" i="23"/>
  <c r="D951" i="23"/>
  <c r="D955" i="23"/>
  <c r="D959" i="23"/>
  <c r="D963" i="23"/>
  <c r="D967" i="23"/>
  <c r="D971" i="23"/>
  <c r="D975" i="23"/>
  <c r="D979" i="23"/>
  <c r="D983" i="23"/>
  <c r="D987" i="23"/>
  <c r="D991" i="23"/>
  <c r="D995" i="23"/>
  <c r="D999" i="23"/>
  <c r="D1003" i="23"/>
  <c r="D1007" i="23"/>
  <c r="D1011" i="23"/>
  <c r="D1015" i="23"/>
  <c r="D1019" i="23"/>
  <c r="D1023" i="23"/>
  <c r="D1027" i="23"/>
  <c r="D1031" i="23"/>
  <c r="D1035" i="23"/>
  <c r="D1039" i="23"/>
  <c r="D1043" i="23"/>
  <c r="D1047" i="23"/>
  <c r="D1051" i="23"/>
  <c r="D1055" i="23"/>
  <c r="D1059" i="23"/>
  <c r="D1063" i="23"/>
  <c r="D1067" i="23"/>
  <c r="D1071" i="23"/>
  <c r="D1075" i="23"/>
  <c r="D1079" i="23"/>
  <c r="D1083" i="23"/>
  <c r="D1087" i="23"/>
  <c r="D1091" i="23"/>
  <c r="D1095" i="23"/>
  <c r="D1099" i="23"/>
  <c r="D1103" i="23"/>
  <c r="D1107" i="23"/>
  <c r="D1111" i="23"/>
  <c r="D1115" i="23"/>
  <c r="D319" i="23"/>
  <c r="D458" i="23"/>
  <c r="D570" i="23"/>
  <c r="D598" i="23"/>
  <c r="D614" i="23"/>
  <c r="D630" i="23"/>
  <c r="D646" i="23"/>
  <c r="D662" i="23"/>
  <c r="D678" i="23"/>
  <c r="D694" i="23"/>
  <c r="D710" i="23"/>
  <c r="D726" i="23"/>
  <c r="D742" i="23"/>
  <c r="D758" i="23"/>
  <c r="D774" i="23"/>
  <c r="D790" i="23"/>
  <c r="D806" i="23"/>
  <c r="D822" i="23"/>
  <c r="D858" i="23"/>
  <c r="D474" i="23"/>
  <c r="D574" i="23"/>
  <c r="D838" i="23"/>
  <c r="D846" i="23"/>
  <c r="D853" i="23"/>
  <c r="D864" i="23"/>
  <c r="D868" i="23"/>
  <c r="D872" i="23"/>
  <c r="D876" i="23"/>
  <c r="D880" i="23"/>
  <c r="D884" i="23"/>
  <c r="D888" i="23"/>
  <c r="D892" i="23"/>
  <c r="D896" i="23"/>
  <c r="D900" i="23"/>
  <c r="D904" i="23"/>
  <c r="D908" i="23"/>
  <c r="D912" i="23"/>
  <c r="D916" i="23"/>
  <c r="D920" i="23"/>
  <c r="D924" i="23"/>
  <c r="D928" i="23"/>
  <c r="D932" i="23"/>
  <c r="D936" i="23"/>
  <c r="D940" i="23"/>
  <c r="D944" i="23"/>
  <c r="D948" i="23"/>
  <c r="D952" i="23"/>
  <c r="D956" i="23"/>
  <c r="D960" i="23"/>
  <c r="D964" i="23"/>
  <c r="D968" i="23"/>
  <c r="D972" i="23"/>
  <c r="D976" i="23"/>
  <c r="D980" i="23"/>
  <c r="D984" i="23"/>
  <c r="D988" i="23"/>
  <c r="D992" i="23"/>
  <c r="D996" i="23"/>
  <c r="D1000" i="23"/>
  <c r="D1004" i="23"/>
  <c r="D1008" i="23"/>
  <c r="D1012" i="23"/>
  <c r="D1016" i="23"/>
  <c r="D1020" i="23"/>
  <c r="D1024" i="23"/>
  <c r="D1028" i="23"/>
  <c r="D1032" i="23"/>
  <c r="D1036" i="23"/>
  <c r="D1040" i="23"/>
  <c r="D1044" i="23"/>
  <c r="D1048" i="23"/>
  <c r="D1052" i="23"/>
  <c r="D1056" i="23"/>
  <c r="D1060" i="23"/>
  <c r="D1064" i="23"/>
  <c r="D1068" i="23"/>
  <c r="D1072" i="23"/>
  <c r="D1076" i="23"/>
  <c r="D1080" i="23"/>
  <c r="D1084" i="23"/>
  <c r="D1088" i="23"/>
  <c r="D1092" i="23"/>
  <c r="D1096" i="23"/>
  <c r="D1100" i="23"/>
  <c r="D1104" i="23"/>
  <c r="D1108" i="23"/>
  <c r="D1112" i="23"/>
  <c r="D1116" i="23"/>
  <c r="D362" i="23"/>
  <c r="D490" i="23"/>
  <c r="D602" i="23"/>
  <c r="D618" i="23"/>
  <c r="D634" i="23"/>
  <c r="D650" i="23"/>
  <c r="D666" i="23"/>
  <c r="D682" i="23"/>
  <c r="D698" i="23"/>
  <c r="D714" i="23"/>
  <c r="D730" i="23"/>
  <c r="D746" i="23"/>
  <c r="D762" i="23"/>
  <c r="D778" i="23"/>
  <c r="D794" i="23"/>
  <c r="D810" i="23"/>
  <c r="D826" i="23"/>
  <c r="D378" i="23"/>
  <c r="D873" i="23"/>
  <c r="D905" i="23"/>
  <c r="D937" i="23"/>
  <c r="D969" i="23"/>
  <c r="D1001" i="23"/>
  <c r="D1033" i="23"/>
  <c r="D1065" i="23"/>
  <c r="D1097" i="23"/>
  <c r="D1117" i="23"/>
  <c r="D1121" i="23"/>
  <c r="D1125" i="23"/>
  <c r="D1129" i="23"/>
  <c r="D1133" i="23"/>
  <c r="D1137" i="23"/>
  <c r="D1141" i="23"/>
  <c r="D1145" i="23"/>
  <c r="D1149" i="23"/>
  <c r="D1153" i="23"/>
  <c r="D1157" i="23"/>
  <c r="D1161" i="23"/>
  <c r="D1165" i="23"/>
  <c r="D1169" i="23"/>
  <c r="D1173" i="23"/>
  <c r="D1177" i="23"/>
  <c r="D1181" i="23"/>
  <c r="D1185" i="23"/>
  <c r="D1189" i="23"/>
  <c r="D1193" i="23"/>
  <c r="D1197" i="23"/>
  <c r="D1201" i="23"/>
  <c r="D1205" i="23"/>
  <c r="D1209" i="23"/>
  <c r="D1213" i="23"/>
  <c r="D1217" i="23"/>
  <c r="D1221" i="23"/>
  <c r="D1225" i="23"/>
  <c r="D1229" i="23"/>
  <c r="D1233" i="23"/>
  <c r="D1237" i="23"/>
  <c r="D1241" i="23"/>
  <c r="D1245" i="23"/>
  <c r="D1249" i="23"/>
  <c r="D1253" i="23"/>
  <c r="D1257" i="23"/>
  <c r="D1261" i="23"/>
  <c r="D1265" i="23"/>
  <c r="D1269" i="23"/>
  <c r="D1273" i="23"/>
  <c r="D1277" i="23"/>
  <c r="D1281" i="23"/>
  <c r="D1285" i="23"/>
  <c r="D1289" i="23"/>
  <c r="D1293" i="23"/>
  <c r="D1297" i="23"/>
  <c r="D1301" i="23"/>
  <c r="D1305" i="23"/>
  <c r="D1309" i="23"/>
  <c r="D1313" i="23"/>
  <c r="D1317" i="23"/>
  <c r="D1321" i="23"/>
  <c r="D1325" i="23"/>
  <c r="D1329" i="23"/>
  <c r="D1333" i="23"/>
  <c r="D1337" i="23"/>
  <c r="D1341" i="23"/>
  <c r="D1345" i="23"/>
  <c r="D1349" i="23"/>
  <c r="D1353" i="23"/>
  <c r="D1357" i="23"/>
  <c r="D1361" i="23"/>
  <c r="D1365" i="23"/>
  <c r="D1369" i="23"/>
  <c r="D1373" i="23"/>
  <c r="D1377" i="23"/>
  <c r="D1381" i="23"/>
  <c r="D1385" i="23"/>
  <c r="D1389" i="23"/>
  <c r="D1393" i="23"/>
  <c r="D1397" i="23"/>
  <c r="D1401" i="23"/>
  <c r="D1405" i="23"/>
  <c r="D506" i="23"/>
  <c r="D877" i="23"/>
  <c r="D909" i="23"/>
  <c r="D941" i="23"/>
  <c r="D973" i="23"/>
  <c r="D1005" i="23"/>
  <c r="D1037" i="23"/>
  <c r="D1069" i="23"/>
  <c r="D1101" i="23"/>
  <c r="D881" i="23"/>
  <c r="D913" i="23"/>
  <c r="D945" i="23"/>
  <c r="D977" i="23"/>
  <c r="D1009" i="23"/>
  <c r="D1041" i="23"/>
  <c r="D1073" i="23"/>
  <c r="D1105" i="23"/>
  <c r="D1118" i="23"/>
  <c r="D1122" i="23"/>
  <c r="D1126" i="23"/>
  <c r="D1130" i="23"/>
  <c r="D1134" i="23"/>
  <c r="D1138" i="23"/>
  <c r="D1142" i="23"/>
  <c r="D1146" i="23"/>
  <c r="D1150" i="23"/>
  <c r="D1154" i="23"/>
  <c r="D1158" i="23"/>
  <c r="D1162" i="23"/>
  <c r="D1166" i="23"/>
  <c r="D1170" i="23"/>
  <c r="D1174" i="23"/>
  <c r="D1178" i="23"/>
  <c r="D1182" i="23"/>
  <c r="D1186" i="23"/>
  <c r="D1190" i="23"/>
  <c r="D1194" i="23"/>
  <c r="D1198" i="23"/>
  <c r="D1202" i="23"/>
  <c r="D1206" i="23"/>
  <c r="D1210" i="23"/>
  <c r="D1214" i="23"/>
  <c r="D1218" i="23"/>
  <c r="D1222" i="23"/>
  <c r="D1226" i="23"/>
  <c r="D1230" i="23"/>
  <c r="D1234" i="23"/>
  <c r="D1238" i="23"/>
  <c r="D1242" i="23"/>
  <c r="D1246" i="23"/>
  <c r="D1250" i="23"/>
  <c r="D1254" i="23"/>
  <c r="D1258" i="23"/>
  <c r="D1262" i="23"/>
  <c r="D1266" i="23"/>
  <c r="D1270" i="23"/>
  <c r="D1274" i="23"/>
  <c r="D1278" i="23"/>
  <c r="D1282" i="23"/>
  <c r="D1286" i="23"/>
  <c r="D1290" i="23"/>
  <c r="D1294" i="23"/>
  <c r="D1298" i="23"/>
  <c r="D1302" i="23"/>
  <c r="D1306" i="23"/>
  <c r="D1310" i="23"/>
  <c r="D1314" i="23"/>
  <c r="D1318" i="23"/>
  <c r="D1322" i="23"/>
  <c r="D1326" i="23"/>
  <c r="D1330" i="23"/>
  <c r="D1334" i="23"/>
  <c r="D1338" i="23"/>
  <c r="D1342" i="23"/>
  <c r="D1346" i="23"/>
  <c r="D1350" i="23"/>
  <c r="D1354" i="23"/>
  <c r="D1358" i="23"/>
  <c r="D1362" i="23"/>
  <c r="D1366" i="23"/>
  <c r="D1370" i="23"/>
  <c r="D1374" i="23"/>
  <c r="D1378" i="23"/>
  <c r="D1382" i="23"/>
  <c r="D1386" i="23"/>
  <c r="D1390" i="23"/>
  <c r="D1394" i="23"/>
  <c r="D1398" i="23"/>
  <c r="D1402" i="23"/>
  <c r="D1406" i="23"/>
  <c r="D901" i="23"/>
  <c r="D885" i="23"/>
  <c r="D917" i="23"/>
  <c r="D949" i="23"/>
  <c r="D981" i="23"/>
  <c r="D1013" i="23"/>
  <c r="D1045" i="23"/>
  <c r="D1077" i="23"/>
  <c r="D1109" i="23"/>
  <c r="D854" i="23"/>
  <c r="D889" i="23"/>
  <c r="D921" i="23"/>
  <c r="D953" i="23"/>
  <c r="D985" i="23"/>
  <c r="D1017" i="23"/>
  <c r="D1049" i="23"/>
  <c r="D1081" i="23"/>
  <c r="D1113" i="23"/>
  <c r="D1119" i="23"/>
  <c r="D1123" i="23"/>
  <c r="D1127" i="23"/>
  <c r="D1131" i="23"/>
  <c r="D1135" i="23"/>
  <c r="D1139" i="23"/>
  <c r="D1143" i="23"/>
  <c r="D1147" i="23"/>
  <c r="D1151" i="23"/>
  <c r="D1155" i="23"/>
  <c r="D1159" i="23"/>
  <c r="D1163" i="23"/>
  <c r="D1167" i="23"/>
  <c r="D1171" i="23"/>
  <c r="D1175" i="23"/>
  <c r="D1179" i="23"/>
  <c r="D1183" i="23"/>
  <c r="D1187" i="23"/>
  <c r="D1191" i="23"/>
  <c r="D1195" i="23"/>
  <c r="D1199" i="23"/>
  <c r="D1203" i="23"/>
  <c r="D1207" i="23"/>
  <c r="D1211" i="23"/>
  <c r="D1215" i="23"/>
  <c r="D1219" i="23"/>
  <c r="D1223" i="23"/>
  <c r="D1227" i="23"/>
  <c r="D1231" i="23"/>
  <c r="D1235" i="23"/>
  <c r="D1239" i="23"/>
  <c r="D1243" i="23"/>
  <c r="D1247" i="23"/>
  <c r="D1251" i="23"/>
  <c r="D1255" i="23"/>
  <c r="D1259" i="23"/>
  <c r="D1263" i="23"/>
  <c r="D1267" i="23"/>
  <c r="D1271" i="23"/>
  <c r="D1275" i="23"/>
  <c r="D1279" i="23"/>
  <c r="D1283" i="23"/>
  <c r="D1287" i="23"/>
  <c r="D1291" i="23"/>
  <c r="D1295" i="23"/>
  <c r="D1299" i="23"/>
  <c r="D1303" i="23"/>
  <c r="D1307" i="23"/>
  <c r="D1311" i="23"/>
  <c r="D1315" i="23"/>
  <c r="D1319" i="23"/>
  <c r="D1323" i="23"/>
  <c r="D1327" i="23"/>
  <c r="D1331" i="23"/>
  <c r="D1335" i="23"/>
  <c r="D1339" i="23"/>
  <c r="D1343" i="23"/>
  <c r="D1347" i="23"/>
  <c r="D1351" i="23"/>
  <c r="D1355" i="23"/>
  <c r="D1359" i="23"/>
  <c r="D1363" i="23"/>
  <c r="D1367" i="23"/>
  <c r="D1371" i="23"/>
  <c r="D1375" i="23"/>
  <c r="D1379" i="23"/>
  <c r="D1383" i="23"/>
  <c r="D1387" i="23"/>
  <c r="D1391" i="23"/>
  <c r="D1395" i="23"/>
  <c r="D1399" i="23"/>
  <c r="D1403" i="23"/>
  <c r="D1407" i="23"/>
  <c r="D861" i="23"/>
  <c r="D893" i="23"/>
  <c r="D925" i="23"/>
  <c r="D957" i="23"/>
  <c r="D989" i="23"/>
  <c r="D1021" i="23"/>
  <c r="D1053" i="23"/>
  <c r="D1085" i="23"/>
  <c r="D865" i="23"/>
  <c r="D897" i="23"/>
  <c r="D929" i="23"/>
  <c r="D961" i="23"/>
  <c r="D993" i="23"/>
  <c r="D1025" i="23"/>
  <c r="D1057" i="23"/>
  <c r="D1089" i="23"/>
  <c r="D1120" i="23"/>
  <c r="D1124" i="23"/>
  <c r="D1128" i="23"/>
  <c r="D1132" i="23"/>
  <c r="D1136" i="23"/>
  <c r="D1140" i="23"/>
  <c r="D1144" i="23"/>
  <c r="D1148" i="23"/>
  <c r="D1152" i="23"/>
  <c r="D1156" i="23"/>
  <c r="D1160" i="23"/>
  <c r="D1164" i="23"/>
  <c r="D1168" i="23"/>
  <c r="D1172" i="23"/>
  <c r="D1176" i="23"/>
  <c r="D1180" i="23"/>
  <c r="D1184" i="23"/>
  <c r="D1188" i="23"/>
  <c r="D1192" i="23"/>
  <c r="D1196" i="23"/>
  <c r="D1200" i="23"/>
  <c r="D1204" i="23"/>
  <c r="D1208" i="23"/>
  <c r="D1212" i="23"/>
  <c r="D1216" i="23"/>
  <c r="D1220" i="23"/>
  <c r="D1224" i="23"/>
  <c r="D1228" i="23"/>
  <c r="D1232" i="23"/>
  <c r="D1236" i="23"/>
  <c r="D1240" i="23"/>
  <c r="D1244" i="23"/>
  <c r="D1248" i="23"/>
  <c r="D1252" i="23"/>
  <c r="D1256" i="23"/>
  <c r="D1260" i="23"/>
  <c r="D1264" i="23"/>
  <c r="D1268" i="23"/>
  <c r="D1272" i="23"/>
  <c r="D1276" i="23"/>
  <c r="D1280" i="23"/>
  <c r="D1284" i="23"/>
  <c r="D1288" i="23"/>
  <c r="D1292" i="23"/>
  <c r="D1296" i="23"/>
  <c r="D1300" i="23"/>
  <c r="D1304" i="23"/>
  <c r="D1308" i="23"/>
  <c r="D1312" i="23"/>
  <c r="D1316" i="23"/>
  <c r="D1320" i="23"/>
  <c r="D1324" i="23"/>
  <c r="D1328" i="23"/>
  <c r="D1332" i="23"/>
  <c r="D1336" i="23"/>
  <c r="D1340" i="23"/>
  <c r="D1344" i="23"/>
  <c r="D1348" i="23"/>
  <c r="D1352" i="23"/>
  <c r="D1356" i="23"/>
  <c r="D1360" i="23"/>
  <c r="D1364" i="23"/>
  <c r="D1368" i="23"/>
  <c r="D1372" i="23"/>
  <c r="D1376" i="23"/>
  <c r="D1380" i="23"/>
  <c r="D1384" i="23"/>
  <c r="D1388" i="23"/>
  <c r="D1392" i="23"/>
  <c r="D1396" i="23"/>
  <c r="D1400" i="23"/>
  <c r="D1404" i="23"/>
  <c r="D1408" i="23"/>
  <c r="D1029" i="23"/>
  <c r="D869" i="23"/>
  <c r="D933" i="23"/>
  <c r="D965" i="23"/>
  <c r="D997" i="23"/>
  <c r="D1061" i="23"/>
  <c r="D1093" i="23"/>
  <c r="B15" i="14"/>
  <c r="B22" i="14" l="1"/>
  <c r="B21" i="14"/>
  <c r="B20" i="14"/>
  <c r="B24" i="14"/>
  <c r="B23" i="14"/>
  <c r="H14" i="2" l="1"/>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C14" i="2"/>
  <c r="C13" i="2"/>
  <c r="C12" i="2"/>
  <c r="C11" i="2"/>
  <c r="C10" i="2"/>
  <c r="C9" i="2"/>
  <c r="C8" i="2"/>
  <c r="B9" i="2"/>
  <c r="B10" i="2"/>
  <c r="B11" i="2"/>
  <c r="B12" i="2"/>
  <c r="B13" i="2"/>
  <c r="B14" i="2"/>
  <c r="B8" i="2"/>
  <c r="C4" i="2"/>
  <c r="H4" i="2"/>
  <c r="G4" i="2"/>
  <c r="F4" i="2"/>
  <c r="E4" i="2"/>
  <c r="D4" i="2"/>
  <c r="B4" i="2"/>
</calcChain>
</file>

<file path=xl/sharedStrings.xml><?xml version="1.0" encoding="utf-8"?>
<sst xmlns="http://schemas.openxmlformats.org/spreadsheetml/2006/main" count="610" uniqueCount="80">
  <si>
    <t>Intersection:</t>
  </si>
  <si>
    <t>Conditions:</t>
  </si>
  <si>
    <t>Date:</t>
  </si>
  <si>
    <t>Time Periods</t>
  </si>
  <si>
    <t>Name</t>
  </si>
  <si>
    <t>Start Time</t>
  </si>
  <si>
    <t>End Time</t>
  </si>
  <si>
    <t>Survey Period 1</t>
  </si>
  <si>
    <t>Survey Period 2</t>
  </si>
  <si>
    <t>Survey Period 3</t>
  </si>
  <si>
    <t>Survey Period 4</t>
  </si>
  <si>
    <t>Approaches</t>
  </si>
  <si>
    <t>Basic Info</t>
  </si>
  <si>
    <t>Movements</t>
  </si>
  <si>
    <t>Approach 1</t>
  </si>
  <si>
    <t>Approach 2</t>
  </si>
  <si>
    <t>Approach 3</t>
  </si>
  <si>
    <t>Approach 4</t>
  </si>
  <si>
    <t>Approach 5</t>
  </si>
  <si>
    <t>Approach 6</t>
  </si>
  <si>
    <t>Fill in blue cells. Leave blank if not required.</t>
  </si>
  <si>
    <t>minutes</t>
  </si>
  <si>
    <t>Count Interval</t>
  </si>
  <si>
    <t>Approach 7</t>
  </si>
  <si>
    <t>AM</t>
  </si>
  <si>
    <t>GPS (Center)</t>
  </si>
  <si>
    <t xml:space="preserve"> GPS</t>
  </si>
  <si>
    <t>Queue Count Template</t>
  </si>
  <si>
    <t>Notes:</t>
  </si>
  <si>
    <t>Lanes</t>
  </si>
  <si>
    <t>Q1</t>
  </si>
  <si>
    <t>Q3</t>
  </si>
  <si>
    <t>Q1-Minimum</t>
  </si>
  <si>
    <t>Median-Q1</t>
  </si>
  <si>
    <t>Q3-Median</t>
  </si>
  <si>
    <t>Maximum-Q3</t>
  </si>
  <si>
    <t>*Combine Direction &amp; Lane Number if necessary e.g "Thru - Lane 1" and "Thru - Lane 2"</t>
  </si>
  <si>
    <t>Notes</t>
  </si>
  <si>
    <t>Queue 1</t>
  </si>
  <si>
    <t>Queue 2</t>
  </si>
  <si>
    <t>Queue 3</t>
  </si>
  <si>
    <t>Queue 4</t>
  </si>
  <si>
    <t>Queue 5</t>
  </si>
  <si>
    <t>Queue 6</t>
  </si>
  <si>
    <t>Queue 7</t>
  </si>
  <si>
    <t>Mean</t>
  </si>
  <si>
    <t>Minimum</t>
  </si>
  <si>
    <t>Maximum</t>
  </si>
  <si>
    <t>Queue Length (cars)</t>
  </si>
  <si>
    <t>Key Statistics</t>
  </si>
  <si>
    <t>Approach</t>
  </si>
  <si>
    <t>Movement</t>
  </si>
  <si>
    <t>Survey Period</t>
  </si>
  <si>
    <t>Time</t>
  </si>
  <si>
    <t>Sum of Queue Length (cars)</t>
  </si>
  <si>
    <t>Row Labels</t>
  </si>
  <si>
    <t>Queue Limits</t>
  </si>
  <si>
    <t>Title</t>
  </si>
  <si>
    <t>25th Percentile</t>
  </si>
  <si>
    <t>75th Percentile</t>
  </si>
  <si>
    <t>50th Percentile</t>
  </si>
  <si>
    <t>95th Percentile</t>
  </si>
  <si>
    <t>Note: do not use "/" or ":" in Intersection Name</t>
  </si>
  <si>
    <t>Line 1 Name</t>
  </si>
  <si>
    <t>Line 1 Value</t>
  </si>
  <si>
    <t>Line 2 Name</t>
  </si>
  <si>
    <t>Line 2 Value</t>
  </si>
  <si>
    <t>Enter queue limits to show on the graph. If no limits are required, leave blank.</t>
  </si>
  <si>
    <t>Line 1 Labels</t>
  </si>
  <si>
    <t>Line 2 Labels</t>
  </si>
  <si>
    <t>IP</t>
  </si>
  <si>
    <t>PM</t>
  </si>
  <si>
    <t>Fine</t>
  </si>
  <si>
    <t>Smith Street North</t>
  </si>
  <si>
    <t>Lane 1 Left Turn</t>
  </si>
  <si>
    <t>Lane 2 Right Turn</t>
  </si>
  <si>
    <t>Thurs 14/09/2023</t>
  </si>
  <si>
    <t>Smith Street_Queue</t>
  </si>
  <si>
    <t xml:space="preserve">Smith Street_Queue      Fine      Thurs 14/09/2023      </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</si>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</sst>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x14ac:knownFonts="1">
    <font>
      <sz val="11"/>
      <color theme="1"/>
      <name val="Calibri"/>
      <family val="2"/>
      <scheme val="minor"/>
    </font>
    <font>
      <b/>
      <sz val="11"/>
      <color theme="1"/>
      <name val="Calibri"/>
      <family val="2"/>
      <scheme val="minor"/>
    </font>
    <font>
      <b/>
      <u/>
      <sz val="11"/>
      <color theme="1"/>
      <name val="Calibri"/>
      <family val="2"/>
      <scheme val="minor"/>
    </font>
    <font>
      <sz val="11"/>
      <color rgb="FF3F3F76"/>
      <name val="Calibri"/>
      <family val="2"/>
      <scheme val="minor"/>
    </font>
    <font>
      <b/>
      <u/>
      <sz val="14"/>
      <name val="Calibri"/>
      <family val="2"/>
      <scheme val="minor"/>
    </font>
    <font>
      <b/>
      <sz val="16"/>
      <name val="Calibri"/>
      <family val="2"/>
      <scheme val="minor"/>
    </font>
    <font>
      <sz val="8"/>
      <color theme="1"/>
      <name val="Calibri"/>
      <family val="2"/>
      <scheme val="minor"/>
    </font>
    <font>
      <sz val="11"/>
      <color rgb="FFFF0000"/>
      <name val="Calibri"/>
      <family val="2"/>
      <scheme val="minor"/>
    </font>
  </fonts>
  <fills count="5">
    <fill>
      <patternFill patternType="none"/>
    </fill>
    <fill>
      <patternFill patternType="gray125"/>
    </fill>
    <fill>
      <patternFill patternType="solid">
        <fgColor theme="4" tint="0.59999389629810485"/>
        <bgColor indexed="64"/>
      </patternFill>
    </fill>
    <fill>
      <patternFill patternType="solid">
        <fgColor rgb="FFFFCC99"/>
      </patternFill>
    </fill>
    <fill>
      <patternFill patternType="solid">
        <fgColor rgb="FFE6E6E6"/>
        <bgColor indexed="64"/>
      </patternFill>
    </fill>
  </fills>
  <borders count="23">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rgb="FF7F7F7F"/>
      </left>
      <right style="thin">
        <color rgb="FF7F7F7F"/>
      </right>
      <top style="thin">
        <color rgb="FF7F7F7F"/>
      </top>
      <bottom style="thin">
        <color rgb="FF7F7F7F"/>
      </bottom>
      <diagonal/>
    </border>
    <border>
      <left style="medium">
        <color auto="1"/>
      </left>
      <right/>
      <top style="medium">
        <color indexed="64"/>
      </top>
      <bottom/>
      <diagonal/>
    </border>
    <border>
      <left style="medium">
        <color auto="1"/>
      </left>
      <right/>
      <top/>
      <bottom/>
      <diagonal/>
    </border>
    <border>
      <left style="medium">
        <color auto="1"/>
      </left>
      <right/>
      <top/>
      <bottom style="medium">
        <color indexed="64"/>
      </bottom>
      <diagonal/>
    </border>
    <border>
      <left style="medium">
        <color auto="1"/>
      </left>
      <right/>
      <top/>
      <bottom/>
      <diagonal/>
    </border>
    <border>
      <left style="thin">
        <color auto="1"/>
      </left>
      <right style="thin">
        <color indexed="64"/>
      </right>
      <top style="thin">
        <color indexed="64"/>
      </top>
      <bottom style="thin">
        <color indexed="64"/>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medium">
        <color auto="1"/>
      </left>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auto="1"/>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style="thin">
        <color auto="1"/>
      </left>
      <right style="medium">
        <color auto="1"/>
      </right>
      <top style="thin">
        <color indexed="64"/>
      </top>
      <bottom/>
      <diagonal/>
    </border>
    <border>
      <left/>
      <right style="medium">
        <color auto="1"/>
      </right>
      <top style="medium">
        <color auto="1"/>
      </top>
      <bottom/>
      <diagonal/>
    </border>
    <border>
      <left/>
      <right style="medium">
        <color auto="1"/>
      </right>
      <top/>
      <bottom/>
      <diagonal/>
    </border>
    <border>
      <left/>
      <right style="medium">
        <color auto="1"/>
      </right>
      <top/>
      <bottom style="medium">
        <color indexed="64"/>
      </bottom>
      <diagonal/>
    </border>
    <border>
      <left style="medium">
        <color auto="1"/>
      </left>
      <right style="thin">
        <color indexed="64"/>
      </right>
      <top style="thin">
        <color indexed="64"/>
      </top>
      <bottom/>
      <diagonal/>
    </border>
  </borders>
  <cellStyleXfs count="2">
    <xf numFmtId="0" fontId="0" fillId="0" borderId="0"/>
    <xf numFmtId="0" fontId="3" fillId="3" borderId="2" applyNumberFormat="0" applyAlignment="0" applyProtection="0"/>
  </cellStyleXfs>
  <cellXfs count="46">
    <xf numFmtId="0" fontId="0" fillId="0" borderId="0" xfId="0"/>
    <xf numFmtId="0" fontId="0" fillId="2" borderId="1" xfId="0" applyFill="1" applyBorder="1"/>
    <xf numFmtId="0" fontId="1" fillId="0" borderId="0" xfId="0" applyFont="1"/>
    <xf numFmtId="0" fontId="2" fillId="0" borderId="0" xfId="0" applyFont="1"/>
    <xf numFmtId="20" fontId="0" fillId="2" borderId="1" xfId="0" applyNumberFormat="1" applyFill="1" applyBorder="1"/>
    <xf numFmtId="20" fontId="0" fillId="0" borderId="0" xfId="0" applyNumberFormat="1"/>
    <xf numFmtId="0" fontId="3" fillId="3" borderId="2" xfId="1"/>
    <xf numFmtId="0" fontId="0" fillId="2" borderId="1" xfId="0" applyFill="1" applyBorder="1" applyAlignment="1">
      <alignment wrapText="1"/>
    </xf>
    <xf numFmtId="0" fontId="4" fillId="0" borderId="0" xfId="0" applyFont="1"/>
    <xf numFmtId="0" fontId="0" fillId="0" borderId="3" xfId="0" applyBorder="1"/>
    <xf numFmtId="1" fontId="0" fillId="0" borderId="0" xfId="0" applyNumberFormat="1" applyAlignment="1">
      <alignment horizontal="center"/>
    </xf>
    <xf numFmtId="0" fontId="0" fillId="0" borderId="4" xfId="0" applyBorder="1"/>
    <xf numFmtId="0" fontId="0" fillId="0" borderId="5" xfId="0" applyBorder="1"/>
    <xf numFmtId="0" fontId="5" fillId="0" borderId="0" xfId="0" applyFont="1"/>
    <xf numFmtId="0" fontId="0" fillId="0" borderId="6" xfId="0" applyBorder="1"/>
    <xf numFmtId="1" fontId="0" fillId="0" borderId="3" xfId="0" applyNumberFormat="1" applyBorder="1" applyAlignment="1">
      <alignment horizontal="center"/>
    </xf>
    <xf numFmtId="1" fontId="6" fillId="0" borderId="0" xfId="0" applyNumberFormat="1" applyFont="1" applyAlignment="1">
      <alignment horizontal="center" wrapText="1"/>
    </xf>
    <xf numFmtId="0" fontId="1" fillId="4" borderId="7" xfId="0" applyFont="1" applyFill="1" applyBorder="1" applyAlignment="1">
      <alignment horizontal="centerContinuous"/>
    </xf>
    <xf numFmtId="0" fontId="1" fillId="4" borderId="8" xfId="0" applyFont="1" applyFill="1" applyBorder="1" applyAlignment="1">
      <alignment horizontal="centerContinuous"/>
    </xf>
    <xf numFmtId="0" fontId="1" fillId="4" borderId="9" xfId="0" applyFont="1" applyFill="1" applyBorder="1" applyAlignment="1">
      <alignment horizontal="centerContinuous"/>
    </xf>
    <xf numFmtId="1" fontId="0" fillId="0" borderId="12" xfId="0" applyNumberFormat="1" applyBorder="1" applyAlignment="1">
      <alignment horizontal="center"/>
    </xf>
    <xf numFmtId="1" fontId="0" fillId="0" borderId="13" xfId="0" applyNumberFormat="1" applyBorder="1" applyAlignment="1">
      <alignment horizontal="center"/>
    </xf>
    <xf numFmtId="1" fontId="0" fillId="0" borderId="14" xfId="0" applyNumberFormat="1" applyBorder="1" applyAlignment="1">
      <alignment horizontal="center"/>
    </xf>
    <xf numFmtId="1" fontId="0" fillId="0" borderId="10" xfId="0" applyNumberFormat="1" applyBorder="1" applyAlignment="1">
      <alignment horizontal="center"/>
    </xf>
    <xf numFmtId="1" fontId="0" fillId="0" borderId="11" xfId="0" applyNumberFormat="1" applyBorder="1" applyAlignment="1">
      <alignment horizontal="center"/>
    </xf>
    <xf numFmtId="0" fontId="0" fillId="0" borderId="0" xfId="0" pivotButton="1"/>
    <xf numFmtId="20" fontId="0" fillId="0" borderId="0" xfId="0" applyNumberFormat="1" applyAlignment="1">
      <alignment horizontal="left"/>
    </xf>
    <xf numFmtId="14" fontId="0" fillId="2" borderId="1" xfId="0" applyNumberFormat="1" applyFill="1" applyBorder="1"/>
    <xf numFmtId="0" fontId="0" fillId="0" borderId="7" xfId="0" applyBorder="1"/>
    <xf numFmtId="0" fontId="0" fillId="0" borderId="10" xfId="0" applyBorder="1"/>
    <xf numFmtId="0" fontId="1" fillId="0" borderId="0" xfId="0" applyFont="1"/>
    <xf numFmtId="0" fontId="7" fillId="0" borderId="0" xfId="0" applyFont="1"/>
    <xf numFmtId="20" fontId="0" fillId="0" borderId="10" xfId="0" applyNumberFormat="1" applyBorder="1"/>
    <xf numFmtId="20" fontId="0" fillId="0" borderId="15" xfId="0" applyNumberFormat="1" applyBorder="1"/>
    <xf numFmtId="20" fontId="0" fillId="0" borderId="11" xfId="0" applyNumberFormat="1" applyBorder="1"/>
    <xf numFmtId="0" fontId="1" fillId="4" borderId="16" xfId="0" applyFont="1" applyFill="1" applyBorder="1" applyAlignment="1">
      <alignment horizontal="centerContinuous"/>
    </xf>
    <xf numFmtId="0" fontId="1" fillId="4" borderId="17" xfId="0" applyFont="1" applyFill="1" applyBorder="1" applyAlignment="1">
      <alignment horizontal="centerContinuous"/>
    </xf>
    <xf numFmtId="0" fontId="1" fillId="4" borderId="18" xfId="0" applyFont="1" applyFill="1" applyBorder="1" applyAlignment="1">
      <alignment horizontal="centerContinuous"/>
    </xf>
    <xf numFmtId="0" fontId="0" fillId="0" borderId="19" xfId="0" applyBorder="1"/>
    <xf numFmtId="0" fontId="0" fillId="0" borderId="20" xfId="0" applyBorder="1"/>
    <xf numFmtId="0" fontId="0" fillId="0" borderId="21" xfId="0" applyBorder="1"/>
    <xf numFmtId="0" fontId="1" fillId="4" borderId="3" xfId="0" applyFont="1" applyFill="1" applyBorder="1"/>
    <xf numFmtId="0" fontId="1" fillId="4" borderId="22" xfId="0" applyFont="1" applyFill="1" applyBorder="1" applyAlignment="1">
      <alignment horizontal="centerContinuous"/>
    </xf>
    <xf numFmtId="0" fontId="0" fillId="0" borderId="15" xfId="0" applyBorder="1"/>
    <xf numFmtId="0" fontId="0" fillId="0" borderId="11" xfId="0" applyBorder="1"/>
    <xf numFmtId="0" fontId="0" fillId="0" borderId="0" xfId="0" applyNumberFormat="1"/>
  </cellXfs>
  <cellStyles count="2">
    <cellStyle name="Input" xfId="1" builtinId="20"/>
    <cellStyle name="Normal" xfId="0" builtinId="0"/>
  </cellStyles>
  <dxfs count="36">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35"/>
      <tableStyleElement type="totalRow" dxfId="34"/>
      <tableStyleElement type="firstRowStripe" dxfId="33"/>
      <tableStyleElement type="firstColumnStripe" dxfId="32"/>
      <tableStyleElement type="firstSubtotalColumn" dxfId="31"/>
      <tableStyleElement type="firstSubtotalRow" dxfId="30"/>
      <tableStyleElement type="secondSubtotalRow" dxfId="29"/>
      <tableStyleElement type="firstColumnSubheading" dxfId="28"/>
      <tableStyleElement type="secondColumnSubheading" dxfId="27"/>
      <tableStyleElement type="firstRowSubheading" dxfId="26"/>
      <tableStyleElement type="secondRowSubheading" dxfId="25"/>
      <tableStyleElement type="pageFieldLabels" dxfId="24"/>
      <tableStyleElement type="pageFieldValues" dxfId="23"/>
    </tableStyle>
    <tableStyle name="PivotStyleDark4 2" table="0" count="13" xr9:uid="{00000000-0011-0000-FFFF-FFFF01000000}">
      <tableStyleElement type="wholeTable" dxfId="22"/>
      <tableStyleElement type="headerRow" dxfId="21"/>
      <tableStyleElement type="totalRow" dxfId="20"/>
      <tableStyleElement type="secondRowStripe" dxfId="19"/>
      <tableStyleElement type="secondColumnStripe" dxfId="18"/>
      <tableStyleElement type="firstSubtotalRow" dxfId="17"/>
      <tableStyleElement type="firstColumnSubheading" dxfId="16"/>
      <tableStyleElement type="secondColumnSubheading" dxfId="15"/>
      <tableStyleElement type="thirdColumnSubheading" dxfId="14"/>
      <tableStyleElement type="firstRowSubheading" dxfId="13"/>
      <tableStyleElement type="secondRowSubheading" dxfId="12"/>
      <tableStyleElement type="pageFieldLabels" dxfId="11"/>
      <tableStyleElement type="pageFieldValues" dxfId="1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4.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a:pPr>
            <a:r>
              <a:rPr lang="en-NZ"/>
              <a:t>AM Queue Lengths</a:t>
            </a:r>
          </a:p>
        </c:rich>
      </c:tx>
      <c:overlay val="0"/>
    </c:title>
    <c:autoTitleDeleted val="0"/>
    <c:plotArea>
      <c:layout/>
      <c:barChart>
        <c:barDir val="col"/>
        <c:grouping val="stacked"/>
        <c:varyColors val="0"/>
        <c:ser>
          <c:idx val="0"/>
          <c:order val="0"/>
          <c:spPr>
            <a:noFill/>
            <a:extLst>
              <a:ext uri="{909E8E84-426E-40DD-AFC4-6F175D3DCCD1}">
                <a14:hiddenFill xmlns:a14="http://schemas.microsoft.com/office/drawing/2010/main">
                  <a:solidFill>
                    <a:srgbClr val="5B9BD5"/>
                  </a:solidFill>
                </a14:hiddenFill>
              </a:ext>
            </a:extLst>
          </c:spPr>
          <c:invertIfNegative val="0"/>
          <c:errBars>
            <c:errBarType val="minus"/>
            <c:errValType val="cust"/>
            <c:noEndCap val="0"/>
            <c:minus>
              <c:numRef>
                <c:f>Statistics!$B$20:$C$20</c:f>
                <c:numCache>
                  <c:formatCode>General</c:formatCode>
                  <c:ptCount val="2"/>
                  <c:pt idx="0">
                    <c:v>0</c:v>
                  </c:pt>
                  <c:pt idx="1">
                    <c:v>0</c:v>
                  </c:pt>
                </c:numCache>
              </c:numRef>
            </c:minus>
          </c:errBars>
          <c:cat>
            <c:multiLvlStrRef>
              <c:f>Statistics!$B$6:$C$7</c:f>
              <c:multiLvlStrCache>
                <c:ptCount val="2"/>
                <c:lvl>
                  <c:pt idx="0">
                    <c:v>Lane 1 Left Turn</c:v>
                  </c:pt>
                  <c:pt idx="1">
                    <c:v>Lane 2 Right Turn</c:v>
                  </c:pt>
                </c:lvl>
                <c:lvl>
                  <c:pt idx="0">
                    <c:v>Smith Street North</c:v>
                  </c:pt>
                </c:lvl>
              </c:multiLvlStrCache>
            </c:multiLvlStrRef>
          </c:cat>
          <c:val>
            <c:numRef>
              <c:f>Statistics!$B$21:$C$21</c:f>
              <c:numCache>
                <c:formatCode>0</c:formatCode>
                <c:ptCount val="2"/>
                <c:pt idx="0">
                  <c:v>1</c:v>
                </c:pt>
                <c:pt idx="1">
                  <c:v>1</c:v>
                </c:pt>
              </c:numCache>
            </c:numRef>
          </c:val>
          <c:extLst>
            <c:ext xmlns:c16="http://schemas.microsoft.com/office/drawing/2014/chart" uri="{C3380CC4-5D6E-409C-BE32-E72D297353CC}">
              <c16:uniqueId val="{00000000-19A4-424D-AF8B-E7050D4D2680}"/>
            </c:ext>
          </c:extLst>
        </c:ser>
        <c:ser>
          <c:idx val="1"/>
          <c:order val="1"/>
          <c:invertIfNegative val="0"/>
          <c:val>
            <c:numRef>
              <c:f>Statistics!$B$22:$C$22</c:f>
              <c:numCache>
                <c:formatCode>0</c:formatCode>
                <c:ptCount val="2"/>
                <c:pt idx="0">
                  <c:v>0</c:v>
                </c:pt>
                <c:pt idx="1">
                  <c:v>0</c:v>
                </c:pt>
              </c:numCache>
            </c:numRef>
          </c:val>
          <c:extLst>
            <c:ext xmlns:c16="http://schemas.microsoft.com/office/drawing/2014/chart" uri="{C3380CC4-5D6E-409C-BE32-E72D297353CC}">
              <c16:uniqueId val="{00000001-19A4-424D-AF8B-E7050D4D2680}"/>
            </c:ext>
          </c:extLst>
        </c:ser>
        <c:ser>
          <c:idx val="2"/>
          <c:order val="2"/>
          <c:invertIfNegative val="0"/>
          <c:errBars>
            <c:errBarType val="plus"/>
            <c:errValType val="cust"/>
            <c:noEndCap val="0"/>
            <c:plus>
              <c:numRef>
                <c:f>Statistics!$B$24:$C$24</c:f>
                <c:numCache>
                  <c:formatCode>General</c:formatCode>
                  <c:ptCount val="2"/>
                  <c:pt idx="0">
                    <c:v>3</c:v>
                  </c:pt>
                  <c:pt idx="1">
                    <c:v>2</c:v>
                  </c:pt>
                </c:numCache>
              </c:numRef>
            </c:plus>
          </c:errBars>
          <c:val>
            <c:numRef>
              <c:f>Statistics!$B$23:$C$23</c:f>
              <c:numCache>
                <c:formatCode>0</c:formatCode>
                <c:ptCount val="2"/>
                <c:pt idx="0">
                  <c:v>0</c:v>
                </c:pt>
                <c:pt idx="1">
                  <c:v>0</c:v>
                </c:pt>
              </c:numCache>
            </c:numRef>
          </c:val>
          <c:extLst>
            <c:ext xmlns:c16="http://schemas.microsoft.com/office/drawing/2014/chart" uri="{C3380CC4-5D6E-409C-BE32-E72D297353CC}">
              <c16:uniqueId val="{00000002-19A4-424D-AF8B-E7050D4D2680}"/>
            </c:ext>
          </c:extLst>
        </c:ser>
        <c:dLbls>
          <c:showLegendKey val="0"/>
          <c:showVal val="0"/>
          <c:showCatName val="0"/>
          <c:showSerName val="0"/>
          <c:showPercent val="0"/>
          <c:showBubbleSize val="0"/>
        </c:dLbls>
        <c:gapWidth val="150"/>
        <c:overlap val="100"/>
        <c:axId val="535826008"/>
        <c:axId val="535828168"/>
      </c:barChart>
      <c:catAx>
        <c:axId val="535826008"/>
        <c:scaling>
          <c:orientation val="minMax"/>
        </c:scaling>
        <c:delete val="0"/>
        <c:axPos val="b"/>
        <c:numFmt formatCode="General" sourceLinked="1"/>
        <c:majorTickMark val="out"/>
        <c:minorTickMark val="none"/>
        <c:tickLblPos val="nextTo"/>
        <c:crossAx val="535828168"/>
        <c:crosses val="autoZero"/>
        <c:auto val="1"/>
        <c:lblAlgn val="ctr"/>
        <c:lblOffset val="100"/>
        <c:noMultiLvlLbl val="0"/>
      </c:catAx>
      <c:valAx>
        <c:axId val="535828168"/>
        <c:scaling>
          <c:orientation val="minMax"/>
        </c:scaling>
        <c:delete val="0"/>
        <c:axPos val="l"/>
        <c:majorGridlines>
          <c:spPr>
            <a:ln w="6350" cap="flat" cmpd="sng" algn="ctr">
              <a:solidFill>
                <a:sysClr val="window" lastClr="FFFFFF">
                  <a:lumMod val="95000"/>
                </a:sysClr>
              </a:solidFill>
              <a:prstDash val="solid"/>
              <a:round/>
              <a:headEnd type="none" w="med" len="med"/>
              <a:tailEnd type="none" w="med" len="med"/>
            </a:ln>
          </c:spPr>
        </c:majorGridlines>
        <c:title>
          <c:tx>
            <c:rich>
              <a:bodyPr/>
              <a:lstStyle/>
              <a:p>
                <a:pPr>
                  <a:defRPr/>
                </a:pPr>
                <a:r>
                  <a:rPr lang="en-NZ"/>
                  <a:t>Queue Length (cars)</a:t>
                </a:r>
              </a:p>
            </c:rich>
          </c:tx>
          <c:overlay val="0"/>
        </c:title>
        <c:numFmt formatCode="0" sourceLinked="1"/>
        <c:majorTickMark val="out"/>
        <c:minorTickMark val="none"/>
        <c:tickLblPos val="nextTo"/>
        <c:crossAx val="535826008"/>
        <c:crosses val="autoZero"/>
        <c:crossBetween val="between"/>
      </c:valAx>
    </c:plotArea>
    <c:plotVisOnly val="0"/>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a:pPr>
            <a:r>
              <a:rPr lang="en-NZ"/>
              <a:t>IP Queue Lengths</a:t>
            </a:r>
          </a:p>
        </c:rich>
      </c:tx>
      <c:overlay val="0"/>
    </c:title>
    <c:autoTitleDeleted val="0"/>
    <c:plotArea>
      <c:layout/>
      <c:barChart>
        <c:barDir val="col"/>
        <c:grouping val="stacked"/>
        <c:varyColors val="0"/>
        <c:ser>
          <c:idx val="0"/>
          <c:order val="0"/>
          <c:spPr>
            <a:noFill/>
            <a:extLst>
              <a:ext uri="{909E8E84-426E-40DD-AFC4-6F175D3DCCD1}">
                <a14:hiddenFill xmlns:a14="http://schemas.microsoft.com/office/drawing/2010/main">
                  <a:solidFill>
                    <a:srgbClr val="5B9BD5"/>
                  </a:solidFill>
                </a14:hiddenFill>
              </a:ext>
            </a:extLst>
          </c:spPr>
          <c:invertIfNegative val="0"/>
          <c:errBars>
            <c:errBarType val="minus"/>
            <c:errValType val="cust"/>
            <c:noEndCap val="0"/>
            <c:minus>
              <c:numRef>
                <c:f>Statistics!$F$20:$G$20</c:f>
                <c:numCache>
                  <c:formatCode>General</c:formatCode>
                  <c:ptCount val="2"/>
                  <c:pt idx="0">
                    <c:v>0</c:v>
                  </c:pt>
                  <c:pt idx="1">
                    <c:v>0</c:v>
                  </c:pt>
                </c:numCache>
              </c:numRef>
            </c:minus>
          </c:errBars>
          <c:cat>
            <c:multiLvlStrRef>
              <c:f>Statistics!$F$6:$G$7</c:f>
              <c:multiLvlStrCache>
                <c:ptCount val="2"/>
                <c:lvl>
                  <c:pt idx="0">
                    <c:v>Lane 1 Left Turn</c:v>
                  </c:pt>
                  <c:pt idx="1">
                    <c:v>Lane 2 Right Turn</c:v>
                  </c:pt>
                </c:lvl>
                <c:lvl>
                  <c:pt idx="0">
                    <c:v>Smith Street North</c:v>
                  </c:pt>
                </c:lvl>
              </c:multiLvlStrCache>
            </c:multiLvlStrRef>
          </c:cat>
          <c:val>
            <c:numRef>
              <c:f>Statistics!$F$21:$G$21</c:f>
              <c:numCache>
                <c:formatCode>0</c:formatCode>
                <c:ptCount val="2"/>
                <c:pt idx="0">
                  <c:v>1</c:v>
                </c:pt>
                <c:pt idx="1">
                  <c:v>1</c:v>
                </c:pt>
              </c:numCache>
            </c:numRef>
          </c:val>
          <c:extLst>
            <c:ext xmlns:c16="http://schemas.microsoft.com/office/drawing/2014/chart" uri="{C3380CC4-5D6E-409C-BE32-E72D297353CC}">
              <c16:uniqueId val="{00000000-1FD9-4BA0-8224-094A3F4E5D79}"/>
            </c:ext>
          </c:extLst>
        </c:ser>
        <c:ser>
          <c:idx val="1"/>
          <c:order val="1"/>
          <c:invertIfNegative val="0"/>
          <c:val>
            <c:numRef>
              <c:f>Statistics!$F$22:$G$22</c:f>
              <c:numCache>
                <c:formatCode>0</c:formatCode>
                <c:ptCount val="2"/>
                <c:pt idx="0">
                  <c:v>0</c:v>
                </c:pt>
                <c:pt idx="1">
                  <c:v>0</c:v>
                </c:pt>
              </c:numCache>
            </c:numRef>
          </c:val>
          <c:extLst>
            <c:ext xmlns:c16="http://schemas.microsoft.com/office/drawing/2014/chart" uri="{C3380CC4-5D6E-409C-BE32-E72D297353CC}">
              <c16:uniqueId val="{00000001-1FD9-4BA0-8224-094A3F4E5D79}"/>
            </c:ext>
          </c:extLst>
        </c:ser>
        <c:ser>
          <c:idx val="2"/>
          <c:order val="2"/>
          <c:invertIfNegative val="0"/>
          <c:errBars>
            <c:errBarType val="plus"/>
            <c:errValType val="cust"/>
            <c:noEndCap val="0"/>
            <c:plus>
              <c:numRef>
                <c:f>Statistics!$F$24:$G$24</c:f>
                <c:numCache>
                  <c:formatCode>General</c:formatCode>
                  <c:ptCount val="2"/>
                  <c:pt idx="0">
                    <c:v>3</c:v>
                  </c:pt>
                  <c:pt idx="1">
                    <c:v>1</c:v>
                  </c:pt>
                </c:numCache>
              </c:numRef>
            </c:plus>
          </c:errBars>
          <c:val>
            <c:numRef>
              <c:f>Statistics!$F$23:$G$23</c:f>
              <c:numCache>
                <c:formatCode>0</c:formatCode>
                <c:ptCount val="2"/>
                <c:pt idx="0">
                  <c:v>0</c:v>
                </c:pt>
                <c:pt idx="1">
                  <c:v>0</c:v>
                </c:pt>
              </c:numCache>
            </c:numRef>
          </c:val>
          <c:extLst>
            <c:ext xmlns:c16="http://schemas.microsoft.com/office/drawing/2014/chart" uri="{C3380CC4-5D6E-409C-BE32-E72D297353CC}">
              <c16:uniqueId val="{00000002-1FD9-4BA0-8224-094A3F4E5D79}"/>
            </c:ext>
          </c:extLst>
        </c:ser>
        <c:dLbls>
          <c:showLegendKey val="0"/>
          <c:showVal val="0"/>
          <c:showCatName val="0"/>
          <c:showSerName val="0"/>
          <c:showPercent val="0"/>
          <c:showBubbleSize val="0"/>
        </c:dLbls>
        <c:gapWidth val="150"/>
        <c:overlap val="100"/>
        <c:axId val="535825648"/>
        <c:axId val="535826008"/>
      </c:barChart>
      <c:catAx>
        <c:axId val="535825648"/>
        <c:scaling>
          <c:orientation val="minMax"/>
        </c:scaling>
        <c:delete val="0"/>
        <c:axPos val="b"/>
        <c:numFmt formatCode="General" sourceLinked="1"/>
        <c:majorTickMark val="out"/>
        <c:minorTickMark val="none"/>
        <c:tickLblPos val="nextTo"/>
        <c:crossAx val="535826008"/>
        <c:crosses val="autoZero"/>
        <c:auto val="1"/>
        <c:lblAlgn val="ctr"/>
        <c:lblOffset val="100"/>
        <c:noMultiLvlLbl val="0"/>
      </c:catAx>
      <c:valAx>
        <c:axId val="535826008"/>
        <c:scaling>
          <c:orientation val="minMax"/>
        </c:scaling>
        <c:delete val="0"/>
        <c:axPos val="l"/>
        <c:majorGridlines>
          <c:spPr>
            <a:ln w="6350" cap="flat" cmpd="sng" algn="ctr">
              <a:solidFill>
                <a:sysClr val="window" lastClr="FFFFFF">
                  <a:lumMod val="95000"/>
                </a:sysClr>
              </a:solidFill>
              <a:prstDash val="solid"/>
              <a:round/>
              <a:headEnd type="none" w="med" len="med"/>
              <a:tailEnd type="none" w="med" len="med"/>
            </a:ln>
          </c:spPr>
        </c:majorGridlines>
        <c:title>
          <c:tx>
            <c:rich>
              <a:bodyPr/>
              <a:lstStyle/>
              <a:p>
                <a:pPr>
                  <a:defRPr/>
                </a:pPr>
                <a:r>
                  <a:rPr lang="en-NZ"/>
                  <a:t>Queue Length (cars)</a:t>
                </a:r>
              </a:p>
            </c:rich>
          </c:tx>
          <c:overlay val="0"/>
        </c:title>
        <c:numFmt formatCode="0" sourceLinked="1"/>
        <c:majorTickMark val="out"/>
        <c:minorTickMark val="none"/>
        <c:tickLblPos val="nextTo"/>
        <c:crossAx val="535825648"/>
        <c:crosses val="autoZero"/>
        <c:crossBetween val="between"/>
      </c:valAx>
    </c:plotArea>
    <c:plotVisOnly val="0"/>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a:pPr>
            <a:r>
              <a:rPr lang="en-NZ"/>
              <a:t>PM Queue Lengths</a:t>
            </a:r>
          </a:p>
        </c:rich>
      </c:tx>
      <c:overlay val="0"/>
    </c:title>
    <c:autoTitleDeleted val="0"/>
    <c:plotArea>
      <c:layout/>
      <c:barChart>
        <c:barDir val="col"/>
        <c:grouping val="stacked"/>
        <c:varyColors val="0"/>
        <c:ser>
          <c:idx val="0"/>
          <c:order val="0"/>
          <c:spPr>
            <a:noFill/>
            <a:extLst>
              <a:ext uri="{909E8E84-426E-40DD-AFC4-6F175D3DCCD1}">
                <a14:hiddenFill xmlns:a14="http://schemas.microsoft.com/office/drawing/2010/main">
                  <a:solidFill>
                    <a:srgbClr val="5B9BD5"/>
                  </a:solidFill>
                </a14:hiddenFill>
              </a:ext>
            </a:extLst>
          </c:spPr>
          <c:invertIfNegative val="0"/>
          <c:errBars>
            <c:errBarType val="minus"/>
            <c:errValType val="cust"/>
            <c:noEndCap val="0"/>
            <c:minus>
              <c:numRef>
                <c:f>Statistics!$J$20:$K$20</c:f>
                <c:numCache>
                  <c:formatCode>General</c:formatCode>
                  <c:ptCount val="2"/>
                  <c:pt idx="0">
                    <c:v>0</c:v>
                  </c:pt>
                  <c:pt idx="1">
                    <c:v>0</c:v>
                  </c:pt>
                </c:numCache>
              </c:numRef>
            </c:minus>
          </c:errBars>
          <c:cat>
            <c:multiLvlStrRef>
              <c:f>Statistics!$J$6:$K$7</c:f>
              <c:multiLvlStrCache>
                <c:ptCount val="2"/>
                <c:lvl>
                  <c:pt idx="0">
                    <c:v>Lane 1 Left Turn</c:v>
                  </c:pt>
                  <c:pt idx="1">
                    <c:v>Lane 2 Right Turn</c:v>
                  </c:pt>
                </c:lvl>
                <c:lvl>
                  <c:pt idx="0">
                    <c:v>Smith Street North</c:v>
                  </c:pt>
                </c:lvl>
              </c:multiLvlStrCache>
            </c:multiLvlStrRef>
          </c:cat>
          <c:val>
            <c:numRef>
              <c:f>Statistics!$J$21:$K$21</c:f>
              <c:numCache>
                <c:formatCode>0</c:formatCode>
                <c:ptCount val="2"/>
                <c:pt idx="0">
                  <c:v>1</c:v>
                </c:pt>
                <c:pt idx="1">
                  <c:v>1</c:v>
                </c:pt>
              </c:numCache>
            </c:numRef>
          </c:val>
          <c:extLst>
            <c:ext xmlns:c16="http://schemas.microsoft.com/office/drawing/2014/chart" uri="{C3380CC4-5D6E-409C-BE32-E72D297353CC}">
              <c16:uniqueId val="{00000000-B10D-4330-926C-5F411FB6D83E}"/>
            </c:ext>
          </c:extLst>
        </c:ser>
        <c:ser>
          <c:idx val="1"/>
          <c:order val="1"/>
          <c:invertIfNegative val="0"/>
          <c:val>
            <c:numRef>
              <c:f>Statistics!$J$22:$K$22</c:f>
              <c:numCache>
                <c:formatCode>0</c:formatCode>
                <c:ptCount val="2"/>
                <c:pt idx="0">
                  <c:v>0</c:v>
                </c:pt>
                <c:pt idx="1">
                  <c:v>0</c:v>
                </c:pt>
              </c:numCache>
            </c:numRef>
          </c:val>
          <c:extLst>
            <c:ext xmlns:c16="http://schemas.microsoft.com/office/drawing/2014/chart" uri="{C3380CC4-5D6E-409C-BE32-E72D297353CC}">
              <c16:uniqueId val="{00000001-B10D-4330-926C-5F411FB6D83E}"/>
            </c:ext>
          </c:extLst>
        </c:ser>
        <c:ser>
          <c:idx val="2"/>
          <c:order val="2"/>
          <c:invertIfNegative val="0"/>
          <c:errBars>
            <c:errBarType val="plus"/>
            <c:errValType val="cust"/>
            <c:noEndCap val="0"/>
            <c:plus>
              <c:numRef>
                <c:f>Statistics!$J$24:$K$24</c:f>
                <c:numCache>
                  <c:formatCode>General</c:formatCode>
                  <c:ptCount val="2"/>
                  <c:pt idx="0">
                    <c:v>0</c:v>
                  </c:pt>
                  <c:pt idx="1">
                    <c:v>1</c:v>
                  </c:pt>
                </c:numCache>
              </c:numRef>
            </c:plus>
          </c:errBars>
          <c:val>
            <c:numRef>
              <c:f>Statistics!$J$23:$K$23</c:f>
              <c:numCache>
                <c:formatCode>0</c:formatCode>
                <c:ptCount val="2"/>
                <c:pt idx="0">
                  <c:v>1</c:v>
                </c:pt>
                <c:pt idx="1">
                  <c:v>0</c:v>
                </c:pt>
              </c:numCache>
            </c:numRef>
          </c:val>
          <c:extLst>
            <c:ext xmlns:c16="http://schemas.microsoft.com/office/drawing/2014/chart" uri="{C3380CC4-5D6E-409C-BE32-E72D297353CC}">
              <c16:uniqueId val="{00000002-B10D-4330-926C-5F411FB6D83E}"/>
            </c:ext>
          </c:extLst>
        </c:ser>
        <c:dLbls>
          <c:showLegendKey val="0"/>
          <c:showVal val="0"/>
          <c:showCatName val="0"/>
          <c:showSerName val="0"/>
          <c:showPercent val="0"/>
          <c:showBubbleSize val="0"/>
        </c:dLbls>
        <c:gapWidth val="150"/>
        <c:overlap val="100"/>
        <c:axId val="535471864"/>
        <c:axId val="533190632"/>
      </c:barChart>
      <c:catAx>
        <c:axId val="535471864"/>
        <c:scaling>
          <c:orientation val="minMax"/>
        </c:scaling>
        <c:delete val="0"/>
        <c:axPos val="b"/>
        <c:numFmt formatCode="General" sourceLinked="1"/>
        <c:majorTickMark val="out"/>
        <c:minorTickMark val="none"/>
        <c:tickLblPos val="nextTo"/>
        <c:crossAx val="533190632"/>
        <c:crosses val="autoZero"/>
        <c:auto val="1"/>
        <c:lblAlgn val="ctr"/>
        <c:lblOffset val="100"/>
        <c:noMultiLvlLbl val="0"/>
      </c:catAx>
      <c:valAx>
        <c:axId val="533190632"/>
        <c:scaling>
          <c:orientation val="minMax"/>
        </c:scaling>
        <c:delete val="0"/>
        <c:axPos val="l"/>
        <c:majorGridlines>
          <c:spPr>
            <a:ln w="6350" cap="flat" cmpd="sng" algn="ctr">
              <a:solidFill>
                <a:sysClr val="window" lastClr="FFFFFF">
                  <a:lumMod val="95000"/>
                </a:sysClr>
              </a:solidFill>
              <a:prstDash val="solid"/>
              <a:round/>
              <a:headEnd type="none" w="med" len="med"/>
              <a:tailEnd type="none" w="med" len="med"/>
            </a:ln>
          </c:spPr>
        </c:majorGridlines>
        <c:title>
          <c:tx>
            <c:rich>
              <a:bodyPr/>
              <a:lstStyle/>
              <a:p>
                <a:pPr>
                  <a:defRPr/>
                </a:pPr>
                <a:r>
                  <a:rPr lang="en-NZ"/>
                  <a:t>Queue Length (cars)</a:t>
                </a:r>
              </a:p>
            </c:rich>
          </c:tx>
          <c:overlay val="0"/>
        </c:title>
        <c:numFmt formatCode="0" sourceLinked="1"/>
        <c:majorTickMark val="out"/>
        <c:minorTickMark val="none"/>
        <c:tickLblPos val="nextTo"/>
        <c:crossAx val="535471864"/>
        <c:crosses val="autoZero"/>
        <c:crossBetween val="between"/>
      </c:valAx>
    </c:plotArea>
    <c:plotVisOnly val="0"/>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Graph!$B$2</c:f>
          <c:strCache>
            <c:ptCount val="1"/>
            <c:pt idx="0">
              <c:v>Surveyed Queue Lengths Thurs 14/09/2023: Smith Street North, (All), AM</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0247297539395152E-2"/>
          <c:y val="0.13604766490157807"/>
          <c:w val="0.84639602260638813"/>
          <c:h val="0.68235394695722951"/>
        </c:manualLayout>
      </c:layout>
      <c:barChart>
        <c:barDir val="col"/>
        <c:grouping val="clustered"/>
        <c:varyColors val="0"/>
        <c:ser>
          <c:idx val="0"/>
          <c:order val="0"/>
          <c:tx>
            <c:v>Queue Length</c:v>
          </c:tx>
          <c:spPr>
            <a:solidFill>
              <a:schemeClr val="accent1"/>
            </a:solidFill>
            <a:ln>
              <a:noFill/>
            </a:ln>
            <a:effectLst/>
          </c:spPr>
          <c:invertIfNegative val="0"/>
          <c:cat>
            <c:numRef>
              <c:f>[0]!rngAxisLabels</c:f>
              <c:numCache>
                <c:formatCode>h:mm</c:formatCode>
                <c:ptCount val="24"/>
                <c:pt idx="0">
                  <c:v>0.29166666666666669</c:v>
                </c:pt>
                <c:pt idx="1">
                  <c:v>0.2951388888888889</c:v>
                </c:pt>
                <c:pt idx="2">
                  <c:v>0.2986111111111111</c:v>
                </c:pt>
                <c:pt idx="3">
                  <c:v>0.30208333333333331</c:v>
                </c:pt>
                <c:pt idx="4">
                  <c:v>0.30555555555555552</c:v>
                </c:pt>
                <c:pt idx="5">
                  <c:v>0.30902777777777779</c:v>
                </c:pt>
                <c:pt idx="6">
                  <c:v>0.3125</c:v>
                </c:pt>
                <c:pt idx="7">
                  <c:v>0.31597222222222221</c:v>
                </c:pt>
                <c:pt idx="8">
                  <c:v>0.31944444444444448</c:v>
                </c:pt>
                <c:pt idx="9">
                  <c:v>0.32291666666666669</c:v>
                </c:pt>
                <c:pt idx="10">
                  <c:v>0.3263888888888889</c:v>
                </c:pt>
                <c:pt idx="11">
                  <c:v>0.3298611111111111</c:v>
                </c:pt>
                <c:pt idx="12">
                  <c:v>0.33333333333333331</c:v>
                </c:pt>
                <c:pt idx="13">
                  <c:v>0.33680555555555558</c:v>
                </c:pt>
                <c:pt idx="14">
                  <c:v>0.34027777777777773</c:v>
                </c:pt>
                <c:pt idx="15">
                  <c:v>0.34375</c:v>
                </c:pt>
                <c:pt idx="16">
                  <c:v>0.34722222222222227</c:v>
                </c:pt>
                <c:pt idx="17">
                  <c:v>0.35069444444444442</c:v>
                </c:pt>
                <c:pt idx="18">
                  <c:v>0.35416666666666669</c:v>
                </c:pt>
                <c:pt idx="19">
                  <c:v>0.3576388888888889</c:v>
                </c:pt>
                <c:pt idx="20">
                  <c:v>0.3611111111111111</c:v>
                </c:pt>
                <c:pt idx="21">
                  <c:v>0.36458333333333331</c:v>
                </c:pt>
                <c:pt idx="22">
                  <c:v>0.36805555555555558</c:v>
                </c:pt>
                <c:pt idx="23">
                  <c:v>0.37152777777777773</c:v>
                </c:pt>
              </c:numCache>
            </c:numRef>
          </c:cat>
          <c:val>
            <c:numRef>
              <c:f>[0]!rngSeriesQueue</c:f>
              <c:numCache>
                <c:formatCode>General</c:formatCode>
                <c:ptCount val="24"/>
                <c:pt idx="0">
                  <c:v>1</c:v>
                </c:pt>
                <c:pt idx="1">
                  <c:v>3</c:v>
                </c:pt>
                <c:pt idx="2">
                  <c:v>1</c:v>
                </c:pt>
                <c:pt idx="3">
                  <c:v>1</c:v>
                </c:pt>
                <c:pt idx="4">
                  <c:v>1</c:v>
                </c:pt>
                <c:pt idx="5">
                  <c:v>1</c:v>
                </c:pt>
                <c:pt idx="6">
                  <c:v>0</c:v>
                </c:pt>
                <c:pt idx="7">
                  <c:v>0</c:v>
                </c:pt>
                <c:pt idx="8">
                  <c:v>1</c:v>
                </c:pt>
                <c:pt idx="9">
                  <c:v>0</c:v>
                </c:pt>
                <c:pt idx="10">
                  <c:v>1</c:v>
                </c:pt>
                <c:pt idx="11">
                  <c:v>0</c:v>
                </c:pt>
                <c:pt idx="12">
                  <c:v>2</c:v>
                </c:pt>
                <c:pt idx="13">
                  <c:v>2</c:v>
                </c:pt>
                <c:pt idx="14">
                  <c:v>1</c:v>
                </c:pt>
                <c:pt idx="15">
                  <c:v>1</c:v>
                </c:pt>
                <c:pt idx="16">
                  <c:v>2</c:v>
                </c:pt>
                <c:pt idx="17">
                  <c:v>2</c:v>
                </c:pt>
                <c:pt idx="18">
                  <c:v>3</c:v>
                </c:pt>
                <c:pt idx="19">
                  <c:v>5</c:v>
                </c:pt>
                <c:pt idx="20">
                  <c:v>1</c:v>
                </c:pt>
                <c:pt idx="21">
                  <c:v>2</c:v>
                </c:pt>
                <c:pt idx="22">
                  <c:v>1</c:v>
                </c:pt>
                <c:pt idx="23">
                  <c:v>1</c:v>
                </c:pt>
              </c:numCache>
            </c:numRef>
          </c:val>
          <c:extLst>
            <c:ext xmlns:c16="http://schemas.microsoft.com/office/drawing/2014/chart" uri="{C3380CC4-5D6E-409C-BE32-E72D297353CC}">
              <c16:uniqueId val="{00000000-0685-4A3E-9E51-4F154CC233A4}"/>
            </c:ext>
          </c:extLst>
        </c:ser>
        <c:dLbls>
          <c:showLegendKey val="0"/>
          <c:showVal val="0"/>
          <c:showCatName val="0"/>
          <c:showSerName val="0"/>
          <c:showPercent val="0"/>
          <c:showBubbleSize val="0"/>
        </c:dLbls>
        <c:gapWidth val="25"/>
        <c:axId val="190343016"/>
        <c:axId val="190335568"/>
      </c:barChart>
      <c:lineChart>
        <c:grouping val="standard"/>
        <c:varyColors val="0"/>
        <c:ser>
          <c:idx val="1"/>
          <c:order val="1"/>
          <c:tx>
            <c:strRef>
              <c:f>Graph!$C$8</c:f>
              <c:strCache>
                <c:ptCount val="1"/>
                <c:pt idx="0">
                  <c:v>#N/A</c:v>
                </c:pt>
              </c:strCache>
            </c:strRef>
          </c:tx>
          <c:spPr>
            <a:ln w="28575" cap="rnd">
              <a:solidFill>
                <a:schemeClr val="accent2"/>
              </a:solidFill>
              <a:round/>
            </a:ln>
            <a:effectLst/>
          </c:spPr>
          <c:marker>
            <c:symbol val="none"/>
          </c:marker>
          <c:dLbls>
            <c:dLbl>
              <c:idx val="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1-0685-4A3E-9E51-4F154CC233A4}"/>
                </c:ext>
              </c:extLst>
            </c:dLbl>
            <c:dLbl>
              <c:idx val="1"/>
              <c:tx>
                <c:rich>
                  <a:bodyPr/>
                  <a:lstStyle/>
                  <a:p>
                    <a:endParaRPr lang="en-NZ"/>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0685-4A3E-9E51-4F154CC233A4}"/>
                </c:ext>
              </c:extLst>
            </c:dLbl>
            <c:dLbl>
              <c:idx val="2"/>
              <c:tx>
                <c:rich>
                  <a:bodyPr/>
                  <a:lstStyle/>
                  <a:p>
                    <a:endParaRPr lang="en-NZ"/>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0685-4A3E-9E51-4F154CC233A4}"/>
                </c:ext>
              </c:extLst>
            </c:dLbl>
            <c:dLbl>
              <c:idx val="3"/>
              <c:tx>
                <c:rich>
                  <a:bodyPr/>
                  <a:lstStyle/>
                  <a:p>
                    <a:endParaRPr lang="en-NZ"/>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0685-4A3E-9E51-4F154CC233A4}"/>
                </c:ext>
              </c:extLst>
            </c:dLbl>
            <c:dLbl>
              <c:idx val="4"/>
              <c:tx>
                <c:rich>
                  <a:bodyPr/>
                  <a:lstStyle/>
                  <a:p>
                    <a:endParaRPr lang="en-NZ"/>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0685-4A3E-9E51-4F154CC233A4}"/>
                </c:ext>
              </c:extLst>
            </c:dLbl>
            <c:dLbl>
              <c:idx val="5"/>
              <c:tx>
                <c:rich>
                  <a:bodyPr/>
                  <a:lstStyle/>
                  <a:p>
                    <a:endParaRPr lang="en-NZ"/>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0685-4A3E-9E51-4F154CC233A4}"/>
                </c:ext>
              </c:extLst>
            </c:dLbl>
            <c:dLbl>
              <c:idx val="6"/>
              <c:tx>
                <c:rich>
                  <a:bodyPr/>
                  <a:lstStyle/>
                  <a:p>
                    <a:endParaRPr lang="en-NZ"/>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0685-4A3E-9E51-4F154CC233A4}"/>
                </c:ext>
              </c:extLst>
            </c:dLbl>
            <c:dLbl>
              <c:idx val="7"/>
              <c:tx>
                <c:rich>
                  <a:bodyPr/>
                  <a:lstStyle/>
                  <a:p>
                    <a:endParaRPr lang="en-NZ"/>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0685-4A3E-9E51-4F154CC233A4}"/>
                </c:ext>
              </c:extLst>
            </c:dLbl>
            <c:dLbl>
              <c:idx val="8"/>
              <c:tx>
                <c:rich>
                  <a:bodyPr/>
                  <a:lstStyle/>
                  <a:p>
                    <a:endParaRPr lang="en-NZ"/>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0685-4A3E-9E51-4F154CC233A4}"/>
                </c:ext>
              </c:extLst>
            </c:dLbl>
            <c:dLbl>
              <c:idx val="9"/>
              <c:tx>
                <c:rich>
                  <a:bodyPr/>
                  <a:lstStyle/>
                  <a:p>
                    <a:endParaRPr lang="en-NZ"/>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0685-4A3E-9E51-4F154CC233A4}"/>
                </c:ext>
              </c:extLst>
            </c:dLbl>
            <c:dLbl>
              <c:idx val="10"/>
              <c:tx>
                <c:rich>
                  <a:bodyPr/>
                  <a:lstStyle/>
                  <a:p>
                    <a:endParaRPr lang="en-NZ"/>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0685-4A3E-9E51-4F154CC233A4}"/>
                </c:ext>
              </c:extLst>
            </c:dLbl>
            <c:dLbl>
              <c:idx val="11"/>
              <c:tx>
                <c:rich>
                  <a:bodyPr/>
                  <a:lstStyle/>
                  <a:p>
                    <a:endParaRPr lang="en-NZ"/>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0685-4A3E-9E51-4F154CC233A4}"/>
                </c:ext>
              </c:extLst>
            </c:dLbl>
            <c:dLbl>
              <c:idx val="12"/>
              <c:tx>
                <c:rich>
                  <a:bodyPr/>
                  <a:lstStyle/>
                  <a:p>
                    <a:endParaRPr lang="en-NZ"/>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0685-4A3E-9E51-4F154CC233A4}"/>
                </c:ext>
              </c:extLst>
            </c:dLbl>
            <c:dLbl>
              <c:idx val="13"/>
              <c:tx>
                <c:rich>
                  <a:bodyPr/>
                  <a:lstStyle/>
                  <a:p>
                    <a:endParaRPr lang="en-NZ"/>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0685-4A3E-9E51-4F154CC233A4}"/>
                </c:ext>
              </c:extLst>
            </c:dLbl>
            <c:dLbl>
              <c:idx val="14"/>
              <c:tx>
                <c:rich>
                  <a:bodyPr/>
                  <a:lstStyle/>
                  <a:p>
                    <a:endParaRPr lang="en-NZ"/>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0685-4A3E-9E51-4F154CC233A4}"/>
                </c:ext>
              </c:extLst>
            </c:dLbl>
            <c:dLbl>
              <c:idx val="15"/>
              <c:tx>
                <c:rich>
                  <a:bodyPr/>
                  <a:lstStyle/>
                  <a:p>
                    <a:endParaRPr lang="en-NZ"/>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0685-4A3E-9E51-4F154CC233A4}"/>
                </c:ext>
              </c:extLst>
            </c:dLbl>
            <c:dLbl>
              <c:idx val="16"/>
              <c:tx>
                <c:rich>
                  <a:bodyPr/>
                  <a:lstStyle/>
                  <a:p>
                    <a:endParaRPr lang="en-NZ"/>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0685-4A3E-9E51-4F154CC233A4}"/>
                </c:ext>
              </c:extLst>
            </c:dLbl>
            <c:dLbl>
              <c:idx val="17"/>
              <c:tx>
                <c:rich>
                  <a:bodyPr/>
                  <a:lstStyle/>
                  <a:p>
                    <a:endParaRPr lang="en-NZ"/>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0685-4A3E-9E51-4F154CC233A4}"/>
                </c:ext>
              </c:extLst>
            </c:dLbl>
            <c:dLbl>
              <c:idx val="18"/>
              <c:tx>
                <c:rich>
                  <a:bodyPr/>
                  <a:lstStyle/>
                  <a:p>
                    <a:endParaRPr lang="en-NZ"/>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3-0685-4A3E-9E51-4F154CC233A4}"/>
                </c:ext>
              </c:extLst>
            </c:dLbl>
            <c:dLbl>
              <c:idx val="19"/>
              <c:tx>
                <c:rich>
                  <a:bodyPr/>
                  <a:lstStyle/>
                  <a:p>
                    <a:endParaRPr lang="en-NZ"/>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0685-4A3E-9E51-4F154CC233A4}"/>
                </c:ext>
              </c:extLst>
            </c:dLbl>
            <c:dLbl>
              <c:idx val="20"/>
              <c:tx>
                <c:rich>
                  <a:bodyPr/>
                  <a:lstStyle/>
                  <a:p>
                    <a:endParaRPr lang="en-NZ"/>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5-0685-4A3E-9E51-4F154CC233A4}"/>
                </c:ext>
              </c:extLst>
            </c:dLbl>
            <c:dLbl>
              <c:idx val="21"/>
              <c:tx>
                <c:rich>
                  <a:bodyPr/>
                  <a:lstStyle/>
                  <a:p>
                    <a:endParaRPr lang="en-NZ"/>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6-0685-4A3E-9E51-4F154CC233A4}"/>
                </c:ext>
              </c:extLst>
            </c:dLbl>
            <c:dLbl>
              <c:idx val="22"/>
              <c:tx>
                <c:rich>
                  <a:bodyPr/>
                  <a:lstStyle/>
                  <a:p>
                    <a:endParaRPr lang="en-NZ"/>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0685-4A3E-9E51-4F154CC233A4}"/>
                </c:ext>
              </c:extLst>
            </c:dLbl>
            <c:dLbl>
              <c:idx val="23"/>
              <c:tx>
                <c:rich>
                  <a:bodyPr/>
                  <a:lstStyle/>
                  <a:p>
                    <a:endParaRPr lang="en-NZ"/>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8-0685-4A3E-9E51-4F154CC233A4}"/>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2"/>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numRef>
              <c:f>[0]!rngAxisLabels</c:f>
              <c:numCache>
                <c:formatCode>h:mm</c:formatCode>
                <c:ptCount val="24"/>
                <c:pt idx="0">
                  <c:v>0.29166666666666669</c:v>
                </c:pt>
                <c:pt idx="1">
                  <c:v>0.2951388888888889</c:v>
                </c:pt>
                <c:pt idx="2">
                  <c:v>0.2986111111111111</c:v>
                </c:pt>
                <c:pt idx="3">
                  <c:v>0.30208333333333331</c:v>
                </c:pt>
                <c:pt idx="4">
                  <c:v>0.30555555555555552</c:v>
                </c:pt>
                <c:pt idx="5">
                  <c:v>0.30902777777777779</c:v>
                </c:pt>
                <c:pt idx="6">
                  <c:v>0.3125</c:v>
                </c:pt>
                <c:pt idx="7">
                  <c:v>0.31597222222222221</c:v>
                </c:pt>
                <c:pt idx="8">
                  <c:v>0.31944444444444448</c:v>
                </c:pt>
                <c:pt idx="9">
                  <c:v>0.32291666666666669</c:v>
                </c:pt>
                <c:pt idx="10">
                  <c:v>0.3263888888888889</c:v>
                </c:pt>
                <c:pt idx="11">
                  <c:v>0.3298611111111111</c:v>
                </c:pt>
                <c:pt idx="12">
                  <c:v>0.33333333333333331</c:v>
                </c:pt>
                <c:pt idx="13">
                  <c:v>0.33680555555555558</c:v>
                </c:pt>
                <c:pt idx="14">
                  <c:v>0.34027777777777773</c:v>
                </c:pt>
                <c:pt idx="15">
                  <c:v>0.34375</c:v>
                </c:pt>
                <c:pt idx="16">
                  <c:v>0.34722222222222227</c:v>
                </c:pt>
                <c:pt idx="17">
                  <c:v>0.35069444444444442</c:v>
                </c:pt>
                <c:pt idx="18">
                  <c:v>0.35416666666666669</c:v>
                </c:pt>
                <c:pt idx="19">
                  <c:v>0.3576388888888889</c:v>
                </c:pt>
                <c:pt idx="20">
                  <c:v>0.3611111111111111</c:v>
                </c:pt>
                <c:pt idx="21">
                  <c:v>0.36458333333333331</c:v>
                </c:pt>
                <c:pt idx="22">
                  <c:v>0.36805555555555558</c:v>
                </c:pt>
                <c:pt idx="23">
                  <c:v>0.37152777777777773</c:v>
                </c:pt>
              </c:numCache>
            </c:numRef>
          </c:cat>
          <c:val>
            <c:numRef>
              <c:f>[0]!rngSeriesLimit1</c:f>
              <c:numCache>
                <c:formatCode>General</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val>
          <c:smooth val="0"/>
          <c:extLst>
            <c:ext xmlns:c15="http://schemas.microsoft.com/office/drawing/2012/chart" uri="{02D57815-91ED-43cb-92C2-25804820EDAC}">
              <c15:datalabelsRange>
                <c15:f>=Graph!rngLine1Labels</c15:f>
              </c15:datalabelsRange>
            </c:ext>
            <c:ext xmlns:c16="http://schemas.microsoft.com/office/drawing/2014/chart" uri="{C3380CC4-5D6E-409C-BE32-E72D297353CC}">
              <c16:uniqueId val="{00000097-0685-4A3E-9E51-4F154CC233A4}"/>
            </c:ext>
          </c:extLst>
        </c:ser>
        <c:ser>
          <c:idx val="2"/>
          <c:order val="2"/>
          <c:tx>
            <c:strRef>
              <c:f>Graph!$D$8</c:f>
              <c:strCache>
                <c:ptCount val="1"/>
                <c:pt idx="0">
                  <c:v>#N/A</c:v>
                </c:pt>
              </c:strCache>
            </c:strRef>
          </c:tx>
          <c:spPr>
            <a:ln w="28575" cap="rnd">
              <a:solidFill>
                <a:schemeClr val="accent4"/>
              </a:solidFill>
              <a:round/>
            </a:ln>
            <a:effectLst/>
          </c:spPr>
          <c:marker>
            <c:symbol val="none"/>
          </c:marker>
          <c:dLbls>
            <c:dLbl>
              <c:idx val="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98-0685-4A3E-9E51-4F154CC233A4}"/>
                </c:ext>
              </c:extLst>
            </c:dLbl>
            <c:dLbl>
              <c:idx val="1"/>
              <c:tx>
                <c:rich>
                  <a:bodyPr/>
                  <a:lstStyle/>
                  <a:p>
                    <a:endParaRPr lang="en-NZ"/>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9-0685-4A3E-9E51-4F154CC233A4}"/>
                </c:ext>
              </c:extLst>
            </c:dLbl>
            <c:dLbl>
              <c:idx val="2"/>
              <c:tx>
                <c:rich>
                  <a:bodyPr/>
                  <a:lstStyle/>
                  <a:p>
                    <a:endParaRPr lang="en-NZ"/>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A-0685-4A3E-9E51-4F154CC233A4}"/>
                </c:ext>
              </c:extLst>
            </c:dLbl>
            <c:dLbl>
              <c:idx val="3"/>
              <c:tx>
                <c:rich>
                  <a:bodyPr/>
                  <a:lstStyle/>
                  <a:p>
                    <a:endParaRPr lang="en-NZ"/>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B-0685-4A3E-9E51-4F154CC233A4}"/>
                </c:ext>
              </c:extLst>
            </c:dLbl>
            <c:dLbl>
              <c:idx val="4"/>
              <c:tx>
                <c:rich>
                  <a:bodyPr/>
                  <a:lstStyle/>
                  <a:p>
                    <a:endParaRPr lang="en-NZ"/>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C-0685-4A3E-9E51-4F154CC233A4}"/>
                </c:ext>
              </c:extLst>
            </c:dLbl>
            <c:dLbl>
              <c:idx val="5"/>
              <c:tx>
                <c:rich>
                  <a:bodyPr/>
                  <a:lstStyle/>
                  <a:p>
                    <a:endParaRPr lang="en-NZ"/>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D-0685-4A3E-9E51-4F154CC233A4}"/>
                </c:ext>
              </c:extLst>
            </c:dLbl>
            <c:dLbl>
              <c:idx val="6"/>
              <c:tx>
                <c:rich>
                  <a:bodyPr/>
                  <a:lstStyle/>
                  <a:p>
                    <a:endParaRPr lang="en-NZ"/>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E-0685-4A3E-9E51-4F154CC233A4}"/>
                </c:ext>
              </c:extLst>
            </c:dLbl>
            <c:dLbl>
              <c:idx val="7"/>
              <c:tx>
                <c:rich>
                  <a:bodyPr/>
                  <a:lstStyle/>
                  <a:p>
                    <a:endParaRPr lang="en-NZ"/>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F-0685-4A3E-9E51-4F154CC233A4}"/>
                </c:ext>
              </c:extLst>
            </c:dLbl>
            <c:dLbl>
              <c:idx val="8"/>
              <c:tx>
                <c:rich>
                  <a:bodyPr/>
                  <a:lstStyle/>
                  <a:p>
                    <a:endParaRPr lang="en-NZ"/>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0-0685-4A3E-9E51-4F154CC233A4}"/>
                </c:ext>
              </c:extLst>
            </c:dLbl>
            <c:dLbl>
              <c:idx val="9"/>
              <c:tx>
                <c:rich>
                  <a:bodyPr/>
                  <a:lstStyle/>
                  <a:p>
                    <a:endParaRPr lang="en-NZ"/>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1-0685-4A3E-9E51-4F154CC233A4}"/>
                </c:ext>
              </c:extLst>
            </c:dLbl>
            <c:dLbl>
              <c:idx val="10"/>
              <c:tx>
                <c:rich>
                  <a:bodyPr/>
                  <a:lstStyle/>
                  <a:p>
                    <a:endParaRPr lang="en-NZ"/>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2-0685-4A3E-9E51-4F154CC233A4}"/>
                </c:ext>
              </c:extLst>
            </c:dLbl>
            <c:dLbl>
              <c:idx val="11"/>
              <c:tx>
                <c:rich>
                  <a:bodyPr/>
                  <a:lstStyle/>
                  <a:p>
                    <a:endParaRPr lang="en-NZ"/>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3-0685-4A3E-9E51-4F154CC233A4}"/>
                </c:ext>
              </c:extLst>
            </c:dLbl>
            <c:dLbl>
              <c:idx val="12"/>
              <c:tx>
                <c:rich>
                  <a:bodyPr/>
                  <a:lstStyle/>
                  <a:p>
                    <a:endParaRPr lang="en-NZ"/>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4-0685-4A3E-9E51-4F154CC233A4}"/>
                </c:ext>
              </c:extLst>
            </c:dLbl>
            <c:dLbl>
              <c:idx val="13"/>
              <c:tx>
                <c:rich>
                  <a:bodyPr/>
                  <a:lstStyle/>
                  <a:p>
                    <a:endParaRPr lang="en-NZ"/>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5-0685-4A3E-9E51-4F154CC233A4}"/>
                </c:ext>
              </c:extLst>
            </c:dLbl>
            <c:dLbl>
              <c:idx val="14"/>
              <c:tx>
                <c:rich>
                  <a:bodyPr/>
                  <a:lstStyle/>
                  <a:p>
                    <a:endParaRPr lang="en-NZ"/>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6-0685-4A3E-9E51-4F154CC233A4}"/>
                </c:ext>
              </c:extLst>
            </c:dLbl>
            <c:dLbl>
              <c:idx val="15"/>
              <c:tx>
                <c:rich>
                  <a:bodyPr/>
                  <a:lstStyle/>
                  <a:p>
                    <a:endParaRPr lang="en-NZ"/>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7-0685-4A3E-9E51-4F154CC233A4}"/>
                </c:ext>
              </c:extLst>
            </c:dLbl>
            <c:dLbl>
              <c:idx val="16"/>
              <c:tx>
                <c:rich>
                  <a:bodyPr/>
                  <a:lstStyle/>
                  <a:p>
                    <a:endParaRPr lang="en-NZ"/>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8-0685-4A3E-9E51-4F154CC233A4}"/>
                </c:ext>
              </c:extLst>
            </c:dLbl>
            <c:dLbl>
              <c:idx val="17"/>
              <c:tx>
                <c:rich>
                  <a:bodyPr/>
                  <a:lstStyle/>
                  <a:p>
                    <a:endParaRPr lang="en-NZ"/>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9-0685-4A3E-9E51-4F154CC233A4}"/>
                </c:ext>
              </c:extLst>
            </c:dLbl>
            <c:dLbl>
              <c:idx val="18"/>
              <c:tx>
                <c:rich>
                  <a:bodyPr/>
                  <a:lstStyle/>
                  <a:p>
                    <a:endParaRPr lang="en-NZ"/>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A-0685-4A3E-9E51-4F154CC233A4}"/>
                </c:ext>
              </c:extLst>
            </c:dLbl>
            <c:dLbl>
              <c:idx val="19"/>
              <c:tx>
                <c:rich>
                  <a:bodyPr/>
                  <a:lstStyle/>
                  <a:p>
                    <a:endParaRPr lang="en-NZ"/>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B-0685-4A3E-9E51-4F154CC233A4}"/>
                </c:ext>
              </c:extLst>
            </c:dLbl>
            <c:dLbl>
              <c:idx val="20"/>
              <c:tx>
                <c:rich>
                  <a:bodyPr/>
                  <a:lstStyle/>
                  <a:p>
                    <a:endParaRPr lang="en-NZ"/>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C-0685-4A3E-9E51-4F154CC233A4}"/>
                </c:ext>
              </c:extLst>
            </c:dLbl>
            <c:dLbl>
              <c:idx val="21"/>
              <c:tx>
                <c:rich>
                  <a:bodyPr/>
                  <a:lstStyle/>
                  <a:p>
                    <a:endParaRPr lang="en-NZ"/>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D-0685-4A3E-9E51-4F154CC233A4}"/>
                </c:ext>
              </c:extLst>
            </c:dLbl>
            <c:dLbl>
              <c:idx val="22"/>
              <c:tx>
                <c:rich>
                  <a:bodyPr/>
                  <a:lstStyle/>
                  <a:p>
                    <a:endParaRPr lang="en-NZ"/>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E-0685-4A3E-9E51-4F154CC233A4}"/>
                </c:ext>
              </c:extLst>
            </c:dLbl>
            <c:dLbl>
              <c:idx val="23"/>
              <c:tx>
                <c:rich>
                  <a:bodyPr/>
                  <a:lstStyle/>
                  <a:p>
                    <a:endParaRPr lang="en-NZ"/>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F-0685-4A3E-9E51-4F154CC233A4}"/>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4"/>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numRef>
              <c:f>[0]!rngAxisLabels</c:f>
              <c:numCache>
                <c:formatCode>h:mm</c:formatCode>
                <c:ptCount val="24"/>
                <c:pt idx="0">
                  <c:v>0.29166666666666669</c:v>
                </c:pt>
                <c:pt idx="1">
                  <c:v>0.2951388888888889</c:v>
                </c:pt>
                <c:pt idx="2">
                  <c:v>0.2986111111111111</c:v>
                </c:pt>
                <c:pt idx="3">
                  <c:v>0.30208333333333331</c:v>
                </c:pt>
                <c:pt idx="4">
                  <c:v>0.30555555555555552</c:v>
                </c:pt>
                <c:pt idx="5">
                  <c:v>0.30902777777777779</c:v>
                </c:pt>
                <c:pt idx="6">
                  <c:v>0.3125</c:v>
                </c:pt>
                <c:pt idx="7">
                  <c:v>0.31597222222222221</c:v>
                </c:pt>
                <c:pt idx="8">
                  <c:v>0.31944444444444448</c:v>
                </c:pt>
                <c:pt idx="9">
                  <c:v>0.32291666666666669</c:v>
                </c:pt>
                <c:pt idx="10">
                  <c:v>0.3263888888888889</c:v>
                </c:pt>
                <c:pt idx="11">
                  <c:v>0.3298611111111111</c:v>
                </c:pt>
                <c:pt idx="12">
                  <c:v>0.33333333333333331</c:v>
                </c:pt>
                <c:pt idx="13">
                  <c:v>0.33680555555555558</c:v>
                </c:pt>
                <c:pt idx="14">
                  <c:v>0.34027777777777773</c:v>
                </c:pt>
                <c:pt idx="15">
                  <c:v>0.34375</c:v>
                </c:pt>
                <c:pt idx="16">
                  <c:v>0.34722222222222227</c:v>
                </c:pt>
                <c:pt idx="17">
                  <c:v>0.35069444444444442</c:v>
                </c:pt>
                <c:pt idx="18">
                  <c:v>0.35416666666666669</c:v>
                </c:pt>
                <c:pt idx="19">
                  <c:v>0.3576388888888889</c:v>
                </c:pt>
                <c:pt idx="20">
                  <c:v>0.3611111111111111</c:v>
                </c:pt>
                <c:pt idx="21">
                  <c:v>0.36458333333333331</c:v>
                </c:pt>
                <c:pt idx="22">
                  <c:v>0.36805555555555558</c:v>
                </c:pt>
                <c:pt idx="23">
                  <c:v>0.37152777777777773</c:v>
                </c:pt>
              </c:numCache>
            </c:numRef>
          </c:cat>
          <c:val>
            <c:numRef>
              <c:f>[0]!rngSeriesLimit2</c:f>
              <c:numCache>
                <c:formatCode>General</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val>
          <c:smooth val="0"/>
          <c:extLst>
            <c:ext xmlns:c15="http://schemas.microsoft.com/office/drawing/2012/chart" uri="{02D57815-91ED-43cb-92C2-25804820EDAC}">
              <c15:datalabelsRange>
                <c15:f>=Graph!rngLine2Labels</c15:f>
              </c15:datalabelsRange>
            </c:ext>
            <c:ext xmlns:c16="http://schemas.microsoft.com/office/drawing/2014/chart" uri="{C3380CC4-5D6E-409C-BE32-E72D297353CC}">
              <c16:uniqueId val="{0000012E-0685-4A3E-9E51-4F154CC233A4}"/>
            </c:ext>
          </c:extLst>
        </c:ser>
        <c:dLbls>
          <c:showLegendKey val="0"/>
          <c:showVal val="0"/>
          <c:showCatName val="0"/>
          <c:showSerName val="0"/>
          <c:showPercent val="0"/>
          <c:showBubbleSize val="0"/>
        </c:dLbls>
        <c:marker val="1"/>
        <c:smooth val="0"/>
        <c:axId val="190343016"/>
        <c:axId val="190335568"/>
      </c:lineChart>
      <c:catAx>
        <c:axId val="1903430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h:mm"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335568"/>
        <c:crosses val="autoZero"/>
        <c:auto val="1"/>
        <c:lblAlgn val="ctr"/>
        <c:lblOffset val="100"/>
        <c:noMultiLvlLbl val="0"/>
      </c:catAx>
      <c:valAx>
        <c:axId val="190335568"/>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Queue Length (cars)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343016"/>
        <c:crosses val="autoZero"/>
        <c:crossBetween val="between"/>
      </c:valAx>
      <c:spPr>
        <a:noFill/>
        <a:ln>
          <a:noFill/>
        </a:ln>
        <a:effectLst/>
      </c:spPr>
    </c:plotArea>
    <c:plotVisOnly val="0"/>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hyperlink" Target="http://www.teamtraffic.co.nz" TargetMode="Externa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hyperlink" Target="http://www.teamtraffic.co.nz" TargetMode="External"/><Relationship Id="rId2" Type="http://schemas.openxmlformats.org/officeDocument/2006/relationships/image" Target="../media/image2.png"/><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ConvertToTable" textlink="">
      <xdr:nvSpPr>
        <xdr:cNvPr id="2" name="btnGenerateInput">
          <a:extLst>
            <a:ext uri="{FF2B5EF4-FFF2-40B4-BE49-F238E27FC236}">
              <a16:creationId xmlns:a16="http://schemas.microsoft.com/office/drawing/2014/main" id="{00000000-0008-0000-0000-000002000000}"/>
            </a:ext>
          </a:extLst>
        </xdr:cNvPr>
        <xdr:cNvSpPr/>
      </xdr:nvSpPr>
      <xdr:spPr>
        <a:xfrm>
          <a:off x="8233834" y="338667"/>
          <a:ext cx="2106083"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28575</xdr:colOff>
      <xdr:row>41</xdr:row>
      <xdr:rowOff>171450</xdr:rowOff>
    </xdr:from>
    <xdr:to>
      <xdr:col>7</xdr:col>
      <xdr:colOff>228599</xdr:colOff>
      <xdr:row>47</xdr:row>
      <xdr:rowOff>171449</xdr:rowOff>
    </xdr:to>
    <xdr:sp macro="" textlink="">
      <xdr:nvSpPr>
        <xdr:cNvPr id="9" name="TextBox 8">
          <a:extLst>
            <a:ext uri="{FF2B5EF4-FFF2-40B4-BE49-F238E27FC236}">
              <a16:creationId xmlns:a16="http://schemas.microsoft.com/office/drawing/2014/main" id="{00000000-0008-0000-0300-000009000000}"/>
            </a:ext>
          </a:extLst>
        </xdr:cNvPr>
        <xdr:cNvSpPr txBox="1"/>
      </xdr:nvSpPr>
      <xdr:spPr>
        <a:xfrm>
          <a:off x="1104900" y="6448425"/>
          <a:ext cx="4857749" cy="1142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Z" sz="1100" baseline="0"/>
            <a:t>● The shape of the plot tells us about the distribution and skew of queue lengths. </a:t>
          </a:r>
        </a:p>
        <a:p>
          <a:r>
            <a:rPr lang="en-NZ" sz="1100" baseline="0">
              <a:solidFill>
                <a:schemeClr val="dk1"/>
              </a:solidFill>
              <a:effectLst/>
              <a:latin typeface="+mn-lt"/>
              <a:ea typeface="+mn-ea"/>
              <a:cs typeface="+mn-cs"/>
            </a:rPr>
            <a:t>● </a:t>
          </a:r>
          <a:r>
            <a:rPr lang="en-NZ" sz="1100" baseline="0"/>
            <a:t>Shorter plots show that there is less variability in the queue lengths. </a:t>
          </a:r>
        </a:p>
        <a:p>
          <a:r>
            <a:rPr lang="en-NZ" sz="1100" baseline="0">
              <a:solidFill>
                <a:schemeClr val="dk1"/>
              </a:solidFill>
              <a:effectLst/>
              <a:latin typeface="+mn-lt"/>
              <a:ea typeface="+mn-ea"/>
              <a:cs typeface="+mn-cs"/>
            </a:rPr>
            <a:t>● </a:t>
          </a:r>
          <a:r>
            <a:rPr lang="en-NZ" sz="1100" baseline="0"/>
            <a:t>If one section is longer than the others, there is more variability in that section. For example, if the top whisker of the plot is longer, there is more variability as the queues increase.</a:t>
          </a:r>
          <a:endParaRPr lang="en-NZ" sz="1100"/>
        </a:p>
      </xdr:txBody>
    </xdr:sp>
    <xdr:clientData fLocksWithSheet="0"/>
  </xdr:twoCellAnchor>
  <xdr:twoCellAnchor>
    <xdr:from>
      <xdr:col>0</xdr:col>
      <xdr:colOff>161927</xdr:colOff>
      <xdr:row>40</xdr:row>
      <xdr:rowOff>47625</xdr:rowOff>
    </xdr:from>
    <xdr:to>
      <xdr:col>7</xdr:col>
      <xdr:colOff>228601</xdr:colOff>
      <xdr:row>47</xdr:row>
      <xdr:rowOff>142875</xdr:rowOff>
    </xdr:to>
    <xdr:sp macro="" textlink="">
      <xdr:nvSpPr>
        <xdr:cNvPr id="10" name="Rectangle 9">
          <a:extLst>
            <a:ext uri="{FF2B5EF4-FFF2-40B4-BE49-F238E27FC236}">
              <a16:creationId xmlns:a16="http://schemas.microsoft.com/office/drawing/2014/main" id="{00000000-0008-0000-0300-00000A000000}"/>
            </a:ext>
          </a:extLst>
        </xdr:cNvPr>
        <xdr:cNvSpPr/>
      </xdr:nvSpPr>
      <xdr:spPr>
        <a:xfrm>
          <a:off x="161927" y="6134100"/>
          <a:ext cx="5800724" cy="1428750"/>
        </a:xfrm>
        <a:prstGeom prst="rect">
          <a:avLst/>
        </a:prstGeom>
        <a:noFill/>
        <a:ln>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Z" sz="1100"/>
        </a:p>
      </xdr:txBody>
    </xdr:sp>
    <xdr:clientData fLocksWithSheet="0"/>
  </xdr:twoCellAnchor>
  <xdr:twoCellAnchor editAs="oneCell">
    <xdr:from>
      <xdr:col>0</xdr:col>
      <xdr:colOff>219076</xdr:colOff>
      <xdr:row>42</xdr:row>
      <xdr:rowOff>23514</xdr:rowOff>
    </xdr:from>
    <xdr:to>
      <xdr:col>1</xdr:col>
      <xdr:colOff>40245</xdr:colOff>
      <xdr:row>47</xdr:row>
      <xdr:rowOff>28576</xdr:rowOff>
    </xdr:to>
    <xdr:pic>
      <xdr:nvPicPr>
        <xdr:cNvPr id="11" name="Picture 10">
          <a:extLst>
            <a:ext uri="{FF2B5EF4-FFF2-40B4-BE49-F238E27FC236}">
              <a16:creationId xmlns:a16="http://schemas.microsoft.com/office/drawing/2014/main" id="{00000000-0008-0000-0300-00000B000000}"/>
            </a:ext>
          </a:extLst>
        </xdr:cNvPr>
        <xdr:cNvPicPr>
          <a:picLocks noChangeAspect="1"/>
        </xdr:cNvPicPr>
      </xdr:nvPicPr>
      <xdr:blipFill>
        <a:blip xmlns:r="http://schemas.openxmlformats.org/officeDocument/2006/relationships" r:embed="rId1"/>
        <a:stretch>
          <a:fillRect/>
        </a:stretch>
      </xdr:blipFill>
      <xdr:spPr>
        <a:xfrm>
          <a:off x="219076" y="6929139"/>
          <a:ext cx="897494" cy="957562"/>
        </a:xfrm>
        <a:prstGeom prst="rect">
          <a:avLst/>
        </a:prstGeom>
      </xdr:spPr>
    </xdr:pic>
    <xdr:clientData fLocksWithSheet="0"/>
  </xdr:twoCellAnchor>
  <xdr:twoCellAnchor>
    <xdr:from>
      <xdr:col>0</xdr:col>
      <xdr:colOff>200026</xdr:colOff>
      <xdr:row>40</xdr:row>
      <xdr:rowOff>76201</xdr:rowOff>
    </xdr:from>
    <xdr:to>
      <xdr:col>1</xdr:col>
      <xdr:colOff>723901</xdr:colOff>
      <xdr:row>41</xdr:row>
      <xdr:rowOff>171450</xdr:rowOff>
    </xdr:to>
    <xdr:sp macro="" textlink="">
      <xdr:nvSpPr>
        <xdr:cNvPr id="12" name="TextBox 11">
          <a:extLst>
            <a:ext uri="{FF2B5EF4-FFF2-40B4-BE49-F238E27FC236}">
              <a16:creationId xmlns:a16="http://schemas.microsoft.com/office/drawing/2014/main" id="{00000000-0008-0000-0300-00000C000000}"/>
            </a:ext>
          </a:extLst>
        </xdr:cNvPr>
        <xdr:cNvSpPr txBox="1"/>
      </xdr:nvSpPr>
      <xdr:spPr>
        <a:xfrm>
          <a:off x="200026" y="6162676"/>
          <a:ext cx="1600200" cy="285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Z" sz="1100" b="1" baseline="0"/>
            <a:t>Box-and-Whisker Plots</a:t>
          </a:r>
          <a:endParaRPr lang="en-NZ" sz="1100" b="1"/>
        </a:p>
      </xdr:txBody>
    </xdr:sp>
    <xdr:clientData fLocksWithSheet="0"/>
  </xdr:twoCellAnchor>
  <xdr:twoCellAnchor>
    <xdr:from>
      <xdr:col>1</xdr:col>
      <xdr:colOff>400050</xdr:colOff>
      <xdr:row>1</xdr:row>
      <xdr:rowOff>9525</xdr:rowOff>
    </xdr:from>
    <xdr:to>
      <xdr:col>4</xdr:col>
      <xdr:colOff>428625</xdr:colOff>
      <xdr:row>3</xdr:row>
      <xdr:rowOff>47625</xdr:rowOff>
    </xdr:to>
    <xdr:grpSp>
      <xdr:nvGrpSpPr>
        <xdr:cNvPr id="6" name="Group 5">
          <a:extLst>
            <a:ext uri="{FF2B5EF4-FFF2-40B4-BE49-F238E27FC236}">
              <a16:creationId xmlns:a16="http://schemas.microsoft.com/office/drawing/2014/main" id="{7982DFAA-6080-40F0-8818-DE2DB6060A06}"/>
            </a:ext>
          </a:extLst>
        </xdr:cNvPr>
        <xdr:cNvGrpSpPr/>
      </xdr:nvGrpSpPr>
      <xdr:grpSpPr>
        <a:xfrm>
          <a:off x="1476375" y="200025"/>
          <a:ext cx="2476500" cy="495300"/>
          <a:chOff x="1409700" y="161925"/>
          <a:chExt cx="2457450" cy="495300"/>
        </a:xfrm>
      </xdr:grpSpPr>
      <xdr:sp macro="" textlink="">
        <xdr:nvSpPr>
          <xdr:cNvPr id="7" name="Rectangle 6">
            <a:extLst>
              <a:ext uri="{FF2B5EF4-FFF2-40B4-BE49-F238E27FC236}">
                <a16:creationId xmlns:a16="http://schemas.microsoft.com/office/drawing/2014/main" id="{6A6B8CE8-09F7-49A2-8892-79DEC692FFBB}"/>
              </a:ext>
            </a:extLst>
          </xdr:cNvPr>
          <xdr:cNvSpPr/>
        </xdr:nvSpPr>
        <xdr:spPr>
          <a:xfrm>
            <a:off x="1409700" y="161925"/>
            <a:ext cx="2457450" cy="495300"/>
          </a:xfrm>
          <a:prstGeom prst="rect">
            <a:avLst/>
          </a:prstGeom>
          <a:solidFill>
            <a:schemeClr val="bg1">
              <a:lumMod val="9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Z" sz="1100"/>
          </a:p>
        </xdr:txBody>
      </xdr:sp>
      <xdr:pic>
        <xdr:nvPicPr>
          <xdr:cNvPr id="8" name="Picture 7">
            <a:extLst>
              <a:ext uri="{FF2B5EF4-FFF2-40B4-BE49-F238E27FC236}">
                <a16:creationId xmlns:a16="http://schemas.microsoft.com/office/drawing/2014/main" id="{6EFF086D-B4C3-46B7-8151-C1CCB70BA7A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447800" y="223838"/>
            <a:ext cx="660483" cy="371475"/>
          </a:xfrm>
          <a:prstGeom prst="rect">
            <a:avLst/>
          </a:prstGeom>
        </xdr:spPr>
      </xdr:pic>
      <xdr:sp macro="" textlink="">
        <xdr:nvSpPr>
          <xdr:cNvPr id="13" name="TextBox 12">
            <a:hlinkClick xmlns:r="http://schemas.openxmlformats.org/officeDocument/2006/relationships" r:id="rId3"/>
            <a:extLst>
              <a:ext uri="{FF2B5EF4-FFF2-40B4-BE49-F238E27FC236}">
                <a16:creationId xmlns:a16="http://schemas.microsoft.com/office/drawing/2014/main" id="{5DAC5B89-D00D-4981-8D87-D1D8CFBBF16D}"/>
              </a:ext>
            </a:extLst>
          </xdr:cNvPr>
          <xdr:cNvSpPr txBox="1"/>
        </xdr:nvSpPr>
        <xdr:spPr>
          <a:xfrm>
            <a:off x="2219325" y="261938"/>
            <a:ext cx="154305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Z" sz="1100" b="1"/>
              <a:t>www.teamtraffic.co.nz</a:t>
            </a:r>
          </a:p>
        </xdr:txBody>
      </xdr:sp>
    </xdr:grpSp>
    <xdr:clientData/>
  </xdr:twoCellAnchor>
  <xdr:twoCellAnchor>
    <xdr:from>
      <xdr:col>0</xdr:col>
      <xdr:colOff>0</xdr:colOff>
      <xdr:row>15</xdr:row>
      <xdr:rowOff>0</xdr:rowOff>
    </xdr:from>
    <xdr:to>
      <xdr:col>3</xdr:col>
      <xdr:colOff>0</xdr:colOff>
      <xdr:row>39</xdr:row>
      <xdr:rowOff>0</xdr:rowOff>
    </xdr:to>
    <xdr:graphicFrame macro="">
      <xdr:nvGraphicFramePr>
        <xdr:cNvPr id="2" name="Chart 1">
          <a:extLst>
            <a:ext uri="{FF2B5EF4-FFF2-40B4-BE49-F238E27FC236}">
              <a16:creationId xmlns:a16="http://schemas.microsoft.com/office/drawing/2014/main" id="{740A3F8B-24C7-D612-DE61-A567B12FF7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twoCellAnchor>
  <xdr:twoCellAnchor>
    <xdr:from>
      <xdr:col>4</xdr:col>
      <xdr:colOff>0</xdr:colOff>
      <xdr:row>15</xdr:row>
      <xdr:rowOff>0</xdr:rowOff>
    </xdr:from>
    <xdr:to>
      <xdr:col>7</xdr:col>
      <xdr:colOff>0</xdr:colOff>
      <xdr:row>39</xdr:row>
      <xdr:rowOff>0</xdr:rowOff>
    </xdr:to>
    <xdr:graphicFrame macro="">
      <xdr:nvGraphicFramePr>
        <xdr:cNvPr id="3" name="Chart 1">
          <a:extLst>
            <a:ext uri="{FF2B5EF4-FFF2-40B4-BE49-F238E27FC236}">
              <a16:creationId xmlns:a16="http://schemas.microsoft.com/office/drawing/2014/main" id="{862ED6BD-FCED-BFF5-6F87-B66FF7BE3C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twoCellAnchor>
  <xdr:twoCellAnchor>
    <xdr:from>
      <xdr:col>8</xdr:col>
      <xdr:colOff>0</xdr:colOff>
      <xdr:row>15</xdr:row>
      <xdr:rowOff>0</xdr:rowOff>
    </xdr:from>
    <xdr:to>
      <xdr:col>11</xdr:col>
      <xdr:colOff>0</xdr:colOff>
      <xdr:row>39</xdr:row>
      <xdr:rowOff>0</xdr:rowOff>
    </xdr:to>
    <xdr:graphicFrame macro="">
      <xdr:nvGraphicFramePr>
        <xdr:cNvPr id="4" name="Chart 1">
          <a:extLst>
            <a:ext uri="{FF2B5EF4-FFF2-40B4-BE49-F238E27FC236}">
              <a16:creationId xmlns:a16="http://schemas.microsoft.com/office/drawing/2014/main" id="{2BFCDCD5-4D81-2869-B330-BA86363138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twoCellAnchor>
</xdr:wsDr>
</file>

<file path=xl/drawings/drawing3.xml><?xml version="1.0" encoding="utf-8"?>
<xdr:wsDr xmlns:xdr="http://schemas.openxmlformats.org/drawingml/2006/spreadsheetDrawing" xmlns:a="http://schemas.openxmlformats.org/drawingml/2006/main">
  <xdr:twoCellAnchor editAs="oneCell">
    <xdr:from>
      <xdr:col>6</xdr:col>
      <xdr:colOff>1862137</xdr:colOff>
      <xdr:row>0</xdr:row>
      <xdr:rowOff>123824</xdr:rowOff>
    </xdr:from>
    <xdr:to>
      <xdr:col>9</xdr:col>
      <xdr:colOff>280987</xdr:colOff>
      <xdr:row>10</xdr:row>
      <xdr:rowOff>16443</xdr:rowOff>
    </xdr:to>
    <mc:AlternateContent xmlns:mc="http://schemas.openxmlformats.org/markup-compatibility/2006" xmlns:a14="http://schemas.microsoft.com/office/drawing/2010/main">
      <mc:Choice Requires="a14">
        <xdr:graphicFrame macro="">
          <xdr:nvGraphicFramePr>
            <xdr:cNvPr id="2" name="Approach">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microsoft.com/office/drawing/2010/slicer">
              <sle:slicer xmlns:sle="http://schemas.microsoft.com/office/drawing/2010/slicer" name="Approach"/>
            </a:graphicData>
          </a:graphic>
        </xdr:graphicFrame>
      </mc:Choice>
      <mc:Fallback xmlns="">
        <xdr:sp macro="" textlink="">
          <xdr:nvSpPr>
            <xdr:cNvPr id="0" name=""/>
            <xdr:cNvSpPr>
              <a:spLocks noTextEdit="1"/>
            </xdr:cNvSpPr>
          </xdr:nvSpPr>
          <xdr:spPr>
            <a:xfrm>
              <a:off x="1862137" y="123824"/>
              <a:ext cx="1676400" cy="1797619"/>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9</xdr:col>
      <xdr:colOff>361950</xdr:colOff>
      <xdr:row>0</xdr:row>
      <xdr:rowOff>123824</xdr:rowOff>
    </xdr:from>
    <xdr:to>
      <xdr:col>12</xdr:col>
      <xdr:colOff>133351</xdr:colOff>
      <xdr:row>10</xdr:row>
      <xdr:rowOff>16443</xdr:rowOff>
    </xdr:to>
    <mc:AlternateContent xmlns:mc="http://schemas.openxmlformats.org/markup-compatibility/2006" xmlns:a14="http://schemas.microsoft.com/office/drawing/2010/main">
      <mc:Choice Requires="a14">
        <xdr:graphicFrame macro="">
          <xdr:nvGraphicFramePr>
            <xdr:cNvPr id="3" name="Movement">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microsoft.com/office/drawing/2010/slicer">
              <sle:slicer xmlns:sle="http://schemas.microsoft.com/office/drawing/2010/slicer" name="Movement"/>
            </a:graphicData>
          </a:graphic>
        </xdr:graphicFrame>
      </mc:Choice>
      <mc:Fallback xmlns="">
        <xdr:sp macro="" textlink="">
          <xdr:nvSpPr>
            <xdr:cNvPr id="0" name=""/>
            <xdr:cNvSpPr>
              <a:spLocks noTextEdit="1"/>
            </xdr:cNvSpPr>
          </xdr:nvSpPr>
          <xdr:spPr>
            <a:xfrm>
              <a:off x="3619500" y="123824"/>
              <a:ext cx="1600201" cy="1797619"/>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6</xdr:col>
      <xdr:colOff>104775</xdr:colOff>
      <xdr:row>0</xdr:row>
      <xdr:rowOff>123824</xdr:rowOff>
    </xdr:from>
    <xdr:to>
      <xdr:col>6</xdr:col>
      <xdr:colOff>1781175</xdr:colOff>
      <xdr:row>10</xdr:row>
      <xdr:rowOff>16443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104775" y="123824"/>
              <a:ext cx="1676400" cy="1797619"/>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6</xdr:col>
      <xdr:colOff>104775</xdr:colOff>
      <xdr:row>10</xdr:row>
      <xdr:rowOff>180180</xdr:rowOff>
    </xdr:from>
    <xdr:to>
      <xdr:col>18</xdr:col>
      <xdr:colOff>607218</xdr:colOff>
      <xdr:row>29</xdr:row>
      <xdr:rowOff>23018</xdr:rowOff>
    </xdr:to>
    <xdr:graphicFrame macro="">
      <xdr:nvGraphicFramePr>
        <xdr:cNvPr id="5" name="Chart 4">
          <a:extLst>
            <a:ext uri="{FF2B5EF4-FFF2-40B4-BE49-F238E27FC236}">
              <a16:creationId xmlns:a16="http://schemas.microsoft.com/office/drawing/2014/main" id="{00000000-0008-0000-05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20</xdr:col>
      <xdr:colOff>295275</xdr:colOff>
      <xdr:row>0</xdr:row>
      <xdr:rowOff>142875</xdr:rowOff>
    </xdr:from>
    <xdr:to>
      <xdr:col>24</xdr:col>
      <xdr:colOff>314325</xdr:colOff>
      <xdr:row>3</xdr:row>
      <xdr:rowOff>66675</xdr:rowOff>
    </xdr:to>
    <xdr:grpSp>
      <xdr:nvGrpSpPr>
        <xdr:cNvPr id="12" name="Group 11">
          <a:extLst>
            <a:ext uri="{FF2B5EF4-FFF2-40B4-BE49-F238E27FC236}">
              <a16:creationId xmlns:a16="http://schemas.microsoft.com/office/drawing/2014/main" id="{DA596BE9-558F-4022-91A7-D21852CF625A}"/>
            </a:ext>
          </a:extLst>
        </xdr:cNvPr>
        <xdr:cNvGrpSpPr/>
      </xdr:nvGrpSpPr>
      <xdr:grpSpPr>
        <a:xfrm>
          <a:off x="10534650" y="142875"/>
          <a:ext cx="2457450" cy="495300"/>
          <a:chOff x="11963400" y="-6162675"/>
          <a:chExt cx="2457450" cy="495300"/>
        </a:xfrm>
      </xdr:grpSpPr>
      <xdr:sp macro="" textlink="">
        <xdr:nvSpPr>
          <xdr:cNvPr id="13" name="Rectangle 12">
            <a:extLst>
              <a:ext uri="{FF2B5EF4-FFF2-40B4-BE49-F238E27FC236}">
                <a16:creationId xmlns:a16="http://schemas.microsoft.com/office/drawing/2014/main" id="{FB18C9F1-3D99-4A59-8A42-6ACCB569D702}"/>
              </a:ext>
            </a:extLst>
          </xdr:cNvPr>
          <xdr:cNvSpPr/>
        </xdr:nvSpPr>
        <xdr:spPr>
          <a:xfrm>
            <a:off x="11963400" y="-6162675"/>
            <a:ext cx="2457450" cy="495300"/>
          </a:xfrm>
          <a:prstGeom prst="rect">
            <a:avLst/>
          </a:prstGeom>
          <a:solidFill>
            <a:schemeClr val="bg1">
              <a:lumMod val="9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Z" sz="1100"/>
          </a:p>
        </xdr:txBody>
      </xdr:sp>
      <xdr:pic>
        <xdr:nvPicPr>
          <xdr:cNvPr id="14" name="Picture 13">
            <a:extLst>
              <a:ext uri="{FF2B5EF4-FFF2-40B4-BE49-F238E27FC236}">
                <a16:creationId xmlns:a16="http://schemas.microsoft.com/office/drawing/2014/main" id="{0FC61A28-627D-4322-8BC5-953CCD6226E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001500" y="-6100762"/>
            <a:ext cx="660483" cy="371475"/>
          </a:xfrm>
          <a:prstGeom prst="rect">
            <a:avLst/>
          </a:prstGeom>
        </xdr:spPr>
      </xdr:pic>
      <xdr:sp macro="" textlink="">
        <xdr:nvSpPr>
          <xdr:cNvPr id="15" name="TextBox 14">
            <a:hlinkClick xmlns:r="http://schemas.openxmlformats.org/officeDocument/2006/relationships" r:id="rId3"/>
            <a:extLst>
              <a:ext uri="{FF2B5EF4-FFF2-40B4-BE49-F238E27FC236}">
                <a16:creationId xmlns:a16="http://schemas.microsoft.com/office/drawing/2014/main" id="{B98E49F4-E9B7-4CA5-8BD6-51FC09678D73}"/>
              </a:ext>
            </a:extLst>
          </xdr:cNvPr>
          <xdr:cNvSpPr txBox="1"/>
        </xdr:nvSpPr>
        <xdr:spPr>
          <a:xfrm>
            <a:off x="12773025" y="-6062662"/>
            <a:ext cx="154305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Z" sz="1100" b="1"/>
              <a:t>www.teamtraffic.co.nz</a:t>
            </a: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88.450030324071" missingItemsLimit="0" createdVersion="5" refreshedVersion="8" minRefreshableVersion="3" recordCount="144" xr:uid="{00000000-000A-0000-FFFF-FFFF00000000}">
  <cacheSource type="worksheet">
    <worksheetSource name="tblPivotData"/>
  </cacheSource>
  <cacheFields count="5">
    <cacheField name="Approach" numFmtId="0">
      <sharedItems count="1">
        <s v="Smith Street North"/>
      </sharedItems>
    </cacheField>
    <cacheField name="Movement" numFmtId="0">
      <sharedItems count="2">
        <s v="Lane 1 Left Turn"/>
        <s v="Lane 2 Right Turn"/>
      </sharedItems>
    </cacheField>
    <cacheField name="Survey Period" numFmtId="0">
      <sharedItems count="3">
        <s v="AM"/>
        <s v="IP"/>
        <s v="PM"/>
      </sharedItems>
    </cacheField>
    <cacheField name="Time" numFmtId="20">
      <sharedItems containsSemiMixedTypes="0" containsNonDate="0" containsDate="1" containsString="0" minDate="1899-12-30T07:00:00" maxDate="1899-12-30T17:55:00" count="72">
        <d v="1899-12-30T07:00:00"/>
        <d v="1899-12-30T07:05:00"/>
        <d v="1899-12-30T07:10:00"/>
        <d v="1899-12-30T07:15:00"/>
        <d v="1899-12-30T07:20:00"/>
        <d v="1899-12-30T07:25:00"/>
        <d v="1899-12-30T07:30:00"/>
        <d v="1899-12-30T07:35:00"/>
        <d v="1899-12-30T07:40:00"/>
        <d v="1899-12-30T07:45:00"/>
        <d v="1899-12-30T07:50:00"/>
        <d v="1899-12-30T07:55:00"/>
        <d v="1899-12-30T08:00:00"/>
        <d v="1899-12-30T08:05:00"/>
        <d v="1899-12-30T08:10:00"/>
        <d v="1899-12-30T08:15:00"/>
        <d v="1899-12-30T08:20:00"/>
        <d v="1899-12-30T08:25:00"/>
        <d v="1899-12-30T08:30:00"/>
        <d v="1899-12-30T08:35:00"/>
        <d v="1899-12-30T08:40:00"/>
        <d v="1899-12-30T08:45:00"/>
        <d v="1899-12-30T08:50:00"/>
        <d v="1899-12-30T08:55:00"/>
        <d v="1899-12-30T11:00:00"/>
        <d v="1899-12-30T11:05:00"/>
        <d v="1899-12-30T11:10:00"/>
        <d v="1899-12-30T11:15:00"/>
        <d v="1899-12-30T11:20:00"/>
        <d v="1899-12-30T11:25:00"/>
        <d v="1899-12-30T11:30:00"/>
        <d v="1899-12-30T11:35:00"/>
        <d v="1899-12-30T11:40:00"/>
        <d v="1899-12-30T11:45:00"/>
        <d v="1899-12-30T11:50:00"/>
        <d v="1899-12-30T11:55:00"/>
        <d v="1899-12-30T12:00:00"/>
        <d v="1899-12-30T12:05:00"/>
        <d v="1899-12-30T12:10:00"/>
        <d v="1899-12-30T12:15:00"/>
        <d v="1899-12-30T12:20:00"/>
        <d v="1899-12-30T12:25:00"/>
        <d v="1899-12-30T12:30:00"/>
        <d v="1899-12-30T12:35:00"/>
        <d v="1899-12-30T12:40:00"/>
        <d v="1899-12-30T12:45:00"/>
        <d v="1899-12-30T12:50:00"/>
        <d v="1899-12-30T12:55:00"/>
        <d v="1899-12-30T16:00:00"/>
        <d v="1899-12-30T16:05:00"/>
        <d v="1899-12-30T16:10:00"/>
        <d v="1899-12-30T16:15:00"/>
        <d v="1899-12-30T16:20:00"/>
        <d v="1899-12-30T16:25:00"/>
        <d v="1899-12-30T16:30:00"/>
        <d v="1899-12-30T16:35:00"/>
        <d v="1899-12-30T16:40:00"/>
        <d v="1899-12-30T16:45:00"/>
        <d v="1899-12-30T16:50:00"/>
        <d v="1899-12-30T16:55:00"/>
        <d v="1899-12-30T17:00:00"/>
        <d v="1899-12-30T17:05:00"/>
        <d v="1899-12-30T17:10:00"/>
        <d v="1899-12-30T17:15:00"/>
        <d v="1899-12-30T17:20:00"/>
        <d v="1899-12-30T17:25:00"/>
        <d v="1899-12-30T17:30:00"/>
        <d v="1899-12-30T17:35:00"/>
        <d v="1899-12-30T17:40:00"/>
        <d v="1899-12-30T17:45:00"/>
        <d v="1899-12-30T17:50:00"/>
        <d v="1899-12-30T17:55:00"/>
      </sharedItems>
    </cacheField>
    <cacheField name="Queue Length (cars)" numFmtId="0">
      <sharedItems containsSemiMixedTypes="0" containsString="0" containsNumber="1" containsInteger="1" minValue="0" maxValue="4"/>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4">
  <r>
    <x v="0"/>
    <x v="0"/>
    <x v="0"/>
    <x v="0"/>
    <n v="0"/>
  </r>
  <r>
    <x v="0"/>
    <x v="0"/>
    <x v="0"/>
    <x v="1"/>
    <n v="0"/>
  </r>
  <r>
    <x v="0"/>
    <x v="0"/>
    <x v="0"/>
    <x v="2"/>
    <n v="0"/>
  </r>
  <r>
    <x v="0"/>
    <x v="0"/>
    <x v="0"/>
    <x v="3"/>
    <n v="0"/>
  </r>
  <r>
    <x v="0"/>
    <x v="0"/>
    <x v="0"/>
    <x v="4"/>
    <n v="0"/>
  </r>
  <r>
    <x v="0"/>
    <x v="0"/>
    <x v="0"/>
    <x v="5"/>
    <n v="0"/>
  </r>
  <r>
    <x v="0"/>
    <x v="0"/>
    <x v="0"/>
    <x v="6"/>
    <n v="0"/>
  </r>
  <r>
    <x v="0"/>
    <x v="0"/>
    <x v="0"/>
    <x v="7"/>
    <n v="0"/>
  </r>
  <r>
    <x v="0"/>
    <x v="0"/>
    <x v="0"/>
    <x v="8"/>
    <n v="0"/>
  </r>
  <r>
    <x v="0"/>
    <x v="0"/>
    <x v="0"/>
    <x v="9"/>
    <n v="0"/>
  </r>
  <r>
    <x v="0"/>
    <x v="0"/>
    <x v="0"/>
    <x v="10"/>
    <n v="1"/>
  </r>
  <r>
    <x v="0"/>
    <x v="0"/>
    <x v="0"/>
    <x v="11"/>
    <n v="0"/>
  </r>
  <r>
    <x v="0"/>
    <x v="0"/>
    <x v="0"/>
    <x v="12"/>
    <n v="1"/>
  </r>
  <r>
    <x v="0"/>
    <x v="0"/>
    <x v="0"/>
    <x v="13"/>
    <n v="1"/>
  </r>
  <r>
    <x v="0"/>
    <x v="0"/>
    <x v="0"/>
    <x v="14"/>
    <n v="1"/>
  </r>
  <r>
    <x v="0"/>
    <x v="0"/>
    <x v="0"/>
    <x v="15"/>
    <n v="1"/>
  </r>
  <r>
    <x v="0"/>
    <x v="0"/>
    <x v="0"/>
    <x v="16"/>
    <n v="1"/>
  </r>
  <r>
    <x v="0"/>
    <x v="0"/>
    <x v="0"/>
    <x v="17"/>
    <n v="1"/>
  </r>
  <r>
    <x v="0"/>
    <x v="0"/>
    <x v="0"/>
    <x v="18"/>
    <n v="3"/>
  </r>
  <r>
    <x v="0"/>
    <x v="0"/>
    <x v="0"/>
    <x v="19"/>
    <n v="4"/>
  </r>
  <r>
    <x v="0"/>
    <x v="0"/>
    <x v="0"/>
    <x v="20"/>
    <n v="1"/>
  </r>
  <r>
    <x v="0"/>
    <x v="0"/>
    <x v="0"/>
    <x v="21"/>
    <n v="1"/>
  </r>
  <r>
    <x v="0"/>
    <x v="0"/>
    <x v="0"/>
    <x v="22"/>
    <n v="1"/>
  </r>
  <r>
    <x v="0"/>
    <x v="0"/>
    <x v="0"/>
    <x v="23"/>
    <n v="1"/>
  </r>
  <r>
    <x v="0"/>
    <x v="1"/>
    <x v="0"/>
    <x v="0"/>
    <n v="1"/>
  </r>
  <r>
    <x v="0"/>
    <x v="1"/>
    <x v="0"/>
    <x v="1"/>
    <n v="3"/>
  </r>
  <r>
    <x v="0"/>
    <x v="1"/>
    <x v="0"/>
    <x v="2"/>
    <n v="1"/>
  </r>
  <r>
    <x v="0"/>
    <x v="1"/>
    <x v="0"/>
    <x v="3"/>
    <n v="1"/>
  </r>
  <r>
    <x v="0"/>
    <x v="1"/>
    <x v="0"/>
    <x v="4"/>
    <n v="1"/>
  </r>
  <r>
    <x v="0"/>
    <x v="1"/>
    <x v="0"/>
    <x v="5"/>
    <n v="1"/>
  </r>
  <r>
    <x v="0"/>
    <x v="1"/>
    <x v="0"/>
    <x v="6"/>
    <n v="0"/>
  </r>
  <r>
    <x v="0"/>
    <x v="1"/>
    <x v="0"/>
    <x v="7"/>
    <n v="0"/>
  </r>
  <r>
    <x v="0"/>
    <x v="1"/>
    <x v="0"/>
    <x v="8"/>
    <n v="1"/>
  </r>
  <r>
    <x v="0"/>
    <x v="1"/>
    <x v="0"/>
    <x v="9"/>
    <n v="0"/>
  </r>
  <r>
    <x v="0"/>
    <x v="1"/>
    <x v="0"/>
    <x v="10"/>
    <n v="0"/>
  </r>
  <r>
    <x v="0"/>
    <x v="1"/>
    <x v="0"/>
    <x v="11"/>
    <n v="0"/>
  </r>
  <r>
    <x v="0"/>
    <x v="1"/>
    <x v="0"/>
    <x v="12"/>
    <n v="1"/>
  </r>
  <r>
    <x v="0"/>
    <x v="1"/>
    <x v="0"/>
    <x v="13"/>
    <n v="1"/>
  </r>
  <r>
    <x v="0"/>
    <x v="1"/>
    <x v="0"/>
    <x v="14"/>
    <n v="0"/>
  </r>
  <r>
    <x v="0"/>
    <x v="1"/>
    <x v="0"/>
    <x v="15"/>
    <n v="0"/>
  </r>
  <r>
    <x v="0"/>
    <x v="1"/>
    <x v="0"/>
    <x v="16"/>
    <n v="1"/>
  </r>
  <r>
    <x v="0"/>
    <x v="1"/>
    <x v="0"/>
    <x v="17"/>
    <n v="1"/>
  </r>
  <r>
    <x v="0"/>
    <x v="1"/>
    <x v="0"/>
    <x v="18"/>
    <n v="0"/>
  </r>
  <r>
    <x v="0"/>
    <x v="1"/>
    <x v="0"/>
    <x v="19"/>
    <n v="1"/>
  </r>
  <r>
    <x v="0"/>
    <x v="1"/>
    <x v="0"/>
    <x v="20"/>
    <n v="0"/>
  </r>
  <r>
    <x v="0"/>
    <x v="1"/>
    <x v="0"/>
    <x v="21"/>
    <n v="1"/>
  </r>
  <r>
    <x v="0"/>
    <x v="1"/>
    <x v="0"/>
    <x v="22"/>
    <n v="0"/>
  </r>
  <r>
    <x v="0"/>
    <x v="1"/>
    <x v="0"/>
    <x v="23"/>
    <n v="0"/>
  </r>
  <r>
    <x v="0"/>
    <x v="0"/>
    <x v="1"/>
    <x v="24"/>
    <n v="2"/>
  </r>
  <r>
    <x v="0"/>
    <x v="0"/>
    <x v="1"/>
    <x v="25"/>
    <n v="2"/>
  </r>
  <r>
    <x v="0"/>
    <x v="0"/>
    <x v="1"/>
    <x v="26"/>
    <n v="1"/>
  </r>
  <r>
    <x v="0"/>
    <x v="0"/>
    <x v="1"/>
    <x v="27"/>
    <n v="0"/>
  </r>
  <r>
    <x v="0"/>
    <x v="0"/>
    <x v="1"/>
    <x v="28"/>
    <n v="0"/>
  </r>
  <r>
    <x v="0"/>
    <x v="0"/>
    <x v="1"/>
    <x v="29"/>
    <n v="1"/>
  </r>
  <r>
    <x v="0"/>
    <x v="0"/>
    <x v="1"/>
    <x v="30"/>
    <n v="0"/>
  </r>
  <r>
    <x v="0"/>
    <x v="0"/>
    <x v="1"/>
    <x v="31"/>
    <n v="1"/>
  </r>
  <r>
    <x v="0"/>
    <x v="0"/>
    <x v="1"/>
    <x v="32"/>
    <n v="1"/>
  </r>
  <r>
    <x v="0"/>
    <x v="0"/>
    <x v="1"/>
    <x v="33"/>
    <n v="1"/>
  </r>
  <r>
    <x v="0"/>
    <x v="0"/>
    <x v="1"/>
    <x v="34"/>
    <n v="1"/>
  </r>
  <r>
    <x v="0"/>
    <x v="0"/>
    <x v="1"/>
    <x v="35"/>
    <n v="4"/>
  </r>
  <r>
    <x v="0"/>
    <x v="0"/>
    <x v="1"/>
    <x v="36"/>
    <n v="1"/>
  </r>
  <r>
    <x v="0"/>
    <x v="0"/>
    <x v="1"/>
    <x v="37"/>
    <n v="0"/>
  </r>
  <r>
    <x v="0"/>
    <x v="0"/>
    <x v="1"/>
    <x v="38"/>
    <n v="1"/>
  </r>
  <r>
    <x v="0"/>
    <x v="0"/>
    <x v="1"/>
    <x v="39"/>
    <n v="1"/>
  </r>
  <r>
    <x v="0"/>
    <x v="0"/>
    <x v="1"/>
    <x v="40"/>
    <n v="1"/>
  </r>
  <r>
    <x v="0"/>
    <x v="0"/>
    <x v="1"/>
    <x v="41"/>
    <n v="0"/>
  </r>
  <r>
    <x v="0"/>
    <x v="0"/>
    <x v="1"/>
    <x v="42"/>
    <n v="1"/>
  </r>
  <r>
    <x v="0"/>
    <x v="0"/>
    <x v="1"/>
    <x v="43"/>
    <n v="1"/>
  </r>
  <r>
    <x v="0"/>
    <x v="0"/>
    <x v="1"/>
    <x v="44"/>
    <n v="1"/>
  </r>
  <r>
    <x v="0"/>
    <x v="0"/>
    <x v="1"/>
    <x v="45"/>
    <n v="1"/>
  </r>
  <r>
    <x v="0"/>
    <x v="0"/>
    <x v="1"/>
    <x v="46"/>
    <n v="1"/>
  </r>
  <r>
    <x v="0"/>
    <x v="0"/>
    <x v="1"/>
    <x v="47"/>
    <n v="1"/>
  </r>
  <r>
    <x v="0"/>
    <x v="1"/>
    <x v="1"/>
    <x v="24"/>
    <n v="0"/>
  </r>
  <r>
    <x v="0"/>
    <x v="1"/>
    <x v="1"/>
    <x v="25"/>
    <n v="0"/>
  </r>
  <r>
    <x v="0"/>
    <x v="1"/>
    <x v="1"/>
    <x v="26"/>
    <n v="2"/>
  </r>
  <r>
    <x v="0"/>
    <x v="1"/>
    <x v="1"/>
    <x v="27"/>
    <n v="0"/>
  </r>
  <r>
    <x v="0"/>
    <x v="1"/>
    <x v="1"/>
    <x v="28"/>
    <n v="1"/>
  </r>
  <r>
    <x v="0"/>
    <x v="1"/>
    <x v="1"/>
    <x v="29"/>
    <n v="1"/>
  </r>
  <r>
    <x v="0"/>
    <x v="1"/>
    <x v="1"/>
    <x v="30"/>
    <n v="1"/>
  </r>
  <r>
    <x v="0"/>
    <x v="1"/>
    <x v="1"/>
    <x v="31"/>
    <n v="0"/>
  </r>
  <r>
    <x v="0"/>
    <x v="1"/>
    <x v="1"/>
    <x v="32"/>
    <n v="0"/>
  </r>
  <r>
    <x v="0"/>
    <x v="1"/>
    <x v="1"/>
    <x v="33"/>
    <n v="0"/>
  </r>
  <r>
    <x v="0"/>
    <x v="1"/>
    <x v="1"/>
    <x v="34"/>
    <n v="1"/>
  </r>
  <r>
    <x v="0"/>
    <x v="1"/>
    <x v="1"/>
    <x v="35"/>
    <n v="1"/>
  </r>
  <r>
    <x v="0"/>
    <x v="1"/>
    <x v="1"/>
    <x v="36"/>
    <n v="1"/>
  </r>
  <r>
    <x v="0"/>
    <x v="1"/>
    <x v="1"/>
    <x v="37"/>
    <n v="1"/>
  </r>
  <r>
    <x v="0"/>
    <x v="1"/>
    <x v="1"/>
    <x v="38"/>
    <n v="1"/>
  </r>
  <r>
    <x v="0"/>
    <x v="1"/>
    <x v="1"/>
    <x v="39"/>
    <n v="1"/>
  </r>
  <r>
    <x v="0"/>
    <x v="1"/>
    <x v="1"/>
    <x v="40"/>
    <n v="1"/>
  </r>
  <r>
    <x v="0"/>
    <x v="1"/>
    <x v="1"/>
    <x v="41"/>
    <n v="1"/>
  </r>
  <r>
    <x v="0"/>
    <x v="1"/>
    <x v="1"/>
    <x v="42"/>
    <n v="0"/>
  </r>
  <r>
    <x v="0"/>
    <x v="1"/>
    <x v="1"/>
    <x v="43"/>
    <n v="0"/>
  </r>
  <r>
    <x v="0"/>
    <x v="1"/>
    <x v="1"/>
    <x v="44"/>
    <n v="1"/>
  </r>
  <r>
    <x v="0"/>
    <x v="1"/>
    <x v="1"/>
    <x v="45"/>
    <n v="1"/>
  </r>
  <r>
    <x v="0"/>
    <x v="1"/>
    <x v="1"/>
    <x v="46"/>
    <n v="0"/>
  </r>
  <r>
    <x v="0"/>
    <x v="1"/>
    <x v="1"/>
    <x v="47"/>
    <n v="1"/>
  </r>
  <r>
    <x v="0"/>
    <x v="0"/>
    <x v="2"/>
    <x v="48"/>
    <n v="0"/>
  </r>
  <r>
    <x v="0"/>
    <x v="0"/>
    <x v="2"/>
    <x v="49"/>
    <n v="1"/>
  </r>
  <r>
    <x v="0"/>
    <x v="0"/>
    <x v="2"/>
    <x v="50"/>
    <n v="1"/>
  </r>
  <r>
    <x v="0"/>
    <x v="0"/>
    <x v="2"/>
    <x v="51"/>
    <n v="2"/>
  </r>
  <r>
    <x v="0"/>
    <x v="0"/>
    <x v="2"/>
    <x v="52"/>
    <n v="0"/>
  </r>
  <r>
    <x v="0"/>
    <x v="0"/>
    <x v="2"/>
    <x v="53"/>
    <n v="2"/>
  </r>
  <r>
    <x v="0"/>
    <x v="0"/>
    <x v="2"/>
    <x v="54"/>
    <n v="1"/>
  </r>
  <r>
    <x v="0"/>
    <x v="0"/>
    <x v="2"/>
    <x v="55"/>
    <n v="1"/>
  </r>
  <r>
    <x v="0"/>
    <x v="0"/>
    <x v="2"/>
    <x v="56"/>
    <n v="1"/>
  </r>
  <r>
    <x v="0"/>
    <x v="0"/>
    <x v="2"/>
    <x v="57"/>
    <n v="1"/>
  </r>
  <r>
    <x v="0"/>
    <x v="0"/>
    <x v="2"/>
    <x v="58"/>
    <n v="1"/>
  </r>
  <r>
    <x v="0"/>
    <x v="0"/>
    <x v="2"/>
    <x v="59"/>
    <n v="1"/>
  </r>
  <r>
    <x v="0"/>
    <x v="0"/>
    <x v="2"/>
    <x v="60"/>
    <n v="1"/>
  </r>
  <r>
    <x v="0"/>
    <x v="0"/>
    <x v="2"/>
    <x v="61"/>
    <n v="2"/>
  </r>
  <r>
    <x v="0"/>
    <x v="0"/>
    <x v="2"/>
    <x v="62"/>
    <n v="1"/>
  </r>
  <r>
    <x v="0"/>
    <x v="0"/>
    <x v="2"/>
    <x v="63"/>
    <n v="1"/>
  </r>
  <r>
    <x v="0"/>
    <x v="0"/>
    <x v="2"/>
    <x v="64"/>
    <n v="2"/>
  </r>
  <r>
    <x v="0"/>
    <x v="0"/>
    <x v="2"/>
    <x v="65"/>
    <n v="2"/>
  </r>
  <r>
    <x v="0"/>
    <x v="0"/>
    <x v="2"/>
    <x v="66"/>
    <n v="1"/>
  </r>
  <r>
    <x v="0"/>
    <x v="0"/>
    <x v="2"/>
    <x v="67"/>
    <n v="1"/>
  </r>
  <r>
    <x v="0"/>
    <x v="0"/>
    <x v="2"/>
    <x v="68"/>
    <n v="1"/>
  </r>
  <r>
    <x v="0"/>
    <x v="0"/>
    <x v="2"/>
    <x v="69"/>
    <n v="2"/>
  </r>
  <r>
    <x v="0"/>
    <x v="0"/>
    <x v="2"/>
    <x v="70"/>
    <n v="0"/>
  </r>
  <r>
    <x v="0"/>
    <x v="0"/>
    <x v="2"/>
    <x v="71"/>
    <n v="1"/>
  </r>
  <r>
    <x v="0"/>
    <x v="1"/>
    <x v="2"/>
    <x v="48"/>
    <n v="1"/>
  </r>
  <r>
    <x v="0"/>
    <x v="1"/>
    <x v="2"/>
    <x v="49"/>
    <n v="2"/>
  </r>
  <r>
    <x v="0"/>
    <x v="1"/>
    <x v="2"/>
    <x v="50"/>
    <n v="2"/>
  </r>
  <r>
    <x v="0"/>
    <x v="1"/>
    <x v="2"/>
    <x v="51"/>
    <n v="1"/>
  </r>
  <r>
    <x v="0"/>
    <x v="1"/>
    <x v="2"/>
    <x v="52"/>
    <n v="0"/>
  </r>
  <r>
    <x v="0"/>
    <x v="1"/>
    <x v="2"/>
    <x v="53"/>
    <n v="0"/>
  </r>
  <r>
    <x v="0"/>
    <x v="1"/>
    <x v="2"/>
    <x v="54"/>
    <n v="0"/>
  </r>
  <r>
    <x v="0"/>
    <x v="1"/>
    <x v="2"/>
    <x v="55"/>
    <n v="1"/>
  </r>
  <r>
    <x v="0"/>
    <x v="1"/>
    <x v="2"/>
    <x v="56"/>
    <n v="0"/>
  </r>
  <r>
    <x v="0"/>
    <x v="1"/>
    <x v="2"/>
    <x v="57"/>
    <n v="1"/>
  </r>
  <r>
    <x v="0"/>
    <x v="1"/>
    <x v="2"/>
    <x v="58"/>
    <n v="0"/>
  </r>
  <r>
    <x v="0"/>
    <x v="1"/>
    <x v="2"/>
    <x v="59"/>
    <n v="1"/>
  </r>
  <r>
    <x v="0"/>
    <x v="1"/>
    <x v="2"/>
    <x v="60"/>
    <n v="2"/>
  </r>
  <r>
    <x v="0"/>
    <x v="1"/>
    <x v="2"/>
    <x v="61"/>
    <n v="1"/>
  </r>
  <r>
    <x v="0"/>
    <x v="1"/>
    <x v="2"/>
    <x v="62"/>
    <n v="0"/>
  </r>
  <r>
    <x v="0"/>
    <x v="1"/>
    <x v="2"/>
    <x v="63"/>
    <n v="0"/>
  </r>
  <r>
    <x v="0"/>
    <x v="1"/>
    <x v="2"/>
    <x v="64"/>
    <n v="1"/>
  </r>
  <r>
    <x v="0"/>
    <x v="1"/>
    <x v="2"/>
    <x v="65"/>
    <n v="1"/>
  </r>
  <r>
    <x v="0"/>
    <x v="1"/>
    <x v="2"/>
    <x v="66"/>
    <n v="1"/>
  </r>
  <r>
    <x v="0"/>
    <x v="1"/>
    <x v="2"/>
    <x v="67"/>
    <n v="1"/>
  </r>
  <r>
    <x v="0"/>
    <x v="1"/>
    <x v="2"/>
    <x v="68"/>
    <n v="0"/>
  </r>
  <r>
    <x v="0"/>
    <x v="1"/>
    <x v="2"/>
    <x v="69"/>
    <n v="1"/>
  </r>
  <r>
    <x v="0"/>
    <x v="1"/>
    <x v="2"/>
    <x v="70"/>
    <n v="1"/>
  </r>
  <r>
    <x v="0"/>
    <x v="1"/>
    <x v="2"/>
    <x v="71"/>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0" applyNumberFormats="0" applyBorderFormats="0" applyFontFormats="0" applyPatternFormats="0" applyAlignmentFormats="0" applyWidthHeightFormats="1" dataCaption="Values" updatedVersion="8" minRefreshableVersion="3" showDrill="0" useAutoFormatting="1" rowGrandTotals="0" colGrandTotals="0" itemPrintTitles="1" createdVersion="5" indent="0" outline="1" outlineData="1" multipleFieldFilters="0" chartFormat="19">
  <location ref="A8:B32" firstHeaderRow="1" firstDataRow="1" firstDataCol="1" rowPageCount="3" colPageCount="1"/>
  <pivotFields count="5">
    <pivotField axis="axisPage" multipleItemSelectionAllowed="1" showAll="0">
      <items count="2">
        <item x="0"/>
        <item t="default"/>
      </items>
    </pivotField>
    <pivotField axis="axisPage" multipleItemSelectionAllowed="1" showAll="0">
      <items count="3">
        <item x="0"/>
        <item x="1"/>
        <item t="default"/>
      </items>
    </pivotField>
    <pivotField axis="axisPage" multipleItemSelectionAllowed="1" showAll="0">
      <items count="4">
        <item x="0"/>
        <item h="1" x="2"/>
        <item h="1" x="1"/>
        <item t="default"/>
      </items>
    </pivotField>
    <pivotField axis="axisRow" numFmtId="20" showAll="0" sortType="ascending">
      <items count="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dataField="1" showAll="0"/>
  </pivotFields>
  <rowFields count="1">
    <field x="3"/>
  </rowFields>
  <rowItems count="24">
    <i>
      <x/>
    </i>
    <i>
      <x v="1"/>
    </i>
    <i>
      <x v="2"/>
    </i>
    <i>
      <x v="3"/>
    </i>
    <i>
      <x v="4"/>
    </i>
    <i>
      <x v="5"/>
    </i>
    <i>
      <x v="6"/>
    </i>
    <i>
      <x v="7"/>
    </i>
    <i>
      <x v="8"/>
    </i>
    <i>
      <x v="9"/>
    </i>
    <i>
      <x v="10"/>
    </i>
    <i>
      <x v="11"/>
    </i>
    <i>
      <x v="12"/>
    </i>
    <i>
      <x v="13"/>
    </i>
    <i>
      <x v="14"/>
    </i>
    <i>
      <x v="15"/>
    </i>
    <i>
      <x v="16"/>
    </i>
    <i>
      <x v="17"/>
    </i>
    <i>
      <x v="18"/>
    </i>
    <i>
      <x v="19"/>
    </i>
    <i>
      <x v="20"/>
    </i>
    <i>
      <x v="21"/>
    </i>
    <i>
      <x v="22"/>
    </i>
    <i>
      <x v="23"/>
    </i>
  </rowItems>
  <colItems count="1">
    <i/>
  </colItems>
  <pageFields count="3">
    <pageField fld="0" hier="-1"/>
    <pageField fld="1" hier="-1"/>
    <pageField fld="2" hier="-1"/>
  </pageFields>
  <dataFields count="1">
    <dataField name="Sum of Queue Length (car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pproach" xr10:uid="{00000000-0013-0000-FFFF-FFFF01000000}" sourceName="Approach">
  <pivotTables>
    <pivotTable tabId="23" name="PivotTable1"/>
  </pivotTables>
  <data>
    <tabular pivotCacheId="1">
      <items count="1">
        <i x="0"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vement" xr10:uid="{00000000-0013-0000-FFFF-FFFF02000000}" sourceName="Movement">
  <pivotTables>
    <pivotTable tabId="23" name="PivotTable1"/>
  </pivotTables>
  <data>
    <tabular pivotCacheId="1">
      <items count="2">
        <i x="0" s="1"/>
        <i x="1"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3000000}" sourceName="Survey Period">
  <pivotTables>
    <pivotTable tabId="23" name="PivotTable1"/>
  </pivotTables>
  <data>
    <tabular pivotCacheId="1">
      <items count="3">
        <i x="0" s="1"/>
        <i x="1"/>
        <i x="2"/>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pproach" xr10:uid="{00000000-0014-0000-FFFF-FFFF01000000}" cache="Slicer_Approach" caption="Approach" rowHeight="241300"/>
  <slicer name="Movement" xr10:uid="{00000000-0014-0000-FFFF-FFFF02000000}" cache="Slicer_Movement" caption="Movement" rowHeight="241300"/>
  <slicer name="Survey Period" xr10:uid="{00000000-0014-0000-FFFF-FFFF03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E145" totalsRowShown="0">
  <autoFilter ref="A1:E145" xr:uid="{00000000-0009-0000-0100-000001000000}"/>
  <tableColumns count="5">
    <tableColumn id="1" xr3:uid="{00000000-0010-0000-0000-000001000000}" name="Approach"/>
    <tableColumn id="2" xr3:uid="{00000000-0010-0000-0000-000002000000}" name="Movement"/>
    <tableColumn id="5" xr3:uid="{00000000-0010-0000-0000-000005000000}" name="Survey Period"/>
    <tableColumn id="6" xr3:uid="{00000000-0010-0000-0000-000006000000}" name="Time" dataDxfId="9"/>
    <tableColumn id="7" xr3:uid="{00000000-0010-0000-0000-000007000000}" name="Queue Length (car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6" activePane="bottomLeft" state="frozen"/>
      <selection pane="bottomLeft" activeCell="G25" sqref="G25"/>
    </sheetView>
  </sheetViews>
  <sheetFormatPr defaultRowHeight="15" x14ac:dyDescent="0.25"/>
  <cols>
    <col min="1" max="1" width="6.7109375" customWidth="1"/>
    <col min="2" max="2" width="12.28515625" bestFit="1" customWidth="1"/>
    <col min="3" max="3" width="42.140625" customWidth="1"/>
    <col min="5" max="5" width="29.7109375" customWidth="1"/>
    <col min="6" max="6" width="5" customWidth="1"/>
    <col min="7" max="7" width="7.140625" customWidth="1"/>
    <col min="8" max="8" width="14.5703125" bestFit="1" customWidth="1"/>
    <col min="9" max="11" width="14.85546875" bestFit="1" customWidth="1"/>
    <col min="12" max="12" width="14.85546875" customWidth="1"/>
  </cols>
  <sheetData>
    <row r="2" spans="2:12" ht="18.75" x14ac:dyDescent="0.3">
      <c r="B2" s="8" t="s">
        <v>27</v>
      </c>
    </row>
    <row r="4" spans="2:12" x14ac:dyDescent="0.25">
      <c r="B4" t="s">
        <v>20</v>
      </c>
    </row>
    <row r="7" spans="2:12" x14ac:dyDescent="0.25">
      <c r="B7" s="3" t="s">
        <v>12</v>
      </c>
      <c r="E7" s="3"/>
      <c r="H7" s="3" t="s">
        <v>3</v>
      </c>
    </row>
    <row r="9" spans="2:12" x14ac:dyDescent="0.25">
      <c r="B9" t="s">
        <v>0</v>
      </c>
      <c r="C9" s="1" t="s">
        <v>77</v>
      </c>
      <c r="H9" t="s">
        <v>22</v>
      </c>
      <c r="I9" s="1">
        <v>5</v>
      </c>
      <c r="J9" t="s">
        <v>21</v>
      </c>
    </row>
    <row r="10" spans="2:12" x14ac:dyDescent="0.25">
      <c r="B10" t="s">
        <v>1</v>
      </c>
      <c r="C10" s="1" t="s">
        <v>72</v>
      </c>
    </row>
    <row r="11" spans="2:12" x14ac:dyDescent="0.25">
      <c r="B11" t="s">
        <v>2</v>
      </c>
      <c r="C11" s="27" t="s">
        <v>76</v>
      </c>
      <c r="I11" t="s">
        <v>7</v>
      </c>
      <c r="J11" t="s">
        <v>8</v>
      </c>
      <c r="K11" t="s">
        <v>9</v>
      </c>
      <c r="L11" t="s">
        <v>10</v>
      </c>
    </row>
    <row r="12" spans="2:12" x14ac:dyDescent="0.25">
      <c r="B12" t="s">
        <v>28</v>
      </c>
      <c r="C12" s="7"/>
      <c r="H12" t="s">
        <v>4</v>
      </c>
      <c r="I12" s="1" t="s">
        <v>24</v>
      </c>
      <c r="J12" s="1" t="s">
        <v>70</v>
      </c>
      <c r="K12" s="1" t="s">
        <v>71</v>
      </c>
      <c r="L12" s="1"/>
    </row>
    <row r="13" spans="2:12" x14ac:dyDescent="0.25">
      <c r="H13" t="s">
        <v>5</v>
      </c>
      <c r="I13" s="4">
        <v>0.29166666666666669</v>
      </c>
      <c r="J13" s="4">
        <v>0.45833333333333331</v>
      </c>
      <c r="K13" s="4">
        <v>0.66666666666666663</v>
      </c>
      <c r="L13" s="4"/>
    </row>
    <row r="14" spans="2:12" x14ac:dyDescent="0.25">
      <c r="C14" t="s">
        <v>62</v>
      </c>
      <c r="H14" t="s">
        <v>6</v>
      </c>
      <c r="I14" s="4">
        <v>0.37152777777777773</v>
      </c>
      <c r="J14" s="4">
        <v>0.53819444444444442</v>
      </c>
      <c r="K14" s="4">
        <v>0.74652777777777779</v>
      </c>
      <c r="L14" s="4"/>
    </row>
    <row r="16" spans="2:12" x14ac:dyDescent="0.25">
      <c r="B16" t="s">
        <v>25</v>
      </c>
      <c r="C16" s="6"/>
    </row>
    <row r="17" spans="2:10" x14ac:dyDescent="0.25">
      <c r="J17" s="5"/>
    </row>
    <row r="18" spans="2:10" x14ac:dyDescent="0.25">
      <c r="B18" s="3" t="s">
        <v>13</v>
      </c>
      <c r="J18" s="5"/>
    </row>
    <row r="20" spans="2:10" x14ac:dyDescent="0.25">
      <c r="B20" t="s">
        <v>14</v>
      </c>
      <c r="C20" s="1" t="s">
        <v>73</v>
      </c>
      <c r="E20" s="6"/>
    </row>
    <row r="22" spans="2:10" x14ac:dyDescent="0.25">
      <c r="B22" t="s">
        <v>38</v>
      </c>
      <c r="C22" s="1" t="s">
        <v>74</v>
      </c>
      <c r="E22" t="s">
        <v>37</v>
      </c>
    </row>
    <row r="23" spans="2:10" x14ac:dyDescent="0.25">
      <c r="B23" t="s">
        <v>39</v>
      </c>
      <c r="C23" s="1" t="s">
        <v>75</v>
      </c>
      <c r="E23" t="s">
        <v>36</v>
      </c>
    </row>
    <row r="24" spans="2:10" x14ac:dyDescent="0.25">
      <c r="B24" t="s">
        <v>40</v>
      </c>
      <c r="C24" s="1"/>
    </row>
    <row r="25" spans="2:10" x14ac:dyDescent="0.25">
      <c r="B25" t="s">
        <v>41</v>
      </c>
      <c r="C25" s="1"/>
    </row>
    <row r="26" spans="2:10" x14ac:dyDescent="0.25">
      <c r="B26" t="s">
        <v>42</v>
      </c>
      <c r="C26" s="1"/>
    </row>
    <row r="27" spans="2:10" x14ac:dyDescent="0.25">
      <c r="B27" t="s">
        <v>43</v>
      </c>
      <c r="C27" s="1"/>
    </row>
    <row r="28" spans="2:10" x14ac:dyDescent="0.25">
      <c r="B28" t="s">
        <v>44</v>
      </c>
      <c r="C28" s="1"/>
    </row>
    <row r="31" spans="2:10" x14ac:dyDescent="0.25">
      <c r="B31" t="s">
        <v>15</v>
      </c>
      <c r="C31" s="1"/>
      <c r="D31" t="s">
        <v>26</v>
      </c>
      <c r="E31" s="6"/>
    </row>
    <row r="33" spans="2:5" x14ac:dyDescent="0.25">
      <c r="B33" t="s">
        <v>38</v>
      </c>
      <c r="C33" s="1"/>
    </row>
    <row r="34" spans="2:5" x14ac:dyDescent="0.25">
      <c r="B34" t="s">
        <v>39</v>
      </c>
      <c r="C34" s="1"/>
    </row>
    <row r="35" spans="2:5" x14ac:dyDescent="0.25">
      <c r="B35" t="s">
        <v>40</v>
      </c>
      <c r="C35" s="1"/>
    </row>
    <row r="36" spans="2:5" x14ac:dyDescent="0.25">
      <c r="B36" t="s">
        <v>41</v>
      </c>
      <c r="C36" s="1"/>
    </row>
    <row r="37" spans="2:5" x14ac:dyDescent="0.25">
      <c r="B37" t="s">
        <v>42</v>
      </c>
      <c r="C37" s="1"/>
    </row>
    <row r="38" spans="2:5" x14ac:dyDescent="0.25">
      <c r="B38" t="s">
        <v>43</v>
      </c>
      <c r="C38" s="1"/>
    </row>
    <row r="39" spans="2:5" x14ac:dyDescent="0.25">
      <c r="B39" t="s">
        <v>44</v>
      </c>
      <c r="C39" s="1"/>
    </row>
    <row r="42" spans="2:5" x14ac:dyDescent="0.25">
      <c r="B42" t="s">
        <v>16</v>
      </c>
      <c r="C42" s="1"/>
      <c r="D42" t="s">
        <v>26</v>
      </c>
      <c r="E42" s="6"/>
    </row>
    <row r="44" spans="2:5" x14ac:dyDescent="0.25">
      <c r="B44" t="s">
        <v>38</v>
      </c>
      <c r="C44" s="1"/>
    </row>
    <row r="45" spans="2:5" x14ac:dyDescent="0.25">
      <c r="B45" t="s">
        <v>39</v>
      </c>
      <c r="C45" s="1"/>
    </row>
    <row r="46" spans="2:5" x14ac:dyDescent="0.25">
      <c r="B46" t="s">
        <v>40</v>
      </c>
      <c r="C46" s="1"/>
    </row>
    <row r="47" spans="2:5" x14ac:dyDescent="0.25">
      <c r="B47" t="s">
        <v>41</v>
      </c>
      <c r="C47" s="1"/>
    </row>
    <row r="48" spans="2:5" x14ac:dyDescent="0.25">
      <c r="B48" t="s">
        <v>42</v>
      </c>
      <c r="C48" s="1"/>
    </row>
    <row r="49" spans="2:5" x14ac:dyDescent="0.25">
      <c r="B49" t="s">
        <v>43</v>
      </c>
      <c r="C49" s="1"/>
    </row>
    <row r="50" spans="2:5" x14ac:dyDescent="0.25">
      <c r="B50" t="s">
        <v>44</v>
      </c>
      <c r="C50" s="1"/>
    </row>
    <row r="53" spans="2:5" x14ac:dyDescent="0.25">
      <c r="B53" t="s">
        <v>17</v>
      </c>
      <c r="C53" s="1"/>
      <c r="D53" t="s">
        <v>26</v>
      </c>
      <c r="E53" s="6"/>
    </row>
    <row r="55" spans="2:5" x14ac:dyDescent="0.25">
      <c r="B55" t="s">
        <v>38</v>
      </c>
      <c r="C55" s="1"/>
    </row>
    <row r="56" spans="2:5" x14ac:dyDescent="0.25">
      <c r="B56" t="s">
        <v>39</v>
      </c>
      <c r="C56" s="1"/>
    </row>
    <row r="57" spans="2:5" x14ac:dyDescent="0.25">
      <c r="B57" t="s">
        <v>40</v>
      </c>
      <c r="C57" s="1"/>
    </row>
    <row r="58" spans="2:5" x14ac:dyDescent="0.25">
      <c r="B58" t="s">
        <v>41</v>
      </c>
      <c r="C58" s="1"/>
    </row>
    <row r="59" spans="2:5" x14ac:dyDescent="0.25">
      <c r="B59" t="s">
        <v>42</v>
      </c>
      <c r="C59" s="1"/>
    </row>
    <row r="60" spans="2:5" x14ac:dyDescent="0.25">
      <c r="B60" t="s">
        <v>43</v>
      </c>
      <c r="C60" s="1"/>
    </row>
    <row r="61" spans="2:5" x14ac:dyDescent="0.25">
      <c r="B61" t="s">
        <v>44</v>
      </c>
      <c r="C61" s="1"/>
    </row>
    <row r="64" spans="2:5" x14ac:dyDescent="0.25">
      <c r="B64" t="s">
        <v>18</v>
      </c>
      <c r="C64" s="1"/>
      <c r="D64" t="s">
        <v>26</v>
      </c>
      <c r="E64" s="6"/>
    </row>
    <row r="66" spans="2:5" x14ac:dyDescent="0.25">
      <c r="B66" t="s">
        <v>38</v>
      </c>
      <c r="C66" s="1"/>
    </row>
    <row r="67" spans="2:5" x14ac:dyDescent="0.25">
      <c r="B67" t="s">
        <v>39</v>
      </c>
      <c r="C67" s="1"/>
    </row>
    <row r="68" spans="2:5" x14ac:dyDescent="0.25">
      <c r="B68" t="s">
        <v>40</v>
      </c>
      <c r="C68" s="1"/>
    </row>
    <row r="69" spans="2:5" x14ac:dyDescent="0.25">
      <c r="B69" t="s">
        <v>41</v>
      </c>
      <c r="C69" s="1"/>
    </row>
    <row r="70" spans="2:5" x14ac:dyDescent="0.25">
      <c r="B70" t="s">
        <v>42</v>
      </c>
      <c r="C70" s="1"/>
    </row>
    <row r="71" spans="2:5" x14ac:dyDescent="0.25">
      <c r="B71" t="s">
        <v>43</v>
      </c>
      <c r="C71" s="1"/>
    </row>
    <row r="72" spans="2:5" x14ac:dyDescent="0.25">
      <c r="B72" t="s">
        <v>44</v>
      </c>
      <c r="C72" s="1"/>
    </row>
    <row r="75" spans="2:5" x14ac:dyDescent="0.25">
      <c r="B75" t="s">
        <v>19</v>
      </c>
      <c r="C75" s="1"/>
      <c r="D75" t="s">
        <v>26</v>
      </c>
      <c r="E75" s="6"/>
    </row>
    <row r="77" spans="2:5" x14ac:dyDescent="0.25">
      <c r="B77" t="s">
        <v>38</v>
      </c>
      <c r="C77" s="1"/>
    </row>
    <row r="78" spans="2:5" x14ac:dyDescent="0.25">
      <c r="B78" t="s">
        <v>39</v>
      </c>
      <c r="C78" s="1"/>
    </row>
    <row r="79" spans="2:5" x14ac:dyDescent="0.25">
      <c r="B79" t="s">
        <v>40</v>
      </c>
      <c r="C79" s="1"/>
    </row>
    <row r="80" spans="2:5" x14ac:dyDescent="0.25">
      <c r="B80" t="s">
        <v>41</v>
      </c>
      <c r="C80" s="1"/>
    </row>
    <row r="81" spans="2:5" x14ac:dyDescent="0.25">
      <c r="B81" t="s">
        <v>42</v>
      </c>
      <c r="C81" s="1"/>
    </row>
    <row r="82" spans="2:5" x14ac:dyDescent="0.25">
      <c r="B82" t="s">
        <v>43</v>
      </c>
      <c r="C82" s="1"/>
    </row>
    <row r="83" spans="2:5" x14ac:dyDescent="0.25">
      <c r="B83" t="s">
        <v>44</v>
      </c>
      <c r="C83" s="1"/>
    </row>
    <row r="86" spans="2:5" x14ac:dyDescent="0.25">
      <c r="B86" t="s">
        <v>23</v>
      </c>
      <c r="C86" s="1"/>
      <c r="D86" t="s">
        <v>26</v>
      </c>
      <c r="E86" s="6"/>
    </row>
    <row r="88" spans="2:5" x14ac:dyDescent="0.25">
      <c r="B88" t="s">
        <v>38</v>
      </c>
      <c r="C88" s="1"/>
    </row>
    <row r="89" spans="2:5" x14ac:dyDescent="0.25">
      <c r="B89" t="s">
        <v>39</v>
      </c>
      <c r="C89" s="1"/>
    </row>
    <row r="90" spans="2:5" x14ac:dyDescent="0.25">
      <c r="B90" t="s">
        <v>40</v>
      </c>
      <c r="C90" s="1"/>
    </row>
    <row r="91" spans="2:5" x14ac:dyDescent="0.25">
      <c r="B91" t="s">
        <v>41</v>
      </c>
      <c r="C91" s="1"/>
    </row>
    <row r="92" spans="2:5" x14ac:dyDescent="0.25">
      <c r="B92" t="s">
        <v>42</v>
      </c>
      <c r="C92" s="1"/>
    </row>
    <row r="93" spans="2:5" x14ac:dyDescent="0.25">
      <c r="B93" t="s">
        <v>43</v>
      </c>
      <c r="C93" s="1"/>
    </row>
    <row r="94" spans="2:5" x14ac:dyDescent="0.25">
      <c r="B94" t="s">
        <v>44</v>
      </c>
      <c r="C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14"/>
  <sheetViews>
    <sheetView workbookViewId="0">
      <selection activeCell="H20" sqref="H20"/>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11</v>
      </c>
    </row>
    <row r="4" spans="2:8" x14ac:dyDescent="0.25">
      <c r="B4" s="1" t="str">
        <f>Input!C20</f>
        <v>Smith Street North</v>
      </c>
      <c r="C4" s="1">
        <f>Input!C31</f>
        <v>0</v>
      </c>
      <c r="D4" s="1">
        <f>Input!C42</f>
        <v>0</v>
      </c>
      <c r="E4" s="1">
        <f>Input!C53</f>
        <v>0</v>
      </c>
      <c r="F4" s="1">
        <f>Input!C64</f>
        <v>0</v>
      </c>
      <c r="G4" s="1">
        <f>Input!C75</f>
        <v>0</v>
      </c>
      <c r="H4" s="1">
        <f>Input!C86</f>
        <v>0</v>
      </c>
    </row>
    <row r="6" spans="2:8" x14ac:dyDescent="0.25">
      <c r="B6" t="s">
        <v>29</v>
      </c>
    </row>
    <row r="8" spans="2:8" x14ac:dyDescent="0.25">
      <c r="B8" s="1" t="str">
        <f>Input!C22</f>
        <v>Lane 1 Left Turn</v>
      </c>
      <c r="C8" s="1">
        <f>Input!C33</f>
        <v>0</v>
      </c>
      <c r="D8" s="1">
        <f>Input!C44</f>
        <v>0</v>
      </c>
      <c r="E8" s="1">
        <f>Input!C55</f>
        <v>0</v>
      </c>
      <c r="F8" s="1">
        <f>Input!C66</f>
        <v>0</v>
      </c>
      <c r="G8" s="1">
        <f>Input!C77</f>
        <v>0</v>
      </c>
      <c r="H8" s="1">
        <f>Input!C88</f>
        <v>0</v>
      </c>
    </row>
    <row r="9" spans="2:8" x14ac:dyDescent="0.25">
      <c r="B9" s="1" t="str">
        <f>Input!C23</f>
        <v>Lane 2 Right Turn</v>
      </c>
      <c r="C9" s="1">
        <f>Input!C34</f>
        <v>0</v>
      </c>
      <c r="D9" s="1">
        <f>Input!C45</f>
        <v>0</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K31"/>
  <sheetViews>
    <sheetView zoomScale="90" zoomScaleNormal="90" workbookViewId="0">
      <pane ySplit="7" topLeftCell="A8" activePane="bottomLeft" state="frozen"/>
      <selection pane="bottomLeft" sqref="A1:J1"/>
    </sheetView>
  </sheetViews>
  <sheetFormatPr defaultRowHeight="15" x14ac:dyDescent="0.25"/>
  <cols>
    <col min="1" max="1" width="13.7109375" customWidth="1"/>
    <col min="2" max="10" width="9" customWidth="1"/>
    <col min="16" max="17" width="9.140625" customWidth="1"/>
  </cols>
  <sheetData>
    <row r="1" spans="1:11" x14ac:dyDescent="0.25">
      <c r="A1" s="30" t="s">
        <v>78</v>
      </c>
      <c r="B1" s="30"/>
      <c r="C1" s="30"/>
      <c r="D1" s="30"/>
      <c r="E1" s="30"/>
      <c r="F1" s="30"/>
      <c r="G1" s="30"/>
      <c r="H1" s="30"/>
      <c r="I1" s="30"/>
      <c r="J1" s="30"/>
    </row>
    <row r="2" spans="1:11" x14ac:dyDescent="0.25">
      <c r="A2" s="31"/>
      <c r="B2" s="31"/>
      <c r="C2" s="31"/>
      <c r="D2" s="31"/>
      <c r="E2" s="31"/>
      <c r="F2" s="31"/>
      <c r="G2" s="31"/>
      <c r="H2" s="31"/>
      <c r="I2" s="31"/>
      <c r="J2" s="31"/>
    </row>
    <row r="4" spans="1:11" ht="15.75" thickBot="1" x14ac:dyDescent="0.3"/>
    <row r="5" spans="1:11" x14ac:dyDescent="0.25">
      <c r="B5" s="18" t="s">
        <v>24</v>
      </c>
      <c r="C5" s="35"/>
      <c r="F5" s="18" t="s">
        <v>70</v>
      </c>
      <c r="G5" s="35"/>
      <c r="J5" s="18" t="s">
        <v>71</v>
      </c>
      <c r="K5" s="35"/>
    </row>
    <row r="6" spans="1:11" ht="15.75" thickBot="1" x14ac:dyDescent="0.3">
      <c r="B6" s="19" t="s">
        <v>73</v>
      </c>
      <c r="C6" s="36"/>
      <c r="F6" s="19" t="s">
        <v>73</v>
      </c>
      <c r="G6" s="36"/>
      <c r="J6" s="19" t="s">
        <v>73</v>
      </c>
      <c r="K6" s="36"/>
    </row>
    <row r="7" spans="1:11" ht="15.75" thickBot="1" x14ac:dyDescent="0.3">
      <c r="A7" s="41" t="s">
        <v>53</v>
      </c>
      <c r="B7" s="42" t="s">
        <v>74</v>
      </c>
      <c r="C7" s="37" t="s">
        <v>75</v>
      </c>
      <c r="E7" s="41" t="s">
        <v>53</v>
      </c>
      <c r="F7" s="42" t="s">
        <v>74</v>
      </c>
      <c r="G7" s="37" t="s">
        <v>75</v>
      </c>
      <c r="I7" s="41" t="s">
        <v>53</v>
      </c>
      <c r="J7" s="42" t="s">
        <v>74</v>
      </c>
      <c r="K7" s="37" t="s">
        <v>75</v>
      </c>
    </row>
    <row r="8" spans="1:11" x14ac:dyDescent="0.25">
      <c r="A8" s="33">
        <v>0.29166666666666669</v>
      </c>
      <c r="B8" s="43"/>
      <c r="C8" s="38">
        <v>1</v>
      </c>
      <c r="E8" s="33">
        <v>0.45833333333333331</v>
      </c>
      <c r="F8" s="43">
        <v>2</v>
      </c>
      <c r="G8" s="38"/>
      <c r="I8" s="33">
        <v>0.66666666666666663</v>
      </c>
      <c r="J8" s="43"/>
      <c r="K8" s="38">
        <v>1</v>
      </c>
    </row>
    <row r="9" spans="1:11" x14ac:dyDescent="0.25">
      <c r="A9" s="32">
        <v>0.2951388888888889</v>
      </c>
      <c r="B9" s="29"/>
      <c r="C9" s="39">
        <v>3</v>
      </c>
      <c r="E9" s="32">
        <v>0.46180555555555558</v>
      </c>
      <c r="F9" s="29">
        <v>2</v>
      </c>
      <c r="G9" s="39"/>
      <c r="I9" s="32">
        <v>0.67013888888888884</v>
      </c>
      <c r="J9" s="29">
        <v>1</v>
      </c>
      <c r="K9" s="39">
        <v>2</v>
      </c>
    </row>
    <row r="10" spans="1:11" x14ac:dyDescent="0.25">
      <c r="A10" s="32">
        <v>0.2986111111111111</v>
      </c>
      <c r="B10" s="29"/>
      <c r="C10" s="39">
        <v>1</v>
      </c>
      <c r="E10" s="32">
        <v>0.46527777777777773</v>
      </c>
      <c r="F10" s="29">
        <v>1</v>
      </c>
      <c r="G10" s="39">
        <v>2</v>
      </c>
      <c r="I10" s="32">
        <v>0.67361111111111116</v>
      </c>
      <c r="J10" s="29">
        <v>1</v>
      </c>
      <c r="K10" s="39">
        <v>2</v>
      </c>
    </row>
    <row r="11" spans="1:11" x14ac:dyDescent="0.25">
      <c r="A11" s="32">
        <v>0.30208333333333331</v>
      </c>
      <c r="B11" s="29"/>
      <c r="C11" s="39">
        <v>1</v>
      </c>
      <c r="E11" s="32">
        <v>0.46875</v>
      </c>
      <c r="F11" s="29"/>
      <c r="G11" s="39"/>
      <c r="I11" s="32">
        <v>0.67708333333333337</v>
      </c>
      <c r="J11" s="29">
        <v>2</v>
      </c>
      <c r="K11" s="39">
        <v>1</v>
      </c>
    </row>
    <row r="12" spans="1:11" x14ac:dyDescent="0.25">
      <c r="A12" s="32">
        <v>0.30555555555555552</v>
      </c>
      <c r="B12" s="29"/>
      <c r="C12" s="39">
        <v>1</v>
      </c>
      <c r="E12" s="32">
        <v>0.47222222222222227</v>
      </c>
      <c r="F12" s="29"/>
      <c r="G12" s="39">
        <v>1</v>
      </c>
      <c r="I12" s="32">
        <v>0.68055555555555547</v>
      </c>
      <c r="J12" s="29"/>
      <c r="K12" s="39"/>
    </row>
    <row r="13" spans="1:11" x14ac:dyDescent="0.25">
      <c r="A13" s="32">
        <v>0.30902777777777779</v>
      </c>
      <c r="B13" s="29"/>
      <c r="C13" s="39">
        <v>1</v>
      </c>
      <c r="E13" s="32">
        <v>0.47569444444444442</v>
      </c>
      <c r="F13" s="29">
        <v>1</v>
      </c>
      <c r="G13" s="39">
        <v>1</v>
      </c>
      <c r="I13" s="32">
        <v>0.68402777777777779</v>
      </c>
      <c r="J13" s="29">
        <v>2</v>
      </c>
      <c r="K13" s="39"/>
    </row>
    <row r="14" spans="1:11" x14ac:dyDescent="0.25">
      <c r="A14" s="32">
        <v>0.3125</v>
      </c>
      <c r="B14" s="29"/>
      <c r="C14" s="39"/>
      <c r="E14" s="32">
        <v>0.47916666666666669</v>
      </c>
      <c r="F14" s="29"/>
      <c r="G14" s="39">
        <v>1</v>
      </c>
      <c r="I14" s="32">
        <v>0.6875</v>
      </c>
      <c r="J14" s="29">
        <v>1</v>
      </c>
      <c r="K14" s="39"/>
    </row>
    <row r="15" spans="1:11" x14ac:dyDescent="0.25">
      <c r="A15" s="32">
        <v>0.31597222222222221</v>
      </c>
      <c r="B15" s="29"/>
      <c r="C15" s="39"/>
      <c r="E15" s="32">
        <v>0.4826388888888889</v>
      </c>
      <c r="F15" s="29">
        <v>1</v>
      </c>
      <c r="G15" s="39"/>
      <c r="I15" s="32">
        <v>0.69097222222222221</v>
      </c>
      <c r="J15" s="29">
        <v>1</v>
      </c>
      <c r="K15" s="39">
        <v>1</v>
      </c>
    </row>
    <row r="16" spans="1:11" x14ac:dyDescent="0.25">
      <c r="A16" s="32">
        <v>0.31944444444444448</v>
      </c>
      <c r="B16" s="29"/>
      <c r="C16" s="39">
        <v>1</v>
      </c>
      <c r="E16" s="32">
        <v>0.4861111111111111</v>
      </c>
      <c r="F16" s="29">
        <v>1</v>
      </c>
      <c r="G16" s="39"/>
      <c r="I16" s="32">
        <v>0.69444444444444453</v>
      </c>
      <c r="J16" s="29">
        <v>1</v>
      </c>
      <c r="K16" s="39"/>
    </row>
    <row r="17" spans="1:11" x14ac:dyDescent="0.25">
      <c r="A17" s="32">
        <v>0.32291666666666669</v>
      </c>
      <c r="B17" s="29"/>
      <c r="C17" s="39"/>
      <c r="E17" s="32">
        <v>0.48958333333333331</v>
      </c>
      <c r="F17" s="29">
        <v>1</v>
      </c>
      <c r="G17" s="39"/>
      <c r="I17" s="32">
        <v>0.69791666666666663</v>
      </c>
      <c r="J17" s="29">
        <v>1</v>
      </c>
      <c r="K17" s="39">
        <v>1</v>
      </c>
    </row>
    <row r="18" spans="1:11" x14ac:dyDescent="0.25">
      <c r="A18" s="32">
        <v>0.3263888888888889</v>
      </c>
      <c r="B18" s="29">
        <v>1</v>
      </c>
      <c r="C18" s="39"/>
      <c r="E18" s="32">
        <v>0.49305555555555558</v>
      </c>
      <c r="F18" s="29">
        <v>1</v>
      </c>
      <c r="G18" s="39">
        <v>1</v>
      </c>
      <c r="I18" s="32">
        <v>0.70138888888888884</v>
      </c>
      <c r="J18" s="29">
        <v>1</v>
      </c>
      <c r="K18" s="39"/>
    </row>
    <row r="19" spans="1:11" x14ac:dyDescent="0.25">
      <c r="A19" s="32">
        <v>0.3298611111111111</v>
      </c>
      <c r="B19" s="29"/>
      <c r="C19" s="39"/>
      <c r="E19" s="32">
        <v>0.49652777777777773</v>
      </c>
      <c r="F19" s="29">
        <v>4</v>
      </c>
      <c r="G19" s="39">
        <v>1</v>
      </c>
      <c r="I19" s="32">
        <v>0.70486111111111116</v>
      </c>
      <c r="J19" s="29">
        <v>1</v>
      </c>
      <c r="K19" s="39">
        <v>1</v>
      </c>
    </row>
    <row r="20" spans="1:11" x14ac:dyDescent="0.25">
      <c r="A20" s="32">
        <v>0.33333333333333331</v>
      </c>
      <c r="B20" s="29">
        <v>1</v>
      </c>
      <c r="C20" s="39">
        <v>1</v>
      </c>
      <c r="E20" s="32">
        <v>0.5</v>
      </c>
      <c r="F20" s="29">
        <v>1</v>
      </c>
      <c r="G20" s="39">
        <v>1</v>
      </c>
      <c r="I20" s="32">
        <v>0.70833333333333337</v>
      </c>
      <c r="J20" s="29">
        <v>1</v>
      </c>
      <c r="K20" s="39">
        <v>2</v>
      </c>
    </row>
    <row r="21" spans="1:11" x14ac:dyDescent="0.25">
      <c r="A21" s="32">
        <v>0.33680555555555558</v>
      </c>
      <c r="B21" s="29">
        <v>1</v>
      </c>
      <c r="C21" s="39">
        <v>1</v>
      </c>
      <c r="E21" s="32">
        <v>0.50347222222222221</v>
      </c>
      <c r="F21" s="29"/>
      <c r="G21" s="39">
        <v>1</v>
      </c>
      <c r="I21" s="32">
        <v>0.71180555555555547</v>
      </c>
      <c r="J21" s="29">
        <v>2</v>
      </c>
      <c r="K21" s="39">
        <v>1</v>
      </c>
    </row>
    <row r="22" spans="1:11" x14ac:dyDescent="0.25">
      <c r="A22" s="32">
        <v>0.34027777777777773</v>
      </c>
      <c r="B22" s="29">
        <v>1</v>
      </c>
      <c r="C22" s="39"/>
      <c r="E22" s="32">
        <v>0.50694444444444442</v>
      </c>
      <c r="F22" s="29">
        <v>1</v>
      </c>
      <c r="G22" s="39">
        <v>1</v>
      </c>
      <c r="I22" s="32">
        <v>0.71527777777777779</v>
      </c>
      <c r="J22" s="29">
        <v>1</v>
      </c>
      <c r="K22" s="39"/>
    </row>
    <row r="23" spans="1:11" x14ac:dyDescent="0.25">
      <c r="A23" s="32">
        <v>0.34375</v>
      </c>
      <c r="B23" s="29">
        <v>1</v>
      </c>
      <c r="C23" s="39"/>
      <c r="E23" s="32">
        <v>0.51041666666666663</v>
      </c>
      <c r="F23" s="29">
        <v>1</v>
      </c>
      <c r="G23" s="39">
        <v>1</v>
      </c>
      <c r="I23" s="32">
        <v>0.71875</v>
      </c>
      <c r="J23" s="29">
        <v>1</v>
      </c>
      <c r="K23" s="39"/>
    </row>
    <row r="24" spans="1:11" x14ac:dyDescent="0.25">
      <c r="A24" s="32">
        <v>0.34722222222222227</v>
      </c>
      <c r="B24" s="29">
        <v>1</v>
      </c>
      <c r="C24" s="39">
        <v>1</v>
      </c>
      <c r="E24" s="32">
        <v>0.51388888888888895</v>
      </c>
      <c r="F24" s="29">
        <v>1</v>
      </c>
      <c r="G24" s="39">
        <v>1</v>
      </c>
      <c r="I24" s="32">
        <v>0.72222222222222221</v>
      </c>
      <c r="J24" s="29">
        <v>2</v>
      </c>
      <c r="K24" s="39">
        <v>1</v>
      </c>
    </row>
    <row r="25" spans="1:11" x14ac:dyDescent="0.25">
      <c r="A25" s="32">
        <v>0.35069444444444442</v>
      </c>
      <c r="B25" s="29">
        <v>1</v>
      </c>
      <c r="C25" s="39">
        <v>1</v>
      </c>
      <c r="E25" s="32">
        <v>0.51736111111111105</v>
      </c>
      <c r="F25" s="29"/>
      <c r="G25" s="39">
        <v>1</v>
      </c>
      <c r="I25" s="32">
        <v>0.72569444444444453</v>
      </c>
      <c r="J25" s="29">
        <v>2</v>
      </c>
      <c r="K25" s="39">
        <v>1</v>
      </c>
    </row>
    <row r="26" spans="1:11" x14ac:dyDescent="0.25">
      <c r="A26" s="32">
        <v>0.35416666666666669</v>
      </c>
      <c r="B26" s="29">
        <v>3</v>
      </c>
      <c r="C26" s="39"/>
      <c r="E26" s="32">
        <v>0.52083333333333337</v>
      </c>
      <c r="F26" s="29">
        <v>1</v>
      </c>
      <c r="G26" s="39"/>
      <c r="I26" s="32">
        <v>0.72916666666666663</v>
      </c>
      <c r="J26" s="29">
        <v>1</v>
      </c>
      <c r="K26" s="39">
        <v>1</v>
      </c>
    </row>
    <row r="27" spans="1:11" x14ac:dyDescent="0.25">
      <c r="A27" s="32">
        <v>0.3576388888888889</v>
      </c>
      <c r="B27" s="29">
        <v>4</v>
      </c>
      <c r="C27" s="39">
        <v>1</v>
      </c>
      <c r="E27" s="32">
        <v>0.52430555555555558</v>
      </c>
      <c r="F27" s="29">
        <v>1</v>
      </c>
      <c r="G27" s="39"/>
      <c r="I27" s="32">
        <v>0.73263888888888884</v>
      </c>
      <c r="J27" s="29">
        <v>1</v>
      </c>
      <c r="K27" s="39">
        <v>1</v>
      </c>
    </row>
    <row r="28" spans="1:11" x14ac:dyDescent="0.25">
      <c r="A28" s="32">
        <v>0.3611111111111111</v>
      </c>
      <c r="B28" s="29">
        <v>1</v>
      </c>
      <c r="C28" s="39"/>
      <c r="E28" s="32">
        <v>0.52777777777777779</v>
      </c>
      <c r="F28" s="29">
        <v>1</v>
      </c>
      <c r="G28" s="39">
        <v>1</v>
      </c>
      <c r="I28" s="32">
        <v>0.73611111111111116</v>
      </c>
      <c r="J28" s="29">
        <v>1</v>
      </c>
      <c r="K28" s="39"/>
    </row>
    <row r="29" spans="1:11" x14ac:dyDescent="0.25">
      <c r="A29" s="32">
        <v>0.36458333333333331</v>
      </c>
      <c r="B29" s="29">
        <v>1</v>
      </c>
      <c r="C29" s="39">
        <v>1</v>
      </c>
      <c r="E29" s="32">
        <v>0.53125</v>
      </c>
      <c r="F29" s="29">
        <v>1</v>
      </c>
      <c r="G29" s="39">
        <v>1</v>
      </c>
      <c r="I29" s="32">
        <v>0.73958333333333337</v>
      </c>
      <c r="J29" s="29">
        <v>2</v>
      </c>
      <c r="K29" s="39">
        <v>1</v>
      </c>
    </row>
    <row r="30" spans="1:11" x14ac:dyDescent="0.25">
      <c r="A30" s="32">
        <v>0.36805555555555558</v>
      </c>
      <c r="B30" s="29">
        <v>1</v>
      </c>
      <c r="C30" s="39"/>
      <c r="E30" s="32">
        <v>0.53472222222222221</v>
      </c>
      <c r="F30" s="29">
        <v>1</v>
      </c>
      <c r="G30" s="39"/>
      <c r="I30" s="32">
        <v>0.74305555555555547</v>
      </c>
      <c r="J30" s="29"/>
      <c r="K30" s="39">
        <v>1</v>
      </c>
    </row>
    <row r="31" spans="1:11" ht="15.75" thickBot="1" x14ac:dyDescent="0.3">
      <c r="A31" s="34">
        <v>0.37152777777777773</v>
      </c>
      <c r="B31" s="44">
        <v>1</v>
      </c>
      <c r="C31" s="40"/>
      <c r="E31" s="34">
        <v>0.53819444444444442</v>
      </c>
      <c r="F31" s="44">
        <v>1</v>
      </c>
      <c r="G31" s="40">
        <v>1</v>
      </c>
      <c r="I31" s="34">
        <v>0.74652777777777779</v>
      </c>
      <c r="J31" s="44">
        <v>1</v>
      </c>
      <c r="K31" s="40">
        <v>1</v>
      </c>
    </row>
  </sheetData>
  <mergeCells count="2">
    <mergeCell ref="A1:J1"/>
    <mergeCell ref="A2:J2"/>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K25"/>
  <sheetViews>
    <sheetView showGridLines="0" tabSelected="1" workbookViewId="0"/>
  </sheetViews>
  <sheetFormatPr defaultRowHeight="15" x14ac:dyDescent="0.25"/>
  <cols>
    <col min="1" max="1" width="16.140625" bestFit="1" customWidth="1"/>
    <col min="2" max="3" width="12.28515625" customWidth="1"/>
    <col min="4" max="4" width="12.140625" customWidth="1"/>
    <col min="5" max="5" width="14.5703125" bestFit="1" customWidth="1"/>
    <col min="6" max="7" width="12.28515625" customWidth="1"/>
    <col min="8" max="8" width="8.42578125" bestFit="1" customWidth="1"/>
    <col min="9" max="9" width="14.5703125" bestFit="1" customWidth="1"/>
    <col min="10" max="11" width="12.28515625" customWidth="1"/>
    <col min="12" max="12" width="12.140625" customWidth="1"/>
    <col min="13" max="200" width="12.28515625" customWidth="1"/>
  </cols>
  <sheetData>
    <row r="1" spans="1:11" x14ac:dyDescent="0.25">
      <c r="A1" s="2"/>
    </row>
    <row r="2" spans="1:11" ht="21" x14ac:dyDescent="0.35">
      <c r="A2" s="13" t="s">
        <v>49</v>
      </c>
    </row>
    <row r="3" spans="1:11" x14ac:dyDescent="0.25">
      <c r="A3" t="s">
        <v>48</v>
      </c>
    </row>
    <row r="4" spans="1:11" ht="15.75" thickBot="1" x14ac:dyDescent="0.3"/>
    <row r="5" spans="1:11" x14ac:dyDescent="0.25">
      <c r="B5" s="18" t="s">
        <v>24</v>
      </c>
      <c r="C5" s="35"/>
      <c r="F5" s="18" t="s">
        <v>70</v>
      </c>
      <c r="G5" s="35"/>
      <c r="J5" s="18" t="s">
        <v>71</v>
      </c>
      <c r="K5" s="35"/>
    </row>
    <row r="6" spans="1:11" x14ac:dyDescent="0.25">
      <c r="B6" s="19" t="s">
        <v>73</v>
      </c>
      <c r="C6" s="36"/>
      <c r="F6" s="19" t="s">
        <v>73</v>
      </c>
      <c r="G6" s="36"/>
      <c r="J6" s="19" t="s">
        <v>73</v>
      </c>
      <c r="K6" s="36"/>
    </row>
    <row r="7" spans="1:11" ht="15.75" thickBot="1" x14ac:dyDescent="0.3">
      <c r="B7" s="42" t="s">
        <v>74</v>
      </c>
      <c r="C7" s="37" t="s">
        <v>75</v>
      </c>
      <c r="F7" s="42" t="s">
        <v>74</v>
      </c>
      <c r="G7" s="37" t="s">
        <v>75</v>
      </c>
      <c r="J7" s="42" t="s">
        <v>74</v>
      </c>
      <c r="K7" s="37" t="s">
        <v>75</v>
      </c>
    </row>
    <row r="8" spans="1:11" x14ac:dyDescent="0.25">
      <c r="A8" s="9" t="s">
        <v>45</v>
      </c>
      <c r="B8" s="15">
        <f>IFERROR(AVERAGE(Table!B:B),"-")</f>
        <v>1.3846153846153846</v>
      </c>
      <c r="C8" s="20">
        <f>IFERROR(AVERAGE(Table!C:C),"-")</f>
        <v>1.1538461538461537</v>
      </c>
      <c r="E8" s="9" t="s">
        <v>45</v>
      </c>
      <c r="F8" s="15">
        <f>IFERROR(AVERAGE(Table!F:F),"-")</f>
        <v>1.263157894736842</v>
      </c>
      <c r="G8" s="20">
        <f>IFERROR(AVERAGE(Table!G:G),"-")</f>
        <v>1.0666666666666667</v>
      </c>
      <c r="I8" s="9" t="s">
        <v>45</v>
      </c>
      <c r="J8" s="15">
        <f>IFERROR(AVERAGE(Table!J:J),"-")</f>
        <v>1.2857142857142858</v>
      </c>
      <c r="K8" s="20">
        <f>IFERROR(AVERAGE(Table!K:K),"-")</f>
        <v>1.1875</v>
      </c>
    </row>
    <row r="9" spans="1:11" x14ac:dyDescent="0.25">
      <c r="A9" s="11" t="s">
        <v>46</v>
      </c>
      <c r="B9" s="23">
        <f>IFERROR(MIN(Table!B:B),"-")</f>
        <v>1</v>
      </c>
      <c r="C9" s="21">
        <f>IFERROR(MIN(Table!C:C),"-")</f>
        <v>1</v>
      </c>
      <c r="E9" s="11" t="s">
        <v>46</v>
      </c>
      <c r="F9" s="23">
        <f>IFERROR(MIN(Table!F:F),"-")</f>
        <v>1</v>
      </c>
      <c r="G9" s="21">
        <f>IFERROR(MIN(Table!G:G),"-")</f>
        <v>1</v>
      </c>
      <c r="I9" s="11" t="s">
        <v>46</v>
      </c>
      <c r="J9" s="23">
        <f>IFERROR(MIN(Table!J:J),"-")</f>
        <v>1</v>
      </c>
      <c r="K9" s="21">
        <f>IFERROR(MIN(Table!K:K),"-")</f>
        <v>1</v>
      </c>
    </row>
    <row r="10" spans="1:11" x14ac:dyDescent="0.25">
      <c r="A10" s="14" t="s">
        <v>58</v>
      </c>
      <c r="B10" s="23">
        <f>IFERROR(PERCENTILE(Table!B:B,0.25),"-")</f>
        <v>1</v>
      </c>
      <c r="C10" s="21">
        <f>IFERROR(PERCENTILE(Table!C:C,0.25),"-")</f>
        <v>1</v>
      </c>
      <c r="E10" s="14" t="s">
        <v>58</v>
      </c>
      <c r="F10" s="23">
        <f>IFERROR(PERCENTILE(Table!F:F,0.25),"-")</f>
        <v>1</v>
      </c>
      <c r="G10" s="21">
        <f>IFERROR(PERCENTILE(Table!G:G,0.25),"-")</f>
        <v>1</v>
      </c>
      <c r="I10" s="14" t="s">
        <v>58</v>
      </c>
      <c r="J10" s="23">
        <f>IFERROR(PERCENTILE(Table!J:J,0.25),"-")</f>
        <v>1</v>
      </c>
      <c r="K10" s="21">
        <f>IFERROR(PERCENTILE(Table!K:K,0.25),"-")</f>
        <v>1</v>
      </c>
    </row>
    <row r="11" spans="1:11" x14ac:dyDescent="0.25">
      <c r="A11" s="11" t="s">
        <v>60</v>
      </c>
      <c r="B11" s="23">
        <f>IFERROR(PERCENTILE(Table!B:B,0.5),"-")</f>
        <v>1</v>
      </c>
      <c r="C11" s="21">
        <f>IFERROR(PERCENTILE(Table!C:C,0.5),"-")</f>
        <v>1</v>
      </c>
      <c r="E11" s="11" t="s">
        <v>60</v>
      </c>
      <c r="F11" s="23">
        <f>IFERROR(PERCENTILE(Table!F:F,0.5),"-")</f>
        <v>1</v>
      </c>
      <c r="G11" s="21">
        <f>IFERROR(PERCENTILE(Table!G:G,0.5),"-")</f>
        <v>1</v>
      </c>
      <c r="I11" s="11" t="s">
        <v>60</v>
      </c>
      <c r="J11" s="23">
        <f>IFERROR(PERCENTILE(Table!J:J,0.5),"-")</f>
        <v>1</v>
      </c>
      <c r="K11" s="21">
        <f>IFERROR(PERCENTILE(Table!K:K,0.5),"-")</f>
        <v>1</v>
      </c>
    </row>
    <row r="12" spans="1:11" x14ac:dyDescent="0.25">
      <c r="A12" s="14" t="s">
        <v>59</v>
      </c>
      <c r="B12" s="23">
        <f>IFERROR(PERCENTILE(Table!B:B,0.75),"-")</f>
        <v>1</v>
      </c>
      <c r="C12" s="21">
        <f>IFERROR(PERCENTILE(Table!C:C,0.75),"-")</f>
        <v>1</v>
      </c>
      <c r="E12" s="14" t="s">
        <v>59</v>
      </c>
      <c r="F12" s="23">
        <f>IFERROR(PERCENTILE(Table!F:F,0.75),"-")</f>
        <v>1</v>
      </c>
      <c r="G12" s="21">
        <f>IFERROR(PERCENTILE(Table!G:G,0.75),"-")</f>
        <v>1</v>
      </c>
      <c r="I12" s="14" t="s">
        <v>59</v>
      </c>
      <c r="J12" s="23">
        <f>IFERROR(PERCENTILE(Table!J:J,0.75),"-")</f>
        <v>2</v>
      </c>
      <c r="K12" s="21">
        <f>IFERROR(PERCENTILE(Table!K:K,0.75),"-")</f>
        <v>1</v>
      </c>
    </row>
    <row r="13" spans="1:11" x14ac:dyDescent="0.25">
      <c r="A13" s="29" t="s">
        <v>61</v>
      </c>
      <c r="B13" s="23">
        <f>IFERROR(PERCENTILE(Table!B:B,0.95),"-")</f>
        <v>3.3999999999999986</v>
      </c>
      <c r="C13" s="21">
        <f>IFERROR(PERCENTILE(Table!C:C,0.95),"-")</f>
        <v>1.7999999999999972</v>
      </c>
      <c r="E13" s="29" t="s">
        <v>61</v>
      </c>
      <c r="F13" s="23">
        <f>IFERROR(PERCENTILE(Table!F:F,0.95),"-")</f>
        <v>2.1999999999999957</v>
      </c>
      <c r="G13" s="21">
        <f>IFERROR(PERCENTILE(Table!G:G,0.95),"-")</f>
        <v>1.2999999999999989</v>
      </c>
      <c r="I13" s="29" t="s">
        <v>61</v>
      </c>
      <c r="J13" s="23">
        <f>IFERROR(PERCENTILE(Table!J:J,0.95),"-")</f>
        <v>2</v>
      </c>
      <c r="K13" s="21">
        <f>IFERROR(PERCENTILE(Table!K:K,0.95),"-")</f>
        <v>2</v>
      </c>
    </row>
    <row r="14" spans="1:11" ht="15.75" thickBot="1" x14ac:dyDescent="0.3">
      <c r="A14" s="12" t="s">
        <v>47</v>
      </c>
      <c r="B14" s="24">
        <f>IFERROR(MAX(Table!B:B),"-")</f>
        <v>4</v>
      </c>
      <c r="C14" s="22">
        <f>IFERROR(MAX(Table!C:C),"-")</f>
        <v>3</v>
      </c>
      <c r="E14" s="12" t="s">
        <v>47</v>
      </c>
      <c r="F14" s="24">
        <f>IFERROR(MAX(Table!F:F),"-")</f>
        <v>4</v>
      </c>
      <c r="G14" s="22">
        <f>IFERROR(MAX(Table!G:G),"-")</f>
        <v>2</v>
      </c>
      <c r="I14" s="12" t="s">
        <v>47</v>
      </c>
      <c r="J14" s="24">
        <f>IFERROR(MAX(Table!J:J),"-")</f>
        <v>2</v>
      </c>
      <c r="K14" s="22">
        <f>IFERROR(MAX(Table!K:K),"-")</f>
        <v>2</v>
      </c>
    </row>
    <row r="15" spans="1:11" ht="36" customHeight="1" x14ac:dyDescent="0.25">
      <c r="B15" s="16" t="str">
        <f>IF(SUMPRODUCT(ISTEXT(Table!B8:B1500)*1)&gt;0,"Data contains text, statistics may be incorrect!","")</f>
        <v/>
      </c>
      <c r="C15" s="16" t="str">
        <f>IF(SUMPRODUCT(ISTEXT(Table!C8:C1500)*1)&gt;0,"Data contains text, statistics may be incorrect!","")</f>
        <v/>
      </c>
      <c r="F15" s="16" t="str">
        <f>IF(SUMPRODUCT(ISTEXT(Table!F8:F1500)*1)&gt;0,"Data contains text, statistics may be incorrect!","")</f>
        <v/>
      </c>
      <c r="G15" s="16" t="str">
        <f>IF(SUMPRODUCT(ISTEXT(Table!G8:G1500)*1)&gt;0,"Data contains text, statistics may be incorrect!","")</f>
        <v/>
      </c>
      <c r="J15" s="16" t="str">
        <f>IF(SUMPRODUCT(ISTEXT(Table!J8:J1500)*1)&gt;0,"Data contains text, statistics may be incorrect!","")</f>
        <v/>
      </c>
      <c r="K15" s="16" t="str">
        <f>IF(SUMPRODUCT(ISTEXT(Table!K8:K1500)*1)&gt;0,"Data contains text, statistics may be incorrect!","")</f>
        <v/>
      </c>
    </row>
    <row r="16" spans="1:11" hidden="1" x14ac:dyDescent="0.25"/>
    <row r="17" spans="1:11" hidden="1" x14ac:dyDescent="0.25"/>
    <row r="18" spans="1:11" hidden="1" x14ac:dyDescent="0.25">
      <c r="A18" t="s">
        <v>30</v>
      </c>
      <c r="B18" s="10">
        <f>B10</f>
        <v>1</v>
      </c>
      <c r="C18" s="10">
        <f>C10</f>
        <v>1</v>
      </c>
      <c r="F18" s="10">
        <f>F10</f>
        <v>1</v>
      </c>
      <c r="G18" s="10">
        <f>G10</f>
        <v>1</v>
      </c>
      <c r="J18" s="10">
        <f>J10</f>
        <v>1</v>
      </c>
      <c r="K18" s="10">
        <f>K10</f>
        <v>1</v>
      </c>
    </row>
    <row r="19" spans="1:11" hidden="1" x14ac:dyDescent="0.25">
      <c r="A19" t="s">
        <v>31</v>
      </c>
      <c r="B19" s="10">
        <f>B12</f>
        <v>1</v>
      </c>
      <c r="C19" s="10">
        <f>C12</f>
        <v>1</v>
      </c>
      <c r="F19" s="10">
        <f>F12</f>
        <v>1</v>
      </c>
      <c r="G19" s="10">
        <f>G12</f>
        <v>1</v>
      </c>
      <c r="J19" s="10">
        <f>J12</f>
        <v>2</v>
      </c>
      <c r="K19" s="10">
        <f>K12</f>
        <v>1</v>
      </c>
    </row>
    <row r="20" spans="1:11" hidden="1" x14ac:dyDescent="0.25">
      <c r="A20" t="s">
        <v>32</v>
      </c>
      <c r="B20" s="10">
        <f>B18-B9</f>
        <v>0</v>
      </c>
      <c r="C20" s="10">
        <f>C18-C9</f>
        <v>0</v>
      </c>
      <c r="F20" s="10">
        <f>F18-F9</f>
        <v>0</v>
      </c>
      <c r="G20" s="10">
        <f>G18-G9</f>
        <v>0</v>
      </c>
      <c r="J20" s="10">
        <f>J18-J9</f>
        <v>0</v>
      </c>
      <c r="K20" s="10">
        <f>K18-K9</f>
        <v>0</v>
      </c>
    </row>
    <row r="21" spans="1:11" hidden="1" x14ac:dyDescent="0.25">
      <c r="A21" t="s">
        <v>30</v>
      </c>
      <c r="B21" s="10">
        <f>B18</f>
        <v>1</v>
      </c>
      <c r="C21" s="10">
        <f>C18</f>
        <v>1</v>
      </c>
      <c r="F21" s="10">
        <f>F18</f>
        <v>1</v>
      </c>
      <c r="G21" s="10">
        <f>G18</f>
        <v>1</v>
      </c>
      <c r="J21" s="10">
        <f>J18</f>
        <v>1</v>
      </c>
      <c r="K21" s="10">
        <f>K18</f>
        <v>1</v>
      </c>
    </row>
    <row r="22" spans="1:11" hidden="1" x14ac:dyDescent="0.25">
      <c r="A22" t="s">
        <v>33</v>
      </c>
      <c r="B22" s="10">
        <f>B11-B18</f>
        <v>0</v>
      </c>
      <c r="C22" s="10">
        <f>C11-C18</f>
        <v>0</v>
      </c>
      <c r="F22" s="10">
        <f>F11-F18</f>
        <v>0</v>
      </c>
      <c r="G22" s="10">
        <f>G11-G18</f>
        <v>0</v>
      </c>
      <c r="J22" s="10">
        <f>J11-J18</f>
        <v>0</v>
      </c>
      <c r="K22" s="10">
        <f>K11-K18</f>
        <v>0</v>
      </c>
    </row>
    <row r="23" spans="1:11" hidden="1" x14ac:dyDescent="0.25">
      <c r="A23" t="s">
        <v>34</v>
      </c>
      <c r="B23" s="10">
        <f>B19-B11</f>
        <v>0</v>
      </c>
      <c r="C23" s="10">
        <f>C19-C11</f>
        <v>0</v>
      </c>
      <c r="F23" s="10">
        <f>F19-F11</f>
        <v>0</v>
      </c>
      <c r="G23" s="10">
        <f>G19-G11</f>
        <v>0</v>
      </c>
      <c r="J23" s="10">
        <f>J19-J11</f>
        <v>1</v>
      </c>
      <c r="K23" s="10">
        <f>K19-K11</f>
        <v>0</v>
      </c>
    </row>
    <row r="24" spans="1:11" hidden="1" x14ac:dyDescent="0.25">
      <c r="A24" t="s">
        <v>35</v>
      </c>
      <c r="B24" s="10">
        <f>B14-B19</f>
        <v>3</v>
      </c>
      <c r="C24" s="10">
        <f>C14-C19</f>
        <v>2</v>
      </c>
      <c r="F24" s="10">
        <f>F14-F19</f>
        <v>3</v>
      </c>
      <c r="G24" s="10">
        <f>G14-G19</f>
        <v>1</v>
      </c>
      <c r="J24" s="10">
        <f>J14-J19</f>
        <v>0</v>
      </c>
      <c r="K24" s="10">
        <f>K14-K19</f>
        <v>1</v>
      </c>
    </row>
    <row r="25" spans="1:11" hidden="1" x14ac:dyDescent="0.25"/>
  </sheetData>
  <sheetProtection algorithmName="SHA-512" hashValue="ilaZt/QTpdhTpy7+OaGll7JEuml9MD8sY7mMdUw1mVvj8COEN6c8Iqxuuafr1zQmZ705gOmAZMpfryPX1poL/Q==" saltValue="ezRJl4DTTqHpNTIOWW6oXg==" spinCount="100000" sheet="1" objects="1" scenarios="1" sort="0" autoFilter="0" pivotTables="0"/>
  <protectedRanges>
    <protectedRange sqref="A1:H49" name="ReadRangeStatistics"/>
  </protectedRanges>
  <conditionalFormatting sqref="B15:C15">
    <cfRule type="cellIs" dxfId="8" priority="504" operator="notEqual">
      <formula>""""""</formula>
    </cfRule>
  </conditionalFormatting>
  <conditionalFormatting sqref="F15">
    <cfRule type="cellIs" dxfId="3" priority="4" operator="notEqual">
      <formula>""""""</formula>
    </cfRule>
  </conditionalFormatting>
  <conditionalFormatting sqref="G15">
    <cfRule type="cellIs" dxfId="2" priority="3" operator="notEqual">
      <formula>""""""</formula>
    </cfRule>
  </conditionalFormatting>
  <conditionalFormatting sqref="J15">
    <cfRule type="cellIs" dxfId="1" priority="2" operator="notEqual">
      <formula>""""""</formula>
    </cfRule>
  </conditionalFormatting>
  <conditionalFormatting sqref="K15">
    <cfRule type="cellIs" dxfId="0" priority="1" operator="notEqual">
      <formula>""""""</formula>
    </cfRule>
  </conditionalFormatting>
  <pageMargins left="0.7" right="0.7" top="0.75" bottom="0.75" header="0.3" footer="0.3"/>
  <pageSetup paperSize="9" orientation="portrait" horizontalDpi="300" verticalDpi="3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tabColor rgb="FFFF0000"/>
  </sheetPr>
  <dimension ref="A1:E145"/>
  <sheetViews>
    <sheetView workbookViewId="0">
      <selection activeCell="A2" sqref="A2"/>
    </sheetView>
  </sheetViews>
  <sheetFormatPr defaultRowHeight="15" x14ac:dyDescent="0.25"/>
  <sheetData>
    <row r="1" spans="1:5" x14ac:dyDescent="0.25">
      <c r="A1" t="s">
        <v>50</v>
      </c>
      <c r="B1" t="s">
        <v>51</v>
      </c>
      <c r="C1" t="s">
        <v>52</v>
      </c>
      <c r="D1" t="s">
        <v>53</v>
      </c>
      <c r="E1" t="s">
        <v>48</v>
      </c>
    </row>
    <row r="2" spans="1:5" x14ac:dyDescent="0.25">
      <c r="A2" t="s">
        <v>73</v>
      </c>
      <c r="B2" t="s">
        <v>74</v>
      </c>
      <c r="C2" t="s">
        <v>24</v>
      </c>
      <c r="D2" s="5">
        <v>0.29166666666666669</v>
      </c>
      <c r="E2">
        <v>0</v>
      </c>
    </row>
    <row r="3" spans="1:5" x14ac:dyDescent="0.25">
      <c r="A3" t="s">
        <v>73</v>
      </c>
      <c r="B3" t="s">
        <v>74</v>
      </c>
      <c r="C3" t="s">
        <v>24</v>
      </c>
      <c r="D3" s="5">
        <v>0.2951388888888889</v>
      </c>
      <c r="E3">
        <v>0</v>
      </c>
    </row>
    <row r="4" spans="1:5" x14ac:dyDescent="0.25">
      <c r="A4" t="s">
        <v>73</v>
      </c>
      <c r="B4" t="s">
        <v>74</v>
      </c>
      <c r="C4" t="s">
        <v>24</v>
      </c>
      <c r="D4" s="5">
        <v>0.2986111111111111</v>
      </c>
      <c r="E4">
        <v>0</v>
      </c>
    </row>
    <row r="5" spans="1:5" x14ac:dyDescent="0.25">
      <c r="A5" t="s">
        <v>73</v>
      </c>
      <c r="B5" t="s">
        <v>74</v>
      </c>
      <c r="C5" t="s">
        <v>24</v>
      </c>
      <c r="D5" s="5">
        <v>0.30208333333333331</v>
      </c>
      <c r="E5">
        <v>0</v>
      </c>
    </row>
    <row r="6" spans="1:5" x14ac:dyDescent="0.25">
      <c r="A6" t="s">
        <v>73</v>
      </c>
      <c r="B6" t="s">
        <v>74</v>
      </c>
      <c r="C6" t="s">
        <v>24</v>
      </c>
      <c r="D6" s="5">
        <v>0.30555555555555552</v>
      </c>
      <c r="E6">
        <v>0</v>
      </c>
    </row>
    <row r="7" spans="1:5" x14ac:dyDescent="0.25">
      <c r="A7" t="s">
        <v>73</v>
      </c>
      <c r="B7" t="s">
        <v>74</v>
      </c>
      <c r="C7" t="s">
        <v>24</v>
      </c>
      <c r="D7" s="5">
        <v>0.30902777777777779</v>
      </c>
      <c r="E7">
        <v>0</v>
      </c>
    </row>
    <row r="8" spans="1:5" x14ac:dyDescent="0.25">
      <c r="A8" t="s">
        <v>73</v>
      </c>
      <c r="B8" t="s">
        <v>74</v>
      </c>
      <c r="C8" t="s">
        <v>24</v>
      </c>
      <c r="D8" s="5">
        <v>0.3125</v>
      </c>
      <c r="E8">
        <v>0</v>
      </c>
    </row>
    <row r="9" spans="1:5" x14ac:dyDescent="0.25">
      <c r="A9" t="s">
        <v>73</v>
      </c>
      <c r="B9" t="s">
        <v>74</v>
      </c>
      <c r="C9" t="s">
        <v>24</v>
      </c>
      <c r="D9" s="5">
        <v>0.31597222222222221</v>
      </c>
      <c r="E9">
        <v>0</v>
      </c>
    </row>
    <row r="10" spans="1:5" x14ac:dyDescent="0.25">
      <c r="A10" t="s">
        <v>73</v>
      </c>
      <c r="B10" t="s">
        <v>74</v>
      </c>
      <c r="C10" t="s">
        <v>24</v>
      </c>
      <c r="D10" s="5">
        <v>0.31944444444444448</v>
      </c>
      <c r="E10">
        <v>0</v>
      </c>
    </row>
    <row r="11" spans="1:5" x14ac:dyDescent="0.25">
      <c r="A11" t="s">
        <v>73</v>
      </c>
      <c r="B11" t="s">
        <v>74</v>
      </c>
      <c r="C11" t="s">
        <v>24</v>
      </c>
      <c r="D11" s="5">
        <v>0.32291666666666669</v>
      </c>
      <c r="E11">
        <v>0</v>
      </c>
    </row>
    <row r="12" spans="1:5" x14ac:dyDescent="0.25">
      <c r="A12" t="s">
        <v>73</v>
      </c>
      <c r="B12" t="s">
        <v>74</v>
      </c>
      <c r="C12" t="s">
        <v>24</v>
      </c>
      <c r="D12" s="5">
        <v>0.3263888888888889</v>
      </c>
      <c r="E12">
        <v>1</v>
      </c>
    </row>
    <row r="13" spans="1:5" x14ac:dyDescent="0.25">
      <c r="A13" t="s">
        <v>73</v>
      </c>
      <c r="B13" t="s">
        <v>74</v>
      </c>
      <c r="C13" t="s">
        <v>24</v>
      </c>
      <c r="D13" s="5">
        <v>0.3298611111111111</v>
      </c>
      <c r="E13">
        <v>0</v>
      </c>
    </row>
    <row r="14" spans="1:5" x14ac:dyDescent="0.25">
      <c r="A14" t="s">
        <v>73</v>
      </c>
      <c r="B14" t="s">
        <v>74</v>
      </c>
      <c r="C14" t="s">
        <v>24</v>
      </c>
      <c r="D14" s="5">
        <v>0.33333333333333331</v>
      </c>
      <c r="E14">
        <v>1</v>
      </c>
    </row>
    <row r="15" spans="1:5" x14ac:dyDescent="0.25">
      <c r="A15" t="s">
        <v>73</v>
      </c>
      <c r="B15" t="s">
        <v>74</v>
      </c>
      <c r="C15" t="s">
        <v>24</v>
      </c>
      <c r="D15" s="5">
        <v>0.33680555555555558</v>
      </c>
      <c r="E15">
        <v>1</v>
      </c>
    </row>
    <row r="16" spans="1:5" x14ac:dyDescent="0.25">
      <c r="A16" t="s">
        <v>73</v>
      </c>
      <c r="B16" t="s">
        <v>74</v>
      </c>
      <c r="C16" t="s">
        <v>24</v>
      </c>
      <c r="D16" s="5">
        <v>0.34027777777777773</v>
      </c>
      <c r="E16">
        <v>1</v>
      </c>
    </row>
    <row r="17" spans="1:5" x14ac:dyDescent="0.25">
      <c r="A17" t="s">
        <v>73</v>
      </c>
      <c r="B17" t="s">
        <v>74</v>
      </c>
      <c r="C17" t="s">
        <v>24</v>
      </c>
      <c r="D17" s="5">
        <v>0.34375</v>
      </c>
      <c r="E17">
        <v>1</v>
      </c>
    </row>
    <row r="18" spans="1:5" x14ac:dyDescent="0.25">
      <c r="A18" t="s">
        <v>73</v>
      </c>
      <c r="B18" t="s">
        <v>74</v>
      </c>
      <c r="C18" t="s">
        <v>24</v>
      </c>
      <c r="D18" s="5">
        <v>0.34722222222222227</v>
      </c>
      <c r="E18">
        <v>1</v>
      </c>
    </row>
    <row r="19" spans="1:5" x14ac:dyDescent="0.25">
      <c r="A19" t="s">
        <v>73</v>
      </c>
      <c r="B19" t="s">
        <v>74</v>
      </c>
      <c r="C19" t="s">
        <v>24</v>
      </c>
      <c r="D19" s="5">
        <v>0.35069444444444442</v>
      </c>
      <c r="E19">
        <v>1</v>
      </c>
    </row>
    <row r="20" spans="1:5" x14ac:dyDescent="0.25">
      <c r="A20" t="s">
        <v>73</v>
      </c>
      <c r="B20" t="s">
        <v>74</v>
      </c>
      <c r="C20" t="s">
        <v>24</v>
      </c>
      <c r="D20" s="5">
        <v>0.35416666666666669</v>
      </c>
      <c r="E20">
        <v>3</v>
      </c>
    </row>
    <row r="21" spans="1:5" x14ac:dyDescent="0.25">
      <c r="A21" t="s">
        <v>73</v>
      </c>
      <c r="B21" t="s">
        <v>74</v>
      </c>
      <c r="C21" t="s">
        <v>24</v>
      </c>
      <c r="D21" s="5">
        <v>0.3576388888888889</v>
      </c>
      <c r="E21">
        <v>4</v>
      </c>
    </row>
    <row r="22" spans="1:5" x14ac:dyDescent="0.25">
      <c r="A22" t="s">
        <v>73</v>
      </c>
      <c r="B22" t="s">
        <v>74</v>
      </c>
      <c r="C22" t="s">
        <v>24</v>
      </c>
      <c r="D22" s="5">
        <v>0.3611111111111111</v>
      </c>
      <c r="E22">
        <v>1</v>
      </c>
    </row>
    <row r="23" spans="1:5" x14ac:dyDescent="0.25">
      <c r="A23" t="s">
        <v>73</v>
      </c>
      <c r="B23" t="s">
        <v>74</v>
      </c>
      <c r="C23" t="s">
        <v>24</v>
      </c>
      <c r="D23" s="5">
        <v>0.36458333333333331</v>
      </c>
      <c r="E23">
        <v>1</v>
      </c>
    </row>
    <row r="24" spans="1:5" x14ac:dyDescent="0.25">
      <c r="A24" t="s">
        <v>73</v>
      </c>
      <c r="B24" t="s">
        <v>74</v>
      </c>
      <c r="C24" t="s">
        <v>24</v>
      </c>
      <c r="D24" s="5">
        <v>0.36805555555555558</v>
      </c>
      <c r="E24">
        <v>1</v>
      </c>
    </row>
    <row r="25" spans="1:5" x14ac:dyDescent="0.25">
      <c r="A25" t="s">
        <v>73</v>
      </c>
      <c r="B25" t="s">
        <v>74</v>
      </c>
      <c r="C25" t="s">
        <v>24</v>
      </c>
      <c r="D25" s="5">
        <v>0.37152777777777773</v>
      </c>
      <c r="E25">
        <v>1</v>
      </c>
    </row>
    <row r="26" spans="1:5" x14ac:dyDescent="0.25">
      <c r="A26" t="s">
        <v>73</v>
      </c>
      <c r="B26" t="s">
        <v>75</v>
      </c>
      <c r="C26" t="s">
        <v>24</v>
      </c>
      <c r="D26" s="5">
        <v>0.29166666666666669</v>
      </c>
      <c r="E26">
        <v>1</v>
      </c>
    </row>
    <row r="27" spans="1:5" x14ac:dyDescent="0.25">
      <c r="A27" t="s">
        <v>73</v>
      </c>
      <c r="B27" t="s">
        <v>75</v>
      </c>
      <c r="C27" t="s">
        <v>24</v>
      </c>
      <c r="D27" s="5">
        <v>0.2951388888888889</v>
      </c>
      <c r="E27">
        <v>3</v>
      </c>
    </row>
    <row r="28" spans="1:5" x14ac:dyDescent="0.25">
      <c r="A28" t="s">
        <v>73</v>
      </c>
      <c r="B28" t="s">
        <v>75</v>
      </c>
      <c r="C28" t="s">
        <v>24</v>
      </c>
      <c r="D28" s="5">
        <v>0.2986111111111111</v>
      </c>
      <c r="E28">
        <v>1</v>
      </c>
    </row>
    <row r="29" spans="1:5" x14ac:dyDescent="0.25">
      <c r="A29" t="s">
        <v>73</v>
      </c>
      <c r="B29" t="s">
        <v>75</v>
      </c>
      <c r="C29" t="s">
        <v>24</v>
      </c>
      <c r="D29" s="5">
        <v>0.30208333333333331</v>
      </c>
      <c r="E29">
        <v>1</v>
      </c>
    </row>
    <row r="30" spans="1:5" x14ac:dyDescent="0.25">
      <c r="A30" t="s">
        <v>73</v>
      </c>
      <c r="B30" t="s">
        <v>75</v>
      </c>
      <c r="C30" t="s">
        <v>24</v>
      </c>
      <c r="D30" s="5">
        <v>0.30555555555555552</v>
      </c>
      <c r="E30">
        <v>1</v>
      </c>
    </row>
    <row r="31" spans="1:5" x14ac:dyDescent="0.25">
      <c r="A31" t="s">
        <v>73</v>
      </c>
      <c r="B31" t="s">
        <v>75</v>
      </c>
      <c r="C31" t="s">
        <v>24</v>
      </c>
      <c r="D31" s="5">
        <v>0.30902777777777779</v>
      </c>
      <c r="E31">
        <v>1</v>
      </c>
    </row>
    <row r="32" spans="1:5" x14ac:dyDescent="0.25">
      <c r="A32" t="s">
        <v>73</v>
      </c>
      <c r="B32" t="s">
        <v>75</v>
      </c>
      <c r="C32" t="s">
        <v>24</v>
      </c>
      <c r="D32" s="5">
        <v>0.3125</v>
      </c>
      <c r="E32">
        <v>0</v>
      </c>
    </row>
    <row r="33" spans="1:5" x14ac:dyDescent="0.25">
      <c r="A33" t="s">
        <v>73</v>
      </c>
      <c r="B33" t="s">
        <v>75</v>
      </c>
      <c r="C33" t="s">
        <v>24</v>
      </c>
      <c r="D33" s="5">
        <v>0.31597222222222221</v>
      </c>
      <c r="E33">
        <v>0</v>
      </c>
    </row>
    <row r="34" spans="1:5" x14ac:dyDescent="0.25">
      <c r="A34" t="s">
        <v>73</v>
      </c>
      <c r="B34" t="s">
        <v>75</v>
      </c>
      <c r="C34" t="s">
        <v>24</v>
      </c>
      <c r="D34" s="5">
        <v>0.31944444444444448</v>
      </c>
      <c r="E34">
        <v>1</v>
      </c>
    </row>
    <row r="35" spans="1:5" x14ac:dyDescent="0.25">
      <c r="A35" t="s">
        <v>73</v>
      </c>
      <c r="B35" t="s">
        <v>75</v>
      </c>
      <c r="C35" t="s">
        <v>24</v>
      </c>
      <c r="D35" s="5">
        <v>0.32291666666666669</v>
      </c>
      <c r="E35">
        <v>0</v>
      </c>
    </row>
    <row r="36" spans="1:5" x14ac:dyDescent="0.25">
      <c r="A36" t="s">
        <v>73</v>
      </c>
      <c r="B36" t="s">
        <v>75</v>
      </c>
      <c r="C36" t="s">
        <v>24</v>
      </c>
      <c r="D36" s="5">
        <v>0.3263888888888889</v>
      </c>
      <c r="E36">
        <v>0</v>
      </c>
    </row>
    <row r="37" spans="1:5" x14ac:dyDescent="0.25">
      <c r="A37" t="s">
        <v>73</v>
      </c>
      <c r="B37" t="s">
        <v>75</v>
      </c>
      <c r="C37" t="s">
        <v>24</v>
      </c>
      <c r="D37" s="5">
        <v>0.3298611111111111</v>
      </c>
      <c r="E37">
        <v>0</v>
      </c>
    </row>
    <row r="38" spans="1:5" x14ac:dyDescent="0.25">
      <c r="A38" t="s">
        <v>73</v>
      </c>
      <c r="B38" t="s">
        <v>75</v>
      </c>
      <c r="C38" t="s">
        <v>24</v>
      </c>
      <c r="D38" s="5">
        <v>0.33333333333333331</v>
      </c>
      <c r="E38">
        <v>1</v>
      </c>
    </row>
    <row r="39" spans="1:5" x14ac:dyDescent="0.25">
      <c r="A39" t="s">
        <v>73</v>
      </c>
      <c r="B39" t="s">
        <v>75</v>
      </c>
      <c r="C39" t="s">
        <v>24</v>
      </c>
      <c r="D39" s="5">
        <v>0.33680555555555558</v>
      </c>
      <c r="E39">
        <v>1</v>
      </c>
    </row>
    <row r="40" spans="1:5" x14ac:dyDescent="0.25">
      <c r="A40" t="s">
        <v>73</v>
      </c>
      <c r="B40" t="s">
        <v>75</v>
      </c>
      <c r="C40" t="s">
        <v>24</v>
      </c>
      <c r="D40" s="5">
        <v>0.34027777777777773</v>
      </c>
      <c r="E40">
        <v>0</v>
      </c>
    </row>
    <row r="41" spans="1:5" x14ac:dyDescent="0.25">
      <c r="A41" t="s">
        <v>73</v>
      </c>
      <c r="B41" t="s">
        <v>75</v>
      </c>
      <c r="C41" t="s">
        <v>24</v>
      </c>
      <c r="D41" s="5">
        <v>0.34375</v>
      </c>
      <c r="E41">
        <v>0</v>
      </c>
    </row>
    <row r="42" spans="1:5" x14ac:dyDescent="0.25">
      <c r="A42" t="s">
        <v>73</v>
      </c>
      <c r="B42" t="s">
        <v>75</v>
      </c>
      <c r="C42" t="s">
        <v>24</v>
      </c>
      <c r="D42" s="5">
        <v>0.34722222222222227</v>
      </c>
      <c r="E42">
        <v>1</v>
      </c>
    </row>
    <row r="43" spans="1:5" x14ac:dyDescent="0.25">
      <c r="A43" t="s">
        <v>73</v>
      </c>
      <c r="B43" t="s">
        <v>75</v>
      </c>
      <c r="C43" t="s">
        <v>24</v>
      </c>
      <c r="D43" s="5">
        <v>0.35069444444444442</v>
      </c>
      <c r="E43">
        <v>1</v>
      </c>
    </row>
    <row r="44" spans="1:5" x14ac:dyDescent="0.25">
      <c r="A44" t="s">
        <v>73</v>
      </c>
      <c r="B44" t="s">
        <v>75</v>
      </c>
      <c r="C44" t="s">
        <v>24</v>
      </c>
      <c r="D44" s="5">
        <v>0.35416666666666669</v>
      </c>
      <c r="E44">
        <v>0</v>
      </c>
    </row>
    <row r="45" spans="1:5" x14ac:dyDescent="0.25">
      <c r="A45" t="s">
        <v>73</v>
      </c>
      <c r="B45" t="s">
        <v>75</v>
      </c>
      <c r="C45" t="s">
        <v>24</v>
      </c>
      <c r="D45" s="5">
        <v>0.3576388888888889</v>
      </c>
      <c r="E45">
        <v>1</v>
      </c>
    </row>
    <row r="46" spans="1:5" x14ac:dyDescent="0.25">
      <c r="A46" t="s">
        <v>73</v>
      </c>
      <c r="B46" t="s">
        <v>75</v>
      </c>
      <c r="C46" t="s">
        <v>24</v>
      </c>
      <c r="D46" s="5">
        <v>0.3611111111111111</v>
      </c>
      <c r="E46">
        <v>0</v>
      </c>
    </row>
    <row r="47" spans="1:5" x14ac:dyDescent="0.25">
      <c r="A47" t="s">
        <v>73</v>
      </c>
      <c r="B47" t="s">
        <v>75</v>
      </c>
      <c r="C47" t="s">
        <v>24</v>
      </c>
      <c r="D47" s="5">
        <v>0.36458333333333331</v>
      </c>
      <c r="E47">
        <v>1</v>
      </c>
    </row>
    <row r="48" spans="1:5" x14ac:dyDescent="0.25">
      <c r="A48" t="s">
        <v>73</v>
      </c>
      <c r="B48" t="s">
        <v>75</v>
      </c>
      <c r="C48" t="s">
        <v>24</v>
      </c>
      <c r="D48" s="5">
        <v>0.36805555555555558</v>
      </c>
      <c r="E48">
        <v>0</v>
      </c>
    </row>
    <row r="49" spans="1:5" x14ac:dyDescent="0.25">
      <c r="A49" t="s">
        <v>73</v>
      </c>
      <c r="B49" t="s">
        <v>75</v>
      </c>
      <c r="C49" t="s">
        <v>24</v>
      </c>
      <c r="D49" s="5">
        <v>0.37152777777777773</v>
      </c>
      <c r="E49">
        <v>0</v>
      </c>
    </row>
    <row r="50" spans="1:5" x14ac:dyDescent="0.25">
      <c r="A50" t="s">
        <v>73</v>
      </c>
      <c r="B50" t="s">
        <v>74</v>
      </c>
      <c r="C50" t="s">
        <v>70</v>
      </c>
      <c r="D50" s="5">
        <v>0.45833333333333331</v>
      </c>
      <c r="E50">
        <v>2</v>
      </c>
    </row>
    <row r="51" spans="1:5" x14ac:dyDescent="0.25">
      <c r="A51" t="s">
        <v>73</v>
      </c>
      <c r="B51" t="s">
        <v>74</v>
      </c>
      <c r="C51" t="s">
        <v>70</v>
      </c>
      <c r="D51" s="5">
        <v>0.46180555555555558</v>
      </c>
      <c r="E51">
        <v>2</v>
      </c>
    </row>
    <row r="52" spans="1:5" x14ac:dyDescent="0.25">
      <c r="A52" t="s">
        <v>73</v>
      </c>
      <c r="B52" t="s">
        <v>74</v>
      </c>
      <c r="C52" t="s">
        <v>70</v>
      </c>
      <c r="D52" s="5">
        <v>0.46527777777777773</v>
      </c>
      <c r="E52">
        <v>1</v>
      </c>
    </row>
    <row r="53" spans="1:5" x14ac:dyDescent="0.25">
      <c r="A53" t="s">
        <v>73</v>
      </c>
      <c r="B53" t="s">
        <v>74</v>
      </c>
      <c r="C53" t="s">
        <v>70</v>
      </c>
      <c r="D53" s="5">
        <v>0.46875</v>
      </c>
      <c r="E53">
        <v>0</v>
      </c>
    </row>
    <row r="54" spans="1:5" x14ac:dyDescent="0.25">
      <c r="A54" t="s">
        <v>73</v>
      </c>
      <c r="B54" t="s">
        <v>74</v>
      </c>
      <c r="C54" t="s">
        <v>70</v>
      </c>
      <c r="D54" s="5">
        <v>0.47222222222222227</v>
      </c>
      <c r="E54">
        <v>0</v>
      </c>
    </row>
    <row r="55" spans="1:5" x14ac:dyDescent="0.25">
      <c r="A55" t="s">
        <v>73</v>
      </c>
      <c r="B55" t="s">
        <v>74</v>
      </c>
      <c r="C55" t="s">
        <v>70</v>
      </c>
      <c r="D55" s="5">
        <v>0.47569444444444442</v>
      </c>
      <c r="E55">
        <v>1</v>
      </c>
    </row>
    <row r="56" spans="1:5" x14ac:dyDescent="0.25">
      <c r="A56" t="s">
        <v>73</v>
      </c>
      <c r="B56" t="s">
        <v>74</v>
      </c>
      <c r="C56" t="s">
        <v>70</v>
      </c>
      <c r="D56" s="5">
        <v>0.47916666666666669</v>
      </c>
      <c r="E56">
        <v>0</v>
      </c>
    </row>
    <row r="57" spans="1:5" x14ac:dyDescent="0.25">
      <c r="A57" t="s">
        <v>73</v>
      </c>
      <c r="B57" t="s">
        <v>74</v>
      </c>
      <c r="C57" t="s">
        <v>70</v>
      </c>
      <c r="D57" s="5">
        <v>0.4826388888888889</v>
      </c>
      <c r="E57">
        <v>1</v>
      </c>
    </row>
    <row r="58" spans="1:5" x14ac:dyDescent="0.25">
      <c r="A58" t="s">
        <v>73</v>
      </c>
      <c r="B58" t="s">
        <v>74</v>
      </c>
      <c r="C58" t="s">
        <v>70</v>
      </c>
      <c r="D58" s="5">
        <v>0.4861111111111111</v>
      </c>
      <c r="E58">
        <v>1</v>
      </c>
    </row>
    <row r="59" spans="1:5" x14ac:dyDescent="0.25">
      <c r="A59" t="s">
        <v>73</v>
      </c>
      <c r="B59" t="s">
        <v>74</v>
      </c>
      <c r="C59" t="s">
        <v>70</v>
      </c>
      <c r="D59" s="5">
        <v>0.48958333333333331</v>
      </c>
      <c r="E59">
        <v>1</v>
      </c>
    </row>
    <row r="60" spans="1:5" x14ac:dyDescent="0.25">
      <c r="A60" t="s">
        <v>73</v>
      </c>
      <c r="B60" t="s">
        <v>74</v>
      </c>
      <c r="C60" t="s">
        <v>70</v>
      </c>
      <c r="D60" s="5">
        <v>0.49305555555555558</v>
      </c>
      <c r="E60">
        <v>1</v>
      </c>
    </row>
    <row r="61" spans="1:5" x14ac:dyDescent="0.25">
      <c r="A61" t="s">
        <v>73</v>
      </c>
      <c r="B61" t="s">
        <v>74</v>
      </c>
      <c r="C61" t="s">
        <v>70</v>
      </c>
      <c r="D61" s="5">
        <v>0.49652777777777773</v>
      </c>
      <c r="E61">
        <v>4</v>
      </c>
    </row>
    <row r="62" spans="1:5" x14ac:dyDescent="0.25">
      <c r="A62" t="s">
        <v>73</v>
      </c>
      <c r="B62" t="s">
        <v>74</v>
      </c>
      <c r="C62" t="s">
        <v>70</v>
      </c>
      <c r="D62" s="5">
        <v>0.5</v>
      </c>
      <c r="E62">
        <v>1</v>
      </c>
    </row>
    <row r="63" spans="1:5" x14ac:dyDescent="0.25">
      <c r="A63" t="s">
        <v>73</v>
      </c>
      <c r="B63" t="s">
        <v>74</v>
      </c>
      <c r="C63" t="s">
        <v>70</v>
      </c>
      <c r="D63" s="5">
        <v>0.50347222222222221</v>
      </c>
      <c r="E63">
        <v>0</v>
      </c>
    </row>
    <row r="64" spans="1:5" x14ac:dyDescent="0.25">
      <c r="A64" t="s">
        <v>73</v>
      </c>
      <c r="B64" t="s">
        <v>74</v>
      </c>
      <c r="C64" t="s">
        <v>70</v>
      </c>
      <c r="D64" s="5">
        <v>0.50694444444444442</v>
      </c>
      <c r="E64">
        <v>1</v>
      </c>
    </row>
    <row r="65" spans="1:5" x14ac:dyDescent="0.25">
      <c r="A65" t="s">
        <v>73</v>
      </c>
      <c r="B65" t="s">
        <v>74</v>
      </c>
      <c r="C65" t="s">
        <v>70</v>
      </c>
      <c r="D65" s="5">
        <v>0.51041666666666663</v>
      </c>
      <c r="E65">
        <v>1</v>
      </c>
    </row>
    <row r="66" spans="1:5" x14ac:dyDescent="0.25">
      <c r="A66" t="s">
        <v>73</v>
      </c>
      <c r="B66" t="s">
        <v>74</v>
      </c>
      <c r="C66" t="s">
        <v>70</v>
      </c>
      <c r="D66" s="5">
        <v>0.51388888888888895</v>
      </c>
      <c r="E66">
        <v>1</v>
      </c>
    </row>
    <row r="67" spans="1:5" x14ac:dyDescent="0.25">
      <c r="A67" t="s">
        <v>73</v>
      </c>
      <c r="B67" t="s">
        <v>74</v>
      </c>
      <c r="C67" t="s">
        <v>70</v>
      </c>
      <c r="D67" s="5">
        <v>0.51736111111111105</v>
      </c>
      <c r="E67">
        <v>0</v>
      </c>
    </row>
    <row r="68" spans="1:5" x14ac:dyDescent="0.25">
      <c r="A68" t="s">
        <v>73</v>
      </c>
      <c r="B68" t="s">
        <v>74</v>
      </c>
      <c r="C68" t="s">
        <v>70</v>
      </c>
      <c r="D68" s="5">
        <v>0.52083333333333337</v>
      </c>
      <c r="E68">
        <v>1</v>
      </c>
    </row>
    <row r="69" spans="1:5" x14ac:dyDescent="0.25">
      <c r="A69" t="s">
        <v>73</v>
      </c>
      <c r="B69" t="s">
        <v>74</v>
      </c>
      <c r="C69" t="s">
        <v>70</v>
      </c>
      <c r="D69" s="5">
        <v>0.52430555555555558</v>
      </c>
      <c r="E69">
        <v>1</v>
      </c>
    </row>
    <row r="70" spans="1:5" x14ac:dyDescent="0.25">
      <c r="A70" t="s">
        <v>73</v>
      </c>
      <c r="B70" t="s">
        <v>74</v>
      </c>
      <c r="C70" t="s">
        <v>70</v>
      </c>
      <c r="D70" s="5">
        <v>0.52777777777777779</v>
      </c>
      <c r="E70">
        <v>1</v>
      </c>
    </row>
    <row r="71" spans="1:5" x14ac:dyDescent="0.25">
      <c r="A71" t="s">
        <v>73</v>
      </c>
      <c r="B71" t="s">
        <v>74</v>
      </c>
      <c r="C71" t="s">
        <v>70</v>
      </c>
      <c r="D71" s="5">
        <v>0.53125</v>
      </c>
      <c r="E71">
        <v>1</v>
      </c>
    </row>
    <row r="72" spans="1:5" x14ac:dyDescent="0.25">
      <c r="A72" t="s">
        <v>73</v>
      </c>
      <c r="B72" t="s">
        <v>74</v>
      </c>
      <c r="C72" t="s">
        <v>70</v>
      </c>
      <c r="D72" s="5">
        <v>0.53472222222222221</v>
      </c>
      <c r="E72">
        <v>1</v>
      </c>
    </row>
    <row r="73" spans="1:5" x14ac:dyDescent="0.25">
      <c r="A73" t="s">
        <v>73</v>
      </c>
      <c r="B73" t="s">
        <v>74</v>
      </c>
      <c r="C73" t="s">
        <v>70</v>
      </c>
      <c r="D73" s="5">
        <v>0.53819444444444442</v>
      </c>
      <c r="E73">
        <v>1</v>
      </c>
    </row>
    <row r="74" spans="1:5" x14ac:dyDescent="0.25">
      <c r="A74" t="s">
        <v>73</v>
      </c>
      <c r="B74" t="s">
        <v>75</v>
      </c>
      <c r="C74" t="s">
        <v>70</v>
      </c>
      <c r="D74" s="5">
        <v>0.45833333333333331</v>
      </c>
      <c r="E74">
        <v>0</v>
      </c>
    </row>
    <row r="75" spans="1:5" x14ac:dyDescent="0.25">
      <c r="A75" t="s">
        <v>73</v>
      </c>
      <c r="B75" t="s">
        <v>75</v>
      </c>
      <c r="C75" t="s">
        <v>70</v>
      </c>
      <c r="D75" s="5">
        <v>0.46180555555555558</v>
      </c>
      <c r="E75">
        <v>0</v>
      </c>
    </row>
    <row r="76" spans="1:5" x14ac:dyDescent="0.25">
      <c r="A76" t="s">
        <v>73</v>
      </c>
      <c r="B76" t="s">
        <v>75</v>
      </c>
      <c r="C76" t="s">
        <v>70</v>
      </c>
      <c r="D76" s="5">
        <v>0.46527777777777773</v>
      </c>
      <c r="E76">
        <v>2</v>
      </c>
    </row>
    <row r="77" spans="1:5" x14ac:dyDescent="0.25">
      <c r="A77" t="s">
        <v>73</v>
      </c>
      <c r="B77" t="s">
        <v>75</v>
      </c>
      <c r="C77" t="s">
        <v>70</v>
      </c>
      <c r="D77" s="5">
        <v>0.46875</v>
      </c>
      <c r="E77">
        <v>0</v>
      </c>
    </row>
    <row r="78" spans="1:5" x14ac:dyDescent="0.25">
      <c r="A78" t="s">
        <v>73</v>
      </c>
      <c r="B78" t="s">
        <v>75</v>
      </c>
      <c r="C78" t="s">
        <v>70</v>
      </c>
      <c r="D78" s="5">
        <v>0.47222222222222227</v>
      </c>
      <c r="E78">
        <v>1</v>
      </c>
    </row>
    <row r="79" spans="1:5" x14ac:dyDescent="0.25">
      <c r="A79" t="s">
        <v>73</v>
      </c>
      <c r="B79" t="s">
        <v>75</v>
      </c>
      <c r="C79" t="s">
        <v>70</v>
      </c>
      <c r="D79" s="5">
        <v>0.47569444444444442</v>
      </c>
      <c r="E79">
        <v>1</v>
      </c>
    </row>
    <row r="80" spans="1:5" x14ac:dyDescent="0.25">
      <c r="A80" t="s">
        <v>73</v>
      </c>
      <c r="B80" t="s">
        <v>75</v>
      </c>
      <c r="C80" t="s">
        <v>70</v>
      </c>
      <c r="D80" s="5">
        <v>0.47916666666666669</v>
      </c>
      <c r="E80">
        <v>1</v>
      </c>
    </row>
    <row r="81" spans="1:5" x14ac:dyDescent="0.25">
      <c r="A81" t="s">
        <v>73</v>
      </c>
      <c r="B81" t="s">
        <v>75</v>
      </c>
      <c r="C81" t="s">
        <v>70</v>
      </c>
      <c r="D81" s="5">
        <v>0.4826388888888889</v>
      </c>
      <c r="E81">
        <v>0</v>
      </c>
    </row>
    <row r="82" spans="1:5" x14ac:dyDescent="0.25">
      <c r="A82" t="s">
        <v>73</v>
      </c>
      <c r="B82" t="s">
        <v>75</v>
      </c>
      <c r="C82" t="s">
        <v>70</v>
      </c>
      <c r="D82" s="5">
        <v>0.4861111111111111</v>
      </c>
      <c r="E82">
        <v>0</v>
      </c>
    </row>
    <row r="83" spans="1:5" x14ac:dyDescent="0.25">
      <c r="A83" t="s">
        <v>73</v>
      </c>
      <c r="B83" t="s">
        <v>75</v>
      </c>
      <c r="C83" t="s">
        <v>70</v>
      </c>
      <c r="D83" s="5">
        <v>0.48958333333333331</v>
      </c>
      <c r="E83">
        <v>0</v>
      </c>
    </row>
    <row r="84" spans="1:5" x14ac:dyDescent="0.25">
      <c r="A84" t="s">
        <v>73</v>
      </c>
      <c r="B84" t="s">
        <v>75</v>
      </c>
      <c r="C84" t="s">
        <v>70</v>
      </c>
      <c r="D84" s="5">
        <v>0.49305555555555558</v>
      </c>
      <c r="E84">
        <v>1</v>
      </c>
    </row>
    <row r="85" spans="1:5" x14ac:dyDescent="0.25">
      <c r="A85" t="s">
        <v>73</v>
      </c>
      <c r="B85" t="s">
        <v>75</v>
      </c>
      <c r="C85" t="s">
        <v>70</v>
      </c>
      <c r="D85" s="5">
        <v>0.49652777777777773</v>
      </c>
      <c r="E85">
        <v>1</v>
      </c>
    </row>
    <row r="86" spans="1:5" x14ac:dyDescent="0.25">
      <c r="A86" t="s">
        <v>73</v>
      </c>
      <c r="B86" t="s">
        <v>75</v>
      </c>
      <c r="C86" t="s">
        <v>70</v>
      </c>
      <c r="D86" s="5">
        <v>0.5</v>
      </c>
      <c r="E86">
        <v>1</v>
      </c>
    </row>
    <row r="87" spans="1:5" x14ac:dyDescent="0.25">
      <c r="A87" t="s">
        <v>73</v>
      </c>
      <c r="B87" t="s">
        <v>75</v>
      </c>
      <c r="C87" t="s">
        <v>70</v>
      </c>
      <c r="D87" s="5">
        <v>0.50347222222222221</v>
      </c>
      <c r="E87">
        <v>1</v>
      </c>
    </row>
    <row r="88" spans="1:5" x14ac:dyDescent="0.25">
      <c r="A88" t="s">
        <v>73</v>
      </c>
      <c r="B88" t="s">
        <v>75</v>
      </c>
      <c r="C88" t="s">
        <v>70</v>
      </c>
      <c r="D88" s="5">
        <v>0.50694444444444442</v>
      </c>
      <c r="E88">
        <v>1</v>
      </c>
    </row>
    <row r="89" spans="1:5" x14ac:dyDescent="0.25">
      <c r="A89" t="s">
        <v>73</v>
      </c>
      <c r="B89" t="s">
        <v>75</v>
      </c>
      <c r="C89" t="s">
        <v>70</v>
      </c>
      <c r="D89" s="5">
        <v>0.51041666666666663</v>
      </c>
      <c r="E89">
        <v>1</v>
      </c>
    </row>
    <row r="90" spans="1:5" x14ac:dyDescent="0.25">
      <c r="A90" t="s">
        <v>73</v>
      </c>
      <c r="B90" t="s">
        <v>75</v>
      </c>
      <c r="C90" t="s">
        <v>70</v>
      </c>
      <c r="D90" s="5">
        <v>0.51388888888888895</v>
      </c>
      <c r="E90">
        <v>1</v>
      </c>
    </row>
    <row r="91" spans="1:5" x14ac:dyDescent="0.25">
      <c r="A91" t="s">
        <v>73</v>
      </c>
      <c r="B91" t="s">
        <v>75</v>
      </c>
      <c r="C91" t="s">
        <v>70</v>
      </c>
      <c r="D91" s="5">
        <v>0.51736111111111105</v>
      </c>
      <c r="E91">
        <v>1</v>
      </c>
    </row>
    <row r="92" spans="1:5" x14ac:dyDescent="0.25">
      <c r="A92" t="s">
        <v>73</v>
      </c>
      <c r="B92" t="s">
        <v>75</v>
      </c>
      <c r="C92" t="s">
        <v>70</v>
      </c>
      <c r="D92" s="5">
        <v>0.52083333333333337</v>
      </c>
      <c r="E92">
        <v>0</v>
      </c>
    </row>
    <row r="93" spans="1:5" x14ac:dyDescent="0.25">
      <c r="A93" t="s">
        <v>73</v>
      </c>
      <c r="B93" t="s">
        <v>75</v>
      </c>
      <c r="C93" t="s">
        <v>70</v>
      </c>
      <c r="D93" s="5">
        <v>0.52430555555555558</v>
      </c>
      <c r="E93">
        <v>0</v>
      </c>
    </row>
    <row r="94" spans="1:5" x14ac:dyDescent="0.25">
      <c r="A94" t="s">
        <v>73</v>
      </c>
      <c r="B94" t="s">
        <v>75</v>
      </c>
      <c r="C94" t="s">
        <v>70</v>
      </c>
      <c r="D94" s="5">
        <v>0.52777777777777779</v>
      </c>
      <c r="E94">
        <v>1</v>
      </c>
    </row>
    <row r="95" spans="1:5" x14ac:dyDescent="0.25">
      <c r="A95" t="s">
        <v>73</v>
      </c>
      <c r="B95" t="s">
        <v>75</v>
      </c>
      <c r="C95" t="s">
        <v>70</v>
      </c>
      <c r="D95" s="5">
        <v>0.53125</v>
      </c>
      <c r="E95">
        <v>1</v>
      </c>
    </row>
    <row r="96" spans="1:5" x14ac:dyDescent="0.25">
      <c r="A96" t="s">
        <v>73</v>
      </c>
      <c r="B96" t="s">
        <v>75</v>
      </c>
      <c r="C96" t="s">
        <v>70</v>
      </c>
      <c r="D96" s="5">
        <v>0.53472222222222221</v>
      </c>
      <c r="E96">
        <v>0</v>
      </c>
    </row>
    <row r="97" spans="1:5" x14ac:dyDescent="0.25">
      <c r="A97" t="s">
        <v>73</v>
      </c>
      <c r="B97" t="s">
        <v>75</v>
      </c>
      <c r="C97" t="s">
        <v>70</v>
      </c>
      <c r="D97" s="5">
        <v>0.53819444444444442</v>
      </c>
      <c r="E97">
        <v>1</v>
      </c>
    </row>
    <row r="98" spans="1:5" x14ac:dyDescent="0.25">
      <c r="A98" t="s">
        <v>73</v>
      </c>
      <c r="B98" t="s">
        <v>74</v>
      </c>
      <c r="C98" t="s">
        <v>71</v>
      </c>
      <c r="D98" s="5">
        <v>0.66666666666666663</v>
      </c>
      <c r="E98">
        <v>0</v>
      </c>
    </row>
    <row r="99" spans="1:5" x14ac:dyDescent="0.25">
      <c r="A99" t="s">
        <v>73</v>
      </c>
      <c r="B99" t="s">
        <v>74</v>
      </c>
      <c r="C99" t="s">
        <v>71</v>
      </c>
      <c r="D99" s="5">
        <v>0.67013888888888884</v>
      </c>
      <c r="E99">
        <v>1</v>
      </c>
    </row>
    <row r="100" spans="1:5" x14ac:dyDescent="0.25">
      <c r="A100" t="s">
        <v>73</v>
      </c>
      <c r="B100" t="s">
        <v>74</v>
      </c>
      <c r="C100" t="s">
        <v>71</v>
      </c>
      <c r="D100" s="5">
        <v>0.67361111111111116</v>
      </c>
      <c r="E100">
        <v>1</v>
      </c>
    </row>
    <row r="101" spans="1:5" x14ac:dyDescent="0.25">
      <c r="A101" t="s">
        <v>73</v>
      </c>
      <c r="B101" t="s">
        <v>74</v>
      </c>
      <c r="C101" t="s">
        <v>71</v>
      </c>
      <c r="D101" s="5">
        <v>0.67708333333333337</v>
      </c>
      <c r="E101">
        <v>2</v>
      </c>
    </row>
    <row r="102" spans="1:5" x14ac:dyDescent="0.25">
      <c r="A102" t="s">
        <v>73</v>
      </c>
      <c r="B102" t="s">
        <v>74</v>
      </c>
      <c r="C102" t="s">
        <v>71</v>
      </c>
      <c r="D102" s="5">
        <v>0.68055555555555547</v>
      </c>
      <c r="E102">
        <v>0</v>
      </c>
    </row>
    <row r="103" spans="1:5" x14ac:dyDescent="0.25">
      <c r="A103" t="s">
        <v>73</v>
      </c>
      <c r="B103" t="s">
        <v>74</v>
      </c>
      <c r="C103" t="s">
        <v>71</v>
      </c>
      <c r="D103" s="5">
        <v>0.68402777777777779</v>
      </c>
      <c r="E103">
        <v>2</v>
      </c>
    </row>
    <row r="104" spans="1:5" x14ac:dyDescent="0.25">
      <c r="A104" t="s">
        <v>73</v>
      </c>
      <c r="B104" t="s">
        <v>74</v>
      </c>
      <c r="C104" t="s">
        <v>71</v>
      </c>
      <c r="D104" s="5">
        <v>0.6875</v>
      </c>
      <c r="E104">
        <v>1</v>
      </c>
    </row>
    <row r="105" spans="1:5" x14ac:dyDescent="0.25">
      <c r="A105" t="s">
        <v>73</v>
      </c>
      <c r="B105" t="s">
        <v>74</v>
      </c>
      <c r="C105" t="s">
        <v>71</v>
      </c>
      <c r="D105" s="5">
        <v>0.69097222222222221</v>
      </c>
      <c r="E105">
        <v>1</v>
      </c>
    </row>
    <row r="106" spans="1:5" x14ac:dyDescent="0.25">
      <c r="A106" t="s">
        <v>73</v>
      </c>
      <c r="B106" t="s">
        <v>74</v>
      </c>
      <c r="C106" t="s">
        <v>71</v>
      </c>
      <c r="D106" s="5">
        <v>0.69444444444444453</v>
      </c>
      <c r="E106">
        <v>1</v>
      </c>
    </row>
    <row r="107" spans="1:5" x14ac:dyDescent="0.25">
      <c r="A107" t="s">
        <v>73</v>
      </c>
      <c r="B107" t="s">
        <v>74</v>
      </c>
      <c r="C107" t="s">
        <v>71</v>
      </c>
      <c r="D107" s="5">
        <v>0.69791666666666663</v>
      </c>
      <c r="E107">
        <v>1</v>
      </c>
    </row>
    <row r="108" spans="1:5" x14ac:dyDescent="0.25">
      <c r="A108" t="s">
        <v>73</v>
      </c>
      <c r="B108" t="s">
        <v>74</v>
      </c>
      <c r="C108" t="s">
        <v>71</v>
      </c>
      <c r="D108" s="5">
        <v>0.70138888888888884</v>
      </c>
      <c r="E108">
        <v>1</v>
      </c>
    </row>
    <row r="109" spans="1:5" x14ac:dyDescent="0.25">
      <c r="A109" t="s">
        <v>73</v>
      </c>
      <c r="B109" t="s">
        <v>74</v>
      </c>
      <c r="C109" t="s">
        <v>71</v>
      </c>
      <c r="D109" s="5">
        <v>0.70486111111111116</v>
      </c>
      <c r="E109">
        <v>1</v>
      </c>
    </row>
    <row r="110" spans="1:5" x14ac:dyDescent="0.25">
      <c r="A110" t="s">
        <v>73</v>
      </c>
      <c r="B110" t="s">
        <v>74</v>
      </c>
      <c r="C110" t="s">
        <v>71</v>
      </c>
      <c r="D110" s="5">
        <v>0.70833333333333337</v>
      </c>
      <c r="E110">
        <v>1</v>
      </c>
    </row>
    <row r="111" spans="1:5" x14ac:dyDescent="0.25">
      <c r="A111" t="s">
        <v>73</v>
      </c>
      <c r="B111" t="s">
        <v>74</v>
      </c>
      <c r="C111" t="s">
        <v>71</v>
      </c>
      <c r="D111" s="5">
        <v>0.71180555555555547</v>
      </c>
      <c r="E111">
        <v>2</v>
      </c>
    </row>
    <row r="112" spans="1:5" x14ac:dyDescent="0.25">
      <c r="A112" t="s">
        <v>73</v>
      </c>
      <c r="B112" t="s">
        <v>74</v>
      </c>
      <c r="C112" t="s">
        <v>71</v>
      </c>
      <c r="D112" s="5">
        <v>0.71527777777777779</v>
      </c>
      <c r="E112">
        <v>1</v>
      </c>
    </row>
    <row r="113" spans="1:5" x14ac:dyDescent="0.25">
      <c r="A113" t="s">
        <v>73</v>
      </c>
      <c r="B113" t="s">
        <v>74</v>
      </c>
      <c r="C113" t="s">
        <v>71</v>
      </c>
      <c r="D113" s="5">
        <v>0.71875</v>
      </c>
      <c r="E113">
        <v>1</v>
      </c>
    </row>
    <row r="114" spans="1:5" x14ac:dyDescent="0.25">
      <c r="A114" t="s">
        <v>73</v>
      </c>
      <c r="B114" t="s">
        <v>74</v>
      </c>
      <c r="C114" t="s">
        <v>71</v>
      </c>
      <c r="D114" s="5">
        <v>0.72222222222222221</v>
      </c>
      <c r="E114">
        <v>2</v>
      </c>
    </row>
    <row r="115" spans="1:5" x14ac:dyDescent="0.25">
      <c r="A115" t="s">
        <v>73</v>
      </c>
      <c r="B115" t="s">
        <v>74</v>
      </c>
      <c r="C115" t="s">
        <v>71</v>
      </c>
      <c r="D115" s="5">
        <v>0.72569444444444453</v>
      </c>
      <c r="E115">
        <v>2</v>
      </c>
    </row>
    <row r="116" spans="1:5" x14ac:dyDescent="0.25">
      <c r="A116" t="s">
        <v>73</v>
      </c>
      <c r="B116" t="s">
        <v>74</v>
      </c>
      <c r="C116" t="s">
        <v>71</v>
      </c>
      <c r="D116" s="5">
        <v>0.72916666666666663</v>
      </c>
      <c r="E116">
        <v>1</v>
      </c>
    </row>
    <row r="117" spans="1:5" x14ac:dyDescent="0.25">
      <c r="A117" t="s">
        <v>73</v>
      </c>
      <c r="B117" t="s">
        <v>74</v>
      </c>
      <c r="C117" t="s">
        <v>71</v>
      </c>
      <c r="D117" s="5">
        <v>0.73263888888888884</v>
      </c>
      <c r="E117">
        <v>1</v>
      </c>
    </row>
    <row r="118" spans="1:5" x14ac:dyDescent="0.25">
      <c r="A118" t="s">
        <v>73</v>
      </c>
      <c r="B118" t="s">
        <v>74</v>
      </c>
      <c r="C118" t="s">
        <v>71</v>
      </c>
      <c r="D118" s="5">
        <v>0.73611111111111116</v>
      </c>
      <c r="E118">
        <v>1</v>
      </c>
    </row>
    <row r="119" spans="1:5" x14ac:dyDescent="0.25">
      <c r="A119" t="s">
        <v>73</v>
      </c>
      <c r="B119" t="s">
        <v>74</v>
      </c>
      <c r="C119" t="s">
        <v>71</v>
      </c>
      <c r="D119" s="5">
        <v>0.73958333333333337</v>
      </c>
      <c r="E119">
        <v>2</v>
      </c>
    </row>
    <row r="120" spans="1:5" x14ac:dyDescent="0.25">
      <c r="A120" t="s">
        <v>73</v>
      </c>
      <c r="B120" t="s">
        <v>74</v>
      </c>
      <c r="C120" t="s">
        <v>71</v>
      </c>
      <c r="D120" s="5">
        <v>0.74305555555555547</v>
      </c>
      <c r="E120">
        <v>0</v>
      </c>
    </row>
    <row r="121" spans="1:5" x14ac:dyDescent="0.25">
      <c r="A121" t="s">
        <v>73</v>
      </c>
      <c r="B121" t="s">
        <v>74</v>
      </c>
      <c r="C121" t="s">
        <v>71</v>
      </c>
      <c r="D121" s="5">
        <v>0.74652777777777779</v>
      </c>
      <c r="E121">
        <v>1</v>
      </c>
    </row>
    <row r="122" spans="1:5" x14ac:dyDescent="0.25">
      <c r="A122" t="s">
        <v>73</v>
      </c>
      <c r="B122" t="s">
        <v>75</v>
      </c>
      <c r="C122" t="s">
        <v>71</v>
      </c>
      <c r="D122" s="5">
        <v>0.66666666666666663</v>
      </c>
      <c r="E122">
        <v>1</v>
      </c>
    </row>
    <row r="123" spans="1:5" x14ac:dyDescent="0.25">
      <c r="A123" t="s">
        <v>73</v>
      </c>
      <c r="B123" t="s">
        <v>75</v>
      </c>
      <c r="C123" t="s">
        <v>71</v>
      </c>
      <c r="D123" s="5">
        <v>0.67013888888888884</v>
      </c>
      <c r="E123">
        <v>2</v>
      </c>
    </row>
    <row r="124" spans="1:5" x14ac:dyDescent="0.25">
      <c r="A124" t="s">
        <v>73</v>
      </c>
      <c r="B124" t="s">
        <v>75</v>
      </c>
      <c r="C124" t="s">
        <v>71</v>
      </c>
      <c r="D124" s="5">
        <v>0.67361111111111116</v>
      </c>
      <c r="E124">
        <v>2</v>
      </c>
    </row>
    <row r="125" spans="1:5" x14ac:dyDescent="0.25">
      <c r="A125" t="s">
        <v>73</v>
      </c>
      <c r="B125" t="s">
        <v>75</v>
      </c>
      <c r="C125" t="s">
        <v>71</v>
      </c>
      <c r="D125" s="5">
        <v>0.67708333333333337</v>
      </c>
      <c r="E125">
        <v>1</v>
      </c>
    </row>
    <row r="126" spans="1:5" x14ac:dyDescent="0.25">
      <c r="A126" t="s">
        <v>73</v>
      </c>
      <c r="B126" t="s">
        <v>75</v>
      </c>
      <c r="C126" t="s">
        <v>71</v>
      </c>
      <c r="D126" s="5">
        <v>0.68055555555555547</v>
      </c>
      <c r="E126">
        <v>0</v>
      </c>
    </row>
    <row r="127" spans="1:5" x14ac:dyDescent="0.25">
      <c r="A127" t="s">
        <v>73</v>
      </c>
      <c r="B127" t="s">
        <v>75</v>
      </c>
      <c r="C127" t="s">
        <v>71</v>
      </c>
      <c r="D127" s="5">
        <v>0.68402777777777779</v>
      </c>
      <c r="E127">
        <v>0</v>
      </c>
    </row>
    <row r="128" spans="1:5" x14ac:dyDescent="0.25">
      <c r="A128" t="s">
        <v>73</v>
      </c>
      <c r="B128" t="s">
        <v>75</v>
      </c>
      <c r="C128" t="s">
        <v>71</v>
      </c>
      <c r="D128" s="5">
        <v>0.6875</v>
      </c>
      <c r="E128">
        <v>0</v>
      </c>
    </row>
    <row r="129" spans="1:5" x14ac:dyDescent="0.25">
      <c r="A129" t="s">
        <v>73</v>
      </c>
      <c r="B129" t="s">
        <v>75</v>
      </c>
      <c r="C129" t="s">
        <v>71</v>
      </c>
      <c r="D129" s="5">
        <v>0.69097222222222221</v>
      </c>
      <c r="E129">
        <v>1</v>
      </c>
    </row>
    <row r="130" spans="1:5" x14ac:dyDescent="0.25">
      <c r="A130" t="s">
        <v>73</v>
      </c>
      <c r="B130" t="s">
        <v>75</v>
      </c>
      <c r="C130" t="s">
        <v>71</v>
      </c>
      <c r="D130" s="5">
        <v>0.69444444444444453</v>
      </c>
      <c r="E130">
        <v>0</v>
      </c>
    </row>
    <row r="131" spans="1:5" x14ac:dyDescent="0.25">
      <c r="A131" t="s">
        <v>73</v>
      </c>
      <c r="B131" t="s">
        <v>75</v>
      </c>
      <c r="C131" t="s">
        <v>71</v>
      </c>
      <c r="D131" s="5">
        <v>0.69791666666666663</v>
      </c>
      <c r="E131">
        <v>1</v>
      </c>
    </row>
    <row r="132" spans="1:5" x14ac:dyDescent="0.25">
      <c r="A132" t="s">
        <v>73</v>
      </c>
      <c r="B132" t="s">
        <v>75</v>
      </c>
      <c r="C132" t="s">
        <v>71</v>
      </c>
      <c r="D132" s="5">
        <v>0.70138888888888884</v>
      </c>
      <c r="E132">
        <v>0</v>
      </c>
    </row>
    <row r="133" spans="1:5" x14ac:dyDescent="0.25">
      <c r="A133" t="s">
        <v>73</v>
      </c>
      <c r="B133" t="s">
        <v>75</v>
      </c>
      <c r="C133" t="s">
        <v>71</v>
      </c>
      <c r="D133" s="5">
        <v>0.70486111111111116</v>
      </c>
      <c r="E133">
        <v>1</v>
      </c>
    </row>
    <row r="134" spans="1:5" x14ac:dyDescent="0.25">
      <c r="A134" t="s">
        <v>73</v>
      </c>
      <c r="B134" t="s">
        <v>75</v>
      </c>
      <c r="C134" t="s">
        <v>71</v>
      </c>
      <c r="D134" s="5">
        <v>0.70833333333333337</v>
      </c>
      <c r="E134">
        <v>2</v>
      </c>
    </row>
    <row r="135" spans="1:5" x14ac:dyDescent="0.25">
      <c r="A135" t="s">
        <v>73</v>
      </c>
      <c r="B135" t="s">
        <v>75</v>
      </c>
      <c r="C135" t="s">
        <v>71</v>
      </c>
      <c r="D135" s="5">
        <v>0.71180555555555547</v>
      </c>
      <c r="E135">
        <v>1</v>
      </c>
    </row>
    <row r="136" spans="1:5" x14ac:dyDescent="0.25">
      <c r="A136" t="s">
        <v>73</v>
      </c>
      <c r="B136" t="s">
        <v>75</v>
      </c>
      <c r="C136" t="s">
        <v>71</v>
      </c>
      <c r="D136" s="5">
        <v>0.71527777777777779</v>
      </c>
      <c r="E136">
        <v>0</v>
      </c>
    </row>
    <row r="137" spans="1:5" x14ac:dyDescent="0.25">
      <c r="A137" t="s">
        <v>73</v>
      </c>
      <c r="B137" t="s">
        <v>75</v>
      </c>
      <c r="C137" t="s">
        <v>71</v>
      </c>
      <c r="D137" s="5">
        <v>0.71875</v>
      </c>
      <c r="E137">
        <v>0</v>
      </c>
    </row>
    <row r="138" spans="1:5" x14ac:dyDescent="0.25">
      <c r="A138" t="s">
        <v>73</v>
      </c>
      <c r="B138" t="s">
        <v>75</v>
      </c>
      <c r="C138" t="s">
        <v>71</v>
      </c>
      <c r="D138" s="5">
        <v>0.72222222222222221</v>
      </c>
      <c r="E138">
        <v>1</v>
      </c>
    </row>
    <row r="139" spans="1:5" x14ac:dyDescent="0.25">
      <c r="A139" t="s">
        <v>73</v>
      </c>
      <c r="B139" t="s">
        <v>75</v>
      </c>
      <c r="C139" t="s">
        <v>71</v>
      </c>
      <c r="D139" s="5">
        <v>0.72569444444444453</v>
      </c>
      <c r="E139">
        <v>1</v>
      </c>
    </row>
    <row r="140" spans="1:5" x14ac:dyDescent="0.25">
      <c r="A140" t="s">
        <v>73</v>
      </c>
      <c r="B140" t="s">
        <v>75</v>
      </c>
      <c r="C140" t="s">
        <v>71</v>
      </c>
      <c r="D140" s="5">
        <v>0.72916666666666663</v>
      </c>
      <c r="E140">
        <v>1</v>
      </c>
    </row>
    <row r="141" spans="1:5" x14ac:dyDescent="0.25">
      <c r="A141" t="s">
        <v>73</v>
      </c>
      <c r="B141" t="s">
        <v>75</v>
      </c>
      <c r="C141" t="s">
        <v>71</v>
      </c>
      <c r="D141" s="5">
        <v>0.73263888888888884</v>
      </c>
      <c r="E141">
        <v>1</v>
      </c>
    </row>
    <row r="142" spans="1:5" x14ac:dyDescent="0.25">
      <c r="A142" t="s">
        <v>73</v>
      </c>
      <c r="B142" t="s">
        <v>75</v>
      </c>
      <c r="C142" t="s">
        <v>71</v>
      </c>
      <c r="D142" s="5">
        <v>0.73611111111111116</v>
      </c>
      <c r="E142">
        <v>0</v>
      </c>
    </row>
    <row r="143" spans="1:5" x14ac:dyDescent="0.25">
      <c r="A143" t="s">
        <v>73</v>
      </c>
      <c r="B143" t="s">
        <v>75</v>
      </c>
      <c r="C143" t="s">
        <v>71</v>
      </c>
      <c r="D143" s="5">
        <v>0.73958333333333337</v>
      </c>
      <c r="E143">
        <v>1</v>
      </c>
    </row>
    <row r="144" spans="1:5" x14ac:dyDescent="0.25">
      <c r="A144" t="s">
        <v>73</v>
      </c>
      <c r="B144" t="s">
        <v>75</v>
      </c>
      <c r="C144" t="s">
        <v>71</v>
      </c>
      <c r="D144" s="5">
        <v>0.74305555555555547</v>
      </c>
      <c r="E144">
        <v>1</v>
      </c>
    </row>
    <row r="145" spans="1:5" x14ac:dyDescent="0.25">
      <c r="A145" t="s">
        <v>73</v>
      </c>
      <c r="B145" t="s">
        <v>75</v>
      </c>
      <c r="C145" t="s">
        <v>71</v>
      </c>
      <c r="D145" s="5">
        <v>0.74652777777777779</v>
      </c>
      <c r="E145">
        <v>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2:P1408"/>
  <sheetViews>
    <sheetView showGridLines="0" topLeftCell="G1" zoomScaleNormal="100" workbookViewId="0">
      <selection activeCell="U30" sqref="U30"/>
    </sheetView>
  </sheetViews>
  <sheetFormatPr defaultRowHeight="15" x14ac:dyDescent="0.25"/>
  <cols>
    <col min="1" max="1" width="13.42578125" hidden="1" customWidth="1"/>
    <col min="2" max="2" width="25.85546875" hidden="1" customWidth="1"/>
    <col min="3" max="4" width="11.85546875" hidden="1" customWidth="1"/>
    <col min="5" max="6" width="9.140625" hidden="1" customWidth="1"/>
    <col min="7" max="7" width="30.5703125" customWidth="1"/>
    <col min="14" max="14" width="13.28515625" customWidth="1"/>
  </cols>
  <sheetData>
    <row r="2" spans="1:16" x14ac:dyDescent="0.25">
      <c r="A2" t="s">
        <v>57</v>
      </c>
      <c r="B2" t="str">
        <f>"Surveyed Queue Lengths "&amp;TEXT(Input!C11,"dd/mm/yy")&amp;": "&amp;B4&amp;", "&amp;B5&amp;", "&amp;B6</f>
        <v>Surveyed Queue Lengths Thurs 14/09/2023: Smith Street North, (All), AM</v>
      </c>
      <c r="N2" s="2" t="s">
        <v>56</v>
      </c>
    </row>
    <row r="3" spans="1:16" x14ac:dyDescent="0.25">
      <c r="N3" t="s">
        <v>67</v>
      </c>
    </row>
    <row r="4" spans="1:16" x14ac:dyDescent="0.25">
      <c r="A4" s="25" t="s">
        <v>50</v>
      </c>
      <c r="B4" t="s">
        <v>73</v>
      </c>
    </row>
    <row r="5" spans="1:16" x14ac:dyDescent="0.25">
      <c r="A5" s="25" t="s">
        <v>51</v>
      </c>
      <c r="B5" t="s">
        <v>79</v>
      </c>
      <c r="O5" s="17" t="s">
        <v>73</v>
      </c>
      <c r="P5" s="17"/>
    </row>
    <row r="6" spans="1:16" x14ac:dyDescent="0.25">
      <c r="A6" s="25" t="s">
        <v>52</v>
      </c>
      <c r="B6" t="s">
        <v>24</v>
      </c>
      <c r="C6" t="e">
        <f ca="1">INDEX(OFFSET($O$8,0,MATCH($B$4,$O$5:$BL$5,0)-1,1,50),1,MATCH($B$5,OFFSET($O$6,0,MATCH($B$4,$O$5:$BL$5,0)-1,1,50),0))</f>
        <v>#N/A</v>
      </c>
      <c r="D6" t="e">
        <f ca="1">INDEX(OFFSET($O$10,0,MATCH($B$4,$O$5:$BL$5,0)-1,1,50),1,MATCH($B$5,OFFSET($O$6,0,MATCH($B$4,$O$5:$BL$5,0)-1,1,50),0))</f>
        <v>#N/A</v>
      </c>
      <c r="O6" s="17" t="s">
        <v>74</v>
      </c>
      <c r="P6" s="17" t="s">
        <v>75</v>
      </c>
    </row>
    <row r="7" spans="1:16" x14ac:dyDescent="0.25">
      <c r="C7" t="e">
        <f ca="1">IF(C6=0,-1,C6)</f>
        <v>#N/A</v>
      </c>
      <c r="D7" t="e">
        <f ca="1">IF(D6=0,-1,D6)</f>
        <v>#N/A</v>
      </c>
      <c r="N7" s="28" t="s">
        <v>63</v>
      </c>
      <c r="O7" s="28"/>
      <c r="P7" s="28"/>
    </row>
    <row r="8" spans="1:16" x14ac:dyDescent="0.25">
      <c r="A8" s="25" t="s">
        <v>55</v>
      </c>
      <c r="B8" t="s">
        <v>54</v>
      </c>
      <c r="C8" t="e">
        <f ca="1">INDEX(OFFSET($O$7,0,MATCH($B$4,$O$5:$BL$5,0)-1,1,50),1,MATCH($B$5,OFFSET($O$6,0,MATCH($B$4,$O$5:$BL$5,0)-1,1,50),0))</f>
        <v>#N/A</v>
      </c>
      <c r="D8" t="e">
        <f ca="1">INDEX(OFFSET($O$9,0,MATCH($B$4,$O$5:$BL$5,0)-1,1,50),1,MATCH($B$5,OFFSET($O$6,0,MATCH($B$4,$O$5:$BL$5,0)-1,1,50),0))</f>
        <v>#N/A</v>
      </c>
      <c r="E8" t="s">
        <v>68</v>
      </c>
      <c r="F8" t="s">
        <v>69</v>
      </c>
      <c r="N8" s="28" t="s">
        <v>64</v>
      </c>
      <c r="O8" s="28"/>
      <c r="P8" s="28"/>
    </row>
    <row r="9" spans="1:16" x14ac:dyDescent="0.25">
      <c r="A9" s="26">
        <v>0.29166666666666669</v>
      </c>
      <c r="B9" s="45">
        <v>1</v>
      </c>
      <c r="C9" t="e">
        <f t="shared" ref="C9:C12" ca="1" si="0">$C$7</f>
        <v>#N/A</v>
      </c>
      <c r="D9" t="e">
        <f t="shared" ref="D9:D12" ca="1" si="1">$D$7</f>
        <v>#N/A</v>
      </c>
      <c r="E9" t="str">
        <f>IF($B10="",C$8,"")</f>
        <v/>
      </c>
      <c r="F9" t="str">
        <f>IF($B10="",D$8,"")</f>
        <v/>
      </c>
      <c r="N9" s="28" t="s">
        <v>65</v>
      </c>
      <c r="O9" s="28"/>
      <c r="P9" s="28"/>
    </row>
    <row r="10" spans="1:16" x14ac:dyDescent="0.25">
      <c r="A10" s="26">
        <v>0.2951388888888889</v>
      </c>
      <c r="B10" s="45">
        <v>3</v>
      </c>
      <c r="C10" t="e">
        <f t="shared" ca="1" si="0"/>
        <v>#N/A</v>
      </c>
      <c r="D10" t="e">
        <f t="shared" ca="1" si="1"/>
        <v>#N/A</v>
      </c>
      <c r="E10" t="str">
        <f t="shared" ref="E10:E73" si="2">IF($B11="",C$8,"")</f>
        <v/>
      </c>
      <c r="F10" t="str">
        <f t="shared" ref="F10:F73" si="3">IF($B11="",D$8,"")</f>
        <v/>
      </c>
      <c r="N10" s="28" t="s">
        <v>66</v>
      </c>
      <c r="O10" s="28"/>
      <c r="P10" s="28"/>
    </row>
    <row r="11" spans="1:16" x14ac:dyDescent="0.25">
      <c r="A11" s="26">
        <v>0.2986111111111111</v>
      </c>
      <c r="B11" s="45">
        <v>1</v>
      </c>
      <c r="C11" t="e">
        <f t="shared" ca="1" si="0"/>
        <v>#N/A</v>
      </c>
      <c r="D11" t="e">
        <f t="shared" ca="1" si="1"/>
        <v>#N/A</v>
      </c>
      <c r="E11" t="str">
        <f t="shared" si="2"/>
        <v/>
      </c>
      <c r="F11" t="str">
        <f t="shared" si="3"/>
        <v/>
      </c>
    </row>
    <row r="12" spans="1:16" x14ac:dyDescent="0.25">
      <c r="A12" s="26">
        <v>0.30208333333333331</v>
      </c>
      <c r="B12" s="45">
        <v>1</v>
      </c>
      <c r="C12" t="e">
        <f t="shared" ca="1" si="0"/>
        <v>#N/A</v>
      </c>
      <c r="D12" t="e">
        <f t="shared" ca="1" si="1"/>
        <v>#N/A</v>
      </c>
      <c r="E12" t="str">
        <f t="shared" si="2"/>
        <v/>
      </c>
      <c r="F12" t="str">
        <f t="shared" si="3"/>
        <v/>
      </c>
    </row>
    <row r="13" spans="1:16" x14ac:dyDescent="0.25">
      <c r="A13" s="26">
        <v>0.30555555555555552</v>
      </c>
      <c r="B13" s="45">
        <v>1</v>
      </c>
      <c r="C13" t="e">
        <f t="shared" ref="C13:C73" ca="1" si="4">$C$7</f>
        <v>#N/A</v>
      </c>
      <c r="D13" t="e">
        <f t="shared" ref="D13:D73" ca="1" si="5">$D$7</f>
        <v>#N/A</v>
      </c>
      <c r="E13" t="str">
        <f t="shared" si="2"/>
        <v/>
      </c>
      <c r="F13" t="str">
        <f t="shared" si="3"/>
        <v/>
      </c>
    </row>
    <row r="14" spans="1:16" x14ac:dyDescent="0.25">
      <c r="A14" s="26">
        <v>0.30902777777777779</v>
      </c>
      <c r="B14" s="45">
        <v>1</v>
      </c>
      <c r="C14" t="e">
        <f t="shared" ca="1" si="4"/>
        <v>#N/A</v>
      </c>
      <c r="D14" t="e">
        <f t="shared" ca="1" si="5"/>
        <v>#N/A</v>
      </c>
      <c r="E14" t="str">
        <f t="shared" si="2"/>
        <v/>
      </c>
      <c r="F14" t="str">
        <f t="shared" si="3"/>
        <v/>
      </c>
    </row>
    <row r="15" spans="1:16" x14ac:dyDescent="0.25">
      <c r="A15" s="26">
        <v>0.3125</v>
      </c>
      <c r="B15" s="45">
        <v>0</v>
      </c>
      <c r="C15" t="e">
        <f t="shared" ca="1" si="4"/>
        <v>#N/A</v>
      </c>
      <c r="D15" t="e">
        <f t="shared" ca="1" si="5"/>
        <v>#N/A</v>
      </c>
      <c r="E15" t="str">
        <f t="shared" si="2"/>
        <v/>
      </c>
      <c r="F15" t="str">
        <f t="shared" si="3"/>
        <v/>
      </c>
    </row>
    <row r="16" spans="1:16" x14ac:dyDescent="0.25">
      <c r="A16" s="26">
        <v>0.31597222222222221</v>
      </c>
      <c r="B16" s="45">
        <v>0</v>
      </c>
      <c r="C16" t="e">
        <f t="shared" ca="1" si="4"/>
        <v>#N/A</v>
      </c>
      <c r="D16" t="e">
        <f t="shared" ca="1" si="5"/>
        <v>#N/A</v>
      </c>
      <c r="E16" t="str">
        <f t="shared" si="2"/>
        <v/>
      </c>
      <c r="F16" t="str">
        <f t="shared" si="3"/>
        <v/>
      </c>
    </row>
    <row r="17" spans="1:6" x14ac:dyDescent="0.25">
      <c r="A17" s="26">
        <v>0.31944444444444448</v>
      </c>
      <c r="B17" s="45">
        <v>1</v>
      </c>
      <c r="C17" t="e">
        <f t="shared" ca="1" si="4"/>
        <v>#N/A</v>
      </c>
      <c r="D17" t="e">
        <f t="shared" ca="1" si="5"/>
        <v>#N/A</v>
      </c>
      <c r="E17" t="str">
        <f t="shared" si="2"/>
        <v/>
      </c>
      <c r="F17" t="str">
        <f t="shared" si="3"/>
        <v/>
      </c>
    </row>
    <row r="18" spans="1:6" x14ac:dyDescent="0.25">
      <c r="A18" s="26">
        <v>0.32291666666666669</v>
      </c>
      <c r="B18" s="45">
        <v>0</v>
      </c>
      <c r="C18" t="e">
        <f t="shared" ca="1" si="4"/>
        <v>#N/A</v>
      </c>
      <c r="D18" t="e">
        <f t="shared" ca="1" si="5"/>
        <v>#N/A</v>
      </c>
      <c r="E18" t="str">
        <f t="shared" si="2"/>
        <v/>
      </c>
      <c r="F18" t="str">
        <f t="shared" si="3"/>
        <v/>
      </c>
    </row>
    <row r="19" spans="1:6" x14ac:dyDescent="0.25">
      <c r="A19" s="26">
        <v>0.3263888888888889</v>
      </c>
      <c r="B19" s="45">
        <v>1</v>
      </c>
      <c r="C19" t="e">
        <f t="shared" ca="1" si="4"/>
        <v>#N/A</v>
      </c>
      <c r="D19" t="e">
        <f t="shared" ca="1" si="5"/>
        <v>#N/A</v>
      </c>
      <c r="E19" t="str">
        <f t="shared" si="2"/>
        <v/>
      </c>
      <c r="F19" t="str">
        <f t="shared" si="3"/>
        <v/>
      </c>
    </row>
    <row r="20" spans="1:6" x14ac:dyDescent="0.25">
      <c r="A20" s="26">
        <v>0.3298611111111111</v>
      </c>
      <c r="B20" s="45">
        <v>0</v>
      </c>
      <c r="C20" t="e">
        <f t="shared" ca="1" si="4"/>
        <v>#N/A</v>
      </c>
      <c r="D20" t="e">
        <f t="shared" ca="1" si="5"/>
        <v>#N/A</v>
      </c>
      <c r="E20" t="str">
        <f t="shared" si="2"/>
        <v/>
      </c>
      <c r="F20" t="str">
        <f t="shared" si="3"/>
        <v/>
      </c>
    </row>
    <row r="21" spans="1:6" x14ac:dyDescent="0.25">
      <c r="A21" s="26">
        <v>0.33333333333333331</v>
      </c>
      <c r="B21" s="45">
        <v>2</v>
      </c>
      <c r="C21" t="e">
        <f t="shared" ca="1" si="4"/>
        <v>#N/A</v>
      </c>
      <c r="D21" t="e">
        <f t="shared" ca="1" si="5"/>
        <v>#N/A</v>
      </c>
      <c r="E21" t="str">
        <f t="shared" si="2"/>
        <v/>
      </c>
      <c r="F21" t="str">
        <f t="shared" si="3"/>
        <v/>
      </c>
    </row>
    <row r="22" spans="1:6" x14ac:dyDescent="0.25">
      <c r="A22" s="26">
        <v>0.33680555555555558</v>
      </c>
      <c r="B22" s="45">
        <v>2</v>
      </c>
      <c r="C22" t="e">
        <f t="shared" ca="1" si="4"/>
        <v>#N/A</v>
      </c>
      <c r="D22" t="e">
        <f t="shared" ca="1" si="5"/>
        <v>#N/A</v>
      </c>
      <c r="E22" t="str">
        <f t="shared" si="2"/>
        <v/>
      </c>
      <c r="F22" t="str">
        <f t="shared" si="3"/>
        <v/>
      </c>
    </row>
    <row r="23" spans="1:6" x14ac:dyDescent="0.25">
      <c r="A23" s="26">
        <v>0.34027777777777773</v>
      </c>
      <c r="B23" s="45">
        <v>1</v>
      </c>
      <c r="C23" t="e">
        <f t="shared" ca="1" si="4"/>
        <v>#N/A</v>
      </c>
      <c r="D23" t="e">
        <f t="shared" ca="1" si="5"/>
        <v>#N/A</v>
      </c>
      <c r="E23" t="str">
        <f t="shared" si="2"/>
        <v/>
      </c>
      <c r="F23" t="str">
        <f t="shared" si="3"/>
        <v/>
      </c>
    </row>
    <row r="24" spans="1:6" x14ac:dyDescent="0.25">
      <c r="A24" s="26">
        <v>0.34375</v>
      </c>
      <c r="B24" s="45">
        <v>1</v>
      </c>
      <c r="C24" t="e">
        <f t="shared" ca="1" si="4"/>
        <v>#N/A</v>
      </c>
      <c r="D24" t="e">
        <f t="shared" ca="1" si="5"/>
        <v>#N/A</v>
      </c>
      <c r="E24" t="str">
        <f t="shared" si="2"/>
        <v/>
      </c>
      <c r="F24" t="str">
        <f t="shared" si="3"/>
        <v/>
      </c>
    </row>
    <row r="25" spans="1:6" x14ac:dyDescent="0.25">
      <c r="A25" s="26">
        <v>0.34722222222222227</v>
      </c>
      <c r="B25" s="45">
        <v>2</v>
      </c>
      <c r="C25" t="e">
        <f t="shared" ca="1" si="4"/>
        <v>#N/A</v>
      </c>
      <c r="D25" t="e">
        <f t="shared" ca="1" si="5"/>
        <v>#N/A</v>
      </c>
      <c r="E25" t="str">
        <f t="shared" si="2"/>
        <v/>
      </c>
      <c r="F25" t="str">
        <f t="shared" si="3"/>
        <v/>
      </c>
    </row>
    <row r="26" spans="1:6" x14ac:dyDescent="0.25">
      <c r="A26" s="26">
        <v>0.35069444444444442</v>
      </c>
      <c r="B26" s="45">
        <v>2</v>
      </c>
      <c r="C26" t="e">
        <f t="shared" ca="1" si="4"/>
        <v>#N/A</v>
      </c>
      <c r="D26" t="e">
        <f t="shared" ca="1" si="5"/>
        <v>#N/A</v>
      </c>
      <c r="E26" t="str">
        <f t="shared" si="2"/>
        <v/>
      </c>
      <c r="F26" t="str">
        <f t="shared" si="3"/>
        <v/>
      </c>
    </row>
    <row r="27" spans="1:6" x14ac:dyDescent="0.25">
      <c r="A27" s="26">
        <v>0.35416666666666669</v>
      </c>
      <c r="B27" s="45">
        <v>3</v>
      </c>
      <c r="C27" t="e">
        <f t="shared" ca="1" si="4"/>
        <v>#N/A</v>
      </c>
      <c r="D27" t="e">
        <f t="shared" ca="1" si="5"/>
        <v>#N/A</v>
      </c>
      <c r="E27" t="str">
        <f t="shared" si="2"/>
        <v/>
      </c>
      <c r="F27" t="str">
        <f t="shared" si="3"/>
        <v/>
      </c>
    </row>
    <row r="28" spans="1:6" x14ac:dyDescent="0.25">
      <c r="A28" s="26">
        <v>0.3576388888888889</v>
      </c>
      <c r="B28" s="45">
        <v>5</v>
      </c>
      <c r="C28" t="e">
        <f t="shared" ca="1" si="4"/>
        <v>#N/A</v>
      </c>
      <c r="D28" t="e">
        <f t="shared" ca="1" si="5"/>
        <v>#N/A</v>
      </c>
      <c r="E28" t="str">
        <f t="shared" si="2"/>
        <v/>
      </c>
      <c r="F28" t="str">
        <f t="shared" si="3"/>
        <v/>
      </c>
    </row>
    <row r="29" spans="1:6" x14ac:dyDescent="0.25">
      <c r="A29" s="26">
        <v>0.3611111111111111</v>
      </c>
      <c r="B29" s="45">
        <v>1</v>
      </c>
      <c r="C29" t="e">
        <f t="shared" ca="1" si="4"/>
        <v>#N/A</v>
      </c>
      <c r="D29" t="e">
        <f t="shared" ca="1" si="5"/>
        <v>#N/A</v>
      </c>
      <c r="E29" t="str">
        <f t="shared" si="2"/>
        <v/>
      </c>
      <c r="F29" t="str">
        <f t="shared" si="3"/>
        <v/>
      </c>
    </row>
    <row r="30" spans="1:6" x14ac:dyDescent="0.25">
      <c r="A30" s="26">
        <v>0.36458333333333331</v>
      </c>
      <c r="B30" s="45">
        <v>2</v>
      </c>
      <c r="C30" t="e">
        <f t="shared" ca="1" si="4"/>
        <v>#N/A</v>
      </c>
      <c r="D30" t="e">
        <f t="shared" ca="1" si="5"/>
        <v>#N/A</v>
      </c>
      <c r="E30" t="str">
        <f t="shared" si="2"/>
        <v/>
      </c>
      <c r="F30" t="str">
        <f t="shared" si="3"/>
        <v/>
      </c>
    </row>
    <row r="31" spans="1:6" x14ac:dyDescent="0.25">
      <c r="A31" s="26">
        <v>0.36805555555555558</v>
      </c>
      <c r="B31" s="45">
        <v>1</v>
      </c>
      <c r="C31" t="e">
        <f t="shared" ca="1" si="4"/>
        <v>#N/A</v>
      </c>
      <c r="D31" t="e">
        <f t="shared" ca="1" si="5"/>
        <v>#N/A</v>
      </c>
      <c r="E31" t="str">
        <f t="shared" si="2"/>
        <v/>
      </c>
      <c r="F31" t="str">
        <f t="shared" si="3"/>
        <v/>
      </c>
    </row>
    <row r="32" spans="1:6" x14ac:dyDescent="0.25">
      <c r="A32" s="26">
        <v>0.37152777777777773</v>
      </c>
      <c r="B32" s="45">
        <v>1</v>
      </c>
      <c r="C32" t="e">
        <f t="shared" ca="1" si="4"/>
        <v>#N/A</v>
      </c>
      <c r="D32" t="e">
        <f t="shared" ca="1" si="5"/>
        <v>#N/A</v>
      </c>
      <c r="E32" t="e">
        <f t="shared" ca="1" si="2"/>
        <v>#N/A</v>
      </c>
      <c r="F32" t="e">
        <f t="shared" ca="1" si="3"/>
        <v>#N/A</v>
      </c>
    </row>
    <row r="33" spans="3:6" x14ac:dyDescent="0.25">
      <c r="C33" t="e">
        <f t="shared" ca="1" si="4"/>
        <v>#N/A</v>
      </c>
      <c r="D33" t="e">
        <f t="shared" ca="1" si="5"/>
        <v>#N/A</v>
      </c>
      <c r="E33" t="e">
        <f t="shared" ca="1" si="2"/>
        <v>#N/A</v>
      </c>
      <c r="F33" t="e">
        <f t="shared" ca="1" si="3"/>
        <v>#N/A</v>
      </c>
    </row>
    <row r="34" spans="3:6" x14ac:dyDescent="0.25">
      <c r="C34" t="e">
        <f t="shared" ca="1" si="4"/>
        <v>#N/A</v>
      </c>
      <c r="D34" t="e">
        <f t="shared" ca="1" si="5"/>
        <v>#N/A</v>
      </c>
      <c r="E34" t="e">
        <f t="shared" ca="1" si="2"/>
        <v>#N/A</v>
      </c>
      <c r="F34" t="e">
        <f t="shared" ca="1" si="3"/>
        <v>#N/A</v>
      </c>
    </row>
    <row r="35" spans="3:6" x14ac:dyDescent="0.25">
      <c r="C35" t="e">
        <f t="shared" ca="1" si="4"/>
        <v>#N/A</v>
      </c>
      <c r="D35" t="e">
        <f t="shared" ca="1" si="5"/>
        <v>#N/A</v>
      </c>
      <c r="E35" t="e">
        <f t="shared" ca="1" si="2"/>
        <v>#N/A</v>
      </c>
      <c r="F35" t="e">
        <f t="shared" ca="1" si="3"/>
        <v>#N/A</v>
      </c>
    </row>
    <row r="36" spans="3:6" x14ac:dyDescent="0.25">
      <c r="C36" t="e">
        <f t="shared" ca="1" si="4"/>
        <v>#N/A</v>
      </c>
      <c r="D36" t="e">
        <f t="shared" ca="1" si="5"/>
        <v>#N/A</v>
      </c>
      <c r="E36" t="e">
        <f t="shared" ca="1" si="2"/>
        <v>#N/A</v>
      </c>
      <c r="F36" t="e">
        <f t="shared" ca="1" si="3"/>
        <v>#N/A</v>
      </c>
    </row>
    <row r="37" spans="3:6" x14ac:dyDescent="0.25">
      <c r="C37" t="e">
        <f t="shared" ca="1" si="4"/>
        <v>#N/A</v>
      </c>
      <c r="D37" t="e">
        <f t="shared" ca="1" si="5"/>
        <v>#N/A</v>
      </c>
      <c r="E37" t="e">
        <f t="shared" ca="1" si="2"/>
        <v>#N/A</v>
      </c>
      <c r="F37" t="e">
        <f t="shared" ca="1" si="3"/>
        <v>#N/A</v>
      </c>
    </row>
    <row r="38" spans="3:6" x14ac:dyDescent="0.25">
      <c r="C38" t="e">
        <f t="shared" ca="1" si="4"/>
        <v>#N/A</v>
      </c>
      <c r="D38" t="e">
        <f t="shared" ca="1" si="5"/>
        <v>#N/A</v>
      </c>
      <c r="E38" t="e">
        <f t="shared" ca="1" si="2"/>
        <v>#N/A</v>
      </c>
      <c r="F38" t="e">
        <f t="shared" ca="1" si="3"/>
        <v>#N/A</v>
      </c>
    </row>
    <row r="39" spans="3:6" x14ac:dyDescent="0.25">
      <c r="C39" t="e">
        <f t="shared" ca="1" si="4"/>
        <v>#N/A</v>
      </c>
      <c r="D39" t="e">
        <f t="shared" ca="1" si="5"/>
        <v>#N/A</v>
      </c>
      <c r="E39" t="e">
        <f t="shared" ca="1" si="2"/>
        <v>#N/A</v>
      </c>
      <c r="F39" t="e">
        <f t="shared" ca="1" si="3"/>
        <v>#N/A</v>
      </c>
    </row>
    <row r="40" spans="3:6" x14ac:dyDescent="0.25">
      <c r="C40" t="e">
        <f t="shared" ca="1" si="4"/>
        <v>#N/A</v>
      </c>
      <c r="D40" t="e">
        <f t="shared" ca="1" si="5"/>
        <v>#N/A</v>
      </c>
      <c r="E40" t="e">
        <f t="shared" ca="1" si="2"/>
        <v>#N/A</v>
      </c>
      <c r="F40" t="e">
        <f t="shared" ca="1" si="3"/>
        <v>#N/A</v>
      </c>
    </row>
    <row r="41" spans="3:6" x14ac:dyDescent="0.25">
      <c r="C41" t="e">
        <f t="shared" ca="1" si="4"/>
        <v>#N/A</v>
      </c>
      <c r="D41" t="e">
        <f t="shared" ca="1" si="5"/>
        <v>#N/A</v>
      </c>
      <c r="E41" t="e">
        <f t="shared" ca="1" si="2"/>
        <v>#N/A</v>
      </c>
      <c r="F41" t="e">
        <f t="shared" ca="1" si="3"/>
        <v>#N/A</v>
      </c>
    </row>
    <row r="42" spans="3:6" x14ac:dyDescent="0.25">
      <c r="C42" t="e">
        <f t="shared" ca="1" si="4"/>
        <v>#N/A</v>
      </c>
      <c r="D42" t="e">
        <f t="shared" ca="1" si="5"/>
        <v>#N/A</v>
      </c>
      <c r="E42" t="e">
        <f t="shared" ca="1" si="2"/>
        <v>#N/A</v>
      </c>
      <c r="F42" t="e">
        <f t="shared" ca="1" si="3"/>
        <v>#N/A</v>
      </c>
    </row>
    <row r="43" spans="3:6" x14ac:dyDescent="0.25">
      <c r="C43" t="e">
        <f t="shared" ca="1" si="4"/>
        <v>#N/A</v>
      </c>
      <c r="D43" t="e">
        <f t="shared" ca="1" si="5"/>
        <v>#N/A</v>
      </c>
      <c r="E43" t="e">
        <f t="shared" ca="1" si="2"/>
        <v>#N/A</v>
      </c>
      <c r="F43" t="e">
        <f t="shared" ca="1" si="3"/>
        <v>#N/A</v>
      </c>
    </row>
    <row r="44" spans="3:6" x14ac:dyDescent="0.25">
      <c r="C44" t="e">
        <f t="shared" ca="1" si="4"/>
        <v>#N/A</v>
      </c>
      <c r="D44" t="e">
        <f t="shared" ca="1" si="5"/>
        <v>#N/A</v>
      </c>
      <c r="E44" t="e">
        <f t="shared" ca="1" si="2"/>
        <v>#N/A</v>
      </c>
      <c r="F44" t="e">
        <f t="shared" ca="1" si="3"/>
        <v>#N/A</v>
      </c>
    </row>
    <row r="45" spans="3:6" x14ac:dyDescent="0.25">
      <c r="C45" t="e">
        <f t="shared" ca="1" si="4"/>
        <v>#N/A</v>
      </c>
      <c r="D45" t="e">
        <f t="shared" ca="1" si="5"/>
        <v>#N/A</v>
      </c>
      <c r="E45" t="e">
        <f t="shared" ca="1" si="2"/>
        <v>#N/A</v>
      </c>
      <c r="F45" t="e">
        <f t="shared" ca="1" si="3"/>
        <v>#N/A</v>
      </c>
    </row>
    <row r="46" spans="3:6" x14ac:dyDescent="0.25">
      <c r="C46" t="e">
        <f t="shared" ca="1" si="4"/>
        <v>#N/A</v>
      </c>
      <c r="D46" t="e">
        <f t="shared" ca="1" si="5"/>
        <v>#N/A</v>
      </c>
      <c r="E46" t="e">
        <f t="shared" ca="1" si="2"/>
        <v>#N/A</v>
      </c>
      <c r="F46" t="e">
        <f t="shared" ca="1" si="3"/>
        <v>#N/A</v>
      </c>
    </row>
    <row r="47" spans="3:6" x14ac:dyDescent="0.25">
      <c r="C47" t="e">
        <f t="shared" ca="1" si="4"/>
        <v>#N/A</v>
      </c>
      <c r="D47" t="e">
        <f t="shared" ca="1" si="5"/>
        <v>#N/A</v>
      </c>
      <c r="E47" t="e">
        <f t="shared" ca="1" si="2"/>
        <v>#N/A</v>
      </c>
      <c r="F47" t="e">
        <f t="shared" ca="1" si="3"/>
        <v>#N/A</v>
      </c>
    </row>
    <row r="48" spans="3:6" x14ac:dyDescent="0.25">
      <c r="C48" t="e">
        <f t="shared" ca="1" si="4"/>
        <v>#N/A</v>
      </c>
      <c r="D48" t="e">
        <f t="shared" ca="1" si="5"/>
        <v>#N/A</v>
      </c>
      <c r="E48" t="e">
        <f t="shared" ca="1" si="2"/>
        <v>#N/A</v>
      </c>
      <c r="F48" t="e">
        <f t="shared" ca="1" si="3"/>
        <v>#N/A</v>
      </c>
    </row>
    <row r="49" spans="3:6" x14ac:dyDescent="0.25">
      <c r="C49" t="e">
        <f t="shared" ca="1" si="4"/>
        <v>#N/A</v>
      </c>
      <c r="D49" t="e">
        <f t="shared" ca="1" si="5"/>
        <v>#N/A</v>
      </c>
      <c r="E49" t="e">
        <f t="shared" ca="1" si="2"/>
        <v>#N/A</v>
      </c>
      <c r="F49" t="e">
        <f t="shared" ca="1" si="3"/>
        <v>#N/A</v>
      </c>
    </row>
    <row r="50" spans="3:6" x14ac:dyDescent="0.25">
      <c r="C50" t="e">
        <f t="shared" ca="1" si="4"/>
        <v>#N/A</v>
      </c>
      <c r="D50" t="e">
        <f t="shared" ca="1" si="5"/>
        <v>#N/A</v>
      </c>
      <c r="E50" t="e">
        <f t="shared" ca="1" si="2"/>
        <v>#N/A</v>
      </c>
      <c r="F50" t="e">
        <f t="shared" ca="1" si="3"/>
        <v>#N/A</v>
      </c>
    </row>
    <row r="51" spans="3:6" x14ac:dyDescent="0.25">
      <c r="C51" t="e">
        <f t="shared" ca="1" si="4"/>
        <v>#N/A</v>
      </c>
      <c r="D51" t="e">
        <f t="shared" ca="1" si="5"/>
        <v>#N/A</v>
      </c>
      <c r="E51" t="e">
        <f t="shared" ca="1" si="2"/>
        <v>#N/A</v>
      </c>
      <c r="F51" t="e">
        <f t="shared" ca="1" si="3"/>
        <v>#N/A</v>
      </c>
    </row>
    <row r="52" spans="3:6" x14ac:dyDescent="0.25">
      <c r="C52" t="e">
        <f t="shared" ca="1" si="4"/>
        <v>#N/A</v>
      </c>
      <c r="D52" t="e">
        <f t="shared" ca="1" si="5"/>
        <v>#N/A</v>
      </c>
      <c r="E52" t="e">
        <f t="shared" ca="1" si="2"/>
        <v>#N/A</v>
      </c>
      <c r="F52" t="e">
        <f t="shared" ca="1" si="3"/>
        <v>#N/A</v>
      </c>
    </row>
    <row r="53" spans="3:6" x14ac:dyDescent="0.25">
      <c r="C53" t="e">
        <f t="shared" ca="1" si="4"/>
        <v>#N/A</v>
      </c>
      <c r="D53" t="e">
        <f t="shared" ca="1" si="5"/>
        <v>#N/A</v>
      </c>
      <c r="E53" t="e">
        <f t="shared" ca="1" si="2"/>
        <v>#N/A</v>
      </c>
      <c r="F53" t="e">
        <f t="shared" ca="1" si="3"/>
        <v>#N/A</v>
      </c>
    </row>
    <row r="54" spans="3:6" x14ac:dyDescent="0.25">
      <c r="C54" t="e">
        <f t="shared" ca="1" si="4"/>
        <v>#N/A</v>
      </c>
      <c r="D54" t="e">
        <f t="shared" ca="1" si="5"/>
        <v>#N/A</v>
      </c>
      <c r="E54" t="e">
        <f t="shared" ca="1" si="2"/>
        <v>#N/A</v>
      </c>
      <c r="F54" t="e">
        <f t="shared" ca="1" si="3"/>
        <v>#N/A</v>
      </c>
    </row>
    <row r="55" spans="3:6" x14ac:dyDescent="0.25">
      <c r="C55" t="e">
        <f t="shared" ca="1" si="4"/>
        <v>#N/A</v>
      </c>
      <c r="D55" t="e">
        <f t="shared" ca="1" si="5"/>
        <v>#N/A</v>
      </c>
      <c r="E55" t="e">
        <f t="shared" ca="1" si="2"/>
        <v>#N/A</v>
      </c>
      <c r="F55" t="e">
        <f t="shared" ca="1" si="3"/>
        <v>#N/A</v>
      </c>
    </row>
    <row r="56" spans="3:6" x14ac:dyDescent="0.25">
      <c r="C56" t="e">
        <f t="shared" ca="1" si="4"/>
        <v>#N/A</v>
      </c>
      <c r="D56" t="e">
        <f t="shared" ca="1" si="5"/>
        <v>#N/A</v>
      </c>
      <c r="E56" t="e">
        <f t="shared" ca="1" si="2"/>
        <v>#N/A</v>
      </c>
      <c r="F56" t="e">
        <f t="shared" ca="1" si="3"/>
        <v>#N/A</v>
      </c>
    </row>
    <row r="57" spans="3:6" x14ac:dyDescent="0.25">
      <c r="C57" t="e">
        <f t="shared" ca="1" si="4"/>
        <v>#N/A</v>
      </c>
      <c r="D57" t="e">
        <f t="shared" ca="1" si="5"/>
        <v>#N/A</v>
      </c>
      <c r="E57" t="e">
        <f t="shared" ca="1" si="2"/>
        <v>#N/A</v>
      </c>
      <c r="F57" t="e">
        <f t="shared" ca="1" si="3"/>
        <v>#N/A</v>
      </c>
    </row>
    <row r="58" spans="3:6" x14ac:dyDescent="0.25">
      <c r="C58" t="e">
        <f t="shared" ca="1" si="4"/>
        <v>#N/A</v>
      </c>
      <c r="D58" t="e">
        <f t="shared" ca="1" si="5"/>
        <v>#N/A</v>
      </c>
      <c r="E58" t="e">
        <f t="shared" ca="1" si="2"/>
        <v>#N/A</v>
      </c>
      <c r="F58" t="e">
        <f t="shared" ca="1" si="3"/>
        <v>#N/A</v>
      </c>
    </row>
    <row r="59" spans="3:6" x14ac:dyDescent="0.25">
      <c r="C59" t="e">
        <f t="shared" ca="1" si="4"/>
        <v>#N/A</v>
      </c>
      <c r="D59" t="e">
        <f t="shared" ca="1" si="5"/>
        <v>#N/A</v>
      </c>
      <c r="E59" t="e">
        <f t="shared" ca="1" si="2"/>
        <v>#N/A</v>
      </c>
      <c r="F59" t="e">
        <f t="shared" ca="1" si="3"/>
        <v>#N/A</v>
      </c>
    </row>
    <row r="60" spans="3:6" x14ac:dyDescent="0.25">
      <c r="C60" t="e">
        <f t="shared" ca="1" si="4"/>
        <v>#N/A</v>
      </c>
      <c r="D60" t="e">
        <f t="shared" ca="1" si="5"/>
        <v>#N/A</v>
      </c>
      <c r="E60" t="e">
        <f t="shared" ca="1" si="2"/>
        <v>#N/A</v>
      </c>
      <c r="F60" t="e">
        <f t="shared" ca="1" si="3"/>
        <v>#N/A</v>
      </c>
    </row>
    <row r="61" spans="3:6" x14ac:dyDescent="0.25">
      <c r="C61" t="e">
        <f t="shared" ca="1" si="4"/>
        <v>#N/A</v>
      </c>
      <c r="D61" t="e">
        <f t="shared" ca="1" si="5"/>
        <v>#N/A</v>
      </c>
      <c r="E61" t="e">
        <f t="shared" ca="1" si="2"/>
        <v>#N/A</v>
      </c>
      <c r="F61" t="e">
        <f t="shared" ca="1" si="3"/>
        <v>#N/A</v>
      </c>
    </row>
    <row r="62" spans="3:6" x14ac:dyDescent="0.25">
      <c r="C62" t="e">
        <f t="shared" ca="1" si="4"/>
        <v>#N/A</v>
      </c>
      <c r="D62" t="e">
        <f t="shared" ca="1" si="5"/>
        <v>#N/A</v>
      </c>
      <c r="E62" t="e">
        <f t="shared" ca="1" si="2"/>
        <v>#N/A</v>
      </c>
      <c r="F62" t="e">
        <f t="shared" ca="1" si="3"/>
        <v>#N/A</v>
      </c>
    </row>
    <row r="63" spans="3:6" x14ac:dyDescent="0.25">
      <c r="C63" t="e">
        <f t="shared" ca="1" si="4"/>
        <v>#N/A</v>
      </c>
      <c r="D63" t="e">
        <f t="shared" ca="1" si="5"/>
        <v>#N/A</v>
      </c>
      <c r="E63" t="e">
        <f t="shared" ca="1" si="2"/>
        <v>#N/A</v>
      </c>
      <c r="F63" t="e">
        <f t="shared" ca="1" si="3"/>
        <v>#N/A</v>
      </c>
    </row>
    <row r="64" spans="3:6" x14ac:dyDescent="0.25">
      <c r="C64" t="e">
        <f t="shared" ca="1" si="4"/>
        <v>#N/A</v>
      </c>
      <c r="D64" t="e">
        <f t="shared" ca="1" si="5"/>
        <v>#N/A</v>
      </c>
      <c r="E64" t="e">
        <f t="shared" ca="1" si="2"/>
        <v>#N/A</v>
      </c>
      <c r="F64" t="e">
        <f t="shared" ca="1" si="3"/>
        <v>#N/A</v>
      </c>
    </row>
    <row r="65" spans="3:6" x14ac:dyDescent="0.25">
      <c r="C65" t="e">
        <f t="shared" ca="1" si="4"/>
        <v>#N/A</v>
      </c>
      <c r="D65" t="e">
        <f t="shared" ca="1" si="5"/>
        <v>#N/A</v>
      </c>
      <c r="E65" t="e">
        <f t="shared" ca="1" si="2"/>
        <v>#N/A</v>
      </c>
      <c r="F65" t="e">
        <f t="shared" ca="1" si="3"/>
        <v>#N/A</v>
      </c>
    </row>
    <row r="66" spans="3:6" x14ac:dyDescent="0.25">
      <c r="C66" t="e">
        <f t="shared" ca="1" si="4"/>
        <v>#N/A</v>
      </c>
      <c r="D66" t="e">
        <f t="shared" ca="1" si="5"/>
        <v>#N/A</v>
      </c>
      <c r="E66" t="e">
        <f t="shared" ca="1" si="2"/>
        <v>#N/A</v>
      </c>
      <c r="F66" t="e">
        <f t="shared" ca="1" si="3"/>
        <v>#N/A</v>
      </c>
    </row>
    <row r="67" spans="3:6" x14ac:dyDescent="0.25">
      <c r="C67" t="e">
        <f t="shared" ca="1" si="4"/>
        <v>#N/A</v>
      </c>
      <c r="D67" t="e">
        <f t="shared" ca="1" si="5"/>
        <v>#N/A</v>
      </c>
      <c r="E67" t="e">
        <f t="shared" ca="1" si="2"/>
        <v>#N/A</v>
      </c>
      <c r="F67" t="e">
        <f t="shared" ca="1" si="3"/>
        <v>#N/A</v>
      </c>
    </row>
    <row r="68" spans="3:6" x14ac:dyDescent="0.25">
      <c r="C68" t="e">
        <f t="shared" ca="1" si="4"/>
        <v>#N/A</v>
      </c>
      <c r="D68" t="e">
        <f t="shared" ca="1" si="5"/>
        <v>#N/A</v>
      </c>
      <c r="E68" t="e">
        <f t="shared" ca="1" si="2"/>
        <v>#N/A</v>
      </c>
      <c r="F68" t="e">
        <f t="shared" ca="1" si="3"/>
        <v>#N/A</v>
      </c>
    </row>
    <row r="69" spans="3:6" x14ac:dyDescent="0.25">
      <c r="C69" t="e">
        <f t="shared" ca="1" si="4"/>
        <v>#N/A</v>
      </c>
      <c r="D69" t="e">
        <f t="shared" ca="1" si="5"/>
        <v>#N/A</v>
      </c>
      <c r="E69" t="e">
        <f t="shared" ca="1" si="2"/>
        <v>#N/A</v>
      </c>
      <c r="F69" t="e">
        <f t="shared" ca="1" si="3"/>
        <v>#N/A</v>
      </c>
    </row>
    <row r="70" spans="3:6" x14ac:dyDescent="0.25">
      <c r="C70" t="e">
        <f t="shared" ca="1" si="4"/>
        <v>#N/A</v>
      </c>
      <c r="D70" t="e">
        <f t="shared" ca="1" si="5"/>
        <v>#N/A</v>
      </c>
      <c r="E70" t="e">
        <f t="shared" ca="1" si="2"/>
        <v>#N/A</v>
      </c>
      <c r="F70" t="e">
        <f t="shared" ca="1" si="3"/>
        <v>#N/A</v>
      </c>
    </row>
    <row r="71" spans="3:6" x14ac:dyDescent="0.25">
      <c r="C71" t="e">
        <f t="shared" ca="1" si="4"/>
        <v>#N/A</v>
      </c>
      <c r="D71" t="e">
        <f t="shared" ca="1" si="5"/>
        <v>#N/A</v>
      </c>
      <c r="E71" t="e">
        <f t="shared" ca="1" si="2"/>
        <v>#N/A</v>
      </c>
      <c r="F71" t="e">
        <f t="shared" ca="1" si="3"/>
        <v>#N/A</v>
      </c>
    </row>
    <row r="72" spans="3:6" x14ac:dyDescent="0.25">
      <c r="C72" t="e">
        <f t="shared" ca="1" si="4"/>
        <v>#N/A</v>
      </c>
      <c r="D72" t="e">
        <f t="shared" ca="1" si="5"/>
        <v>#N/A</v>
      </c>
      <c r="E72" t="e">
        <f t="shared" ca="1" si="2"/>
        <v>#N/A</v>
      </c>
      <c r="F72" t="e">
        <f t="shared" ca="1" si="3"/>
        <v>#N/A</v>
      </c>
    </row>
    <row r="73" spans="3:6" x14ac:dyDescent="0.25">
      <c r="C73" t="e">
        <f t="shared" ca="1" si="4"/>
        <v>#N/A</v>
      </c>
      <c r="D73" t="e">
        <f t="shared" ca="1" si="5"/>
        <v>#N/A</v>
      </c>
      <c r="E73" t="e">
        <f t="shared" ca="1" si="2"/>
        <v>#N/A</v>
      </c>
      <c r="F73" t="e">
        <f t="shared" ca="1" si="3"/>
        <v>#N/A</v>
      </c>
    </row>
    <row r="74" spans="3:6" x14ac:dyDescent="0.25">
      <c r="C74" t="e">
        <f t="shared" ref="C74:C137" ca="1" si="6">$C$7</f>
        <v>#N/A</v>
      </c>
      <c r="D74" t="e">
        <f t="shared" ref="D74:D137" ca="1" si="7">$D$7</f>
        <v>#N/A</v>
      </c>
      <c r="E74" t="e">
        <f t="shared" ref="E74:E137" ca="1" si="8">IF($B75="",C$8,"")</f>
        <v>#N/A</v>
      </c>
      <c r="F74" t="e">
        <f t="shared" ref="F74:F137" ca="1" si="9">IF($B75="",D$8,"")</f>
        <v>#N/A</v>
      </c>
    </row>
    <row r="75" spans="3:6" x14ac:dyDescent="0.25">
      <c r="C75" t="e">
        <f t="shared" ca="1" si="6"/>
        <v>#N/A</v>
      </c>
      <c r="D75" t="e">
        <f t="shared" ca="1" si="7"/>
        <v>#N/A</v>
      </c>
      <c r="E75" t="e">
        <f t="shared" ca="1" si="8"/>
        <v>#N/A</v>
      </c>
      <c r="F75" t="e">
        <f t="shared" ca="1" si="9"/>
        <v>#N/A</v>
      </c>
    </row>
    <row r="76" spans="3:6" x14ac:dyDescent="0.25">
      <c r="C76" t="e">
        <f t="shared" ca="1" si="6"/>
        <v>#N/A</v>
      </c>
      <c r="D76" t="e">
        <f t="shared" ca="1" si="7"/>
        <v>#N/A</v>
      </c>
      <c r="E76" t="e">
        <f t="shared" ca="1" si="8"/>
        <v>#N/A</v>
      </c>
      <c r="F76" t="e">
        <f t="shared" ca="1" si="9"/>
        <v>#N/A</v>
      </c>
    </row>
    <row r="77" spans="3:6" x14ac:dyDescent="0.25">
      <c r="C77" t="e">
        <f t="shared" ca="1" si="6"/>
        <v>#N/A</v>
      </c>
      <c r="D77" t="e">
        <f t="shared" ca="1" si="7"/>
        <v>#N/A</v>
      </c>
      <c r="E77" t="e">
        <f t="shared" ca="1" si="8"/>
        <v>#N/A</v>
      </c>
      <c r="F77" t="e">
        <f t="shared" ca="1" si="9"/>
        <v>#N/A</v>
      </c>
    </row>
    <row r="78" spans="3:6" x14ac:dyDescent="0.25">
      <c r="C78" t="e">
        <f t="shared" ca="1" si="6"/>
        <v>#N/A</v>
      </c>
      <c r="D78" t="e">
        <f t="shared" ca="1" si="7"/>
        <v>#N/A</v>
      </c>
      <c r="E78" t="e">
        <f t="shared" ca="1" si="8"/>
        <v>#N/A</v>
      </c>
      <c r="F78" t="e">
        <f t="shared" ca="1" si="9"/>
        <v>#N/A</v>
      </c>
    </row>
    <row r="79" spans="3:6" x14ac:dyDescent="0.25">
      <c r="C79" t="e">
        <f t="shared" ca="1" si="6"/>
        <v>#N/A</v>
      </c>
      <c r="D79" t="e">
        <f t="shared" ca="1" si="7"/>
        <v>#N/A</v>
      </c>
      <c r="E79" t="e">
        <f t="shared" ca="1" si="8"/>
        <v>#N/A</v>
      </c>
      <c r="F79" t="e">
        <f t="shared" ca="1" si="9"/>
        <v>#N/A</v>
      </c>
    </row>
    <row r="80" spans="3:6" x14ac:dyDescent="0.25">
      <c r="C80" t="e">
        <f t="shared" ca="1" si="6"/>
        <v>#N/A</v>
      </c>
      <c r="D80" t="e">
        <f t="shared" ca="1" si="7"/>
        <v>#N/A</v>
      </c>
      <c r="E80" t="e">
        <f t="shared" ca="1" si="8"/>
        <v>#N/A</v>
      </c>
      <c r="F80" t="e">
        <f t="shared" ca="1" si="9"/>
        <v>#N/A</v>
      </c>
    </row>
    <row r="81" spans="3:6" x14ac:dyDescent="0.25">
      <c r="C81" t="e">
        <f t="shared" ca="1" si="6"/>
        <v>#N/A</v>
      </c>
      <c r="D81" t="e">
        <f t="shared" ca="1" si="7"/>
        <v>#N/A</v>
      </c>
      <c r="E81" t="e">
        <f t="shared" ca="1" si="8"/>
        <v>#N/A</v>
      </c>
      <c r="F81" t="e">
        <f t="shared" ca="1" si="9"/>
        <v>#N/A</v>
      </c>
    </row>
    <row r="82" spans="3:6" x14ac:dyDescent="0.25">
      <c r="C82" t="e">
        <f t="shared" ca="1" si="6"/>
        <v>#N/A</v>
      </c>
      <c r="D82" t="e">
        <f t="shared" ca="1" si="7"/>
        <v>#N/A</v>
      </c>
      <c r="E82" t="e">
        <f t="shared" ca="1" si="8"/>
        <v>#N/A</v>
      </c>
      <c r="F82" t="e">
        <f t="shared" ca="1" si="9"/>
        <v>#N/A</v>
      </c>
    </row>
    <row r="83" spans="3:6" x14ac:dyDescent="0.25">
      <c r="C83" t="e">
        <f t="shared" ca="1" si="6"/>
        <v>#N/A</v>
      </c>
      <c r="D83" t="e">
        <f t="shared" ca="1" si="7"/>
        <v>#N/A</v>
      </c>
      <c r="E83" t="e">
        <f t="shared" ca="1" si="8"/>
        <v>#N/A</v>
      </c>
      <c r="F83" t="e">
        <f t="shared" ca="1" si="9"/>
        <v>#N/A</v>
      </c>
    </row>
    <row r="84" spans="3:6" x14ac:dyDescent="0.25">
      <c r="C84" t="e">
        <f t="shared" ca="1" si="6"/>
        <v>#N/A</v>
      </c>
      <c r="D84" t="e">
        <f t="shared" ca="1" si="7"/>
        <v>#N/A</v>
      </c>
      <c r="E84" t="e">
        <f t="shared" ca="1" si="8"/>
        <v>#N/A</v>
      </c>
      <c r="F84" t="e">
        <f t="shared" ca="1" si="9"/>
        <v>#N/A</v>
      </c>
    </row>
    <row r="85" spans="3:6" x14ac:dyDescent="0.25">
      <c r="C85" t="e">
        <f t="shared" ca="1" si="6"/>
        <v>#N/A</v>
      </c>
      <c r="D85" t="e">
        <f t="shared" ca="1" si="7"/>
        <v>#N/A</v>
      </c>
      <c r="E85" t="e">
        <f t="shared" ca="1" si="8"/>
        <v>#N/A</v>
      </c>
      <c r="F85" t="e">
        <f t="shared" ca="1" si="9"/>
        <v>#N/A</v>
      </c>
    </row>
    <row r="86" spans="3:6" x14ac:dyDescent="0.25">
      <c r="C86" t="e">
        <f t="shared" ca="1" si="6"/>
        <v>#N/A</v>
      </c>
      <c r="D86" t="e">
        <f t="shared" ca="1" si="7"/>
        <v>#N/A</v>
      </c>
      <c r="E86" t="e">
        <f t="shared" ca="1" si="8"/>
        <v>#N/A</v>
      </c>
      <c r="F86" t="e">
        <f t="shared" ca="1" si="9"/>
        <v>#N/A</v>
      </c>
    </row>
    <row r="87" spans="3:6" x14ac:dyDescent="0.25">
      <c r="C87" t="e">
        <f t="shared" ca="1" si="6"/>
        <v>#N/A</v>
      </c>
      <c r="D87" t="e">
        <f t="shared" ca="1" si="7"/>
        <v>#N/A</v>
      </c>
      <c r="E87" t="e">
        <f t="shared" ca="1" si="8"/>
        <v>#N/A</v>
      </c>
      <c r="F87" t="e">
        <f t="shared" ca="1" si="9"/>
        <v>#N/A</v>
      </c>
    </row>
    <row r="88" spans="3:6" x14ac:dyDescent="0.25">
      <c r="C88" t="e">
        <f t="shared" ca="1" si="6"/>
        <v>#N/A</v>
      </c>
      <c r="D88" t="e">
        <f t="shared" ca="1" si="7"/>
        <v>#N/A</v>
      </c>
      <c r="E88" t="e">
        <f t="shared" ca="1" si="8"/>
        <v>#N/A</v>
      </c>
      <c r="F88" t="e">
        <f t="shared" ca="1" si="9"/>
        <v>#N/A</v>
      </c>
    </row>
    <row r="89" spans="3:6" x14ac:dyDescent="0.25">
      <c r="C89" t="e">
        <f t="shared" ca="1" si="6"/>
        <v>#N/A</v>
      </c>
      <c r="D89" t="e">
        <f t="shared" ca="1" si="7"/>
        <v>#N/A</v>
      </c>
      <c r="E89" t="e">
        <f t="shared" ca="1" si="8"/>
        <v>#N/A</v>
      </c>
      <c r="F89" t="e">
        <f t="shared" ca="1" si="9"/>
        <v>#N/A</v>
      </c>
    </row>
    <row r="90" spans="3:6" x14ac:dyDescent="0.25">
      <c r="C90" t="e">
        <f t="shared" ca="1" si="6"/>
        <v>#N/A</v>
      </c>
      <c r="D90" t="e">
        <f t="shared" ca="1" si="7"/>
        <v>#N/A</v>
      </c>
      <c r="E90" t="e">
        <f t="shared" ca="1" si="8"/>
        <v>#N/A</v>
      </c>
      <c r="F90" t="e">
        <f t="shared" ca="1" si="9"/>
        <v>#N/A</v>
      </c>
    </row>
    <row r="91" spans="3:6" x14ac:dyDescent="0.25">
      <c r="C91" t="e">
        <f t="shared" ca="1" si="6"/>
        <v>#N/A</v>
      </c>
      <c r="D91" t="e">
        <f t="shared" ca="1" si="7"/>
        <v>#N/A</v>
      </c>
      <c r="E91" t="e">
        <f t="shared" ca="1" si="8"/>
        <v>#N/A</v>
      </c>
      <c r="F91" t="e">
        <f t="shared" ca="1" si="9"/>
        <v>#N/A</v>
      </c>
    </row>
    <row r="92" spans="3:6" x14ac:dyDescent="0.25">
      <c r="C92" t="e">
        <f t="shared" ca="1" si="6"/>
        <v>#N/A</v>
      </c>
      <c r="D92" t="e">
        <f t="shared" ca="1" si="7"/>
        <v>#N/A</v>
      </c>
      <c r="E92" t="e">
        <f t="shared" ca="1" si="8"/>
        <v>#N/A</v>
      </c>
      <c r="F92" t="e">
        <f t="shared" ca="1" si="9"/>
        <v>#N/A</v>
      </c>
    </row>
    <row r="93" spans="3:6" x14ac:dyDescent="0.25">
      <c r="C93" t="e">
        <f t="shared" ca="1" si="6"/>
        <v>#N/A</v>
      </c>
      <c r="D93" t="e">
        <f t="shared" ca="1" si="7"/>
        <v>#N/A</v>
      </c>
      <c r="E93" t="e">
        <f t="shared" ca="1" si="8"/>
        <v>#N/A</v>
      </c>
      <c r="F93" t="e">
        <f t="shared" ca="1" si="9"/>
        <v>#N/A</v>
      </c>
    </row>
    <row r="94" spans="3:6" x14ac:dyDescent="0.25">
      <c r="C94" t="e">
        <f t="shared" ca="1" si="6"/>
        <v>#N/A</v>
      </c>
      <c r="D94" t="e">
        <f t="shared" ca="1" si="7"/>
        <v>#N/A</v>
      </c>
      <c r="E94" t="e">
        <f t="shared" ca="1" si="8"/>
        <v>#N/A</v>
      </c>
      <c r="F94" t="e">
        <f t="shared" ca="1" si="9"/>
        <v>#N/A</v>
      </c>
    </row>
    <row r="95" spans="3:6" x14ac:dyDescent="0.25">
      <c r="C95" t="e">
        <f t="shared" ca="1" si="6"/>
        <v>#N/A</v>
      </c>
      <c r="D95" t="e">
        <f t="shared" ca="1" si="7"/>
        <v>#N/A</v>
      </c>
      <c r="E95" t="e">
        <f t="shared" ca="1" si="8"/>
        <v>#N/A</v>
      </c>
      <c r="F95" t="e">
        <f t="shared" ca="1" si="9"/>
        <v>#N/A</v>
      </c>
    </row>
    <row r="96" spans="3:6" x14ac:dyDescent="0.25">
      <c r="C96" t="e">
        <f t="shared" ca="1" si="6"/>
        <v>#N/A</v>
      </c>
      <c r="D96" t="e">
        <f t="shared" ca="1" si="7"/>
        <v>#N/A</v>
      </c>
      <c r="E96" t="e">
        <f t="shared" ca="1" si="8"/>
        <v>#N/A</v>
      </c>
      <c r="F96" t="e">
        <f t="shared" ca="1" si="9"/>
        <v>#N/A</v>
      </c>
    </row>
    <row r="97" spans="3:6" x14ac:dyDescent="0.25">
      <c r="C97" t="e">
        <f t="shared" ca="1" si="6"/>
        <v>#N/A</v>
      </c>
      <c r="D97" t="e">
        <f t="shared" ca="1" si="7"/>
        <v>#N/A</v>
      </c>
      <c r="E97" t="e">
        <f t="shared" ca="1" si="8"/>
        <v>#N/A</v>
      </c>
      <c r="F97" t="e">
        <f t="shared" ca="1" si="9"/>
        <v>#N/A</v>
      </c>
    </row>
    <row r="98" spans="3:6" x14ac:dyDescent="0.25">
      <c r="C98" t="e">
        <f t="shared" ca="1" si="6"/>
        <v>#N/A</v>
      </c>
      <c r="D98" t="e">
        <f t="shared" ca="1" si="7"/>
        <v>#N/A</v>
      </c>
      <c r="E98" t="e">
        <f t="shared" ca="1" si="8"/>
        <v>#N/A</v>
      </c>
      <c r="F98" t="e">
        <f t="shared" ca="1" si="9"/>
        <v>#N/A</v>
      </c>
    </row>
    <row r="99" spans="3:6" x14ac:dyDescent="0.25">
      <c r="C99" t="e">
        <f t="shared" ca="1" si="6"/>
        <v>#N/A</v>
      </c>
      <c r="D99" t="e">
        <f t="shared" ca="1" si="7"/>
        <v>#N/A</v>
      </c>
      <c r="E99" t="e">
        <f t="shared" ca="1" si="8"/>
        <v>#N/A</v>
      </c>
      <c r="F99" t="e">
        <f t="shared" ca="1" si="9"/>
        <v>#N/A</v>
      </c>
    </row>
    <row r="100" spans="3:6" x14ac:dyDescent="0.25">
      <c r="C100" t="e">
        <f t="shared" ca="1" si="6"/>
        <v>#N/A</v>
      </c>
      <c r="D100" t="e">
        <f t="shared" ca="1" si="7"/>
        <v>#N/A</v>
      </c>
      <c r="E100" t="e">
        <f t="shared" ca="1" si="8"/>
        <v>#N/A</v>
      </c>
      <c r="F100" t="e">
        <f t="shared" ca="1" si="9"/>
        <v>#N/A</v>
      </c>
    </row>
    <row r="101" spans="3:6" x14ac:dyDescent="0.25">
      <c r="C101" t="e">
        <f t="shared" ca="1" si="6"/>
        <v>#N/A</v>
      </c>
      <c r="D101" t="e">
        <f t="shared" ca="1" si="7"/>
        <v>#N/A</v>
      </c>
      <c r="E101" t="e">
        <f t="shared" ca="1" si="8"/>
        <v>#N/A</v>
      </c>
      <c r="F101" t="e">
        <f t="shared" ca="1" si="9"/>
        <v>#N/A</v>
      </c>
    </row>
    <row r="102" spans="3:6" x14ac:dyDescent="0.25">
      <c r="C102" t="e">
        <f t="shared" ca="1" si="6"/>
        <v>#N/A</v>
      </c>
      <c r="D102" t="e">
        <f t="shared" ca="1" si="7"/>
        <v>#N/A</v>
      </c>
      <c r="E102" t="e">
        <f t="shared" ca="1" si="8"/>
        <v>#N/A</v>
      </c>
      <c r="F102" t="e">
        <f t="shared" ca="1" si="9"/>
        <v>#N/A</v>
      </c>
    </row>
    <row r="103" spans="3:6" x14ac:dyDescent="0.25">
      <c r="C103" t="e">
        <f t="shared" ca="1" si="6"/>
        <v>#N/A</v>
      </c>
      <c r="D103" t="e">
        <f t="shared" ca="1" si="7"/>
        <v>#N/A</v>
      </c>
      <c r="E103" t="e">
        <f t="shared" ca="1" si="8"/>
        <v>#N/A</v>
      </c>
      <c r="F103" t="e">
        <f t="shared" ca="1" si="9"/>
        <v>#N/A</v>
      </c>
    </row>
    <row r="104" spans="3:6" x14ac:dyDescent="0.25">
      <c r="C104" t="e">
        <f t="shared" ca="1" si="6"/>
        <v>#N/A</v>
      </c>
      <c r="D104" t="e">
        <f t="shared" ca="1" si="7"/>
        <v>#N/A</v>
      </c>
      <c r="E104" t="e">
        <f t="shared" ca="1" si="8"/>
        <v>#N/A</v>
      </c>
      <c r="F104" t="e">
        <f t="shared" ca="1" si="9"/>
        <v>#N/A</v>
      </c>
    </row>
    <row r="105" spans="3:6" x14ac:dyDescent="0.25">
      <c r="C105" t="e">
        <f t="shared" ca="1" si="6"/>
        <v>#N/A</v>
      </c>
      <c r="D105" t="e">
        <f t="shared" ca="1" si="7"/>
        <v>#N/A</v>
      </c>
      <c r="E105" t="e">
        <f t="shared" ca="1" si="8"/>
        <v>#N/A</v>
      </c>
      <c r="F105" t="e">
        <f t="shared" ca="1" si="9"/>
        <v>#N/A</v>
      </c>
    </row>
    <row r="106" spans="3:6" x14ac:dyDescent="0.25">
      <c r="C106" t="e">
        <f t="shared" ca="1" si="6"/>
        <v>#N/A</v>
      </c>
      <c r="D106" t="e">
        <f t="shared" ca="1" si="7"/>
        <v>#N/A</v>
      </c>
      <c r="E106" t="e">
        <f t="shared" ca="1" si="8"/>
        <v>#N/A</v>
      </c>
      <c r="F106" t="e">
        <f t="shared" ca="1" si="9"/>
        <v>#N/A</v>
      </c>
    </row>
    <row r="107" spans="3:6" x14ac:dyDescent="0.25">
      <c r="C107" t="e">
        <f t="shared" ca="1" si="6"/>
        <v>#N/A</v>
      </c>
      <c r="D107" t="e">
        <f t="shared" ca="1" si="7"/>
        <v>#N/A</v>
      </c>
      <c r="E107" t="e">
        <f t="shared" ca="1" si="8"/>
        <v>#N/A</v>
      </c>
      <c r="F107" t="e">
        <f t="shared" ca="1" si="9"/>
        <v>#N/A</v>
      </c>
    </row>
    <row r="108" spans="3:6" x14ac:dyDescent="0.25">
      <c r="C108" t="e">
        <f t="shared" ca="1" si="6"/>
        <v>#N/A</v>
      </c>
      <c r="D108" t="e">
        <f t="shared" ca="1" si="7"/>
        <v>#N/A</v>
      </c>
      <c r="E108" t="e">
        <f t="shared" ca="1" si="8"/>
        <v>#N/A</v>
      </c>
      <c r="F108" t="e">
        <f t="shared" ca="1" si="9"/>
        <v>#N/A</v>
      </c>
    </row>
    <row r="109" spans="3:6" x14ac:dyDescent="0.25">
      <c r="C109" t="e">
        <f t="shared" ca="1" si="6"/>
        <v>#N/A</v>
      </c>
      <c r="D109" t="e">
        <f t="shared" ca="1" si="7"/>
        <v>#N/A</v>
      </c>
      <c r="E109" t="e">
        <f t="shared" ca="1" si="8"/>
        <v>#N/A</v>
      </c>
      <c r="F109" t="e">
        <f t="shared" ca="1" si="9"/>
        <v>#N/A</v>
      </c>
    </row>
    <row r="110" spans="3:6" x14ac:dyDescent="0.25">
      <c r="C110" t="e">
        <f t="shared" ca="1" si="6"/>
        <v>#N/A</v>
      </c>
      <c r="D110" t="e">
        <f t="shared" ca="1" si="7"/>
        <v>#N/A</v>
      </c>
      <c r="E110" t="e">
        <f t="shared" ca="1" si="8"/>
        <v>#N/A</v>
      </c>
      <c r="F110" t="e">
        <f t="shared" ca="1" si="9"/>
        <v>#N/A</v>
      </c>
    </row>
    <row r="111" spans="3:6" x14ac:dyDescent="0.25">
      <c r="C111" t="e">
        <f t="shared" ca="1" si="6"/>
        <v>#N/A</v>
      </c>
      <c r="D111" t="e">
        <f t="shared" ca="1" si="7"/>
        <v>#N/A</v>
      </c>
      <c r="E111" t="e">
        <f t="shared" ca="1" si="8"/>
        <v>#N/A</v>
      </c>
      <c r="F111" t="e">
        <f t="shared" ca="1" si="9"/>
        <v>#N/A</v>
      </c>
    </row>
    <row r="112" spans="3:6" x14ac:dyDescent="0.25">
      <c r="C112" t="e">
        <f t="shared" ca="1" si="6"/>
        <v>#N/A</v>
      </c>
      <c r="D112" t="e">
        <f t="shared" ca="1" si="7"/>
        <v>#N/A</v>
      </c>
      <c r="E112" t="e">
        <f t="shared" ca="1" si="8"/>
        <v>#N/A</v>
      </c>
      <c r="F112" t="e">
        <f t="shared" ca="1" si="9"/>
        <v>#N/A</v>
      </c>
    </row>
    <row r="113" spans="3:6" x14ac:dyDescent="0.25">
      <c r="C113" t="e">
        <f t="shared" ca="1" si="6"/>
        <v>#N/A</v>
      </c>
      <c r="D113" t="e">
        <f t="shared" ca="1" si="7"/>
        <v>#N/A</v>
      </c>
      <c r="E113" t="e">
        <f t="shared" ca="1" si="8"/>
        <v>#N/A</v>
      </c>
      <c r="F113" t="e">
        <f t="shared" ca="1" si="9"/>
        <v>#N/A</v>
      </c>
    </row>
    <row r="114" spans="3:6" x14ac:dyDescent="0.25">
      <c r="C114" t="e">
        <f t="shared" ca="1" si="6"/>
        <v>#N/A</v>
      </c>
      <c r="D114" t="e">
        <f t="shared" ca="1" si="7"/>
        <v>#N/A</v>
      </c>
      <c r="E114" t="e">
        <f t="shared" ca="1" si="8"/>
        <v>#N/A</v>
      </c>
      <c r="F114" t="e">
        <f t="shared" ca="1" si="9"/>
        <v>#N/A</v>
      </c>
    </row>
    <row r="115" spans="3:6" x14ac:dyDescent="0.25">
      <c r="C115" t="e">
        <f t="shared" ca="1" si="6"/>
        <v>#N/A</v>
      </c>
      <c r="D115" t="e">
        <f t="shared" ca="1" si="7"/>
        <v>#N/A</v>
      </c>
      <c r="E115" t="e">
        <f t="shared" ca="1" si="8"/>
        <v>#N/A</v>
      </c>
      <c r="F115" t="e">
        <f t="shared" ca="1" si="9"/>
        <v>#N/A</v>
      </c>
    </row>
    <row r="116" spans="3:6" x14ac:dyDescent="0.25">
      <c r="C116" t="e">
        <f t="shared" ca="1" si="6"/>
        <v>#N/A</v>
      </c>
      <c r="D116" t="e">
        <f t="shared" ca="1" si="7"/>
        <v>#N/A</v>
      </c>
      <c r="E116" t="e">
        <f t="shared" ca="1" si="8"/>
        <v>#N/A</v>
      </c>
      <c r="F116" t="e">
        <f t="shared" ca="1" si="9"/>
        <v>#N/A</v>
      </c>
    </row>
    <row r="117" spans="3:6" x14ac:dyDescent="0.25">
      <c r="C117" t="e">
        <f t="shared" ca="1" si="6"/>
        <v>#N/A</v>
      </c>
      <c r="D117" t="e">
        <f t="shared" ca="1" si="7"/>
        <v>#N/A</v>
      </c>
      <c r="E117" t="e">
        <f t="shared" ca="1" si="8"/>
        <v>#N/A</v>
      </c>
      <c r="F117" t="e">
        <f t="shared" ca="1" si="9"/>
        <v>#N/A</v>
      </c>
    </row>
    <row r="118" spans="3:6" x14ac:dyDescent="0.25">
      <c r="C118" t="e">
        <f t="shared" ca="1" si="6"/>
        <v>#N/A</v>
      </c>
      <c r="D118" t="e">
        <f t="shared" ca="1" si="7"/>
        <v>#N/A</v>
      </c>
      <c r="E118" t="e">
        <f t="shared" ca="1" si="8"/>
        <v>#N/A</v>
      </c>
      <c r="F118" t="e">
        <f t="shared" ca="1" si="9"/>
        <v>#N/A</v>
      </c>
    </row>
    <row r="119" spans="3:6" x14ac:dyDescent="0.25">
      <c r="C119" t="e">
        <f t="shared" ca="1" si="6"/>
        <v>#N/A</v>
      </c>
      <c r="D119" t="e">
        <f t="shared" ca="1" si="7"/>
        <v>#N/A</v>
      </c>
      <c r="E119" t="e">
        <f t="shared" ca="1" si="8"/>
        <v>#N/A</v>
      </c>
      <c r="F119" t="e">
        <f t="shared" ca="1" si="9"/>
        <v>#N/A</v>
      </c>
    </row>
    <row r="120" spans="3:6" x14ac:dyDescent="0.25">
      <c r="C120" t="e">
        <f t="shared" ca="1" si="6"/>
        <v>#N/A</v>
      </c>
      <c r="D120" t="e">
        <f t="shared" ca="1" si="7"/>
        <v>#N/A</v>
      </c>
      <c r="E120" t="e">
        <f t="shared" ca="1" si="8"/>
        <v>#N/A</v>
      </c>
      <c r="F120" t="e">
        <f t="shared" ca="1" si="9"/>
        <v>#N/A</v>
      </c>
    </row>
    <row r="121" spans="3:6" x14ac:dyDescent="0.25">
      <c r="C121" t="e">
        <f t="shared" ca="1" si="6"/>
        <v>#N/A</v>
      </c>
      <c r="D121" t="e">
        <f t="shared" ca="1" si="7"/>
        <v>#N/A</v>
      </c>
      <c r="E121" t="e">
        <f t="shared" ca="1" si="8"/>
        <v>#N/A</v>
      </c>
      <c r="F121" t="e">
        <f t="shared" ca="1" si="9"/>
        <v>#N/A</v>
      </c>
    </row>
    <row r="122" spans="3:6" x14ac:dyDescent="0.25">
      <c r="C122" t="e">
        <f t="shared" ca="1" si="6"/>
        <v>#N/A</v>
      </c>
      <c r="D122" t="e">
        <f t="shared" ca="1" si="7"/>
        <v>#N/A</v>
      </c>
      <c r="E122" t="e">
        <f t="shared" ca="1" si="8"/>
        <v>#N/A</v>
      </c>
      <c r="F122" t="e">
        <f t="shared" ca="1" si="9"/>
        <v>#N/A</v>
      </c>
    </row>
    <row r="123" spans="3:6" x14ac:dyDescent="0.25">
      <c r="C123" t="e">
        <f t="shared" ca="1" si="6"/>
        <v>#N/A</v>
      </c>
      <c r="D123" t="e">
        <f t="shared" ca="1" si="7"/>
        <v>#N/A</v>
      </c>
      <c r="E123" t="e">
        <f t="shared" ca="1" si="8"/>
        <v>#N/A</v>
      </c>
      <c r="F123" t="e">
        <f t="shared" ca="1" si="9"/>
        <v>#N/A</v>
      </c>
    </row>
    <row r="124" spans="3:6" x14ac:dyDescent="0.25">
      <c r="C124" t="e">
        <f t="shared" ca="1" si="6"/>
        <v>#N/A</v>
      </c>
      <c r="D124" t="e">
        <f t="shared" ca="1" si="7"/>
        <v>#N/A</v>
      </c>
      <c r="E124" t="e">
        <f t="shared" ca="1" si="8"/>
        <v>#N/A</v>
      </c>
      <c r="F124" t="e">
        <f t="shared" ca="1" si="9"/>
        <v>#N/A</v>
      </c>
    </row>
    <row r="125" spans="3:6" x14ac:dyDescent="0.25">
      <c r="C125" t="e">
        <f t="shared" ca="1" si="6"/>
        <v>#N/A</v>
      </c>
      <c r="D125" t="e">
        <f t="shared" ca="1" si="7"/>
        <v>#N/A</v>
      </c>
      <c r="E125" t="e">
        <f t="shared" ca="1" si="8"/>
        <v>#N/A</v>
      </c>
      <c r="F125" t="e">
        <f t="shared" ca="1" si="9"/>
        <v>#N/A</v>
      </c>
    </row>
    <row r="126" spans="3:6" x14ac:dyDescent="0.25">
      <c r="C126" t="e">
        <f t="shared" ca="1" si="6"/>
        <v>#N/A</v>
      </c>
      <c r="D126" t="e">
        <f t="shared" ca="1" si="7"/>
        <v>#N/A</v>
      </c>
      <c r="E126" t="e">
        <f t="shared" ca="1" si="8"/>
        <v>#N/A</v>
      </c>
      <c r="F126" t="e">
        <f t="shared" ca="1" si="9"/>
        <v>#N/A</v>
      </c>
    </row>
    <row r="127" spans="3:6" x14ac:dyDescent="0.25">
      <c r="C127" t="e">
        <f t="shared" ca="1" si="6"/>
        <v>#N/A</v>
      </c>
      <c r="D127" t="e">
        <f t="shared" ca="1" si="7"/>
        <v>#N/A</v>
      </c>
      <c r="E127" t="e">
        <f t="shared" ca="1" si="8"/>
        <v>#N/A</v>
      </c>
      <c r="F127" t="e">
        <f t="shared" ca="1" si="9"/>
        <v>#N/A</v>
      </c>
    </row>
    <row r="128" spans="3:6" x14ac:dyDescent="0.25">
      <c r="C128" t="e">
        <f t="shared" ca="1" si="6"/>
        <v>#N/A</v>
      </c>
      <c r="D128" t="e">
        <f t="shared" ca="1" si="7"/>
        <v>#N/A</v>
      </c>
      <c r="E128" t="e">
        <f t="shared" ca="1" si="8"/>
        <v>#N/A</v>
      </c>
      <c r="F128" t="e">
        <f t="shared" ca="1" si="9"/>
        <v>#N/A</v>
      </c>
    </row>
    <row r="129" spans="3:6" x14ac:dyDescent="0.25">
      <c r="C129" t="e">
        <f t="shared" ca="1" si="6"/>
        <v>#N/A</v>
      </c>
      <c r="D129" t="e">
        <f t="shared" ca="1" si="7"/>
        <v>#N/A</v>
      </c>
      <c r="E129" t="e">
        <f t="shared" ca="1" si="8"/>
        <v>#N/A</v>
      </c>
      <c r="F129" t="e">
        <f t="shared" ca="1" si="9"/>
        <v>#N/A</v>
      </c>
    </row>
    <row r="130" spans="3:6" x14ac:dyDescent="0.25">
      <c r="C130" t="e">
        <f t="shared" ca="1" si="6"/>
        <v>#N/A</v>
      </c>
      <c r="D130" t="e">
        <f t="shared" ca="1" si="7"/>
        <v>#N/A</v>
      </c>
      <c r="E130" t="e">
        <f t="shared" ca="1" si="8"/>
        <v>#N/A</v>
      </c>
      <c r="F130" t="e">
        <f t="shared" ca="1" si="9"/>
        <v>#N/A</v>
      </c>
    </row>
    <row r="131" spans="3:6" x14ac:dyDescent="0.25">
      <c r="C131" t="e">
        <f t="shared" ca="1" si="6"/>
        <v>#N/A</v>
      </c>
      <c r="D131" t="e">
        <f t="shared" ca="1" si="7"/>
        <v>#N/A</v>
      </c>
      <c r="E131" t="e">
        <f t="shared" ca="1" si="8"/>
        <v>#N/A</v>
      </c>
      <c r="F131" t="e">
        <f t="shared" ca="1" si="9"/>
        <v>#N/A</v>
      </c>
    </row>
    <row r="132" spans="3:6" x14ac:dyDescent="0.25">
      <c r="C132" t="e">
        <f t="shared" ca="1" si="6"/>
        <v>#N/A</v>
      </c>
      <c r="D132" t="e">
        <f t="shared" ca="1" si="7"/>
        <v>#N/A</v>
      </c>
      <c r="E132" t="e">
        <f t="shared" ca="1" si="8"/>
        <v>#N/A</v>
      </c>
      <c r="F132" t="e">
        <f t="shared" ca="1" si="9"/>
        <v>#N/A</v>
      </c>
    </row>
    <row r="133" spans="3:6" x14ac:dyDescent="0.25">
      <c r="C133" t="e">
        <f t="shared" ca="1" si="6"/>
        <v>#N/A</v>
      </c>
      <c r="D133" t="e">
        <f t="shared" ca="1" si="7"/>
        <v>#N/A</v>
      </c>
      <c r="E133" t="e">
        <f t="shared" ca="1" si="8"/>
        <v>#N/A</v>
      </c>
      <c r="F133" t="e">
        <f t="shared" ca="1" si="9"/>
        <v>#N/A</v>
      </c>
    </row>
    <row r="134" spans="3:6" x14ac:dyDescent="0.25">
      <c r="C134" t="e">
        <f t="shared" ca="1" si="6"/>
        <v>#N/A</v>
      </c>
      <c r="D134" t="e">
        <f t="shared" ca="1" si="7"/>
        <v>#N/A</v>
      </c>
      <c r="E134" t="e">
        <f t="shared" ca="1" si="8"/>
        <v>#N/A</v>
      </c>
      <c r="F134" t="e">
        <f t="shared" ca="1" si="9"/>
        <v>#N/A</v>
      </c>
    </row>
    <row r="135" spans="3:6" x14ac:dyDescent="0.25">
      <c r="C135" t="e">
        <f t="shared" ca="1" si="6"/>
        <v>#N/A</v>
      </c>
      <c r="D135" t="e">
        <f t="shared" ca="1" si="7"/>
        <v>#N/A</v>
      </c>
      <c r="E135" t="e">
        <f t="shared" ca="1" si="8"/>
        <v>#N/A</v>
      </c>
      <c r="F135" t="e">
        <f t="shared" ca="1" si="9"/>
        <v>#N/A</v>
      </c>
    </row>
    <row r="136" spans="3:6" x14ac:dyDescent="0.25">
      <c r="C136" t="e">
        <f t="shared" ca="1" si="6"/>
        <v>#N/A</v>
      </c>
      <c r="D136" t="e">
        <f t="shared" ca="1" si="7"/>
        <v>#N/A</v>
      </c>
      <c r="E136" t="e">
        <f t="shared" ca="1" si="8"/>
        <v>#N/A</v>
      </c>
      <c r="F136" t="e">
        <f t="shared" ca="1" si="9"/>
        <v>#N/A</v>
      </c>
    </row>
    <row r="137" spans="3:6" x14ac:dyDescent="0.25">
      <c r="C137" t="e">
        <f t="shared" ca="1" si="6"/>
        <v>#N/A</v>
      </c>
      <c r="D137" t="e">
        <f t="shared" ca="1" si="7"/>
        <v>#N/A</v>
      </c>
      <c r="E137" t="e">
        <f t="shared" ca="1" si="8"/>
        <v>#N/A</v>
      </c>
      <c r="F137" t="e">
        <f t="shared" ca="1" si="9"/>
        <v>#N/A</v>
      </c>
    </row>
    <row r="138" spans="3:6" x14ac:dyDescent="0.25">
      <c r="C138" t="e">
        <f t="shared" ref="C138:C201" ca="1" si="10">$C$7</f>
        <v>#N/A</v>
      </c>
      <c r="D138" t="e">
        <f t="shared" ref="D138:D201" ca="1" si="11">$D$7</f>
        <v>#N/A</v>
      </c>
      <c r="E138" t="e">
        <f t="shared" ref="E138:E201" ca="1" si="12">IF($B139="",C$8,"")</f>
        <v>#N/A</v>
      </c>
      <c r="F138" t="e">
        <f t="shared" ref="F138:F201" ca="1" si="13">IF($B139="",D$8,"")</f>
        <v>#N/A</v>
      </c>
    </row>
    <row r="139" spans="3:6" x14ac:dyDescent="0.25">
      <c r="C139" t="e">
        <f t="shared" ca="1" si="10"/>
        <v>#N/A</v>
      </c>
      <c r="D139" t="e">
        <f t="shared" ca="1" si="11"/>
        <v>#N/A</v>
      </c>
      <c r="E139" t="e">
        <f t="shared" ca="1" si="12"/>
        <v>#N/A</v>
      </c>
      <c r="F139" t="e">
        <f t="shared" ca="1" si="13"/>
        <v>#N/A</v>
      </c>
    </row>
    <row r="140" spans="3:6" x14ac:dyDescent="0.25">
      <c r="C140" t="e">
        <f t="shared" ca="1" si="10"/>
        <v>#N/A</v>
      </c>
      <c r="D140" t="e">
        <f t="shared" ca="1" si="11"/>
        <v>#N/A</v>
      </c>
      <c r="E140" t="e">
        <f t="shared" ca="1" si="12"/>
        <v>#N/A</v>
      </c>
      <c r="F140" t="e">
        <f t="shared" ca="1" si="13"/>
        <v>#N/A</v>
      </c>
    </row>
    <row r="141" spans="3:6" x14ac:dyDescent="0.25">
      <c r="C141" t="e">
        <f t="shared" ca="1" si="10"/>
        <v>#N/A</v>
      </c>
      <c r="D141" t="e">
        <f t="shared" ca="1" si="11"/>
        <v>#N/A</v>
      </c>
      <c r="E141" t="e">
        <f t="shared" ca="1" si="12"/>
        <v>#N/A</v>
      </c>
      <c r="F141" t="e">
        <f t="shared" ca="1" si="13"/>
        <v>#N/A</v>
      </c>
    </row>
    <row r="142" spans="3:6" x14ac:dyDescent="0.25">
      <c r="C142" t="e">
        <f t="shared" ca="1" si="10"/>
        <v>#N/A</v>
      </c>
      <c r="D142" t="e">
        <f t="shared" ca="1" si="11"/>
        <v>#N/A</v>
      </c>
      <c r="E142" t="e">
        <f t="shared" ca="1" si="12"/>
        <v>#N/A</v>
      </c>
      <c r="F142" t="e">
        <f t="shared" ca="1" si="13"/>
        <v>#N/A</v>
      </c>
    </row>
    <row r="143" spans="3:6" x14ac:dyDescent="0.25">
      <c r="C143" t="e">
        <f t="shared" ca="1" si="10"/>
        <v>#N/A</v>
      </c>
      <c r="D143" t="e">
        <f t="shared" ca="1" si="11"/>
        <v>#N/A</v>
      </c>
      <c r="E143" t="e">
        <f t="shared" ca="1" si="12"/>
        <v>#N/A</v>
      </c>
      <c r="F143" t="e">
        <f t="shared" ca="1" si="13"/>
        <v>#N/A</v>
      </c>
    </row>
    <row r="144" spans="3:6" x14ac:dyDescent="0.25">
      <c r="C144" t="e">
        <f t="shared" ca="1" si="10"/>
        <v>#N/A</v>
      </c>
      <c r="D144" t="e">
        <f t="shared" ca="1" si="11"/>
        <v>#N/A</v>
      </c>
      <c r="E144" t="e">
        <f t="shared" ca="1" si="12"/>
        <v>#N/A</v>
      </c>
      <c r="F144" t="e">
        <f t="shared" ca="1" si="13"/>
        <v>#N/A</v>
      </c>
    </row>
    <row r="145" spans="3:6" x14ac:dyDescent="0.25">
      <c r="C145" t="e">
        <f t="shared" ca="1" si="10"/>
        <v>#N/A</v>
      </c>
      <c r="D145" t="e">
        <f t="shared" ca="1" si="11"/>
        <v>#N/A</v>
      </c>
      <c r="E145" t="e">
        <f t="shared" ca="1" si="12"/>
        <v>#N/A</v>
      </c>
      <c r="F145" t="e">
        <f t="shared" ca="1" si="13"/>
        <v>#N/A</v>
      </c>
    </row>
    <row r="146" spans="3:6" x14ac:dyDescent="0.25">
      <c r="C146" t="e">
        <f t="shared" ca="1" si="10"/>
        <v>#N/A</v>
      </c>
      <c r="D146" t="e">
        <f t="shared" ca="1" si="11"/>
        <v>#N/A</v>
      </c>
      <c r="E146" t="e">
        <f t="shared" ca="1" si="12"/>
        <v>#N/A</v>
      </c>
      <c r="F146" t="e">
        <f t="shared" ca="1" si="13"/>
        <v>#N/A</v>
      </c>
    </row>
    <row r="147" spans="3:6" x14ac:dyDescent="0.25">
      <c r="C147" t="e">
        <f t="shared" ca="1" si="10"/>
        <v>#N/A</v>
      </c>
      <c r="D147" t="e">
        <f t="shared" ca="1" si="11"/>
        <v>#N/A</v>
      </c>
      <c r="E147" t="e">
        <f t="shared" ca="1" si="12"/>
        <v>#N/A</v>
      </c>
      <c r="F147" t="e">
        <f t="shared" ca="1" si="13"/>
        <v>#N/A</v>
      </c>
    </row>
    <row r="148" spans="3:6" x14ac:dyDescent="0.25">
      <c r="C148" t="e">
        <f t="shared" ca="1" si="10"/>
        <v>#N/A</v>
      </c>
      <c r="D148" t="e">
        <f t="shared" ca="1" si="11"/>
        <v>#N/A</v>
      </c>
      <c r="E148" t="e">
        <f t="shared" ca="1" si="12"/>
        <v>#N/A</v>
      </c>
      <c r="F148" t="e">
        <f t="shared" ca="1" si="13"/>
        <v>#N/A</v>
      </c>
    </row>
    <row r="149" spans="3:6" x14ac:dyDescent="0.25">
      <c r="C149" t="e">
        <f t="shared" ca="1" si="10"/>
        <v>#N/A</v>
      </c>
      <c r="D149" t="e">
        <f t="shared" ca="1" si="11"/>
        <v>#N/A</v>
      </c>
      <c r="E149" t="e">
        <f t="shared" ca="1" si="12"/>
        <v>#N/A</v>
      </c>
      <c r="F149" t="e">
        <f t="shared" ca="1" si="13"/>
        <v>#N/A</v>
      </c>
    </row>
    <row r="150" spans="3:6" x14ac:dyDescent="0.25">
      <c r="C150" t="e">
        <f t="shared" ca="1" si="10"/>
        <v>#N/A</v>
      </c>
      <c r="D150" t="e">
        <f t="shared" ca="1" si="11"/>
        <v>#N/A</v>
      </c>
      <c r="E150" t="e">
        <f t="shared" ca="1" si="12"/>
        <v>#N/A</v>
      </c>
      <c r="F150" t="e">
        <f t="shared" ca="1" si="13"/>
        <v>#N/A</v>
      </c>
    </row>
    <row r="151" spans="3:6" x14ac:dyDescent="0.25">
      <c r="C151" t="e">
        <f t="shared" ca="1" si="10"/>
        <v>#N/A</v>
      </c>
      <c r="D151" t="e">
        <f t="shared" ca="1" si="11"/>
        <v>#N/A</v>
      </c>
      <c r="E151" t="e">
        <f t="shared" ca="1" si="12"/>
        <v>#N/A</v>
      </c>
      <c r="F151" t="e">
        <f t="shared" ca="1" si="13"/>
        <v>#N/A</v>
      </c>
    </row>
    <row r="152" spans="3:6" x14ac:dyDescent="0.25">
      <c r="C152" t="e">
        <f t="shared" ca="1" si="10"/>
        <v>#N/A</v>
      </c>
      <c r="D152" t="e">
        <f t="shared" ca="1" si="11"/>
        <v>#N/A</v>
      </c>
      <c r="E152" t="e">
        <f t="shared" ca="1" si="12"/>
        <v>#N/A</v>
      </c>
      <c r="F152" t="e">
        <f t="shared" ca="1" si="13"/>
        <v>#N/A</v>
      </c>
    </row>
    <row r="153" spans="3:6" x14ac:dyDescent="0.25">
      <c r="C153" t="e">
        <f t="shared" ca="1" si="10"/>
        <v>#N/A</v>
      </c>
      <c r="D153" t="e">
        <f t="shared" ca="1" si="11"/>
        <v>#N/A</v>
      </c>
      <c r="E153" t="e">
        <f t="shared" ca="1" si="12"/>
        <v>#N/A</v>
      </c>
      <c r="F153" t="e">
        <f t="shared" ca="1" si="13"/>
        <v>#N/A</v>
      </c>
    </row>
    <row r="154" spans="3:6" x14ac:dyDescent="0.25">
      <c r="C154" t="e">
        <f t="shared" ca="1" si="10"/>
        <v>#N/A</v>
      </c>
      <c r="D154" t="e">
        <f t="shared" ca="1" si="11"/>
        <v>#N/A</v>
      </c>
      <c r="E154" t="e">
        <f t="shared" ca="1" si="12"/>
        <v>#N/A</v>
      </c>
      <c r="F154" t="e">
        <f t="shared" ca="1" si="13"/>
        <v>#N/A</v>
      </c>
    </row>
    <row r="155" spans="3:6" x14ac:dyDescent="0.25">
      <c r="C155" t="e">
        <f t="shared" ca="1" si="10"/>
        <v>#N/A</v>
      </c>
      <c r="D155" t="e">
        <f t="shared" ca="1" si="11"/>
        <v>#N/A</v>
      </c>
      <c r="E155" t="e">
        <f t="shared" ca="1" si="12"/>
        <v>#N/A</v>
      </c>
      <c r="F155" t="e">
        <f t="shared" ca="1" si="13"/>
        <v>#N/A</v>
      </c>
    </row>
    <row r="156" spans="3:6" x14ac:dyDescent="0.25">
      <c r="C156" t="e">
        <f t="shared" ca="1" si="10"/>
        <v>#N/A</v>
      </c>
      <c r="D156" t="e">
        <f t="shared" ca="1" si="11"/>
        <v>#N/A</v>
      </c>
      <c r="E156" t="e">
        <f t="shared" ca="1" si="12"/>
        <v>#N/A</v>
      </c>
      <c r="F156" t="e">
        <f t="shared" ca="1" si="13"/>
        <v>#N/A</v>
      </c>
    </row>
    <row r="157" spans="3:6" x14ac:dyDescent="0.25">
      <c r="C157" t="e">
        <f t="shared" ca="1" si="10"/>
        <v>#N/A</v>
      </c>
      <c r="D157" t="e">
        <f t="shared" ca="1" si="11"/>
        <v>#N/A</v>
      </c>
      <c r="E157" t="e">
        <f t="shared" ca="1" si="12"/>
        <v>#N/A</v>
      </c>
      <c r="F157" t="e">
        <f t="shared" ca="1" si="13"/>
        <v>#N/A</v>
      </c>
    </row>
    <row r="158" spans="3:6" x14ac:dyDescent="0.25">
      <c r="C158" t="e">
        <f t="shared" ca="1" si="10"/>
        <v>#N/A</v>
      </c>
      <c r="D158" t="e">
        <f t="shared" ca="1" si="11"/>
        <v>#N/A</v>
      </c>
      <c r="E158" t="e">
        <f t="shared" ca="1" si="12"/>
        <v>#N/A</v>
      </c>
      <c r="F158" t="e">
        <f t="shared" ca="1" si="13"/>
        <v>#N/A</v>
      </c>
    </row>
    <row r="159" spans="3:6" x14ac:dyDescent="0.25">
      <c r="C159" t="e">
        <f t="shared" ca="1" si="10"/>
        <v>#N/A</v>
      </c>
      <c r="D159" t="e">
        <f t="shared" ca="1" si="11"/>
        <v>#N/A</v>
      </c>
      <c r="E159" t="e">
        <f t="shared" ca="1" si="12"/>
        <v>#N/A</v>
      </c>
      <c r="F159" t="e">
        <f t="shared" ca="1" si="13"/>
        <v>#N/A</v>
      </c>
    </row>
    <row r="160" spans="3:6" x14ac:dyDescent="0.25">
      <c r="C160" t="e">
        <f t="shared" ca="1" si="10"/>
        <v>#N/A</v>
      </c>
      <c r="D160" t="e">
        <f t="shared" ca="1" si="11"/>
        <v>#N/A</v>
      </c>
      <c r="E160" t="e">
        <f t="shared" ca="1" si="12"/>
        <v>#N/A</v>
      </c>
      <c r="F160" t="e">
        <f t="shared" ca="1" si="13"/>
        <v>#N/A</v>
      </c>
    </row>
    <row r="161" spans="3:6" x14ac:dyDescent="0.25">
      <c r="C161" t="e">
        <f t="shared" ca="1" si="10"/>
        <v>#N/A</v>
      </c>
      <c r="D161" t="e">
        <f t="shared" ca="1" si="11"/>
        <v>#N/A</v>
      </c>
      <c r="E161" t="e">
        <f t="shared" ca="1" si="12"/>
        <v>#N/A</v>
      </c>
      <c r="F161" t="e">
        <f t="shared" ca="1" si="13"/>
        <v>#N/A</v>
      </c>
    </row>
    <row r="162" spans="3:6" x14ac:dyDescent="0.25">
      <c r="C162" t="e">
        <f t="shared" ca="1" si="10"/>
        <v>#N/A</v>
      </c>
      <c r="D162" t="e">
        <f t="shared" ca="1" si="11"/>
        <v>#N/A</v>
      </c>
      <c r="E162" t="e">
        <f t="shared" ca="1" si="12"/>
        <v>#N/A</v>
      </c>
      <c r="F162" t="e">
        <f t="shared" ca="1" si="13"/>
        <v>#N/A</v>
      </c>
    </row>
    <row r="163" spans="3:6" x14ac:dyDescent="0.25">
      <c r="C163" t="e">
        <f t="shared" ca="1" si="10"/>
        <v>#N/A</v>
      </c>
      <c r="D163" t="e">
        <f t="shared" ca="1" si="11"/>
        <v>#N/A</v>
      </c>
      <c r="E163" t="e">
        <f t="shared" ca="1" si="12"/>
        <v>#N/A</v>
      </c>
      <c r="F163" t="e">
        <f t="shared" ca="1" si="13"/>
        <v>#N/A</v>
      </c>
    </row>
    <row r="164" spans="3:6" x14ac:dyDescent="0.25">
      <c r="C164" t="e">
        <f t="shared" ca="1" si="10"/>
        <v>#N/A</v>
      </c>
      <c r="D164" t="e">
        <f t="shared" ca="1" si="11"/>
        <v>#N/A</v>
      </c>
      <c r="E164" t="e">
        <f t="shared" ca="1" si="12"/>
        <v>#N/A</v>
      </c>
      <c r="F164" t="e">
        <f t="shared" ca="1" si="13"/>
        <v>#N/A</v>
      </c>
    </row>
    <row r="165" spans="3:6" x14ac:dyDescent="0.25">
      <c r="C165" t="e">
        <f t="shared" ca="1" si="10"/>
        <v>#N/A</v>
      </c>
      <c r="D165" t="e">
        <f t="shared" ca="1" si="11"/>
        <v>#N/A</v>
      </c>
      <c r="E165" t="e">
        <f t="shared" ca="1" si="12"/>
        <v>#N/A</v>
      </c>
      <c r="F165" t="e">
        <f t="shared" ca="1" si="13"/>
        <v>#N/A</v>
      </c>
    </row>
    <row r="166" spans="3:6" x14ac:dyDescent="0.25">
      <c r="C166" t="e">
        <f t="shared" ca="1" si="10"/>
        <v>#N/A</v>
      </c>
      <c r="D166" t="e">
        <f t="shared" ca="1" si="11"/>
        <v>#N/A</v>
      </c>
      <c r="E166" t="e">
        <f t="shared" ca="1" si="12"/>
        <v>#N/A</v>
      </c>
      <c r="F166" t="e">
        <f t="shared" ca="1" si="13"/>
        <v>#N/A</v>
      </c>
    </row>
    <row r="167" spans="3:6" x14ac:dyDescent="0.25">
      <c r="C167" t="e">
        <f t="shared" ca="1" si="10"/>
        <v>#N/A</v>
      </c>
      <c r="D167" t="e">
        <f t="shared" ca="1" si="11"/>
        <v>#N/A</v>
      </c>
      <c r="E167" t="e">
        <f t="shared" ca="1" si="12"/>
        <v>#N/A</v>
      </c>
      <c r="F167" t="e">
        <f t="shared" ca="1" si="13"/>
        <v>#N/A</v>
      </c>
    </row>
    <row r="168" spans="3:6" x14ac:dyDescent="0.25">
      <c r="C168" t="e">
        <f t="shared" ca="1" si="10"/>
        <v>#N/A</v>
      </c>
      <c r="D168" t="e">
        <f t="shared" ca="1" si="11"/>
        <v>#N/A</v>
      </c>
      <c r="E168" t="e">
        <f t="shared" ca="1" si="12"/>
        <v>#N/A</v>
      </c>
      <c r="F168" t="e">
        <f t="shared" ca="1" si="13"/>
        <v>#N/A</v>
      </c>
    </row>
    <row r="169" spans="3:6" x14ac:dyDescent="0.25">
      <c r="C169" t="e">
        <f t="shared" ca="1" si="10"/>
        <v>#N/A</v>
      </c>
      <c r="D169" t="e">
        <f t="shared" ca="1" si="11"/>
        <v>#N/A</v>
      </c>
      <c r="E169" t="e">
        <f t="shared" ca="1" si="12"/>
        <v>#N/A</v>
      </c>
      <c r="F169" t="e">
        <f t="shared" ca="1" si="13"/>
        <v>#N/A</v>
      </c>
    </row>
    <row r="170" spans="3:6" x14ac:dyDescent="0.25">
      <c r="C170" t="e">
        <f t="shared" ca="1" si="10"/>
        <v>#N/A</v>
      </c>
      <c r="D170" t="e">
        <f t="shared" ca="1" si="11"/>
        <v>#N/A</v>
      </c>
      <c r="E170" t="e">
        <f t="shared" ca="1" si="12"/>
        <v>#N/A</v>
      </c>
      <c r="F170" t="e">
        <f t="shared" ca="1" si="13"/>
        <v>#N/A</v>
      </c>
    </row>
    <row r="171" spans="3:6" x14ac:dyDescent="0.25">
      <c r="C171" t="e">
        <f t="shared" ca="1" si="10"/>
        <v>#N/A</v>
      </c>
      <c r="D171" t="e">
        <f t="shared" ca="1" si="11"/>
        <v>#N/A</v>
      </c>
      <c r="E171" t="e">
        <f t="shared" ca="1" si="12"/>
        <v>#N/A</v>
      </c>
      <c r="F171" t="e">
        <f t="shared" ca="1" si="13"/>
        <v>#N/A</v>
      </c>
    </row>
    <row r="172" spans="3:6" x14ac:dyDescent="0.25">
      <c r="C172" t="e">
        <f t="shared" ca="1" si="10"/>
        <v>#N/A</v>
      </c>
      <c r="D172" t="e">
        <f t="shared" ca="1" si="11"/>
        <v>#N/A</v>
      </c>
      <c r="E172" t="e">
        <f t="shared" ca="1" si="12"/>
        <v>#N/A</v>
      </c>
      <c r="F172" t="e">
        <f t="shared" ca="1" si="13"/>
        <v>#N/A</v>
      </c>
    </row>
    <row r="173" spans="3:6" x14ac:dyDescent="0.25">
      <c r="C173" t="e">
        <f t="shared" ca="1" si="10"/>
        <v>#N/A</v>
      </c>
      <c r="D173" t="e">
        <f t="shared" ca="1" si="11"/>
        <v>#N/A</v>
      </c>
      <c r="E173" t="e">
        <f t="shared" ca="1" si="12"/>
        <v>#N/A</v>
      </c>
      <c r="F173" t="e">
        <f t="shared" ca="1" si="13"/>
        <v>#N/A</v>
      </c>
    </row>
    <row r="174" spans="3:6" x14ac:dyDescent="0.25">
      <c r="C174" t="e">
        <f t="shared" ca="1" si="10"/>
        <v>#N/A</v>
      </c>
      <c r="D174" t="e">
        <f t="shared" ca="1" si="11"/>
        <v>#N/A</v>
      </c>
      <c r="E174" t="e">
        <f t="shared" ca="1" si="12"/>
        <v>#N/A</v>
      </c>
      <c r="F174" t="e">
        <f t="shared" ca="1" si="13"/>
        <v>#N/A</v>
      </c>
    </row>
    <row r="175" spans="3:6" x14ac:dyDescent="0.25">
      <c r="C175" t="e">
        <f t="shared" ca="1" si="10"/>
        <v>#N/A</v>
      </c>
      <c r="D175" t="e">
        <f t="shared" ca="1" si="11"/>
        <v>#N/A</v>
      </c>
      <c r="E175" t="e">
        <f t="shared" ca="1" si="12"/>
        <v>#N/A</v>
      </c>
      <c r="F175" t="e">
        <f t="shared" ca="1" si="13"/>
        <v>#N/A</v>
      </c>
    </row>
    <row r="176" spans="3:6" x14ac:dyDescent="0.25">
      <c r="C176" t="e">
        <f t="shared" ca="1" si="10"/>
        <v>#N/A</v>
      </c>
      <c r="D176" t="e">
        <f t="shared" ca="1" si="11"/>
        <v>#N/A</v>
      </c>
      <c r="E176" t="e">
        <f t="shared" ca="1" si="12"/>
        <v>#N/A</v>
      </c>
      <c r="F176" t="e">
        <f t="shared" ca="1" si="13"/>
        <v>#N/A</v>
      </c>
    </row>
    <row r="177" spans="3:6" x14ac:dyDescent="0.25">
      <c r="C177" t="e">
        <f t="shared" ca="1" si="10"/>
        <v>#N/A</v>
      </c>
      <c r="D177" t="e">
        <f t="shared" ca="1" si="11"/>
        <v>#N/A</v>
      </c>
      <c r="E177" t="e">
        <f t="shared" ca="1" si="12"/>
        <v>#N/A</v>
      </c>
      <c r="F177" t="e">
        <f t="shared" ca="1" si="13"/>
        <v>#N/A</v>
      </c>
    </row>
    <row r="178" spans="3:6" x14ac:dyDescent="0.25">
      <c r="C178" t="e">
        <f t="shared" ca="1" si="10"/>
        <v>#N/A</v>
      </c>
      <c r="D178" t="e">
        <f t="shared" ca="1" si="11"/>
        <v>#N/A</v>
      </c>
      <c r="E178" t="e">
        <f t="shared" ca="1" si="12"/>
        <v>#N/A</v>
      </c>
      <c r="F178" t="e">
        <f t="shared" ca="1" si="13"/>
        <v>#N/A</v>
      </c>
    </row>
    <row r="179" spans="3:6" x14ac:dyDescent="0.25">
      <c r="C179" t="e">
        <f t="shared" ca="1" si="10"/>
        <v>#N/A</v>
      </c>
      <c r="D179" t="e">
        <f t="shared" ca="1" si="11"/>
        <v>#N/A</v>
      </c>
      <c r="E179" t="e">
        <f t="shared" ca="1" si="12"/>
        <v>#N/A</v>
      </c>
      <c r="F179" t="e">
        <f t="shared" ca="1" si="13"/>
        <v>#N/A</v>
      </c>
    </row>
    <row r="180" spans="3:6" x14ac:dyDescent="0.25">
      <c r="C180" t="e">
        <f t="shared" ca="1" si="10"/>
        <v>#N/A</v>
      </c>
      <c r="D180" t="e">
        <f t="shared" ca="1" si="11"/>
        <v>#N/A</v>
      </c>
      <c r="E180" t="e">
        <f t="shared" ca="1" si="12"/>
        <v>#N/A</v>
      </c>
      <c r="F180" t="e">
        <f t="shared" ca="1" si="13"/>
        <v>#N/A</v>
      </c>
    </row>
    <row r="181" spans="3:6" x14ac:dyDescent="0.25">
      <c r="C181" t="e">
        <f t="shared" ca="1" si="10"/>
        <v>#N/A</v>
      </c>
      <c r="D181" t="e">
        <f t="shared" ca="1" si="11"/>
        <v>#N/A</v>
      </c>
      <c r="E181" t="e">
        <f t="shared" ca="1" si="12"/>
        <v>#N/A</v>
      </c>
      <c r="F181" t="e">
        <f t="shared" ca="1" si="13"/>
        <v>#N/A</v>
      </c>
    </row>
    <row r="182" spans="3:6" x14ac:dyDescent="0.25">
      <c r="C182" t="e">
        <f t="shared" ca="1" si="10"/>
        <v>#N/A</v>
      </c>
      <c r="D182" t="e">
        <f t="shared" ca="1" si="11"/>
        <v>#N/A</v>
      </c>
      <c r="E182" t="e">
        <f t="shared" ca="1" si="12"/>
        <v>#N/A</v>
      </c>
      <c r="F182" t="e">
        <f t="shared" ca="1" si="13"/>
        <v>#N/A</v>
      </c>
    </row>
    <row r="183" spans="3:6" x14ac:dyDescent="0.25">
      <c r="C183" t="e">
        <f t="shared" ca="1" si="10"/>
        <v>#N/A</v>
      </c>
      <c r="D183" t="e">
        <f t="shared" ca="1" si="11"/>
        <v>#N/A</v>
      </c>
      <c r="E183" t="e">
        <f t="shared" ca="1" si="12"/>
        <v>#N/A</v>
      </c>
      <c r="F183" t="e">
        <f t="shared" ca="1" si="13"/>
        <v>#N/A</v>
      </c>
    </row>
    <row r="184" spans="3:6" x14ac:dyDescent="0.25">
      <c r="C184" t="e">
        <f t="shared" ca="1" si="10"/>
        <v>#N/A</v>
      </c>
      <c r="D184" t="e">
        <f t="shared" ca="1" si="11"/>
        <v>#N/A</v>
      </c>
      <c r="E184" t="e">
        <f t="shared" ca="1" si="12"/>
        <v>#N/A</v>
      </c>
      <c r="F184" t="e">
        <f t="shared" ca="1" si="13"/>
        <v>#N/A</v>
      </c>
    </row>
    <row r="185" spans="3:6" x14ac:dyDescent="0.25">
      <c r="C185" t="e">
        <f t="shared" ca="1" si="10"/>
        <v>#N/A</v>
      </c>
      <c r="D185" t="e">
        <f t="shared" ca="1" si="11"/>
        <v>#N/A</v>
      </c>
      <c r="E185" t="e">
        <f t="shared" ca="1" si="12"/>
        <v>#N/A</v>
      </c>
      <c r="F185" t="e">
        <f t="shared" ca="1" si="13"/>
        <v>#N/A</v>
      </c>
    </row>
    <row r="186" spans="3:6" x14ac:dyDescent="0.25">
      <c r="C186" t="e">
        <f t="shared" ca="1" si="10"/>
        <v>#N/A</v>
      </c>
      <c r="D186" t="e">
        <f t="shared" ca="1" si="11"/>
        <v>#N/A</v>
      </c>
      <c r="E186" t="e">
        <f t="shared" ca="1" si="12"/>
        <v>#N/A</v>
      </c>
      <c r="F186" t="e">
        <f t="shared" ca="1" si="13"/>
        <v>#N/A</v>
      </c>
    </row>
    <row r="187" spans="3:6" x14ac:dyDescent="0.25">
      <c r="C187" t="e">
        <f t="shared" ca="1" si="10"/>
        <v>#N/A</v>
      </c>
      <c r="D187" t="e">
        <f t="shared" ca="1" si="11"/>
        <v>#N/A</v>
      </c>
      <c r="E187" t="e">
        <f t="shared" ca="1" si="12"/>
        <v>#N/A</v>
      </c>
      <c r="F187" t="e">
        <f t="shared" ca="1" si="13"/>
        <v>#N/A</v>
      </c>
    </row>
    <row r="188" spans="3:6" x14ac:dyDescent="0.25">
      <c r="C188" t="e">
        <f t="shared" ca="1" si="10"/>
        <v>#N/A</v>
      </c>
      <c r="D188" t="e">
        <f t="shared" ca="1" si="11"/>
        <v>#N/A</v>
      </c>
      <c r="E188" t="e">
        <f t="shared" ca="1" si="12"/>
        <v>#N/A</v>
      </c>
      <c r="F188" t="e">
        <f t="shared" ca="1" si="13"/>
        <v>#N/A</v>
      </c>
    </row>
    <row r="189" spans="3:6" x14ac:dyDescent="0.25">
      <c r="C189" t="e">
        <f t="shared" ca="1" si="10"/>
        <v>#N/A</v>
      </c>
      <c r="D189" t="e">
        <f t="shared" ca="1" si="11"/>
        <v>#N/A</v>
      </c>
      <c r="E189" t="e">
        <f t="shared" ca="1" si="12"/>
        <v>#N/A</v>
      </c>
      <c r="F189" t="e">
        <f t="shared" ca="1" si="13"/>
        <v>#N/A</v>
      </c>
    </row>
    <row r="190" spans="3:6" x14ac:dyDescent="0.25">
      <c r="C190" t="e">
        <f t="shared" ca="1" si="10"/>
        <v>#N/A</v>
      </c>
      <c r="D190" t="e">
        <f t="shared" ca="1" si="11"/>
        <v>#N/A</v>
      </c>
      <c r="E190" t="e">
        <f t="shared" ca="1" si="12"/>
        <v>#N/A</v>
      </c>
      <c r="F190" t="e">
        <f t="shared" ca="1" si="13"/>
        <v>#N/A</v>
      </c>
    </row>
    <row r="191" spans="3:6" x14ac:dyDescent="0.25">
      <c r="C191" t="e">
        <f t="shared" ca="1" si="10"/>
        <v>#N/A</v>
      </c>
      <c r="D191" t="e">
        <f t="shared" ca="1" si="11"/>
        <v>#N/A</v>
      </c>
      <c r="E191" t="e">
        <f t="shared" ca="1" si="12"/>
        <v>#N/A</v>
      </c>
      <c r="F191" t="e">
        <f t="shared" ca="1" si="13"/>
        <v>#N/A</v>
      </c>
    </row>
    <row r="192" spans="3:6" x14ac:dyDescent="0.25">
      <c r="C192" t="e">
        <f t="shared" ca="1" si="10"/>
        <v>#N/A</v>
      </c>
      <c r="D192" t="e">
        <f t="shared" ca="1" si="11"/>
        <v>#N/A</v>
      </c>
      <c r="E192" t="e">
        <f t="shared" ca="1" si="12"/>
        <v>#N/A</v>
      </c>
      <c r="F192" t="e">
        <f t="shared" ca="1" si="13"/>
        <v>#N/A</v>
      </c>
    </row>
    <row r="193" spans="3:6" x14ac:dyDescent="0.25">
      <c r="C193" t="e">
        <f t="shared" ca="1" si="10"/>
        <v>#N/A</v>
      </c>
      <c r="D193" t="e">
        <f t="shared" ca="1" si="11"/>
        <v>#N/A</v>
      </c>
      <c r="E193" t="e">
        <f t="shared" ca="1" si="12"/>
        <v>#N/A</v>
      </c>
      <c r="F193" t="e">
        <f t="shared" ca="1" si="13"/>
        <v>#N/A</v>
      </c>
    </row>
    <row r="194" spans="3:6" x14ac:dyDescent="0.25">
      <c r="C194" t="e">
        <f t="shared" ca="1" si="10"/>
        <v>#N/A</v>
      </c>
      <c r="D194" t="e">
        <f t="shared" ca="1" si="11"/>
        <v>#N/A</v>
      </c>
      <c r="E194" t="e">
        <f t="shared" ca="1" si="12"/>
        <v>#N/A</v>
      </c>
      <c r="F194" t="e">
        <f t="shared" ca="1" si="13"/>
        <v>#N/A</v>
      </c>
    </row>
    <row r="195" spans="3:6" x14ac:dyDescent="0.25">
      <c r="C195" t="e">
        <f t="shared" ca="1" si="10"/>
        <v>#N/A</v>
      </c>
      <c r="D195" t="e">
        <f t="shared" ca="1" si="11"/>
        <v>#N/A</v>
      </c>
      <c r="E195" t="e">
        <f t="shared" ca="1" si="12"/>
        <v>#N/A</v>
      </c>
      <c r="F195" t="e">
        <f t="shared" ca="1" si="13"/>
        <v>#N/A</v>
      </c>
    </row>
    <row r="196" spans="3:6" x14ac:dyDescent="0.25">
      <c r="C196" t="e">
        <f t="shared" ca="1" si="10"/>
        <v>#N/A</v>
      </c>
      <c r="D196" t="e">
        <f t="shared" ca="1" si="11"/>
        <v>#N/A</v>
      </c>
      <c r="E196" t="e">
        <f t="shared" ca="1" si="12"/>
        <v>#N/A</v>
      </c>
      <c r="F196" t="e">
        <f t="shared" ca="1" si="13"/>
        <v>#N/A</v>
      </c>
    </row>
    <row r="197" spans="3:6" x14ac:dyDescent="0.25">
      <c r="C197" t="e">
        <f t="shared" ca="1" si="10"/>
        <v>#N/A</v>
      </c>
      <c r="D197" t="e">
        <f t="shared" ca="1" si="11"/>
        <v>#N/A</v>
      </c>
      <c r="E197" t="e">
        <f t="shared" ca="1" si="12"/>
        <v>#N/A</v>
      </c>
      <c r="F197" t="e">
        <f t="shared" ca="1" si="13"/>
        <v>#N/A</v>
      </c>
    </row>
    <row r="198" spans="3:6" x14ac:dyDescent="0.25">
      <c r="C198" t="e">
        <f t="shared" ca="1" si="10"/>
        <v>#N/A</v>
      </c>
      <c r="D198" t="e">
        <f t="shared" ca="1" si="11"/>
        <v>#N/A</v>
      </c>
      <c r="E198" t="e">
        <f t="shared" ca="1" si="12"/>
        <v>#N/A</v>
      </c>
      <c r="F198" t="e">
        <f t="shared" ca="1" si="13"/>
        <v>#N/A</v>
      </c>
    </row>
    <row r="199" spans="3:6" x14ac:dyDescent="0.25">
      <c r="C199" t="e">
        <f t="shared" ca="1" si="10"/>
        <v>#N/A</v>
      </c>
      <c r="D199" t="e">
        <f t="shared" ca="1" si="11"/>
        <v>#N/A</v>
      </c>
      <c r="E199" t="e">
        <f t="shared" ca="1" si="12"/>
        <v>#N/A</v>
      </c>
      <c r="F199" t="e">
        <f t="shared" ca="1" si="13"/>
        <v>#N/A</v>
      </c>
    </row>
    <row r="200" spans="3:6" x14ac:dyDescent="0.25">
      <c r="C200" t="e">
        <f t="shared" ca="1" si="10"/>
        <v>#N/A</v>
      </c>
      <c r="D200" t="e">
        <f t="shared" ca="1" si="11"/>
        <v>#N/A</v>
      </c>
      <c r="E200" t="e">
        <f t="shared" ca="1" si="12"/>
        <v>#N/A</v>
      </c>
      <c r="F200" t="e">
        <f t="shared" ca="1" si="13"/>
        <v>#N/A</v>
      </c>
    </row>
    <row r="201" spans="3:6" x14ac:dyDescent="0.25">
      <c r="C201" t="e">
        <f t="shared" ca="1" si="10"/>
        <v>#N/A</v>
      </c>
      <c r="D201" t="e">
        <f t="shared" ca="1" si="11"/>
        <v>#N/A</v>
      </c>
      <c r="E201" t="e">
        <f t="shared" ca="1" si="12"/>
        <v>#N/A</v>
      </c>
      <c r="F201" t="e">
        <f t="shared" ca="1" si="13"/>
        <v>#N/A</v>
      </c>
    </row>
    <row r="202" spans="3:6" x14ac:dyDescent="0.25">
      <c r="C202" t="e">
        <f t="shared" ref="C202:C265" ca="1" si="14">$C$7</f>
        <v>#N/A</v>
      </c>
      <c r="D202" t="e">
        <f t="shared" ref="D202:D265" ca="1" si="15">$D$7</f>
        <v>#N/A</v>
      </c>
      <c r="E202" t="e">
        <f t="shared" ref="E202:E265" ca="1" si="16">IF($B203="",C$8,"")</f>
        <v>#N/A</v>
      </c>
      <c r="F202" t="e">
        <f t="shared" ref="F202:F265" ca="1" si="17">IF($B203="",D$8,"")</f>
        <v>#N/A</v>
      </c>
    </row>
    <row r="203" spans="3:6" x14ac:dyDescent="0.25">
      <c r="C203" t="e">
        <f t="shared" ca="1" si="14"/>
        <v>#N/A</v>
      </c>
      <c r="D203" t="e">
        <f t="shared" ca="1" si="15"/>
        <v>#N/A</v>
      </c>
      <c r="E203" t="e">
        <f t="shared" ca="1" si="16"/>
        <v>#N/A</v>
      </c>
      <c r="F203" t="e">
        <f t="shared" ca="1" si="17"/>
        <v>#N/A</v>
      </c>
    </row>
    <row r="204" spans="3:6" x14ac:dyDescent="0.25">
      <c r="C204" t="e">
        <f t="shared" ca="1" si="14"/>
        <v>#N/A</v>
      </c>
      <c r="D204" t="e">
        <f t="shared" ca="1" si="15"/>
        <v>#N/A</v>
      </c>
      <c r="E204" t="e">
        <f t="shared" ca="1" si="16"/>
        <v>#N/A</v>
      </c>
      <c r="F204" t="e">
        <f t="shared" ca="1" si="17"/>
        <v>#N/A</v>
      </c>
    </row>
    <row r="205" spans="3:6" x14ac:dyDescent="0.25">
      <c r="C205" t="e">
        <f t="shared" ca="1" si="14"/>
        <v>#N/A</v>
      </c>
      <c r="D205" t="e">
        <f t="shared" ca="1" si="15"/>
        <v>#N/A</v>
      </c>
      <c r="E205" t="e">
        <f t="shared" ca="1" si="16"/>
        <v>#N/A</v>
      </c>
      <c r="F205" t="e">
        <f t="shared" ca="1" si="17"/>
        <v>#N/A</v>
      </c>
    </row>
    <row r="206" spans="3:6" x14ac:dyDescent="0.25">
      <c r="C206" t="e">
        <f t="shared" ca="1" si="14"/>
        <v>#N/A</v>
      </c>
      <c r="D206" t="e">
        <f t="shared" ca="1" si="15"/>
        <v>#N/A</v>
      </c>
      <c r="E206" t="e">
        <f t="shared" ca="1" si="16"/>
        <v>#N/A</v>
      </c>
      <c r="F206" t="e">
        <f t="shared" ca="1" si="17"/>
        <v>#N/A</v>
      </c>
    </row>
    <row r="207" spans="3:6" x14ac:dyDescent="0.25">
      <c r="C207" t="e">
        <f t="shared" ca="1" si="14"/>
        <v>#N/A</v>
      </c>
      <c r="D207" t="e">
        <f t="shared" ca="1" si="15"/>
        <v>#N/A</v>
      </c>
      <c r="E207" t="e">
        <f t="shared" ca="1" si="16"/>
        <v>#N/A</v>
      </c>
      <c r="F207" t="e">
        <f t="shared" ca="1" si="17"/>
        <v>#N/A</v>
      </c>
    </row>
    <row r="208" spans="3:6" x14ac:dyDescent="0.25">
      <c r="C208" t="e">
        <f t="shared" ca="1" si="14"/>
        <v>#N/A</v>
      </c>
      <c r="D208" t="e">
        <f t="shared" ca="1" si="15"/>
        <v>#N/A</v>
      </c>
      <c r="E208" t="e">
        <f t="shared" ca="1" si="16"/>
        <v>#N/A</v>
      </c>
      <c r="F208" t="e">
        <f t="shared" ca="1" si="17"/>
        <v>#N/A</v>
      </c>
    </row>
    <row r="209" spans="3:6" x14ac:dyDescent="0.25">
      <c r="C209" t="e">
        <f t="shared" ca="1" si="14"/>
        <v>#N/A</v>
      </c>
      <c r="D209" t="e">
        <f t="shared" ca="1" si="15"/>
        <v>#N/A</v>
      </c>
      <c r="E209" t="e">
        <f t="shared" ca="1" si="16"/>
        <v>#N/A</v>
      </c>
      <c r="F209" t="e">
        <f t="shared" ca="1" si="17"/>
        <v>#N/A</v>
      </c>
    </row>
    <row r="210" spans="3:6" x14ac:dyDescent="0.25">
      <c r="C210" t="e">
        <f t="shared" ca="1" si="14"/>
        <v>#N/A</v>
      </c>
      <c r="D210" t="e">
        <f t="shared" ca="1" si="15"/>
        <v>#N/A</v>
      </c>
      <c r="E210" t="e">
        <f t="shared" ca="1" si="16"/>
        <v>#N/A</v>
      </c>
      <c r="F210" t="e">
        <f t="shared" ca="1" si="17"/>
        <v>#N/A</v>
      </c>
    </row>
    <row r="211" spans="3:6" x14ac:dyDescent="0.25">
      <c r="C211" t="e">
        <f t="shared" ca="1" si="14"/>
        <v>#N/A</v>
      </c>
      <c r="D211" t="e">
        <f t="shared" ca="1" si="15"/>
        <v>#N/A</v>
      </c>
      <c r="E211" t="e">
        <f t="shared" ca="1" si="16"/>
        <v>#N/A</v>
      </c>
      <c r="F211" t="e">
        <f t="shared" ca="1" si="17"/>
        <v>#N/A</v>
      </c>
    </row>
    <row r="212" spans="3:6" x14ac:dyDescent="0.25">
      <c r="C212" t="e">
        <f t="shared" ca="1" si="14"/>
        <v>#N/A</v>
      </c>
      <c r="D212" t="e">
        <f t="shared" ca="1" si="15"/>
        <v>#N/A</v>
      </c>
      <c r="E212" t="e">
        <f t="shared" ca="1" si="16"/>
        <v>#N/A</v>
      </c>
      <c r="F212" t="e">
        <f t="shared" ca="1" si="17"/>
        <v>#N/A</v>
      </c>
    </row>
    <row r="213" spans="3:6" x14ac:dyDescent="0.25">
      <c r="C213" t="e">
        <f t="shared" ca="1" si="14"/>
        <v>#N/A</v>
      </c>
      <c r="D213" t="e">
        <f t="shared" ca="1" si="15"/>
        <v>#N/A</v>
      </c>
      <c r="E213" t="e">
        <f t="shared" ca="1" si="16"/>
        <v>#N/A</v>
      </c>
      <c r="F213" t="e">
        <f t="shared" ca="1" si="17"/>
        <v>#N/A</v>
      </c>
    </row>
    <row r="214" spans="3:6" x14ac:dyDescent="0.25">
      <c r="C214" t="e">
        <f t="shared" ca="1" si="14"/>
        <v>#N/A</v>
      </c>
      <c r="D214" t="e">
        <f t="shared" ca="1" si="15"/>
        <v>#N/A</v>
      </c>
      <c r="E214" t="e">
        <f t="shared" ca="1" si="16"/>
        <v>#N/A</v>
      </c>
      <c r="F214" t="e">
        <f t="shared" ca="1" si="17"/>
        <v>#N/A</v>
      </c>
    </row>
    <row r="215" spans="3:6" x14ac:dyDescent="0.25">
      <c r="C215" t="e">
        <f t="shared" ca="1" si="14"/>
        <v>#N/A</v>
      </c>
      <c r="D215" t="e">
        <f t="shared" ca="1" si="15"/>
        <v>#N/A</v>
      </c>
      <c r="E215" t="e">
        <f t="shared" ca="1" si="16"/>
        <v>#N/A</v>
      </c>
      <c r="F215" t="e">
        <f t="shared" ca="1" si="17"/>
        <v>#N/A</v>
      </c>
    </row>
    <row r="216" spans="3:6" x14ac:dyDescent="0.25">
      <c r="C216" t="e">
        <f t="shared" ca="1" si="14"/>
        <v>#N/A</v>
      </c>
      <c r="D216" t="e">
        <f t="shared" ca="1" si="15"/>
        <v>#N/A</v>
      </c>
      <c r="E216" t="e">
        <f t="shared" ca="1" si="16"/>
        <v>#N/A</v>
      </c>
      <c r="F216" t="e">
        <f t="shared" ca="1" si="17"/>
        <v>#N/A</v>
      </c>
    </row>
    <row r="217" spans="3:6" x14ac:dyDescent="0.25">
      <c r="C217" t="e">
        <f t="shared" ca="1" si="14"/>
        <v>#N/A</v>
      </c>
      <c r="D217" t="e">
        <f t="shared" ca="1" si="15"/>
        <v>#N/A</v>
      </c>
      <c r="E217" t="e">
        <f t="shared" ca="1" si="16"/>
        <v>#N/A</v>
      </c>
      <c r="F217" t="e">
        <f t="shared" ca="1" si="17"/>
        <v>#N/A</v>
      </c>
    </row>
    <row r="218" spans="3:6" x14ac:dyDescent="0.25">
      <c r="C218" t="e">
        <f t="shared" ca="1" si="14"/>
        <v>#N/A</v>
      </c>
      <c r="D218" t="e">
        <f t="shared" ca="1" si="15"/>
        <v>#N/A</v>
      </c>
      <c r="E218" t="e">
        <f t="shared" ca="1" si="16"/>
        <v>#N/A</v>
      </c>
      <c r="F218" t="e">
        <f t="shared" ca="1" si="17"/>
        <v>#N/A</v>
      </c>
    </row>
    <row r="219" spans="3:6" x14ac:dyDescent="0.25">
      <c r="C219" t="e">
        <f t="shared" ca="1" si="14"/>
        <v>#N/A</v>
      </c>
      <c r="D219" t="e">
        <f t="shared" ca="1" si="15"/>
        <v>#N/A</v>
      </c>
      <c r="E219" t="e">
        <f t="shared" ca="1" si="16"/>
        <v>#N/A</v>
      </c>
      <c r="F219" t="e">
        <f t="shared" ca="1" si="17"/>
        <v>#N/A</v>
      </c>
    </row>
    <row r="220" spans="3:6" x14ac:dyDescent="0.25">
      <c r="C220" t="e">
        <f t="shared" ca="1" si="14"/>
        <v>#N/A</v>
      </c>
      <c r="D220" t="e">
        <f t="shared" ca="1" si="15"/>
        <v>#N/A</v>
      </c>
      <c r="E220" t="e">
        <f t="shared" ca="1" si="16"/>
        <v>#N/A</v>
      </c>
      <c r="F220" t="e">
        <f t="shared" ca="1" si="17"/>
        <v>#N/A</v>
      </c>
    </row>
    <row r="221" spans="3:6" x14ac:dyDescent="0.25">
      <c r="C221" t="e">
        <f t="shared" ca="1" si="14"/>
        <v>#N/A</v>
      </c>
      <c r="D221" t="e">
        <f t="shared" ca="1" si="15"/>
        <v>#N/A</v>
      </c>
      <c r="E221" t="e">
        <f t="shared" ca="1" si="16"/>
        <v>#N/A</v>
      </c>
      <c r="F221" t="e">
        <f t="shared" ca="1" si="17"/>
        <v>#N/A</v>
      </c>
    </row>
    <row r="222" spans="3:6" x14ac:dyDescent="0.25">
      <c r="C222" t="e">
        <f t="shared" ca="1" si="14"/>
        <v>#N/A</v>
      </c>
      <c r="D222" t="e">
        <f t="shared" ca="1" si="15"/>
        <v>#N/A</v>
      </c>
      <c r="E222" t="e">
        <f t="shared" ca="1" si="16"/>
        <v>#N/A</v>
      </c>
      <c r="F222" t="e">
        <f t="shared" ca="1" si="17"/>
        <v>#N/A</v>
      </c>
    </row>
    <row r="223" spans="3:6" x14ac:dyDescent="0.25">
      <c r="C223" t="e">
        <f t="shared" ca="1" si="14"/>
        <v>#N/A</v>
      </c>
      <c r="D223" t="e">
        <f t="shared" ca="1" si="15"/>
        <v>#N/A</v>
      </c>
      <c r="E223" t="e">
        <f t="shared" ca="1" si="16"/>
        <v>#N/A</v>
      </c>
      <c r="F223" t="e">
        <f t="shared" ca="1" si="17"/>
        <v>#N/A</v>
      </c>
    </row>
    <row r="224" spans="3:6" x14ac:dyDescent="0.25">
      <c r="C224" t="e">
        <f t="shared" ca="1" si="14"/>
        <v>#N/A</v>
      </c>
      <c r="D224" t="e">
        <f t="shared" ca="1" si="15"/>
        <v>#N/A</v>
      </c>
      <c r="E224" t="e">
        <f t="shared" ca="1" si="16"/>
        <v>#N/A</v>
      </c>
      <c r="F224" t="e">
        <f t="shared" ca="1" si="17"/>
        <v>#N/A</v>
      </c>
    </row>
    <row r="225" spans="3:6" x14ac:dyDescent="0.25">
      <c r="C225" t="e">
        <f t="shared" ca="1" si="14"/>
        <v>#N/A</v>
      </c>
      <c r="D225" t="e">
        <f t="shared" ca="1" si="15"/>
        <v>#N/A</v>
      </c>
      <c r="E225" t="e">
        <f t="shared" ca="1" si="16"/>
        <v>#N/A</v>
      </c>
      <c r="F225" t="e">
        <f t="shared" ca="1" si="17"/>
        <v>#N/A</v>
      </c>
    </row>
    <row r="226" spans="3:6" x14ac:dyDescent="0.25">
      <c r="C226" t="e">
        <f t="shared" ca="1" si="14"/>
        <v>#N/A</v>
      </c>
      <c r="D226" t="e">
        <f t="shared" ca="1" si="15"/>
        <v>#N/A</v>
      </c>
      <c r="E226" t="e">
        <f t="shared" ca="1" si="16"/>
        <v>#N/A</v>
      </c>
      <c r="F226" t="e">
        <f t="shared" ca="1" si="17"/>
        <v>#N/A</v>
      </c>
    </row>
    <row r="227" spans="3:6" x14ac:dyDescent="0.25">
      <c r="C227" t="e">
        <f t="shared" ca="1" si="14"/>
        <v>#N/A</v>
      </c>
      <c r="D227" t="e">
        <f t="shared" ca="1" si="15"/>
        <v>#N/A</v>
      </c>
      <c r="E227" t="e">
        <f t="shared" ca="1" si="16"/>
        <v>#N/A</v>
      </c>
      <c r="F227" t="e">
        <f t="shared" ca="1" si="17"/>
        <v>#N/A</v>
      </c>
    </row>
    <row r="228" spans="3:6" x14ac:dyDescent="0.25">
      <c r="C228" t="e">
        <f t="shared" ca="1" si="14"/>
        <v>#N/A</v>
      </c>
      <c r="D228" t="e">
        <f t="shared" ca="1" si="15"/>
        <v>#N/A</v>
      </c>
      <c r="E228" t="e">
        <f t="shared" ca="1" si="16"/>
        <v>#N/A</v>
      </c>
      <c r="F228" t="e">
        <f t="shared" ca="1" si="17"/>
        <v>#N/A</v>
      </c>
    </row>
    <row r="229" spans="3:6" x14ac:dyDescent="0.25">
      <c r="C229" t="e">
        <f t="shared" ca="1" si="14"/>
        <v>#N/A</v>
      </c>
      <c r="D229" t="e">
        <f t="shared" ca="1" si="15"/>
        <v>#N/A</v>
      </c>
      <c r="E229" t="e">
        <f t="shared" ca="1" si="16"/>
        <v>#N/A</v>
      </c>
      <c r="F229" t="e">
        <f t="shared" ca="1" si="17"/>
        <v>#N/A</v>
      </c>
    </row>
    <row r="230" spans="3:6" x14ac:dyDescent="0.25">
      <c r="C230" t="e">
        <f t="shared" ca="1" si="14"/>
        <v>#N/A</v>
      </c>
      <c r="D230" t="e">
        <f t="shared" ca="1" si="15"/>
        <v>#N/A</v>
      </c>
      <c r="E230" t="e">
        <f t="shared" ca="1" si="16"/>
        <v>#N/A</v>
      </c>
      <c r="F230" t="e">
        <f t="shared" ca="1" si="17"/>
        <v>#N/A</v>
      </c>
    </row>
    <row r="231" spans="3:6" x14ac:dyDescent="0.25">
      <c r="C231" t="e">
        <f t="shared" ca="1" si="14"/>
        <v>#N/A</v>
      </c>
      <c r="D231" t="e">
        <f t="shared" ca="1" si="15"/>
        <v>#N/A</v>
      </c>
      <c r="E231" t="e">
        <f t="shared" ca="1" si="16"/>
        <v>#N/A</v>
      </c>
      <c r="F231" t="e">
        <f t="shared" ca="1" si="17"/>
        <v>#N/A</v>
      </c>
    </row>
    <row r="232" spans="3:6" x14ac:dyDescent="0.25">
      <c r="C232" t="e">
        <f t="shared" ca="1" si="14"/>
        <v>#N/A</v>
      </c>
      <c r="D232" t="e">
        <f t="shared" ca="1" si="15"/>
        <v>#N/A</v>
      </c>
      <c r="E232" t="e">
        <f t="shared" ca="1" si="16"/>
        <v>#N/A</v>
      </c>
      <c r="F232" t="e">
        <f t="shared" ca="1" si="17"/>
        <v>#N/A</v>
      </c>
    </row>
    <row r="233" spans="3:6" x14ac:dyDescent="0.25">
      <c r="C233" t="e">
        <f t="shared" ca="1" si="14"/>
        <v>#N/A</v>
      </c>
      <c r="D233" t="e">
        <f t="shared" ca="1" si="15"/>
        <v>#N/A</v>
      </c>
      <c r="E233" t="e">
        <f t="shared" ca="1" si="16"/>
        <v>#N/A</v>
      </c>
      <c r="F233" t="e">
        <f t="shared" ca="1" si="17"/>
        <v>#N/A</v>
      </c>
    </row>
    <row r="234" spans="3:6" x14ac:dyDescent="0.25">
      <c r="C234" t="e">
        <f t="shared" ca="1" si="14"/>
        <v>#N/A</v>
      </c>
      <c r="D234" t="e">
        <f t="shared" ca="1" si="15"/>
        <v>#N/A</v>
      </c>
      <c r="E234" t="e">
        <f t="shared" ca="1" si="16"/>
        <v>#N/A</v>
      </c>
      <c r="F234" t="e">
        <f t="shared" ca="1" si="17"/>
        <v>#N/A</v>
      </c>
    </row>
    <row r="235" spans="3:6" x14ac:dyDescent="0.25">
      <c r="C235" t="e">
        <f t="shared" ca="1" si="14"/>
        <v>#N/A</v>
      </c>
      <c r="D235" t="e">
        <f t="shared" ca="1" si="15"/>
        <v>#N/A</v>
      </c>
      <c r="E235" t="e">
        <f t="shared" ca="1" si="16"/>
        <v>#N/A</v>
      </c>
      <c r="F235" t="e">
        <f t="shared" ca="1" si="17"/>
        <v>#N/A</v>
      </c>
    </row>
    <row r="236" spans="3:6" x14ac:dyDescent="0.25">
      <c r="C236" t="e">
        <f t="shared" ca="1" si="14"/>
        <v>#N/A</v>
      </c>
      <c r="D236" t="e">
        <f t="shared" ca="1" si="15"/>
        <v>#N/A</v>
      </c>
      <c r="E236" t="e">
        <f t="shared" ca="1" si="16"/>
        <v>#N/A</v>
      </c>
      <c r="F236" t="e">
        <f t="shared" ca="1" si="17"/>
        <v>#N/A</v>
      </c>
    </row>
    <row r="237" spans="3:6" x14ac:dyDescent="0.25">
      <c r="C237" t="e">
        <f t="shared" ca="1" si="14"/>
        <v>#N/A</v>
      </c>
      <c r="D237" t="e">
        <f t="shared" ca="1" si="15"/>
        <v>#N/A</v>
      </c>
      <c r="E237" t="e">
        <f t="shared" ca="1" si="16"/>
        <v>#N/A</v>
      </c>
      <c r="F237" t="e">
        <f t="shared" ca="1" si="17"/>
        <v>#N/A</v>
      </c>
    </row>
    <row r="238" spans="3:6" x14ac:dyDescent="0.25">
      <c r="C238" t="e">
        <f t="shared" ca="1" si="14"/>
        <v>#N/A</v>
      </c>
      <c r="D238" t="e">
        <f t="shared" ca="1" si="15"/>
        <v>#N/A</v>
      </c>
      <c r="E238" t="e">
        <f t="shared" ca="1" si="16"/>
        <v>#N/A</v>
      </c>
      <c r="F238" t="e">
        <f t="shared" ca="1" si="17"/>
        <v>#N/A</v>
      </c>
    </row>
    <row r="239" spans="3:6" x14ac:dyDescent="0.25">
      <c r="C239" t="e">
        <f t="shared" ca="1" si="14"/>
        <v>#N/A</v>
      </c>
      <c r="D239" t="e">
        <f t="shared" ca="1" si="15"/>
        <v>#N/A</v>
      </c>
      <c r="E239" t="e">
        <f t="shared" ca="1" si="16"/>
        <v>#N/A</v>
      </c>
      <c r="F239" t="e">
        <f t="shared" ca="1" si="17"/>
        <v>#N/A</v>
      </c>
    </row>
    <row r="240" spans="3:6" x14ac:dyDescent="0.25">
      <c r="C240" t="e">
        <f t="shared" ca="1" si="14"/>
        <v>#N/A</v>
      </c>
      <c r="D240" t="e">
        <f t="shared" ca="1" si="15"/>
        <v>#N/A</v>
      </c>
      <c r="E240" t="e">
        <f t="shared" ca="1" si="16"/>
        <v>#N/A</v>
      </c>
      <c r="F240" t="e">
        <f t="shared" ca="1" si="17"/>
        <v>#N/A</v>
      </c>
    </row>
    <row r="241" spans="3:6" x14ac:dyDescent="0.25">
      <c r="C241" t="e">
        <f t="shared" ca="1" si="14"/>
        <v>#N/A</v>
      </c>
      <c r="D241" t="e">
        <f t="shared" ca="1" si="15"/>
        <v>#N/A</v>
      </c>
      <c r="E241" t="e">
        <f t="shared" ca="1" si="16"/>
        <v>#N/A</v>
      </c>
      <c r="F241" t="e">
        <f t="shared" ca="1" si="17"/>
        <v>#N/A</v>
      </c>
    </row>
    <row r="242" spans="3:6" x14ac:dyDescent="0.25">
      <c r="C242" t="e">
        <f t="shared" ca="1" si="14"/>
        <v>#N/A</v>
      </c>
      <c r="D242" t="e">
        <f t="shared" ca="1" si="15"/>
        <v>#N/A</v>
      </c>
      <c r="E242" t="e">
        <f t="shared" ca="1" si="16"/>
        <v>#N/A</v>
      </c>
      <c r="F242" t="e">
        <f t="shared" ca="1" si="17"/>
        <v>#N/A</v>
      </c>
    </row>
    <row r="243" spans="3:6" x14ac:dyDescent="0.25">
      <c r="C243" t="e">
        <f t="shared" ca="1" si="14"/>
        <v>#N/A</v>
      </c>
      <c r="D243" t="e">
        <f t="shared" ca="1" si="15"/>
        <v>#N/A</v>
      </c>
      <c r="E243" t="e">
        <f t="shared" ca="1" si="16"/>
        <v>#N/A</v>
      </c>
      <c r="F243" t="e">
        <f t="shared" ca="1" si="17"/>
        <v>#N/A</v>
      </c>
    </row>
    <row r="244" spans="3:6" x14ac:dyDescent="0.25">
      <c r="C244" t="e">
        <f t="shared" ca="1" si="14"/>
        <v>#N/A</v>
      </c>
      <c r="D244" t="e">
        <f t="shared" ca="1" si="15"/>
        <v>#N/A</v>
      </c>
      <c r="E244" t="e">
        <f t="shared" ca="1" si="16"/>
        <v>#N/A</v>
      </c>
      <c r="F244" t="e">
        <f t="shared" ca="1" si="17"/>
        <v>#N/A</v>
      </c>
    </row>
    <row r="245" spans="3:6" x14ac:dyDescent="0.25">
      <c r="C245" t="e">
        <f t="shared" ca="1" si="14"/>
        <v>#N/A</v>
      </c>
      <c r="D245" t="e">
        <f t="shared" ca="1" si="15"/>
        <v>#N/A</v>
      </c>
      <c r="E245" t="e">
        <f t="shared" ca="1" si="16"/>
        <v>#N/A</v>
      </c>
      <c r="F245" t="e">
        <f t="shared" ca="1" si="17"/>
        <v>#N/A</v>
      </c>
    </row>
    <row r="246" spans="3:6" x14ac:dyDescent="0.25">
      <c r="C246" t="e">
        <f t="shared" ca="1" si="14"/>
        <v>#N/A</v>
      </c>
      <c r="D246" t="e">
        <f t="shared" ca="1" si="15"/>
        <v>#N/A</v>
      </c>
      <c r="E246" t="e">
        <f t="shared" ca="1" si="16"/>
        <v>#N/A</v>
      </c>
      <c r="F246" t="e">
        <f t="shared" ca="1" si="17"/>
        <v>#N/A</v>
      </c>
    </row>
    <row r="247" spans="3:6" x14ac:dyDescent="0.25">
      <c r="C247" t="e">
        <f t="shared" ca="1" si="14"/>
        <v>#N/A</v>
      </c>
      <c r="D247" t="e">
        <f t="shared" ca="1" si="15"/>
        <v>#N/A</v>
      </c>
      <c r="E247" t="e">
        <f t="shared" ca="1" si="16"/>
        <v>#N/A</v>
      </c>
      <c r="F247" t="e">
        <f t="shared" ca="1" si="17"/>
        <v>#N/A</v>
      </c>
    </row>
    <row r="248" spans="3:6" x14ac:dyDescent="0.25">
      <c r="C248" t="e">
        <f t="shared" ca="1" si="14"/>
        <v>#N/A</v>
      </c>
      <c r="D248" t="e">
        <f t="shared" ca="1" si="15"/>
        <v>#N/A</v>
      </c>
      <c r="E248" t="e">
        <f t="shared" ca="1" si="16"/>
        <v>#N/A</v>
      </c>
      <c r="F248" t="e">
        <f t="shared" ca="1" si="17"/>
        <v>#N/A</v>
      </c>
    </row>
    <row r="249" spans="3:6" x14ac:dyDescent="0.25">
      <c r="C249" t="e">
        <f t="shared" ca="1" si="14"/>
        <v>#N/A</v>
      </c>
      <c r="D249" t="e">
        <f t="shared" ca="1" si="15"/>
        <v>#N/A</v>
      </c>
      <c r="E249" t="e">
        <f t="shared" ca="1" si="16"/>
        <v>#N/A</v>
      </c>
      <c r="F249" t="e">
        <f t="shared" ca="1" si="17"/>
        <v>#N/A</v>
      </c>
    </row>
    <row r="250" spans="3:6" x14ac:dyDescent="0.25">
      <c r="C250" t="e">
        <f t="shared" ca="1" si="14"/>
        <v>#N/A</v>
      </c>
      <c r="D250" t="e">
        <f t="shared" ca="1" si="15"/>
        <v>#N/A</v>
      </c>
      <c r="E250" t="e">
        <f t="shared" ca="1" si="16"/>
        <v>#N/A</v>
      </c>
      <c r="F250" t="e">
        <f t="shared" ca="1" si="17"/>
        <v>#N/A</v>
      </c>
    </row>
    <row r="251" spans="3:6" x14ac:dyDescent="0.25">
      <c r="C251" t="e">
        <f t="shared" ca="1" si="14"/>
        <v>#N/A</v>
      </c>
      <c r="D251" t="e">
        <f t="shared" ca="1" si="15"/>
        <v>#N/A</v>
      </c>
      <c r="E251" t="e">
        <f t="shared" ca="1" si="16"/>
        <v>#N/A</v>
      </c>
      <c r="F251" t="e">
        <f t="shared" ca="1" si="17"/>
        <v>#N/A</v>
      </c>
    </row>
    <row r="252" spans="3:6" x14ac:dyDescent="0.25">
      <c r="C252" t="e">
        <f t="shared" ca="1" si="14"/>
        <v>#N/A</v>
      </c>
      <c r="D252" t="e">
        <f t="shared" ca="1" si="15"/>
        <v>#N/A</v>
      </c>
      <c r="E252" t="e">
        <f t="shared" ca="1" si="16"/>
        <v>#N/A</v>
      </c>
      <c r="F252" t="e">
        <f t="shared" ca="1" si="17"/>
        <v>#N/A</v>
      </c>
    </row>
    <row r="253" spans="3:6" x14ac:dyDescent="0.25">
      <c r="C253" t="e">
        <f t="shared" ca="1" si="14"/>
        <v>#N/A</v>
      </c>
      <c r="D253" t="e">
        <f t="shared" ca="1" si="15"/>
        <v>#N/A</v>
      </c>
      <c r="E253" t="e">
        <f t="shared" ca="1" si="16"/>
        <v>#N/A</v>
      </c>
      <c r="F253" t="e">
        <f t="shared" ca="1" si="17"/>
        <v>#N/A</v>
      </c>
    </row>
    <row r="254" spans="3:6" x14ac:dyDescent="0.25">
      <c r="C254" t="e">
        <f t="shared" ca="1" si="14"/>
        <v>#N/A</v>
      </c>
      <c r="D254" t="e">
        <f t="shared" ca="1" si="15"/>
        <v>#N/A</v>
      </c>
      <c r="E254" t="e">
        <f t="shared" ca="1" si="16"/>
        <v>#N/A</v>
      </c>
      <c r="F254" t="e">
        <f t="shared" ca="1" si="17"/>
        <v>#N/A</v>
      </c>
    </row>
    <row r="255" spans="3:6" x14ac:dyDescent="0.25">
      <c r="C255" t="e">
        <f t="shared" ca="1" si="14"/>
        <v>#N/A</v>
      </c>
      <c r="D255" t="e">
        <f t="shared" ca="1" si="15"/>
        <v>#N/A</v>
      </c>
      <c r="E255" t="e">
        <f t="shared" ca="1" si="16"/>
        <v>#N/A</v>
      </c>
      <c r="F255" t="e">
        <f t="shared" ca="1" si="17"/>
        <v>#N/A</v>
      </c>
    </row>
    <row r="256" spans="3:6" x14ac:dyDescent="0.25">
      <c r="C256" t="e">
        <f t="shared" ca="1" si="14"/>
        <v>#N/A</v>
      </c>
      <c r="D256" t="e">
        <f t="shared" ca="1" si="15"/>
        <v>#N/A</v>
      </c>
      <c r="E256" t="e">
        <f t="shared" ca="1" si="16"/>
        <v>#N/A</v>
      </c>
      <c r="F256" t="e">
        <f t="shared" ca="1" si="17"/>
        <v>#N/A</v>
      </c>
    </row>
    <row r="257" spans="3:6" x14ac:dyDescent="0.25">
      <c r="C257" t="e">
        <f t="shared" ca="1" si="14"/>
        <v>#N/A</v>
      </c>
      <c r="D257" t="e">
        <f t="shared" ca="1" si="15"/>
        <v>#N/A</v>
      </c>
      <c r="E257" t="e">
        <f t="shared" ca="1" si="16"/>
        <v>#N/A</v>
      </c>
      <c r="F257" t="e">
        <f t="shared" ca="1" si="17"/>
        <v>#N/A</v>
      </c>
    </row>
    <row r="258" spans="3:6" x14ac:dyDescent="0.25">
      <c r="C258" t="e">
        <f t="shared" ca="1" si="14"/>
        <v>#N/A</v>
      </c>
      <c r="D258" t="e">
        <f t="shared" ca="1" si="15"/>
        <v>#N/A</v>
      </c>
      <c r="E258" t="e">
        <f t="shared" ca="1" si="16"/>
        <v>#N/A</v>
      </c>
      <c r="F258" t="e">
        <f t="shared" ca="1" si="17"/>
        <v>#N/A</v>
      </c>
    </row>
    <row r="259" spans="3:6" x14ac:dyDescent="0.25">
      <c r="C259" t="e">
        <f t="shared" ca="1" si="14"/>
        <v>#N/A</v>
      </c>
      <c r="D259" t="e">
        <f t="shared" ca="1" si="15"/>
        <v>#N/A</v>
      </c>
      <c r="E259" t="e">
        <f t="shared" ca="1" si="16"/>
        <v>#N/A</v>
      </c>
      <c r="F259" t="e">
        <f t="shared" ca="1" si="17"/>
        <v>#N/A</v>
      </c>
    </row>
    <row r="260" spans="3:6" x14ac:dyDescent="0.25">
      <c r="C260" t="e">
        <f t="shared" ca="1" si="14"/>
        <v>#N/A</v>
      </c>
      <c r="D260" t="e">
        <f t="shared" ca="1" si="15"/>
        <v>#N/A</v>
      </c>
      <c r="E260" t="e">
        <f t="shared" ca="1" si="16"/>
        <v>#N/A</v>
      </c>
      <c r="F260" t="e">
        <f t="shared" ca="1" si="17"/>
        <v>#N/A</v>
      </c>
    </row>
    <row r="261" spans="3:6" x14ac:dyDescent="0.25">
      <c r="C261" t="e">
        <f t="shared" ca="1" si="14"/>
        <v>#N/A</v>
      </c>
      <c r="D261" t="e">
        <f t="shared" ca="1" si="15"/>
        <v>#N/A</v>
      </c>
      <c r="E261" t="e">
        <f t="shared" ca="1" si="16"/>
        <v>#N/A</v>
      </c>
      <c r="F261" t="e">
        <f t="shared" ca="1" si="17"/>
        <v>#N/A</v>
      </c>
    </row>
    <row r="262" spans="3:6" x14ac:dyDescent="0.25">
      <c r="C262" t="e">
        <f t="shared" ca="1" si="14"/>
        <v>#N/A</v>
      </c>
      <c r="D262" t="e">
        <f t="shared" ca="1" si="15"/>
        <v>#N/A</v>
      </c>
      <c r="E262" t="e">
        <f t="shared" ca="1" si="16"/>
        <v>#N/A</v>
      </c>
      <c r="F262" t="e">
        <f t="shared" ca="1" si="17"/>
        <v>#N/A</v>
      </c>
    </row>
    <row r="263" spans="3:6" x14ac:dyDescent="0.25">
      <c r="C263" t="e">
        <f t="shared" ca="1" si="14"/>
        <v>#N/A</v>
      </c>
      <c r="D263" t="e">
        <f t="shared" ca="1" si="15"/>
        <v>#N/A</v>
      </c>
      <c r="E263" t="e">
        <f t="shared" ca="1" si="16"/>
        <v>#N/A</v>
      </c>
      <c r="F263" t="e">
        <f t="shared" ca="1" si="17"/>
        <v>#N/A</v>
      </c>
    </row>
    <row r="264" spans="3:6" x14ac:dyDescent="0.25">
      <c r="C264" t="e">
        <f t="shared" ca="1" si="14"/>
        <v>#N/A</v>
      </c>
      <c r="D264" t="e">
        <f t="shared" ca="1" si="15"/>
        <v>#N/A</v>
      </c>
      <c r="E264" t="e">
        <f t="shared" ca="1" si="16"/>
        <v>#N/A</v>
      </c>
      <c r="F264" t="e">
        <f t="shared" ca="1" si="17"/>
        <v>#N/A</v>
      </c>
    </row>
    <row r="265" spans="3:6" x14ac:dyDescent="0.25">
      <c r="C265" t="e">
        <f t="shared" ca="1" si="14"/>
        <v>#N/A</v>
      </c>
      <c r="D265" t="e">
        <f t="shared" ca="1" si="15"/>
        <v>#N/A</v>
      </c>
      <c r="E265" t="e">
        <f t="shared" ca="1" si="16"/>
        <v>#N/A</v>
      </c>
      <c r="F265" t="e">
        <f t="shared" ca="1" si="17"/>
        <v>#N/A</v>
      </c>
    </row>
    <row r="266" spans="3:6" x14ac:dyDescent="0.25">
      <c r="C266" t="e">
        <f t="shared" ref="C266:C329" ca="1" si="18">$C$7</f>
        <v>#N/A</v>
      </c>
      <c r="D266" t="e">
        <f t="shared" ref="D266:D329" ca="1" si="19">$D$7</f>
        <v>#N/A</v>
      </c>
      <c r="E266" t="e">
        <f t="shared" ref="E266:E329" ca="1" si="20">IF($B267="",C$8,"")</f>
        <v>#N/A</v>
      </c>
      <c r="F266" t="e">
        <f t="shared" ref="F266:F329" ca="1" si="21">IF($B267="",D$8,"")</f>
        <v>#N/A</v>
      </c>
    </row>
    <row r="267" spans="3:6" x14ac:dyDescent="0.25">
      <c r="C267" t="e">
        <f t="shared" ca="1" si="18"/>
        <v>#N/A</v>
      </c>
      <c r="D267" t="e">
        <f t="shared" ca="1" si="19"/>
        <v>#N/A</v>
      </c>
      <c r="E267" t="e">
        <f t="shared" ca="1" si="20"/>
        <v>#N/A</v>
      </c>
      <c r="F267" t="e">
        <f t="shared" ca="1" si="21"/>
        <v>#N/A</v>
      </c>
    </row>
    <row r="268" spans="3:6" x14ac:dyDescent="0.25">
      <c r="C268" t="e">
        <f t="shared" ca="1" si="18"/>
        <v>#N/A</v>
      </c>
      <c r="D268" t="e">
        <f t="shared" ca="1" si="19"/>
        <v>#N/A</v>
      </c>
      <c r="E268" t="e">
        <f t="shared" ca="1" si="20"/>
        <v>#N/A</v>
      </c>
      <c r="F268" t="e">
        <f t="shared" ca="1" si="21"/>
        <v>#N/A</v>
      </c>
    </row>
    <row r="269" spans="3:6" x14ac:dyDescent="0.25">
      <c r="C269" t="e">
        <f t="shared" ca="1" si="18"/>
        <v>#N/A</v>
      </c>
      <c r="D269" t="e">
        <f t="shared" ca="1" si="19"/>
        <v>#N/A</v>
      </c>
      <c r="E269" t="e">
        <f t="shared" ca="1" si="20"/>
        <v>#N/A</v>
      </c>
      <c r="F269" t="e">
        <f t="shared" ca="1" si="21"/>
        <v>#N/A</v>
      </c>
    </row>
    <row r="270" spans="3:6" x14ac:dyDescent="0.25">
      <c r="C270" t="e">
        <f t="shared" ca="1" si="18"/>
        <v>#N/A</v>
      </c>
      <c r="D270" t="e">
        <f t="shared" ca="1" si="19"/>
        <v>#N/A</v>
      </c>
      <c r="E270" t="e">
        <f t="shared" ca="1" si="20"/>
        <v>#N/A</v>
      </c>
      <c r="F270" t="e">
        <f t="shared" ca="1" si="21"/>
        <v>#N/A</v>
      </c>
    </row>
    <row r="271" spans="3:6" x14ac:dyDescent="0.25">
      <c r="C271" t="e">
        <f t="shared" ca="1" si="18"/>
        <v>#N/A</v>
      </c>
      <c r="D271" t="e">
        <f t="shared" ca="1" si="19"/>
        <v>#N/A</v>
      </c>
      <c r="E271" t="e">
        <f t="shared" ca="1" si="20"/>
        <v>#N/A</v>
      </c>
      <c r="F271" t="e">
        <f t="shared" ca="1" si="21"/>
        <v>#N/A</v>
      </c>
    </row>
    <row r="272" spans="3:6" x14ac:dyDescent="0.25">
      <c r="C272" t="e">
        <f t="shared" ca="1" si="18"/>
        <v>#N/A</v>
      </c>
      <c r="D272" t="e">
        <f t="shared" ca="1" si="19"/>
        <v>#N/A</v>
      </c>
      <c r="E272" t="e">
        <f t="shared" ca="1" si="20"/>
        <v>#N/A</v>
      </c>
      <c r="F272" t="e">
        <f t="shared" ca="1" si="21"/>
        <v>#N/A</v>
      </c>
    </row>
    <row r="273" spans="3:6" x14ac:dyDescent="0.25">
      <c r="C273" t="e">
        <f t="shared" ca="1" si="18"/>
        <v>#N/A</v>
      </c>
      <c r="D273" t="e">
        <f t="shared" ca="1" si="19"/>
        <v>#N/A</v>
      </c>
      <c r="E273" t="e">
        <f t="shared" ca="1" si="20"/>
        <v>#N/A</v>
      </c>
      <c r="F273" t="e">
        <f t="shared" ca="1" si="21"/>
        <v>#N/A</v>
      </c>
    </row>
    <row r="274" spans="3:6" x14ac:dyDescent="0.25">
      <c r="C274" t="e">
        <f t="shared" ca="1" si="18"/>
        <v>#N/A</v>
      </c>
      <c r="D274" t="e">
        <f t="shared" ca="1" si="19"/>
        <v>#N/A</v>
      </c>
      <c r="E274" t="e">
        <f t="shared" ca="1" si="20"/>
        <v>#N/A</v>
      </c>
      <c r="F274" t="e">
        <f t="shared" ca="1" si="21"/>
        <v>#N/A</v>
      </c>
    </row>
    <row r="275" spans="3:6" x14ac:dyDescent="0.25">
      <c r="C275" t="e">
        <f t="shared" ca="1" si="18"/>
        <v>#N/A</v>
      </c>
      <c r="D275" t="e">
        <f t="shared" ca="1" si="19"/>
        <v>#N/A</v>
      </c>
      <c r="E275" t="e">
        <f t="shared" ca="1" si="20"/>
        <v>#N/A</v>
      </c>
      <c r="F275" t="e">
        <f t="shared" ca="1" si="21"/>
        <v>#N/A</v>
      </c>
    </row>
    <row r="276" spans="3:6" x14ac:dyDescent="0.25">
      <c r="C276" t="e">
        <f t="shared" ca="1" si="18"/>
        <v>#N/A</v>
      </c>
      <c r="D276" t="e">
        <f t="shared" ca="1" si="19"/>
        <v>#N/A</v>
      </c>
      <c r="E276" t="e">
        <f t="shared" ca="1" si="20"/>
        <v>#N/A</v>
      </c>
      <c r="F276" t="e">
        <f t="shared" ca="1" si="21"/>
        <v>#N/A</v>
      </c>
    </row>
    <row r="277" spans="3:6" x14ac:dyDescent="0.25">
      <c r="C277" t="e">
        <f t="shared" ca="1" si="18"/>
        <v>#N/A</v>
      </c>
      <c r="D277" t="e">
        <f t="shared" ca="1" si="19"/>
        <v>#N/A</v>
      </c>
      <c r="E277" t="e">
        <f t="shared" ca="1" si="20"/>
        <v>#N/A</v>
      </c>
      <c r="F277" t="e">
        <f t="shared" ca="1" si="21"/>
        <v>#N/A</v>
      </c>
    </row>
    <row r="278" spans="3:6" x14ac:dyDescent="0.25">
      <c r="C278" t="e">
        <f t="shared" ca="1" si="18"/>
        <v>#N/A</v>
      </c>
      <c r="D278" t="e">
        <f t="shared" ca="1" si="19"/>
        <v>#N/A</v>
      </c>
      <c r="E278" t="e">
        <f t="shared" ca="1" si="20"/>
        <v>#N/A</v>
      </c>
      <c r="F278" t="e">
        <f t="shared" ca="1" si="21"/>
        <v>#N/A</v>
      </c>
    </row>
    <row r="279" spans="3:6" x14ac:dyDescent="0.25">
      <c r="C279" t="e">
        <f t="shared" ca="1" si="18"/>
        <v>#N/A</v>
      </c>
      <c r="D279" t="e">
        <f t="shared" ca="1" si="19"/>
        <v>#N/A</v>
      </c>
      <c r="E279" t="e">
        <f t="shared" ca="1" si="20"/>
        <v>#N/A</v>
      </c>
      <c r="F279" t="e">
        <f t="shared" ca="1" si="21"/>
        <v>#N/A</v>
      </c>
    </row>
    <row r="280" spans="3:6" x14ac:dyDescent="0.25">
      <c r="C280" t="e">
        <f t="shared" ca="1" si="18"/>
        <v>#N/A</v>
      </c>
      <c r="D280" t="e">
        <f t="shared" ca="1" si="19"/>
        <v>#N/A</v>
      </c>
      <c r="E280" t="e">
        <f t="shared" ca="1" si="20"/>
        <v>#N/A</v>
      </c>
      <c r="F280" t="e">
        <f t="shared" ca="1" si="21"/>
        <v>#N/A</v>
      </c>
    </row>
    <row r="281" spans="3:6" x14ac:dyDescent="0.25">
      <c r="C281" t="e">
        <f t="shared" ca="1" si="18"/>
        <v>#N/A</v>
      </c>
      <c r="D281" t="e">
        <f t="shared" ca="1" si="19"/>
        <v>#N/A</v>
      </c>
      <c r="E281" t="e">
        <f t="shared" ca="1" si="20"/>
        <v>#N/A</v>
      </c>
      <c r="F281" t="e">
        <f t="shared" ca="1" si="21"/>
        <v>#N/A</v>
      </c>
    </row>
    <row r="282" spans="3:6" x14ac:dyDescent="0.25">
      <c r="C282" t="e">
        <f t="shared" ca="1" si="18"/>
        <v>#N/A</v>
      </c>
      <c r="D282" t="e">
        <f t="shared" ca="1" si="19"/>
        <v>#N/A</v>
      </c>
      <c r="E282" t="e">
        <f t="shared" ca="1" si="20"/>
        <v>#N/A</v>
      </c>
      <c r="F282" t="e">
        <f t="shared" ca="1" si="21"/>
        <v>#N/A</v>
      </c>
    </row>
    <row r="283" spans="3:6" x14ac:dyDescent="0.25">
      <c r="C283" t="e">
        <f t="shared" ca="1" si="18"/>
        <v>#N/A</v>
      </c>
      <c r="D283" t="e">
        <f t="shared" ca="1" si="19"/>
        <v>#N/A</v>
      </c>
      <c r="E283" t="e">
        <f t="shared" ca="1" si="20"/>
        <v>#N/A</v>
      </c>
      <c r="F283" t="e">
        <f t="shared" ca="1" si="21"/>
        <v>#N/A</v>
      </c>
    </row>
    <row r="284" spans="3:6" x14ac:dyDescent="0.25">
      <c r="C284" t="e">
        <f t="shared" ca="1" si="18"/>
        <v>#N/A</v>
      </c>
      <c r="D284" t="e">
        <f t="shared" ca="1" si="19"/>
        <v>#N/A</v>
      </c>
      <c r="E284" t="e">
        <f t="shared" ca="1" si="20"/>
        <v>#N/A</v>
      </c>
      <c r="F284" t="e">
        <f t="shared" ca="1" si="21"/>
        <v>#N/A</v>
      </c>
    </row>
    <row r="285" spans="3:6" x14ac:dyDescent="0.25">
      <c r="C285" t="e">
        <f t="shared" ca="1" si="18"/>
        <v>#N/A</v>
      </c>
      <c r="D285" t="e">
        <f t="shared" ca="1" si="19"/>
        <v>#N/A</v>
      </c>
      <c r="E285" t="e">
        <f t="shared" ca="1" si="20"/>
        <v>#N/A</v>
      </c>
      <c r="F285" t="e">
        <f t="shared" ca="1" si="21"/>
        <v>#N/A</v>
      </c>
    </row>
    <row r="286" spans="3:6" x14ac:dyDescent="0.25">
      <c r="C286" t="e">
        <f t="shared" ca="1" si="18"/>
        <v>#N/A</v>
      </c>
      <c r="D286" t="e">
        <f t="shared" ca="1" si="19"/>
        <v>#N/A</v>
      </c>
      <c r="E286" t="e">
        <f t="shared" ca="1" si="20"/>
        <v>#N/A</v>
      </c>
      <c r="F286" t="e">
        <f t="shared" ca="1" si="21"/>
        <v>#N/A</v>
      </c>
    </row>
    <row r="287" spans="3:6" x14ac:dyDescent="0.25">
      <c r="C287" t="e">
        <f t="shared" ca="1" si="18"/>
        <v>#N/A</v>
      </c>
      <c r="D287" t="e">
        <f t="shared" ca="1" si="19"/>
        <v>#N/A</v>
      </c>
      <c r="E287" t="e">
        <f t="shared" ca="1" si="20"/>
        <v>#N/A</v>
      </c>
      <c r="F287" t="e">
        <f t="shared" ca="1" si="21"/>
        <v>#N/A</v>
      </c>
    </row>
    <row r="288" spans="3:6" x14ac:dyDescent="0.25">
      <c r="C288" t="e">
        <f t="shared" ca="1" si="18"/>
        <v>#N/A</v>
      </c>
      <c r="D288" t="e">
        <f t="shared" ca="1" si="19"/>
        <v>#N/A</v>
      </c>
      <c r="E288" t="e">
        <f t="shared" ca="1" si="20"/>
        <v>#N/A</v>
      </c>
      <c r="F288" t="e">
        <f t="shared" ca="1" si="21"/>
        <v>#N/A</v>
      </c>
    </row>
    <row r="289" spans="3:6" x14ac:dyDescent="0.25">
      <c r="C289" t="e">
        <f t="shared" ca="1" si="18"/>
        <v>#N/A</v>
      </c>
      <c r="D289" t="e">
        <f t="shared" ca="1" si="19"/>
        <v>#N/A</v>
      </c>
      <c r="E289" t="e">
        <f t="shared" ca="1" si="20"/>
        <v>#N/A</v>
      </c>
      <c r="F289" t="e">
        <f t="shared" ca="1" si="21"/>
        <v>#N/A</v>
      </c>
    </row>
    <row r="290" spans="3:6" x14ac:dyDescent="0.25">
      <c r="C290" t="e">
        <f t="shared" ca="1" si="18"/>
        <v>#N/A</v>
      </c>
      <c r="D290" t="e">
        <f t="shared" ca="1" si="19"/>
        <v>#N/A</v>
      </c>
      <c r="E290" t="e">
        <f t="shared" ca="1" si="20"/>
        <v>#N/A</v>
      </c>
      <c r="F290" t="e">
        <f t="shared" ca="1" si="21"/>
        <v>#N/A</v>
      </c>
    </row>
    <row r="291" spans="3:6" x14ac:dyDescent="0.25">
      <c r="C291" t="e">
        <f t="shared" ca="1" si="18"/>
        <v>#N/A</v>
      </c>
      <c r="D291" t="e">
        <f t="shared" ca="1" si="19"/>
        <v>#N/A</v>
      </c>
      <c r="E291" t="e">
        <f t="shared" ca="1" si="20"/>
        <v>#N/A</v>
      </c>
      <c r="F291" t="e">
        <f t="shared" ca="1" si="21"/>
        <v>#N/A</v>
      </c>
    </row>
    <row r="292" spans="3:6" x14ac:dyDescent="0.25">
      <c r="C292" t="e">
        <f t="shared" ca="1" si="18"/>
        <v>#N/A</v>
      </c>
      <c r="D292" t="e">
        <f t="shared" ca="1" si="19"/>
        <v>#N/A</v>
      </c>
      <c r="E292" t="e">
        <f t="shared" ca="1" si="20"/>
        <v>#N/A</v>
      </c>
      <c r="F292" t="e">
        <f t="shared" ca="1" si="21"/>
        <v>#N/A</v>
      </c>
    </row>
    <row r="293" spans="3:6" x14ac:dyDescent="0.25">
      <c r="C293" t="e">
        <f t="shared" ca="1" si="18"/>
        <v>#N/A</v>
      </c>
      <c r="D293" t="e">
        <f t="shared" ca="1" si="19"/>
        <v>#N/A</v>
      </c>
      <c r="E293" t="e">
        <f t="shared" ca="1" si="20"/>
        <v>#N/A</v>
      </c>
      <c r="F293" t="e">
        <f t="shared" ca="1" si="21"/>
        <v>#N/A</v>
      </c>
    </row>
    <row r="294" spans="3:6" x14ac:dyDescent="0.25">
      <c r="C294" t="e">
        <f t="shared" ca="1" si="18"/>
        <v>#N/A</v>
      </c>
      <c r="D294" t="e">
        <f t="shared" ca="1" si="19"/>
        <v>#N/A</v>
      </c>
      <c r="E294" t="e">
        <f t="shared" ca="1" si="20"/>
        <v>#N/A</v>
      </c>
      <c r="F294" t="e">
        <f t="shared" ca="1" si="21"/>
        <v>#N/A</v>
      </c>
    </row>
    <row r="295" spans="3:6" x14ac:dyDescent="0.25">
      <c r="C295" t="e">
        <f t="shared" ca="1" si="18"/>
        <v>#N/A</v>
      </c>
      <c r="D295" t="e">
        <f t="shared" ca="1" si="19"/>
        <v>#N/A</v>
      </c>
      <c r="E295" t="e">
        <f t="shared" ca="1" si="20"/>
        <v>#N/A</v>
      </c>
      <c r="F295" t="e">
        <f t="shared" ca="1" si="21"/>
        <v>#N/A</v>
      </c>
    </row>
    <row r="296" spans="3:6" x14ac:dyDescent="0.25">
      <c r="C296" t="e">
        <f t="shared" ca="1" si="18"/>
        <v>#N/A</v>
      </c>
      <c r="D296" t="e">
        <f t="shared" ca="1" si="19"/>
        <v>#N/A</v>
      </c>
      <c r="E296" t="e">
        <f t="shared" ca="1" si="20"/>
        <v>#N/A</v>
      </c>
      <c r="F296" t="e">
        <f t="shared" ca="1" si="21"/>
        <v>#N/A</v>
      </c>
    </row>
    <row r="297" spans="3:6" x14ac:dyDescent="0.25">
      <c r="C297" t="e">
        <f t="shared" ca="1" si="18"/>
        <v>#N/A</v>
      </c>
      <c r="D297" t="e">
        <f t="shared" ca="1" si="19"/>
        <v>#N/A</v>
      </c>
      <c r="E297" t="e">
        <f t="shared" ca="1" si="20"/>
        <v>#N/A</v>
      </c>
      <c r="F297" t="e">
        <f t="shared" ca="1" si="21"/>
        <v>#N/A</v>
      </c>
    </row>
    <row r="298" spans="3:6" x14ac:dyDescent="0.25">
      <c r="C298" t="e">
        <f t="shared" ca="1" si="18"/>
        <v>#N/A</v>
      </c>
      <c r="D298" t="e">
        <f t="shared" ca="1" si="19"/>
        <v>#N/A</v>
      </c>
      <c r="E298" t="e">
        <f t="shared" ca="1" si="20"/>
        <v>#N/A</v>
      </c>
      <c r="F298" t="e">
        <f t="shared" ca="1" si="21"/>
        <v>#N/A</v>
      </c>
    </row>
    <row r="299" spans="3:6" x14ac:dyDescent="0.25">
      <c r="C299" t="e">
        <f t="shared" ca="1" si="18"/>
        <v>#N/A</v>
      </c>
      <c r="D299" t="e">
        <f t="shared" ca="1" si="19"/>
        <v>#N/A</v>
      </c>
      <c r="E299" t="e">
        <f t="shared" ca="1" si="20"/>
        <v>#N/A</v>
      </c>
      <c r="F299" t="e">
        <f t="shared" ca="1" si="21"/>
        <v>#N/A</v>
      </c>
    </row>
    <row r="300" spans="3:6" x14ac:dyDescent="0.25">
      <c r="C300" t="e">
        <f t="shared" ca="1" si="18"/>
        <v>#N/A</v>
      </c>
      <c r="D300" t="e">
        <f t="shared" ca="1" si="19"/>
        <v>#N/A</v>
      </c>
      <c r="E300" t="e">
        <f t="shared" ca="1" si="20"/>
        <v>#N/A</v>
      </c>
      <c r="F300" t="e">
        <f t="shared" ca="1" si="21"/>
        <v>#N/A</v>
      </c>
    </row>
    <row r="301" spans="3:6" x14ac:dyDescent="0.25">
      <c r="C301" t="e">
        <f t="shared" ca="1" si="18"/>
        <v>#N/A</v>
      </c>
      <c r="D301" t="e">
        <f t="shared" ca="1" si="19"/>
        <v>#N/A</v>
      </c>
      <c r="E301" t="e">
        <f t="shared" ca="1" si="20"/>
        <v>#N/A</v>
      </c>
      <c r="F301" t="e">
        <f t="shared" ca="1" si="21"/>
        <v>#N/A</v>
      </c>
    </row>
    <row r="302" spans="3:6" x14ac:dyDescent="0.25">
      <c r="C302" t="e">
        <f t="shared" ca="1" si="18"/>
        <v>#N/A</v>
      </c>
      <c r="D302" t="e">
        <f t="shared" ca="1" si="19"/>
        <v>#N/A</v>
      </c>
      <c r="E302" t="e">
        <f t="shared" ca="1" si="20"/>
        <v>#N/A</v>
      </c>
      <c r="F302" t="e">
        <f t="shared" ca="1" si="21"/>
        <v>#N/A</v>
      </c>
    </row>
    <row r="303" spans="3:6" x14ac:dyDescent="0.25">
      <c r="C303" t="e">
        <f t="shared" ca="1" si="18"/>
        <v>#N/A</v>
      </c>
      <c r="D303" t="e">
        <f t="shared" ca="1" si="19"/>
        <v>#N/A</v>
      </c>
      <c r="E303" t="e">
        <f t="shared" ca="1" si="20"/>
        <v>#N/A</v>
      </c>
      <c r="F303" t="e">
        <f t="shared" ca="1" si="21"/>
        <v>#N/A</v>
      </c>
    </row>
    <row r="304" spans="3:6" x14ac:dyDescent="0.25">
      <c r="C304" t="e">
        <f t="shared" ca="1" si="18"/>
        <v>#N/A</v>
      </c>
      <c r="D304" t="e">
        <f t="shared" ca="1" si="19"/>
        <v>#N/A</v>
      </c>
      <c r="E304" t="e">
        <f t="shared" ca="1" si="20"/>
        <v>#N/A</v>
      </c>
      <c r="F304" t="e">
        <f t="shared" ca="1" si="21"/>
        <v>#N/A</v>
      </c>
    </row>
    <row r="305" spans="3:6" x14ac:dyDescent="0.25">
      <c r="C305" t="e">
        <f t="shared" ca="1" si="18"/>
        <v>#N/A</v>
      </c>
      <c r="D305" t="e">
        <f t="shared" ca="1" si="19"/>
        <v>#N/A</v>
      </c>
      <c r="E305" t="e">
        <f t="shared" ca="1" si="20"/>
        <v>#N/A</v>
      </c>
      <c r="F305" t="e">
        <f t="shared" ca="1" si="21"/>
        <v>#N/A</v>
      </c>
    </row>
    <row r="306" spans="3:6" x14ac:dyDescent="0.25">
      <c r="C306" t="e">
        <f t="shared" ca="1" si="18"/>
        <v>#N/A</v>
      </c>
      <c r="D306" t="e">
        <f t="shared" ca="1" si="19"/>
        <v>#N/A</v>
      </c>
      <c r="E306" t="e">
        <f t="shared" ca="1" si="20"/>
        <v>#N/A</v>
      </c>
      <c r="F306" t="e">
        <f t="shared" ca="1" si="21"/>
        <v>#N/A</v>
      </c>
    </row>
    <row r="307" spans="3:6" x14ac:dyDescent="0.25">
      <c r="C307" t="e">
        <f t="shared" ca="1" si="18"/>
        <v>#N/A</v>
      </c>
      <c r="D307" t="e">
        <f t="shared" ca="1" si="19"/>
        <v>#N/A</v>
      </c>
      <c r="E307" t="e">
        <f t="shared" ca="1" si="20"/>
        <v>#N/A</v>
      </c>
      <c r="F307" t="e">
        <f t="shared" ca="1" si="21"/>
        <v>#N/A</v>
      </c>
    </row>
    <row r="308" spans="3:6" x14ac:dyDescent="0.25">
      <c r="C308" t="e">
        <f t="shared" ca="1" si="18"/>
        <v>#N/A</v>
      </c>
      <c r="D308" t="e">
        <f t="shared" ca="1" si="19"/>
        <v>#N/A</v>
      </c>
      <c r="E308" t="e">
        <f t="shared" ca="1" si="20"/>
        <v>#N/A</v>
      </c>
      <c r="F308" t="e">
        <f t="shared" ca="1" si="21"/>
        <v>#N/A</v>
      </c>
    </row>
    <row r="309" spans="3:6" x14ac:dyDescent="0.25">
      <c r="C309" t="e">
        <f t="shared" ca="1" si="18"/>
        <v>#N/A</v>
      </c>
      <c r="D309" t="e">
        <f t="shared" ca="1" si="19"/>
        <v>#N/A</v>
      </c>
      <c r="E309" t="e">
        <f t="shared" ca="1" si="20"/>
        <v>#N/A</v>
      </c>
      <c r="F309" t="e">
        <f t="shared" ca="1" si="21"/>
        <v>#N/A</v>
      </c>
    </row>
    <row r="310" spans="3:6" x14ac:dyDescent="0.25">
      <c r="C310" t="e">
        <f t="shared" ca="1" si="18"/>
        <v>#N/A</v>
      </c>
      <c r="D310" t="e">
        <f t="shared" ca="1" si="19"/>
        <v>#N/A</v>
      </c>
      <c r="E310" t="e">
        <f t="shared" ca="1" si="20"/>
        <v>#N/A</v>
      </c>
      <c r="F310" t="e">
        <f t="shared" ca="1" si="21"/>
        <v>#N/A</v>
      </c>
    </row>
    <row r="311" spans="3:6" x14ac:dyDescent="0.25">
      <c r="C311" t="e">
        <f t="shared" ca="1" si="18"/>
        <v>#N/A</v>
      </c>
      <c r="D311" t="e">
        <f t="shared" ca="1" si="19"/>
        <v>#N/A</v>
      </c>
      <c r="E311" t="e">
        <f t="shared" ca="1" si="20"/>
        <v>#N/A</v>
      </c>
      <c r="F311" t="e">
        <f t="shared" ca="1" si="21"/>
        <v>#N/A</v>
      </c>
    </row>
    <row r="312" spans="3:6" x14ac:dyDescent="0.25">
      <c r="C312" t="e">
        <f t="shared" ca="1" si="18"/>
        <v>#N/A</v>
      </c>
      <c r="D312" t="e">
        <f t="shared" ca="1" si="19"/>
        <v>#N/A</v>
      </c>
      <c r="E312" t="e">
        <f t="shared" ca="1" si="20"/>
        <v>#N/A</v>
      </c>
      <c r="F312" t="e">
        <f t="shared" ca="1" si="21"/>
        <v>#N/A</v>
      </c>
    </row>
    <row r="313" spans="3:6" x14ac:dyDescent="0.25">
      <c r="C313" t="e">
        <f t="shared" ca="1" si="18"/>
        <v>#N/A</v>
      </c>
      <c r="D313" t="e">
        <f t="shared" ca="1" si="19"/>
        <v>#N/A</v>
      </c>
      <c r="E313" t="e">
        <f t="shared" ca="1" si="20"/>
        <v>#N/A</v>
      </c>
      <c r="F313" t="e">
        <f t="shared" ca="1" si="21"/>
        <v>#N/A</v>
      </c>
    </row>
    <row r="314" spans="3:6" x14ac:dyDescent="0.25">
      <c r="C314" t="e">
        <f t="shared" ca="1" si="18"/>
        <v>#N/A</v>
      </c>
      <c r="D314" t="e">
        <f t="shared" ca="1" si="19"/>
        <v>#N/A</v>
      </c>
      <c r="E314" t="e">
        <f t="shared" ca="1" si="20"/>
        <v>#N/A</v>
      </c>
      <c r="F314" t="e">
        <f t="shared" ca="1" si="21"/>
        <v>#N/A</v>
      </c>
    </row>
    <row r="315" spans="3:6" x14ac:dyDescent="0.25">
      <c r="C315" t="e">
        <f t="shared" ca="1" si="18"/>
        <v>#N/A</v>
      </c>
      <c r="D315" t="e">
        <f t="shared" ca="1" si="19"/>
        <v>#N/A</v>
      </c>
      <c r="E315" t="e">
        <f t="shared" ca="1" si="20"/>
        <v>#N/A</v>
      </c>
      <c r="F315" t="e">
        <f t="shared" ca="1" si="21"/>
        <v>#N/A</v>
      </c>
    </row>
    <row r="316" spans="3:6" x14ac:dyDescent="0.25">
      <c r="C316" t="e">
        <f t="shared" ca="1" si="18"/>
        <v>#N/A</v>
      </c>
      <c r="D316" t="e">
        <f t="shared" ca="1" si="19"/>
        <v>#N/A</v>
      </c>
      <c r="E316" t="e">
        <f t="shared" ca="1" si="20"/>
        <v>#N/A</v>
      </c>
      <c r="F316" t="e">
        <f t="shared" ca="1" si="21"/>
        <v>#N/A</v>
      </c>
    </row>
    <row r="317" spans="3:6" x14ac:dyDescent="0.25">
      <c r="C317" t="e">
        <f t="shared" ca="1" si="18"/>
        <v>#N/A</v>
      </c>
      <c r="D317" t="e">
        <f t="shared" ca="1" si="19"/>
        <v>#N/A</v>
      </c>
      <c r="E317" t="e">
        <f t="shared" ca="1" si="20"/>
        <v>#N/A</v>
      </c>
      <c r="F317" t="e">
        <f t="shared" ca="1" si="21"/>
        <v>#N/A</v>
      </c>
    </row>
    <row r="318" spans="3:6" x14ac:dyDescent="0.25">
      <c r="C318" t="e">
        <f t="shared" ca="1" si="18"/>
        <v>#N/A</v>
      </c>
      <c r="D318" t="e">
        <f t="shared" ca="1" si="19"/>
        <v>#N/A</v>
      </c>
      <c r="E318" t="e">
        <f t="shared" ca="1" si="20"/>
        <v>#N/A</v>
      </c>
      <c r="F318" t="e">
        <f t="shared" ca="1" si="21"/>
        <v>#N/A</v>
      </c>
    </row>
    <row r="319" spans="3:6" x14ac:dyDescent="0.25">
      <c r="C319" t="e">
        <f t="shared" ca="1" si="18"/>
        <v>#N/A</v>
      </c>
      <c r="D319" t="e">
        <f t="shared" ca="1" si="19"/>
        <v>#N/A</v>
      </c>
      <c r="E319" t="e">
        <f t="shared" ca="1" si="20"/>
        <v>#N/A</v>
      </c>
      <c r="F319" t="e">
        <f t="shared" ca="1" si="21"/>
        <v>#N/A</v>
      </c>
    </row>
    <row r="320" spans="3:6" x14ac:dyDescent="0.25">
      <c r="C320" t="e">
        <f t="shared" ca="1" si="18"/>
        <v>#N/A</v>
      </c>
      <c r="D320" t="e">
        <f t="shared" ca="1" si="19"/>
        <v>#N/A</v>
      </c>
      <c r="E320" t="e">
        <f t="shared" ca="1" si="20"/>
        <v>#N/A</v>
      </c>
      <c r="F320" t="e">
        <f t="shared" ca="1" si="21"/>
        <v>#N/A</v>
      </c>
    </row>
    <row r="321" spans="3:6" x14ac:dyDescent="0.25">
      <c r="C321" t="e">
        <f t="shared" ca="1" si="18"/>
        <v>#N/A</v>
      </c>
      <c r="D321" t="e">
        <f t="shared" ca="1" si="19"/>
        <v>#N/A</v>
      </c>
      <c r="E321" t="e">
        <f t="shared" ca="1" si="20"/>
        <v>#N/A</v>
      </c>
      <c r="F321" t="e">
        <f t="shared" ca="1" si="21"/>
        <v>#N/A</v>
      </c>
    </row>
    <row r="322" spans="3:6" x14ac:dyDescent="0.25">
      <c r="C322" t="e">
        <f t="shared" ca="1" si="18"/>
        <v>#N/A</v>
      </c>
      <c r="D322" t="e">
        <f t="shared" ca="1" si="19"/>
        <v>#N/A</v>
      </c>
      <c r="E322" t="e">
        <f t="shared" ca="1" si="20"/>
        <v>#N/A</v>
      </c>
      <c r="F322" t="e">
        <f t="shared" ca="1" si="21"/>
        <v>#N/A</v>
      </c>
    </row>
    <row r="323" spans="3:6" x14ac:dyDescent="0.25">
      <c r="C323" t="e">
        <f t="shared" ca="1" si="18"/>
        <v>#N/A</v>
      </c>
      <c r="D323" t="e">
        <f t="shared" ca="1" si="19"/>
        <v>#N/A</v>
      </c>
      <c r="E323" t="e">
        <f t="shared" ca="1" si="20"/>
        <v>#N/A</v>
      </c>
      <c r="F323" t="e">
        <f t="shared" ca="1" si="21"/>
        <v>#N/A</v>
      </c>
    </row>
    <row r="324" spans="3:6" x14ac:dyDescent="0.25">
      <c r="C324" t="e">
        <f t="shared" ca="1" si="18"/>
        <v>#N/A</v>
      </c>
      <c r="D324" t="e">
        <f t="shared" ca="1" si="19"/>
        <v>#N/A</v>
      </c>
      <c r="E324" t="e">
        <f t="shared" ca="1" si="20"/>
        <v>#N/A</v>
      </c>
      <c r="F324" t="e">
        <f t="shared" ca="1" si="21"/>
        <v>#N/A</v>
      </c>
    </row>
    <row r="325" spans="3:6" x14ac:dyDescent="0.25">
      <c r="C325" t="e">
        <f t="shared" ca="1" si="18"/>
        <v>#N/A</v>
      </c>
      <c r="D325" t="e">
        <f t="shared" ca="1" si="19"/>
        <v>#N/A</v>
      </c>
      <c r="E325" t="e">
        <f t="shared" ca="1" si="20"/>
        <v>#N/A</v>
      </c>
      <c r="F325" t="e">
        <f t="shared" ca="1" si="21"/>
        <v>#N/A</v>
      </c>
    </row>
    <row r="326" spans="3:6" x14ac:dyDescent="0.25">
      <c r="C326" t="e">
        <f t="shared" ca="1" si="18"/>
        <v>#N/A</v>
      </c>
      <c r="D326" t="e">
        <f t="shared" ca="1" si="19"/>
        <v>#N/A</v>
      </c>
      <c r="E326" t="e">
        <f t="shared" ca="1" si="20"/>
        <v>#N/A</v>
      </c>
      <c r="F326" t="e">
        <f t="shared" ca="1" si="21"/>
        <v>#N/A</v>
      </c>
    </row>
    <row r="327" spans="3:6" x14ac:dyDescent="0.25">
      <c r="C327" t="e">
        <f t="shared" ca="1" si="18"/>
        <v>#N/A</v>
      </c>
      <c r="D327" t="e">
        <f t="shared" ca="1" si="19"/>
        <v>#N/A</v>
      </c>
      <c r="E327" t="e">
        <f t="shared" ca="1" si="20"/>
        <v>#N/A</v>
      </c>
      <c r="F327" t="e">
        <f t="shared" ca="1" si="21"/>
        <v>#N/A</v>
      </c>
    </row>
    <row r="328" spans="3:6" x14ac:dyDescent="0.25">
      <c r="C328" t="e">
        <f t="shared" ca="1" si="18"/>
        <v>#N/A</v>
      </c>
      <c r="D328" t="e">
        <f t="shared" ca="1" si="19"/>
        <v>#N/A</v>
      </c>
      <c r="E328" t="e">
        <f t="shared" ca="1" si="20"/>
        <v>#N/A</v>
      </c>
      <c r="F328" t="e">
        <f t="shared" ca="1" si="21"/>
        <v>#N/A</v>
      </c>
    </row>
    <row r="329" spans="3:6" x14ac:dyDescent="0.25">
      <c r="C329" t="e">
        <f t="shared" ca="1" si="18"/>
        <v>#N/A</v>
      </c>
      <c r="D329" t="e">
        <f t="shared" ca="1" si="19"/>
        <v>#N/A</v>
      </c>
      <c r="E329" t="e">
        <f t="shared" ca="1" si="20"/>
        <v>#N/A</v>
      </c>
      <c r="F329" t="e">
        <f t="shared" ca="1" si="21"/>
        <v>#N/A</v>
      </c>
    </row>
    <row r="330" spans="3:6" x14ac:dyDescent="0.25">
      <c r="C330" t="e">
        <f t="shared" ref="C330:C393" ca="1" si="22">$C$7</f>
        <v>#N/A</v>
      </c>
      <c r="D330" t="e">
        <f t="shared" ref="D330:D393" ca="1" si="23">$D$7</f>
        <v>#N/A</v>
      </c>
      <c r="E330" t="e">
        <f t="shared" ref="E330:E393" ca="1" si="24">IF($B331="",C$8,"")</f>
        <v>#N/A</v>
      </c>
      <c r="F330" t="e">
        <f t="shared" ref="F330:F393" ca="1" si="25">IF($B331="",D$8,"")</f>
        <v>#N/A</v>
      </c>
    </row>
    <row r="331" spans="3:6" x14ac:dyDescent="0.25">
      <c r="C331" t="e">
        <f t="shared" ca="1" si="22"/>
        <v>#N/A</v>
      </c>
      <c r="D331" t="e">
        <f t="shared" ca="1" si="23"/>
        <v>#N/A</v>
      </c>
      <c r="E331" t="e">
        <f t="shared" ca="1" si="24"/>
        <v>#N/A</v>
      </c>
      <c r="F331" t="e">
        <f t="shared" ca="1" si="25"/>
        <v>#N/A</v>
      </c>
    </row>
    <row r="332" spans="3:6" x14ac:dyDescent="0.25">
      <c r="C332" t="e">
        <f t="shared" ca="1" si="22"/>
        <v>#N/A</v>
      </c>
      <c r="D332" t="e">
        <f t="shared" ca="1" si="23"/>
        <v>#N/A</v>
      </c>
      <c r="E332" t="e">
        <f t="shared" ca="1" si="24"/>
        <v>#N/A</v>
      </c>
      <c r="F332" t="e">
        <f t="shared" ca="1" si="25"/>
        <v>#N/A</v>
      </c>
    </row>
    <row r="333" spans="3:6" x14ac:dyDescent="0.25">
      <c r="C333" t="e">
        <f t="shared" ca="1" si="22"/>
        <v>#N/A</v>
      </c>
      <c r="D333" t="e">
        <f t="shared" ca="1" si="23"/>
        <v>#N/A</v>
      </c>
      <c r="E333" t="e">
        <f t="shared" ca="1" si="24"/>
        <v>#N/A</v>
      </c>
      <c r="F333" t="e">
        <f t="shared" ca="1" si="25"/>
        <v>#N/A</v>
      </c>
    </row>
    <row r="334" spans="3:6" x14ac:dyDescent="0.25">
      <c r="C334" t="e">
        <f t="shared" ca="1" si="22"/>
        <v>#N/A</v>
      </c>
      <c r="D334" t="e">
        <f t="shared" ca="1" si="23"/>
        <v>#N/A</v>
      </c>
      <c r="E334" t="e">
        <f t="shared" ca="1" si="24"/>
        <v>#N/A</v>
      </c>
      <c r="F334" t="e">
        <f t="shared" ca="1" si="25"/>
        <v>#N/A</v>
      </c>
    </row>
    <row r="335" spans="3:6" x14ac:dyDescent="0.25">
      <c r="C335" t="e">
        <f t="shared" ca="1" si="22"/>
        <v>#N/A</v>
      </c>
      <c r="D335" t="e">
        <f t="shared" ca="1" si="23"/>
        <v>#N/A</v>
      </c>
      <c r="E335" t="e">
        <f t="shared" ca="1" si="24"/>
        <v>#N/A</v>
      </c>
      <c r="F335" t="e">
        <f t="shared" ca="1" si="25"/>
        <v>#N/A</v>
      </c>
    </row>
    <row r="336" spans="3:6" x14ac:dyDescent="0.25">
      <c r="C336" t="e">
        <f t="shared" ca="1" si="22"/>
        <v>#N/A</v>
      </c>
      <c r="D336" t="e">
        <f t="shared" ca="1" si="23"/>
        <v>#N/A</v>
      </c>
      <c r="E336" t="e">
        <f t="shared" ca="1" si="24"/>
        <v>#N/A</v>
      </c>
      <c r="F336" t="e">
        <f t="shared" ca="1" si="25"/>
        <v>#N/A</v>
      </c>
    </row>
    <row r="337" spans="3:6" x14ac:dyDescent="0.25">
      <c r="C337" t="e">
        <f t="shared" ca="1" si="22"/>
        <v>#N/A</v>
      </c>
      <c r="D337" t="e">
        <f t="shared" ca="1" si="23"/>
        <v>#N/A</v>
      </c>
      <c r="E337" t="e">
        <f t="shared" ca="1" si="24"/>
        <v>#N/A</v>
      </c>
      <c r="F337" t="e">
        <f t="shared" ca="1" si="25"/>
        <v>#N/A</v>
      </c>
    </row>
    <row r="338" spans="3:6" x14ac:dyDescent="0.25">
      <c r="C338" t="e">
        <f t="shared" ca="1" si="22"/>
        <v>#N/A</v>
      </c>
      <c r="D338" t="e">
        <f t="shared" ca="1" si="23"/>
        <v>#N/A</v>
      </c>
      <c r="E338" t="e">
        <f t="shared" ca="1" si="24"/>
        <v>#N/A</v>
      </c>
      <c r="F338" t="e">
        <f t="shared" ca="1" si="25"/>
        <v>#N/A</v>
      </c>
    </row>
    <row r="339" spans="3:6" x14ac:dyDescent="0.25">
      <c r="C339" t="e">
        <f t="shared" ca="1" si="22"/>
        <v>#N/A</v>
      </c>
      <c r="D339" t="e">
        <f t="shared" ca="1" si="23"/>
        <v>#N/A</v>
      </c>
      <c r="E339" t="e">
        <f t="shared" ca="1" si="24"/>
        <v>#N/A</v>
      </c>
      <c r="F339" t="e">
        <f t="shared" ca="1" si="25"/>
        <v>#N/A</v>
      </c>
    </row>
    <row r="340" spans="3:6" x14ac:dyDescent="0.25">
      <c r="C340" t="e">
        <f t="shared" ca="1" si="22"/>
        <v>#N/A</v>
      </c>
      <c r="D340" t="e">
        <f t="shared" ca="1" si="23"/>
        <v>#N/A</v>
      </c>
      <c r="E340" t="e">
        <f t="shared" ca="1" si="24"/>
        <v>#N/A</v>
      </c>
      <c r="F340" t="e">
        <f t="shared" ca="1" si="25"/>
        <v>#N/A</v>
      </c>
    </row>
    <row r="341" spans="3:6" x14ac:dyDescent="0.25">
      <c r="C341" t="e">
        <f t="shared" ca="1" si="22"/>
        <v>#N/A</v>
      </c>
      <c r="D341" t="e">
        <f t="shared" ca="1" si="23"/>
        <v>#N/A</v>
      </c>
      <c r="E341" t="e">
        <f t="shared" ca="1" si="24"/>
        <v>#N/A</v>
      </c>
      <c r="F341" t="e">
        <f t="shared" ca="1" si="25"/>
        <v>#N/A</v>
      </c>
    </row>
    <row r="342" spans="3:6" x14ac:dyDescent="0.25">
      <c r="C342" t="e">
        <f t="shared" ca="1" si="22"/>
        <v>#N/A</v>
      </c>
      <c r="D342" t="e">
        <f t="shared" ca="1" si="23"/>
        <v>#N/A</v>
      </c>
      <c r="E342" t="e">
        <f t="shared" ca="1" si="24"/>
        <v>#N/A</v>
      </c>
      <c r="F342" t="e">
        <f t="shared" ca="1" si="25"/>
        <v>#N/A</v>
      </c>
    </row>
    <row r="343" spans="3:6" x14ac:dyDescent="0.25">
      <c r="C343" t="e">
        <f t="shared" ca="1" si="22"/>
        <v>#N/A</v>
      </c>
      <c r="D343" t="e">
        <f t="shared" ca="1" si="23"/>
        <v>#N/A</v>
      </c>
      <c r="E343" t="e">
        <f t="shared" ca="1" si="24"/>
        <v>#N/A</v>
      </c>
      <c r="F343" t="e">
        <f t="shared" ca="1" si="25"/>
        <v>#N/A</v>
      </c>
    </row>
    <row r="344" spans="3:6" x14ac:dyDescent="0.25">
      <c r="C344" t="e">
        <f t="shared" ca="1" si="22"/>
        <v>#N/A</v>
      </c>
      <c r="D344" t="e">
        <f t="shared" ca="1" si="23"/>
        <v>#N/A</v>
      </c>
      <c r="E344" t="e">
        <f t="shared" ca="1" si="24"/>
        <v>#N/A</v>
      </c>
      <c r="F344" t="e">
        <f t="shared" ca="1" si="25"/>
        <v>#N/A</v>
      </c>
    </row>
    <row r="345" spans="3:6" x14ac:dyDescent="0.25">
      <c r="C345" t="e">
        <f t="shared" ca="1" si="22"/>
        <v>#N/A</v>
      </c>
      <c r="D345" t="e">
        <f t="shared" ca="1" si="23"/>
        <v>#N/A</v>
      </c>
      <c r="E345" t="e">
        <f t="shared" ca="1" si="24"/>
        <v>#N/A</v>
      </c>
      <c r="F345" t="e">
        <f t="shared" ca="1" si="25"/>
        <v>#N/A</v>
      </c>
    </row>
    <row r="346" spans="3:6" x14ac:dyDescent="0.25">
      <c r="C346" t="e">
        <f t="shared" ca="1" si="22"/>
        <v>#N/A</v>
      </c>
      <c r="D346" t="e">
        <f t="shared" ca="1" si="23"/>
        <v>#N/A</v>
      </c>
      <c r="E346" t="e">
        <f t="shared" ca="1" si="24"/>
        <v>#N/A</v>
      </c>
      <c r="F346" t="e">
        <f t="shared" ca="1" si="25"/>
        <v>#N/A</v>
      </c>
    </row>
    <row r="347" spans="3:6" x14ac:dyDescent="0.25">
      <c r="C347" t="e">
        <f t="shared" ca="1" si="22"/>
        <v>#N/A</v>
      </c>
      <c r="D347" t="e">
        <f t="shared" ca="1" si="23"/>
        <v>#N/A</v>
      </c>
      <c r="E347" t="e">
        <f t="shared" ca="1" si="24"/>
        <v>#N/A</v>
      </c>
      <c r="F347" t="e">
        <f t="shared" ca="1" si="25"/>
        <v>#N/A</v>
      </c>
    </row>
    <row r="348" spans="3:6" x14ac:dyDescent="0.25">
      <c r="C348" t="e">
        <f t="shared" ca="1" si="22"/>
        <v>#N/A</v>
      </c>
      <c r="D348" t="e">
        <f t="shared" ca="1" si="23"/>
        <v>#N/A</v>
      </c>
      <c r="E348" t="e">
        <f t="shared" ca="1" si="24"/>
        <v>#N/A</v>
      </c>
      <c r="F348" t="e">
        <f t="shared" ca="1" si="25"/>
        <v>#N/A</v>
      </c>
    </row>
    <row r="349" spans="3:6" x14ac:dyDescent="0.25">
      <c r="C349" t="e">
        <f t="shared" ca="1" si="22"/>
        <v>#N/A</v>
      </c>
      <c r="D349" t="e">
        <f t="shared" ca="1" si="23"/>
        <v>#N/A</v>
      </c>
      <c r="E349" t="e">
        <f t="shared" ca="1" si="24"/>
        <v>#N/A</v>
      </c>
      <c r="F349" t="e">
        <f t="shared" ca="1" si="25"/>
        <v>#N/A</v>
      </c>
    </row>
    <row r="350" spans="3:6" x14ac:dyDescent="0.25">
      <c r="C350" t="e">
        <f t="shared" ca="1" si="22"/>
        <v>#N/A</v>
      </c>
      <c r="D350" t="e">
        <f t="shared" ca="1" si="23"/>
        <v>#N/A</v>
      </c>
      <c r="E350" t="e">
        <f t="shared" ca="1" si="24"/>
        <v>#N/A</v>
      </c>
      <c r="F350" t="e">
        <f t="shared" ca="1" si="25"/>
        <v>#N/A</v>
      </c>
    </row>
    <row r="351" spans="3:6" x14ac:dyDescent="0.25">
      <c r="C351" t="e">
        <f t="shared" ca="1" si="22"/>
        <v>#N/A</v>
      </c>
      <c r="D351" t="e">
        <f t="shared" ca="1" si="23"/>
        <v>#N/A</v>
      </c>
      <c r="E351" t="e">
        <f t="shared" ca="1" si="24"/>
        <v>#N/A</v>
      </c>
      <c r="F351" t="e">
        <f t="shared" ca="1" si="25"/>
        <v>#N/A</v>
      </c>
    </row>
    <row r="352" spans="3:6" x14ac:dyDescent="0.25">
      <c r="C352" t="e">
        <f t="shared" ca="1" si="22"/>
        <v>#N/A</v>
      </c>
      <c r="D352" t="e">
        <f t="shared" ca="1" si="23"/>
        <v>#N/A</v>
      </c>
      <c r="E352" t="e">
        <f t="shared" ca="1" si="24"/>
        <v>#N/A</v>
      </c>
      <c r="F352" t="e">
        <f t="shared" ca="1" si="25"/>
        <v>#N/A</v>
      </c>
    </row>
    <row r="353" spans="3:6" x14ac:dyDescent="0.25">
      <c r="C353" t="e">
        <f t="shared" ca="1" si="22"/>
        <v>#N/A</v>
      </c>
      <c r="D353" t="e">
        <f t="shared" ca="1" si="23"/>
        <v>#N/A</v>
      </c>
      <c r="E353" t="e">
        <f t="shared" ca="1" si="24"/>
        <v>#N/A</v>
      </c>
      <c r="F353" t="e">
        <f t="shared" ca="1" si="25"/>
        <v>#N/A</v>
      </c>
    </row>
    <row r="354" spans="3:6" x14ac:dyDescent="0.25">
      <c r="C354" t="e">
        <f t="shared" ca="1" si="22"/>
        <v>#N/A</v>
      </c>
      <c r="D354" t="e">
        <f t="shared" ca="1" si="23"/>
        <v>#N/A</v>
      </c>
      <c r="E354" t="e">
        <f t="shared" ca="1" si="24"/>
        <v>#N/A</v>
      </c>
      <c r="F354" t="e">
        <f t="shared" ca="1" si="25"/>
        <v>#N/A</v>
      </c>
    </row>
    <row r="355" spans="3:6" x14ac:dyDescent="0.25">
      <c r="C355" t="e">
        <f t="shared" ca="1" si="22"/>
        <v>#N/A</v>
      </c>
      <c r="D355" t="e">
        <f t="shared" ca="1" si="23"/>
        <v>#N/A</v>
      </c>
      <c r="E355" t="e">
        <f t="shared" ca="1" si="24"/>
        <v>#N/A</v>
      </c>
      <c r="F355" t="e">
        <f t="shared" ca="1" si="25"/>
        <v>#N/A</v>
      </c>
    </row>
    <row r="356" spans="3:6" x14ac:dyDescent="0.25">
      <c r="C356" t="e">
        <f t="shared" ca="1" si="22"/>
        <v>#N/A</v>
      </c>
      <c r="D356" t="e">
        <f t="shared" ca="1" si="23"/>
        <v>#N/A</v>
      </c>
      <c r="E356" t="e">
        <f t="shared" ca="1" si="24"/>
        <v>#N/A</v>
      </c>
      <c r="F356" t="e">
        <f t="shared" ca="1" si="25"/>
        <v>#N/A</v>
      </c>
    </row>
    <row r="357" spans="3:6" x14ac:dyDescent="0.25">
      <c r="C357" t="e">
        <f t="shared" ca="1" si="22"/>
        <v>#N/A</v>
      </c>
      <c r="D357" t="e">
        <f t="shared" ca="1" si="23"/>
        <v>#N/A</v>
      </c>
      <c r="E357" t="e">
        <f t="shared" ca="1" si="24"/>
        <v>#N/A</v>
      </c>
      <c r="F357" t="e">
        <f t="shared" ca="1" si="25"/>
        <v>#N/A</v>
      </c>
    </row>
    <row r="358" spans="3:6" x14ac:dyDescent="0.25">
      <c r="C358" t="e">
        <f t="shared" ca="1" si="22"/>
        <v>#N/A</v>
      </c>
      <c r="D358" t="e">
        <f t="shared" ca="1" si="23"/>
        <v>#N/A</v>
      </c>
      <c r="E358" t="e">
        <f t="shared" ca="1" si="24"/>
        <v>#N/A</v>
      </c>
      <c r="F358" t="e">
        <f t="shared" ca="1" si="25"/>
        <v>#N/A</v>
      </c>
    </row>
    <row r="359" spans="3:6" x14ac:dyDescent="0.25">
      <c r="C359" t="e">
        <f t="shared" ca="1" si="22"/>
        <v>#N/A</v>
      </c>
      <c r="D359" t="e">
        <f t="shared" ca="1" si="23"/>
        <v>#N/A</v>
      </c>
      <c r="E359" t="e">
        <f t="shared" ca="1" si="24"/>
        <v>#N/A</v>
      </c>
      <c r="F359" t="e">
        <f t="shared" ca="1" si="25"/>
        <v>#N/A</v>
      </c>
    </row>
    <row r="360" spans="3:6" x14ac:dyDescent="0.25">
      <c r="C360" t="e">
        <f t="shared" ca="1" si="22"/>
        <v>#N/A</v>
      </c>
      <c r="D360" t="e">
        <f t="shared" ca="1" si="23"/>
        <v>#N/A</v>
      </c>
      <c r="E360" t="e">
        <f t="shared" ca="1" si="24"/>
        <v>#N/A</v>
      </c>
      <c r="F360" t="e">
        <f t="shared" ca="1" si="25"/>
        <v>#N/A</v>
      </c>
    </row>
    <row r="361" spans="3:6" x14ac:dyDescent="0.25">
      <c r="C361" t="e">
        <f t="shared" ca="1" si="22"/>
        <v>#N/A</v>
      </c>
      <c r="D361" t="e">
        <f t="shared" ca="1" si="23"/>
        <v>#N/A</v>
      </c>
      <c r="E361" t="e">
        <f t="shared" ca="1" si="24"/>
        <v>#N/A</v>
      </c>
      <c r="F361" t="e">
        <f t="shared" ca="1" si="25"/>
        <v>#N/A</v>
      </c>
    </row>
    <row r="362" spans="3:6" x14ac:dyDescent="0.25">
      <c r="C362" t="e">
        <f t="shared" ca="1" si="22"/>
        <v>#N/A</v>
      </c>
      <c r="D362" t="e">
        <f t="shared" ca="1" si="23"/>
        <v>#N/A</v>
      </c>
      <c r="E362" t="e">
        <f t="shared" ca="1" si="24"/>
        <v>#N/A</v>
      </c>
      <c r="F362" t="e">
        <f t="shared" ca="1" si="25"/>
        <v>#N/A</v>
      </c>
    </row>
    <row r="363" spans="3:6" x14ac:dyDescent="0.25">
      <c r="C363" t="e">
        <f t="shared" ca="1" si="22"/>
        <v>#N/A</v>
      </c>
      <c r="D363" t="e">
        <f t="shared" ca="1" si="23"/>
        <v>#N/A</v>
      </c>
      <c r="E363" t="e">
        <f t="shared" ca="1" si="24"/>
        <v>#N/A</v>
      </c>
      <c r="F363" t="e">
        <f t="shared" ca="1" si="25"/>
        <v>#N/A</v>
      </c>
    </row>
    <row r="364" spans="3:6" x14ac:dyDescent="0.25">
      <c r="C364" t="e">
        <f t="shared" ca="1" si="22"/>
        <v>#N/A</v>
      </c>
      <c r="D364" t="e">
        <f t="shared" ca="1" si="23"/>
        <v>#N/A</v>
      </c>
      <c r="E364" t="e">
        <f t="shared" ca="1" si="24"/>
        <v>#N/A</v>
      </c>
      <c r="F364" t="e">
        <f t="shared" ca="1" si="25"/>
        <v>#N/A</v>
      </c>
    </row>
    <row r="365" spans="3:6" x14ac:dyDescent="0.25">
      <c r="C365" t="e">
        <f t="shared" ca="1" si="22"/>
        <v>#N/A</v>
      </c>
      <c r="D365" t="e">
        <f t="shared" ca="1" si="23"/>
        <v>#N/A</v>
      </c>
      <c r="E365" t="e">
        <f t="shared" ca="1" si="24"/>
        <v>#N/A</v>
      </c>
      <c r="F365" t="e">
        <f t="shared" ca="1" si="25"/>
        <v>#N/A</v>
      </c>
    </row>
    <row r="366" spans="3:6" x14ac:dyDescent="0.25">
      <c r="C366" t="e">
        <f t="shared" ca="1" si="22"/>
        <v>#N/A</v>
      </c>
      <c r="D366" t="e">
        <f t="shared" ca="1" si="23"/>
        <v>#N/A</v>
      </c>
      <c r="E366" t="e">
        <f t="shared" ca="1" si="24"/>
        <v>#N/A</v>
      </c>
      <c r="F366" t="e">
        <f t="shared" ca="1" si="25"/>
        <v>#N/A</v>
      </c>
    </row>
    <row r="367" spans="3:6" x14ac:dyDescent="0.25">
      <c r="C367" t="e">
        <f t="shared" ca="1" si="22"/>
        <v>#N/A</v>
      </c>
      <c r="D367" t="e">
        <f t="shared" ca="1" si="23"/>
        <v>#N/A</v>
      </c>
      <c r="E367" t="e">
        <f t="shared" ca="1" si="24"/>
        <v>#N/A</v>
      </c>
      <c r="F367" t="e">
        <f t="shared" ca="1" si="25"/>
        <v>#N/A</v>
      </c>
    </row>
    <row r="368" spans="3:6" x14ac:dyDescent="0.25">
      <c r="C368" t="e">
        <f t="shared" ca="1" si="22"/>
        <v>#N/A</v>
      </c>
      <c r="D368" t="e">
        <f t="shared" ca="1" si="23"/>
        <v>#N/A</v>
      </c>
      <c r="E368" t="e">
        <f t="shared" ca="1" si="24"/>
        <v>#N/A</v>
      </c>
      <c r="F368" t="e">
        <f t="shared" ca="1" si="25"/>
        <v>#N/A</v>
      </c>
    </row>
    <row r="369" spans="3:6" x14ac:dyDescent="0.25">
      <c r="C369" t="e">
        <f t="shared" ca="1" si="22"/>
        <v>#N/A</v>
      </c>
      <c r="D369" t="e">
        <f t="shared" ca="1" si="23"/>
        <v>#N/A</v>
      </c>
      <c r="E369" t="e">
        <f t="shared" ca="1" si="24"/>
        <v>#N/A</v>
      </c>
      <c r="F369" t="e">
        <f t="shared" ca="1" si="25"/>
        <v>#N/A</v>
      </c>
    </row>
    <row r="370" spans="3:6" x14ac:dyDescent="0.25">
      <c r="C370" t="e">
        <f t="shared" ca="1" si="22"/>
        <v>#N/A</v>
      </c>
      <c r="D370" t="e">
        <f t="shared" ca="1" si="23"/>
        <v>#N/A</v>
      </c>
      <c r="E370" t="e">
        <f t="shared" ca="1" si="24"/>
        <v>#N/A</v>
      </c>
      <c r="F370" t="e">
        <f t="shared" ca="1" si="25"/>
        <v>#N/A</v>
      </c>
    </row>
    <row r="371" spans="3:6" x14ac:dyDescent="0.25">
      <c r="C371" t="e">
        <f t="shared" ca="1" si="22"/>
        <v>#N/A</v>
      </c>
      <c r="D371" t="e">
        <f t="shared" ca="1" si="23"/>
        <v>#N/A</v>
      </c>
      <c r="E371" t="e">
        <f t="shared" ca="1" si="24"/>
        <v>#N/A</v>
      </c>
      <c r="F371" t="e">
        <f t="shared" ca="1" si="25"/>
        <v>#N/A</v>
      </c>
    </row>
    <row r="372" spans="3:6" x14ac:dyDescent="0.25">
      <c r="C372" t="e">
        <f t="shared" ca="1" si="22"/>
        <v>#N/A</v>
      </c>
      <c r="D372" t="e">
        <f t="shared" ca="1" si="23"/>
        <v>#N/A</v>
      </c>
      <c r="E372" t="e">
        <f t="shared" ca="1" si="24"/>
        <v>#N/A</v>
      </c>
      <c r="F372" t="e">
        <f t="shared" ca="1" si="25"/>
        <v>#N/A</v>
      </c>
    </row>
    <row r="373" spans="3:6" x14ac:dyDescent="0.25">
      <c r="C373" t="e">
        <f t="shared" ca="1" si="22"/>
        <v>#N/A</v>
      </c>
      <c r="D373" t="e">
        <f t="shared" ca="1" si="23"/>
        <v>#N/A</v>
      </c>
      <c r="E373" t="e">
        <f t="shared" ca="1" si="24"/>
        <v>#N/A</v>
      </c>
      <c r="F373" t="e">
        <f t="shared" ca="1" si="25"/>
        <v>#N/A</v>
      </c>
    </row>
    <row r="374" spans="3:6" x14ac:dyDescent="0.25">
      <c r="C374" t="e">
        <f t="shared" ca="1" si="22"/>
        <v>#N/A</v>
      </c>
      <c r="D374" t="e">
        <f t="shared" ca="1" si="23"/>
        <v>#N/A</v>
      </c>
      <c r="E374" t="e">
        <f t="shared" ca="1" si="24"/>
        <v>#N/A</v>
      </c>
      <c r="F374" t="e">
        <f t="shared" ca="1" si="25"/>
        <v>#N/A</v>
      </c>
    </row>
    <row r="375" spans="3:6" x14ac:dyDescent="0.25">
      <c r="C375" t="e">
        <f t="shared" ca="1" si="22"/>
        <v>#N/A</v>
      </c>
      <c r="D375" t="e">
        <f t="shared" ca="1" si="23"/>
        <v>#N/A</v>
      </c>
      <c r="E375" t="e">
        <f t="shared" ca="1" si="24"/>
        <v>#N/A</v>
      </c>
      <c r="F375" t="e">
        <f t="shared" ca="1" si="25"/>
        <v>#N/A</v>
      </c>
    </row>
    <row r="376" spans="3:6" x14ac:dyDescent="0.25">
      <c r="C376" t="e">
        <f t="shared" ca="1" si="22"/>
        <v>#N/A</v>
      </c>
      <c r="D376" t="e">
        <f t="shared" ca="1" si="23"/>
        <v>#N/A</v>
      </c>
      <c r="E376" t="e">
        <f t="shared" ca="1" si="24"/>
        <v>#N/A</v>
      </c>
      <c r="F376" t="e">
        <f t="shared" ca="1" si="25"/>
        <v>#N/A</v>
      </c>
    </row>
    <row r="377" spans="3:6" x14ac:dyDescent="0.25">
      <c r="C377" t="e">
        <f t="shared" ca="1" si="22"/>
        <v>#N/A</v>
      </c>
      <c r="D377" t="e">
        <f t="shared" ca="1" si="23"/>
        <v>#N/A</v>
      </c>
      <c r="E377" t="e">
        <f t="shared" ca="1" si="24"/>
        <v>#N/A</v>
      </c>
      <c r="F377" t="e">
        <f t="shared" ca="1" si="25"/>
        <v>#N/A</v>
      </c>
    </row>
    <row r="378" spans="3:6" x14ac:dyDescent="0.25">
      <c r="C378" t="e">
        <f t="shared" ca="1" si="22"/>
        <v>#N/A</v>
      </c>
      <c r="D378" t="e">
        <f t="shared" ca="1" si="23"/>
        <v>#N/A</v>
      </c>
      <c r="E378" t="e">
        <f t="shared" ca="1" si="24"/>
        <v>#N/A</v>
      </c>
      <c r="F378" t="e">
        <f t="shared" ca="1" si="25"/>
        <v>#N/A</v>
      </c>
    </row>
    <row r="379" spans="3:6" x14ac:dyDescent="0.25">
      <c r="C379" t="e">
        <f t="shared" ca="1" si="22"/>
        <v>#N/A</v>
      </c>
      <c r="D379" t="e">
        <f t="shared" ca="1" si="23"/>
        <v>#N/A</v>
      </c>
      <c r="E379" t="e">
        <f t="shared" ca="1" si="24"/>
        <v>#N/A</v>
      </c>
      <c r="F379" t="e">
        <f t="shared" ca="1" si="25"/>
        <v>#N/A</v>
      </c>
    </row>
    <row r="380" spans="3:6" x14ac:dyDescent="0.25">
      <c r="C380" t="e">
        <f t="shared" ca="1" si="22"/>
        <v>#N/A</v>
      </c>
      <c r="D380" t="e">
        <f t="shared" ca="1" si="23"/>
        <v>#N/A</v>
      </c>
      <c r="E380" t="e">
        <f t="shared" ca="1" si="24"/>
        <v>#N/A</v>
      </c>
      <c r="F380" t="e">
        <f t="shared" ca="1" si="25"/>
        <v>#N/A</v>
      </c>
    </row>
    <row r="381" spans="3:6" x14ac:dyDescent="0.25">
      <c r="C381" t="e">
        <f t="shared" ca="1" si="22"/>
        <v>#N/A</v>
      </c>
      <c r="D381" t="e">
        <f t="shared" ca="1" si="23"/>
        <v>#N/A</v>
      </c>
      <c r="E381" t="e">
        <f t="shared" ca="1" si="24"/>
        <v>#N/A</v>
      </c>
      <c r="F381" t="e">
        <f t="shared" ca="1" si="25"/>
        <v>#N/A</v>
      </c>
    </row>
    <row r="382" spans="3:6" x14ac:dyDescent="0.25">
      <c r="C382" t="e">
        <f t="shared" ca="1" si="22"/>
        <v>#N/A</v>
      </c>
      <c r="D382" t="e">
        <f t="shared" ca="1" si="23"/>
        <v>#N/A</v>
      </c>
      <c r="E382" t="e">
        <f t="shared" ca="1" si="24"/>
        <v>#N/A</v>
      </c>
      <c r="F382" t="e">
        <f t="shared" ca="1" si="25"/>
        <v>#N/A</v>
      </c>
    </row>
    <row r="383" spans="3:6" x14ac:dyDescent="0.25">
      <c r="C383" t="e">
        <f t="shared" ca="1" si="22"/>
        <v>#N/A</v>
      </c>
      <c r="D383" t="e">
        <f t="shared" ca="1" si="23"/>
        <v>#N/A</v>
      </c>
      <c r="E383" t="e">
        <f t="shared" ca="1" si="24"/>
        <v>#N/A</v>
      </c>
      <c r="F383" t="e">
        <f t="shared" ca="1" si="25"/>
        <v>#N/A</v>
      </c>
    </row>
    <row r="384" spans="3:6" x14ac:dyDescent="0.25">
      <c r="C384" t="e">
        <f t="shared" ca="1" si="22"/>
        <v>#N/A</v>
      </c>
      <c r="D384" t="e">
        <f t="shared" ca="1" si="23"/>
        <v>#N/A</v>
      </c>
      <c r="E384" t="e">
        <f t="shared" ca="1" si="24"/>
        <v>#N/A</v>
      </c>
      <c r="F384" t="e">
        <f t="shared" ca="1" si="25"/>
        <v>#N/A</v>
      </c>
    </row>
    <row r="385" spans="3:6" x14ac:dyDescent="0.25">
      <c r="C385" t="e">
        <f t="shared" ca="1" si="22"/>
        <v>#N/A</v>
      </c>
      <c r="D385" t="e">
        <f t="shared" ca="1" si="23"/>
        <v>#N/A</v>
      </c>
      <c r="E385" t="e">
        <f t="shared" ca="1" si="24"/>
        <v>#N/A</v>
      </c>
      <c r="F385" t="e">
        <f t="shared" ca="1" si="25"/>
        <v>#N/A</v>
      </c>
    </row>
    <row r="386" spans="3:6" x14ac:dyDescent="0.25">
      <c r="C386" t="e">
        <f t="shared" ca="1" si="22"/>
        <v>#N/A</v>
      </c>
      <c r="D386" t="e">
        <f t="shared" ca="1" si="23"/>
        <v>#N/A</v>
      </c>
      <c r="E386" t="e">
        <f t="shared" ca="1" si="24"/>
        <v>#N/A</v>
      </c>
      <c r="F386" t="e">
        <f t="shared" ca="1" si="25"/>
        <v>#N/A</v>
      </c>
    </row>
    <row r="387" spans="3:6" x14ac:dyDescent="0.25">
      <c r="C387" t="e">
        <f t="shared" ca="1" si="22"/>
        <v>#N/A</v>
      </c>
      <c r="D387" t="e">
        <f t="shared" ca="1" si="23"/>
        <v>#N/A</v>
      </c>
      <c r="E387" t="e">
        <f t="shared" ca="1" si="24"/>
        <v>#N/A</v>
      </c>
      <c r="F387" t="e">
        <f t="shared" ca="1" si="25"/>
        <v>#N/A</v>
      </c>
    </row>
    <row r="388" spans="3:6" x14ac:dyDescent="0.25">
      <c r="C388" t="e">
        <f t="shared" ca="1" si="22"/>
        <v>#N/A</v>
      </c>
      <c r="D388" t="e">
        <f t="shared" ca="1" si="23"/>
        <v>#N/A</v>
      </c>
      <c r="E388" t="e">
        <f t="shared" ca="1" si="24"/>
        <v>#N/A</v>
      </c>
      <c r="F388" t="e">
        <f t="shared" ca="1" si="25"/>
        <v>#N/A</v>
      </c>
    </row>
    <row r="389" spans="3:6" x14ac:dyDescent="0.25">
      <c r="C389" t="e">
        <f t="shared" ca="1" si="22"/>
        <v>#N/A</v>
      </c>
      <c r="D389" t="e">
        <f t="shared" ca="1" si="23"/>
        <v>#N/A</v>
      </c>
      <c r="E389" t="e">
        <f t="shared" ca="1" si="24"/>
        <v>#N/A</v>
      </c>
      <c r="F389" t="e">
        <f t="shared" ca="1" si="25"/>
        <v>#N/A</v>
      </c>
    </row>
    <row r="390" spans="3:6" x14ac:dyDescent="0.25">
      <c r="C390" t="e">
        <f t="shared" ca="1" si="22"/>
        <v>#N/A</v>
      </c>
      <c r="D390" t="e">
        <f t="shared" ca="1" si="23"/>
        <v>#N/A</v>
      </c>
      <c r="E390" t="e">
        <f t="shared" ca="1" si="24"/>
        <v>#N/A</v>
      </c>
      <c r="F390" t="e">
        <f t="shared" ca="1" si="25"/>
        <v>#N/A</v>
      </c>
    </row>
    <row r="391" spans="3:6" x14ac:dyDescent="0.25">
      <c r="C391" t="e">
        <f t="shared" ca="1" si="22"/>
        <v>#N/A</v>
      </c>
      <c r="D391" t="e">
        <f t="shared" ca="1" si="23"/>
        <v>#N/A</v>
      </c>
      <c r="E391" t="e">
        <f t="shared" ca="1" si="24"/>
        <v>#N/A</v>
      </c>
      <c r="F391" t="e">
        <f t="shared" ca="1" si="25"/>
        <v>#N/A</v>
      </c>
    </row>
    <row r="392" spans="3:6" x14ac:dyDescent="0.25">
      <c r="C392" t="e">
        <f t="shared" ca="1" si="22"/>
        <v>#N/A</v>
      </c>
      <c r="D392" t="e">
        <f t="shared" ca="1" si="23"/>
        <v>#N/A</v>
      </c>
      <c r="E392" t="e">
        <f t="shared" ca="1" si="24"/>
        <v>#N/A</v>
      </c>
      <c r="F392" t="e">
        <f t="shared" ca="1" si="25"/>
        <v>#N/A</v>
      </c>
    </row>
    <row r="393" spans="3:6" x14ac:dyDescent="0.25">
      <c r="C393" t="e">
        <f t="shared" ca="1" si="22"/>
        <v>#N/A</v>
      </c>
      <c r="D393" t="e">
        <f t="shared" ca="1" si="23"/>
        <v>#N/A</v>
      </c>
      <c r="E393" t="e">
        <f t="shared" ca="1" si="24"/>
        <v>#N/A</v>
      </c>
      <c r="F393" t="e">
        <f t="shared" ca="1" si="25"/>
        <v>#N/A</v>
      </c>
    </row>
    <row r="394" spans="3:6" x14ac:dyDescent="0.25">
      <c r="C394" t="e">
        <f t="shared" ref="C394:C457" ca="1" si="26">$C$7</f>
        <v>#N/A</v>
      </c>
      <c r="D394" t="e">
        <f t="shared" ref="D394:D457" ca="1" si="27">$D$7</f>
        <v>#N/A</v>
      </c>
      <c r="E394" t="e">
        <f t="shared" ref="E394:E457" ca="1" si="28">IF($B395="",C$8,"")</f>
        <v>#N/A</v>
      </c>
      <c r="F394" t="e">
        <f t="shared" ref="F394:F457" ca="1" si="29">IF($B395="",D$8,"")</f>
        <v>#N/A</v>
      </c>
    </row>
    <row r="395" spans="3:6" x14ac:dyDescent="0.25">
      <c r="C395" t="e">
        <f t="shared" ca="1" si="26"/>
        <v>#N/A</v>
      </c>
      <c r="D395" t="e">
        <f t="shared" ca="1" si="27"/>
        <v>#N/A</v>
      </c>
      <c r="E395" t="e">
        <f t="shared" ca="1" si="28"/>
        <v>#N/A</v>
      </c>
      <c r="F395" t="e">
        <f t="shared" ca="1" si="29"/>
        <v>#N/A</v>
      </c>
    </row>
    <row r="396" spans="3:6" x14ac:dyDescent="0.25">
      <c r="C396" t="e">
        <f t="shared" ca="1" si="26"/>
        <v>#N/A</v>
      </c>
      <c r="D396" t="e">
        <f t="shared" ca="1" si="27"/>
        <v>#N/A</v>
      </c>
      <c r="E396" t="e">
        <f t="shared" ca="1" si="28"/>
        <v>#N/A</v>
      </c>
      <c r="F396" t="e">
        <f t="shared" ca="1" si="29"/>
        <v>#N/A</v>
      </c>
    </row>
    <row r="397" spans="3:6" x14ac:dyDescent="0.25">
      <c r="C397" t="e">
        <f t="shared" ca="1" si="26"/>
        <v>#N/A</v>
      </c>
      <c r="D397" t="e">
        <f t="shared" ca="1" si="27"/>
        <v>#N/A</v>
      </c>
      <c r="E397" t="e">
        <f t="shared" ca="1" si="28"/>
        <v>#N/A</v>
      </c>
      <c r="F397" t="e">
        <f t="shared" ca="1" si="29"/>
        <v>#N/A</v>
      </c>
    </row>
    <row r="398" spans="3:6" x14ac:dyDescent="0.25">
      <c r="C398" t="e">
        <f t="shared" ca="1" si="26"/>
        <v>#N/A</v>
      </c>
      <c r="D398" t="e">
        <f t="shared" ca="1" si="27"/>
        <v>#N/A</v>
      </c>
      <c r="E398" t="e">
        <f t="shared" ca="1" si="28"/>
        <v>#N/A</v>
      </c>
      <c r="F398" t="e">
        <f t="shared" ca="1" si="29"/>
        <v>#N/A</v>
      </c>
    </row>
    <row r="399" spans="3:6" x14ac:dyDescent="0.25">
      <c r="C399" t="e">
        <f t="shared" ca="1" si="26"/>
        <v>#N/A</v>
      </c>
      <c r="D399" t="e">
        <f t="shared" ca="1" si="27"/>
        <v>#N/A</v>
      </c>
      <c r="E399" t="e">
        <f t="shared" ca="1" si="28"/>
        <v>#N/A</v>
      </c>
      <c r="F399" t="e">
        <f t="shared" ca="1" si="29"/>
        <v>#N/A</v>
      </c>
    </row>
    <row r="400" spans="3:6" x14ac:dyDescent="0.25">
      <c r="C400" t="e">
        <f t="shared" ca="1" si="26"/>
        <v>#N/A</v>
      </c>
      <c r="D400" t="e">
        <f t="shared" ca="1" si="27"/>
        <v>#N/A</v>
      </c>
      <c r="E400" t="e">
        <f t="shared" ca="1" si="28"/>
        <v>#N/A</v>
      </c>
      <c r="F400" t="e">
        <f t="shared" ca="1" si="29"/>
        <v>#N/A</v>
      </c>
    </row>
    <row r="401" spans="3:6" x14ac:dyDescent="0.25">
      <c r="C401" t="e">
        <f t="shared" ca="1" si="26"/>
        <v>#N/A</v>
      </c>
      <c r="D401" t="e">
        <f t="shared" ca="1" si="27"/>
        <v>#N/A</v>
      </c>
      <c r="E401" t="e">
        <f t="shared" ca="1" si="28"/>
        <v>#N/A</v>
      </c>
      <c r="F401" t="e">
        <f t="shared" ca="1" si="29"/>
        <v>#N/A</v>
      </c>
    </row>
    <row r="402" spans="3:6" x14ac:dyDescent="0.25">
      <c r="C402" t="e">
        <f t="shared" ca="1" si="26"/>
        <v>#N/A</v>
      </c>
      <c r="D402" t="e">
        <f t="shared" ca="1" si="27"/>
        <v>#N/A</v>
      </c>
      <c r="E402" t="e">
        <f t="shared" ca="1" si="28"/>
        <v>#N/A</v>
      </c>
      <c r="F402" t="e">
        <f t="shared" ca="1" si="29"/>
        <v>#N/A</v>
      </c>
    </row>
    <row r="403" spans="3:6" x14ac:dyDescent="0.25">
      <c r="C403" t="e">
        <f t="shared" ca="1" si="26"/>
        <v>#N/A</v>
      </c>
      <c r="D403" t="e">
        <f t="shared" ca="1" si="27"/>
        <v>#N/A</v>
      </c>
      <c r="E403" t="e">
        <f t="shared" ca="1" si="28"/>
        <v>#N/A</v>
      </c>
      <c r="F403" t="e">
        <f t="shared" ca="1" si="29"/>
        <v>#N/A</v>
      </c>
    </row>
    <row r="404" spans="3:6" x14ac:dyDescent="0.25">
      <c r="C404" t="e">
        <f t="shared" ca="1" si="26"/>
        <v>#N/A</v>
      </c>
      <c r="D404" t="e">
        <f t="shared" ca="1" si="27"/>
        <v>#N/A</v>
      </c>
      <c r="E404" t="e">
        <f t="shared" ca="1" si="28"/>
        <v>#N/A</v>
      </c>
      <c r="F404" t="e">
        <f t="shared" ca="1" si="29"/>
        <v>#N/A</v>
      </c>
    </row>
    <row r="405" spans="3:6" x14ac:dyDescent="0.25">
      <c r="C405" t="e">
        <f t="shared" ca="1" si="26"/>
        <v>#N/A</v>
      </c>
      <c r="D405" t="e">
        <f t="shared" ca="1" si="27"/>
        <v>#N/A</v>
      </c>
      <c r="E405" t="e">
        <f t="shared" ca="1" si="28"/>
        <v>#N/A</v>
      </c>
      <c r="F405" t="e">
        <f t="shared" ca="1" si="29"/>
        <v>#N/A</v>
      </c>
    </row>
    <row r="406" spans="3:6" x14ac:dyDescent="0.25">
      <c r="C406" t="e">
        <f t="shared" ca="1" si="26"/>
        <v>#N/A</v>
      </c>
      <c r="D406" t="e">
        <f t="shared" ca="1" si="27"/>
        <v>#N/A</v>
      </c>
      <c r="E406" t="e">
        <f t="shared" ca="1" si="28"/>
        <v>#N/A</v>
      </c>
      <c r="F406" t="e">
        <f t="shared" ca="1" si="29"/>
        <v>#N/A</v>
      </c>
    </row>
    <row r="407" spans="3:6" x14ac:dyDescent="0.25">
      <c r="C407" t="e">
        <f t="shared" ca="1" si="26"/>
        <v>#N/A</v>
      </c>
      <c r="D407" t="e">
        <f t="shared" ca="1" si="27"/>
        <v>#N/A</v>
      </c>
      <c r="E407" t="e">
        <f t="shared" ca="1" si="28"/>
        <v>#N/A</v>
      </c>
      <c r="F407" t="e">
        <f t="shared" ca="1" si="29"/>
        <v>#N/A</v>
      </c>
    </row>
    <row r="408" spans="3:6" x14ac:dyDescent="0.25">
      <c r="C408" t="e">
        <f t="shared" ca="1" si="26"/>
        <v>#N/A</v>
      </c>
      <c r="D408" t="e">
        <f t="shared" ca="1" si="27"/>
        <v>#N/A</v>
      </c>
      <c r="E408" t="e">
        <f t="shared" ca="1" si="28"/>
        <v>#N/A</v>
      </c>
      <c r="F408" t="e">
        <f t="shared" ca="1" si="29"/>
        <v>#N/A</v>
      </c>
    </row>
    <row r="409" spans="3:6" x14ac:dyDescent="0.25">
      <c r="C409" t="e">
        <f t="shared" ca="1" si="26"/>
        <v>#N/A</v>
      </c>
      <c r="D409" t="e">
        <f t="shared" ca="1" si="27"/>
        <v>#N/A</v>
      </c>
      <c r="E409" t="e">
        <f t="shared" ca="1" si="28"/>
        <v>#N/A</v>
      </c>
      <c r="F409" t="e">
        <f t="shared" ca="1" si="29"/>
        <v>#N/A</v>
      </c>
    </row>
    <row r="410" spans="3:6" x14ac:dyDescent="0.25">
      <c r="C410" t="e">
        <f t="shared" ca="1" si="26"/>
        <v>#N/A</v>
      </c>
      <c r="D410" t="e">
        <f t="shared" ca="1" si="27"/>
        <v>#N/A</v>
      </c>
      <c r="E410" t="e">
        <f t="shared" ca="1" si="28"/>
        <v>#N/A</v>
      </c>
      <c r="F410" t="e">
        <f t="shared" ca="1" si="29"/>
        <v>#N/A</v>
      </c>
    </row>
    <row r="411" spans="3:6" x14ac:dyDescent="0.25">
      <c r="C411" t="e">
        <f t="shared" ca="1" si="26"/>
        <v>#N/A</v>
      </c>
      <c r="D411" t="e">
        <f t="shared" ca="1" si="27"/>
        <v>#N/A</v>
      </c>
      <c r="E411" t="e">
        <f t="shared" ca="1" si="28"/>
        <v>#N/A</v>
      </c>
      <c r="F411" t="e">
        <f t="shared" ca="1" si="29"/>
        <v>#N/A</v>
      </c>
    </row>
    <row r="412" spans="3:6" x14ac:dyDescent="0.25">
      <c r="C412" t="e">
        <f t="shared" ca="1" si="26"/>
        <v>#N/A</v>
      </c>
      <c r="D412" t="e">
        <f t="shared" ca="1" si="27"/>
        <v>#N/A</v>
      </c>
      <c r="E412" t="e">
        <f t="shared" ca="1" si="28"/>
        <v>#N/A</v>
      </c>
      <c r="F412" t="e">
        <f t="shared" ca="1" si="29"/>
        <v>#N/A</v>
      </c>
    </row>
    <row r="413" spans="3:6" x14ac:dyDescent="0.25">
      <c r="C413" t="e">
        <f t="shared" ca="1" si="26"/>
        <v>#N/A</v>
      </c>
      <c r="D413" t="e">
        <f t="shared" ca="1" si="27"/>
        <v>#N/A</v>
      </c>
      <c r="E413" t="e">
        <f t="shared" ca="1" si="28"/>
        <v>#N/A</v>
      </c>
      <c r="F413" t="e">
        <f t="shared" ca="1" si="29"/>
        <v>#N/A</v>
      </c>
    </row>
    <row r="414" spans="3:6" x14ac:dyDescent="0.25">
      <c r="C414" t="e">
        <f t="shared" ca="1" si="26"/>
        <v>#N/A</v>
      </c>
      <c r="D414" t="e">
        <f t="shared" ca="1" si="27"/>
        <v>#N/A</v>
      </c>
      <c r="E414" t="e">
        <f t="shared" ca="1" si="28"/>
        <v>#N/A</v>
      </c>
      <c r="F414" t="e">
        <f t="shared" ca="1" si="29"/>
        <v>#N/A</v>
      </c>
    </row>
    <row r="415" spans="3:6" x14ac:dyDescent="0.25">
      <c r="C415" t="e">
        <f t="shared" ca="1" si="26"/>
        <v>#N/A</v>
      </c>
      <c r="D415" t="e">
        <f t="shared" ca="1" si="27"/>
        <v>#N/A</v>
      </c>
      <c r="E415" t="e">
        <f t="shared" ca="1" si="28"/>
        <v>#N/A</v>
      </c>
      <c r="F415" t="e">
        <f t="shared" ca="1" si="29"/>
        <v>#N/A</v>
      </c>
    </row>
    <row r="416" spans="3:6" x14ac:dyDescent="0.25">
      <c r="C416" t="e">
        <f t="shared" ca="1" si="26"/>
        <v>#N/A</v>
      </c>
      <c r="D416" t="e">
        <f t="shared" ca="1" si="27"/>
        <v>#N/A</v>
      </c>
      <c r="E416" t="e">
        <f t="shared" ca="1" si="28"/>
        <v>#N/A</v>
      </c>
      <c r="F416" t="e">
        <f t="shared" ca="1" si="29"/>
        <v>#N/A</v>
      </c>
    </row>
    <row r="417" spans="3:6" x14ac:dyDescent="0.25">
      <c r="C417" t="e">
        <f t="shared" ca="1" si="26"/>
        <v>#N/A</v>
      </c>
      <c r="D417" t="e">
        <f t="shared" ca="1" si="27"/>
        <v>#N/A</v>
      </c>
      <c r="E417" t="e">
        <f t="shared" ca="1" si="28"/>
        <v>#N/A</v>
      </c>
      <c r="F417" t="e">
        <f t="shared" ca="1" si="29"/>
        <v>#N/A</v>
      </c>
    </row>
    <row r="418" spans="3:6" x14ac:dyDescent="0.25">
      <c r="C418" t="e">
        <f t="shared" ca="1" si="26"/>
        <v>#N/A</v>
      </c>
      <c r="D418" t="e">
        <f t="shared" ca="1" si="27"/>
        <v>#N/A</v>
      </c>
      <c r="E418" t="e">
        <f t="shared" ca="1" si="28"/>
        <v>#N/A</v>
      </c>
      <c r="F418" t="e">
        <f t="shared" ca="1" si="29"/>
        <v>#N/A</v>
      </c>
    </row>
    <row r="419" spans="3:6" x14ac:dyDescent="0.25">
      <c r="C419" t="e">
        <f t="shared" ca="1" si="26"/>
        <v>#N/A</v>
      </c>
      <c r="D419" t="e">
        <f t="shared" ca="1" si="27"/>
        <v>#N/A</v>
      </c>
      <c r="E419" t="e">
        <f t="shared" ca="1" si="28"/>
        <v>#N/A</v>
      </c>
      <c r="F419" t="e">
        <f t="shared" ca="1" si="29"/>
        <v>#N/A</v>
      </c>
    </row>
    <row r="420" spans="3:6" x14ac:dyDescent="0.25">
      <c r="C420" t="e">
        <f t="shared" ca="1" si="26"/>
        <v>#N/A</v>
      </c>
      <c r="D420" t="e">
        <f t="shared" ca="1" si="27"/>
        <v>#N/A</v>
      </c>
      <c r="E420" t="e">
        <f t="shared" ca="1" si="28"/>
        <v>#N/A</v>
      </c>
      <c r="F420" t="e">
        <f t="shared" ca="1" si="29"/>
        <v>#N/A</v>
      </c>
    </row>
    <row r="421" spans="3:6" x14ac:dyDescent="0.25">
      <c r="C421" t="e">
        <f t="shared" ca="1" si="26"/>
        <v>#N/A</v>
      </c>
      <c r="D421" t="e">
        <f t="shared" ca="1" si="27"/>
        <v>#N/A</v>
      </c>
      <c r="E421" t="e">
        <f t="shared" ca="1" si="28"/>
        <v>#N/A</v>
      </c>
      <c r="F421" t="e">
        <f t="shared" ca="1" si="29"/>
        <v>#N/A</v>
      </c>
    </row>
    <row r="422" spans="3:6" x14ac:dyDescent="0.25">
      <c r="C422" t="e">
        <f t="shared" ca="1" si="26"/>
        <v>#N/A</v>
      </c>
      <c r="D422" t="e">
        <f t="shared" ca="1" si="27"/>
        <v>#N/A</v>
      </c>
      <c r="E422" t="e">
        <f t="shared" ca="1" si="28"/>
        <v>#N/A</v>
      </c>
      <c r="F422" t="e">
        <f t="shared" ca="1" si="29"/>
        <v>#N/A</v>
      </c>
    </row>
    <row r="423" spans="3:6" x14ac:dyDescent="0.25">
      <c r="C423" t="e">
        <f t="shared" ca="1" si="26"/>
        <v>#N/A</v>
      </c>
      <c r="D423" t="e">
        <f t="shared" ca="1" si="27"/>
        <v>#N/A</v>
      </c>
      <c r="E423" t="e">
        <f t="shared" ca="1" si="28"/>
        <v>#N/A</v>
      </c>
      <c r="F423" t="e">
        <f t="shared" ca="1" si="29"/>
        <v>#N/A</v>
      </c>
    </row>
    <row r="424" spans="3:6" x14ac:dyDescent="0.25">
      <c r="C424" t="e">
        <f t="shared" ca="1" si="26"/>
        <v>#N/A</v>
      </c>
      <c r="D424" t="e">
        <f t="shared" ca="1" si="27"/>
        <v>#N/A</v>
      </c>
      <c r="E424" t="e">
        <f t="shared" ca="1" si="28"/>
        <v>#N/A</v>
      </c>
      <c r="F424" t="e">
        <f t="shared" ca="1" si="29"/>
        <v>#N/A</v>
      </c>
    </row>
    <row r="425" spans="3:6" x14ac:dyDescent="0.25">
      <c r="C425" t="e">
        <f t="shared" ca="1" si="26"/>
        <v>#N/A</v>
      </c>
      <c r="D425" t="e">
        <f t="shared" ca="1" si="27"/>
        <v>#N/A</v>
      </c>
      <c r="E425" t="e">
        <f t="shared" ca="1" si="28"/>
        <v>#N/A</v>
      </c>
      <c r="F425" t="e">
        <f t="shared" ca="1" si="29"/>
        <v>#N/A</v>
      </c>
    </row>
    <row r="426" spans="3:6" x14ac:dyDescent="0.25">
      <c r="C426" t="e">
        <f t="shared" ca="1" si="26"/>
        <v>#N/A</v>
      </c>
      <c r="D426" t="e">
        <f t="shared" ca="1" si="27"/>
        <v>#N/A</v>
      </c>
      <c r="E426" t="e">
        <f t="shared" ca="1" si="28"/>
        <v>#N/A</v>
      </c>
      <c r="F426" t="e">
        <f t="shared" ca="1" si="29"/>
        <v>#N/A</v>
      </c>
    </row>
    <row r="427" spans="3:6" x14ac:dyDescent="0.25">
      <c r="C427" t="e">
        <f t="shared" ca="1" si="26"/>
        <v>#N/A</v>
      </c>
      <c r="D427" t="e">
        <f t="shared" ca="1" si="27"/>
        <v>#N/A</v>
      </c>
      <c r="E427" t="e">
        <f t="shared" ca="1" si="28"/>
        <v>#N/A</v>
      </c>
      <c r="F427" t="e">
        <f t="shared" ca="1" si="29"/>
        <v>#N/A</v>
      </c>
    </row>
    <row r="428" spans="3:6" x14ac:dyDescent="0.25">
      <c r="C428" t="e">
        <f t="shared" ca="1" si="26"/>
        <v>#N/A</v>
      </c>
      <c r="D428" t="e">
        <f t="shared" ca="1" si="27"/>
        <v>#N/A</v>
      </c>
      <c r="E428" t="e">
        <f t="shared" ca="1" si="28"/>
        <v>#N/A</v>
      </c>
      <c r="F428" t="e">
        <f t="shared" ca="1" si="29"/>
        <v>#N/A</v>
      </c>
    </row>
    <row r="429" spans="3:6" x14ac:dyDescent="0.25">
      <c r="C429" t="e">
        <f t="shared" ca="1" si="26"/>
        <v>#N/A</v>
      </c>
      <c r="D429" t="e">
        <f t="shared" ca="1" si="27"/>
        <v>#N/A</v>
      </c>
      <c r="E429" t="e">
        <f t="shared" ca="1" si="28"/>
        <v>#N/A</v>
      </c>
      <c r="F429" t="e">
        <f t="shared" ca="1" si="29"/>
        <v>#N/A</v>
      </c>
    </row>
    <row r="430" spans="3:6" x14ac:dyDescent="0.25">
      <c r="C430" t="e">
        <f t="shared" ca="1" si="26"/>
        <v>#N/A</v>
      </c>
      <c r="D430" t="e">
        <f t="shared" ca="1" si="27"/>
        <v>#N/A</v>
      </c>
      <c r="E430" t="e">
        <f t="shared" ca="1" si="28"/>
        <v>#N/A</v>
      </c>
      <c r="F430" t="e">
        <f t="shared" ca="1" si="29"/>
        <v>#N/A</v>
      </c>
    </row>
    <row r="431" spans="3:6" x14ac:dyDescent="0.25">
      <c r="C431" t="e">
        <f t="shared" ca="1" si="26"/>
        <v>#N/A</v>
      </c>
      <c r="D431" t="e">
        <f t="shared" ca="1" si="27"/>
        <v>#N/A</v>
      </c>
      <c r="E431" t="e">
        <f t="shared" ca="1" si="28"/>
        <v>#N/A</v>
      </c>
      <c r="F431" t="e">
        <f t="shared" ca="1" si="29"/>
        <v>#N/A</v>
      </c>
    </row>
    <row r="432" spans="3:6" x14ac:dyDescent="0.25">
      <c r="C432" t="e">
        <f t="shared" ca="1" si="26"/>
        <v>#N/A</v>
      </c>
      <c r="D432" t="e">
        <f t="shared" ca="1" si="27"/>
        <v>#N/A</v>
      </c>
      <c r="E432" t="e">
        <f t="shared" ca="1" si="28"/>
        <v>#N/A</v>
      </c>
      <c r="F432" t="e">
        <f t="shared" ca="1" si="29"/>
        <v>#N/A</v>
      </c>
    </row>
    <row r="433" spans="3:6" x14ac:dyDescent="0.25">
      <c r="C433" t="e">
        <f t="shared" ca="1" si="26"/>
        <v>#N/A</v>
      </c>
      <c r="D433" t="e">
        <f t="shared" ca="1" si="27"/>
        <v>#N/A</v>
      </c>
      <c r="E433" t="e">
        <f t="shared" ca="1" si="28"/>
        <v>#N/A</v>
      </c>
      <c r="F433" t="e">
        <f t="shared" ca="1" si="29"/>
        <v>#N/A</v>
      </c>
    </row>
    <row r="434" spans="3:6" x14ac:dyDescent="0.25">
      <c r="C434" t="e">
        <f t="shared" ca="1" si="26"/>
        <v>#N/A</v>
      </c>
      <c r="D434" t="e">
        <f t="shared" ca="1" si="27"/>
        <v>#N/A</v>
      </c>
      <c r="E434" t="e">
        <f t="shared" ca="1" si="28"/>
        <v>#N/A</v>
      </c>
      <c r="F434" t="e">
        <f t="shared" ca="1" si="29"/>
        <v>#N/A</v>
      </c>
    </row>
    <row r="435" spans="3:6" x14ac:dyDescent="0.25">
      <c r="C435" t="e">
        <f t="shared" ca="1" si="26"/>
        <v>#N/A</v>
      </c>
      <c r="D435" t="e">
        <f t="shared" ca="1" si="27"/>
        <v>#N/A</v>
      </c>
      <c r="E435" t="e">
        <f t="shared" ca="1" si="28"/>
        <v>#N/A</v>
      </c>
      <c r="F435" t="e">
        <f t="shared" ca="1" si="29"/>
        <v>#N/A</v>
      </c>
    </row>
    <row r="436" spans="3:6" x14ac:dyDescent="0.25">
      <c r="C436" t="e">
        <f t="shared" ca="1" si="26"/>
        <v>#N/A</v>
      </c>
      <c r="D436" t="e">
        <f t="shared" ca="1" si="27"/>
        <v>#N/A</v>
      </c>
      <c r="E436" t="e">
        <f t="shared" ca="1" si="28"/>
        <v>#N/A</v>
      </c>
      <c r="F436" t="e">
        <f t="shared" ca="1" si="29"/>
        <v>#N/A</v>
      </c>
    </row>
    <row r="437" spans="3:6" x14ac:dyDescent="0.25">
      <c r="C437" t="e">
        <f t="shared" ca="1" si="26"/>
        <v>#N/A</v>
      </c>
      <c r="D437" t="e">
        <f t="shared" ca="1" si="27"/>
        <v>#N/A</v>
      </c>
      <c r="E437" t="e">
        <f t="shared" ca="1" si="28"/>
        <v>#N/A</v>
      </c>
      <c r="F437" t="e">
        <f t="shared" ca="1" si="29"/>
        <v>#N/A</v>
      </c>
    </row>
    <row r="438" spans="3:6" x14ac:dyDescent="0.25">
      <c r="C438" t="e">
        <f t="shared" ca="1" si="26"/>
        <v>#N/A</v>
      </c>
      <c r="D438" t="e">
        <f t="shared" ca="1" si="27"/>
        <v>#N/A</v>
      </c>
      <c r="E438" t="e">
        <f t="shared" ca="1" si="28"/>
        <v>#N/A</v>
      </c>
      <c r="F438" t="e">
        <f t="shared" ca="1" si="29"/>
        <v>#N/A</v>
      </c>
    </row>
    <row r="439" spans="3:6" x14ac:dyDescent="0.25">
      <c r="C439" t="e">
        <f t="shared" ca="1" si="26"/>
        <v>#N/A</v>
      </c>
      <c r="D439" t="e">
        <f t="shared" ca="1" si="27"/>
        <v>#N/A</v>
      </c>
      <c r="E439" t="e">
        <f t="shared" ca="1" si="28"/>
        <v>#N/A</v>
      </c>
      <c r="F439" t="e">
        <f t="shared" ca="1" si="29"/>
        <v>#N/A</v>
      </c>
    </row>
    <row r="440" spans="3:6" x14ac:dyDescent="0.25">
      <c r="C440" t="e">
        <f t="shared" ca="1" si="26"/>
        <v>#N/A</v>
      </c>
      <c r="D440" t="e">
        <f t="shared" ca="1" si="27"/>
        <v>#N/A</v>
      </c>
      <c r="E440" t="e">
        <f t="shared" ca="1" si="28"/>
        <v>#N/A</v>
      </c>
      <c r="F440" t="e">
        <f t="shared" ca="1" si="29"/>
        <v>#N/A</v>
      </c>
    </row>
    <row r="441" spans="3:6" x14ac:dyDescent="0.25">
      <c r="C441" t="e">
        <f t="shared" ca="1" si="26"/>
        <v>#N/A</v>
      </c>
      <c r="D441" t="e">
        <f t="shared" ca="1" si="27"/>
        <v>#N/A</v>
      </c>
      <c r="E441" t="e">
        <f t="shared" ca="1" si="28"/>
        <v>#N/A</v>
      </c>
      <c r="F441" t="e">
        <f t="shared" ca="1" si="29"/>
        <v>#N/A</v>
      </c>
    </row>
    <row r="442" spans="3:6" x14ac:dyDescent="0.25">
      <c r="C442" t="e">
        <f t="shared" ca="1" si="26"/>
        <v>#N/A</v>
      </c>
      <c r="D442" t="e">
        <f t="shared" ca="1" si="27"/>
        <v>#N/A</v>
      </c>
      <c r="E442" t="e">
        <f t="shared" ca="1" si="28"/>
        <v>#N/A</v>
      </c>
      <c r="F442" t="e">
        <f t="shared" ca="1" si="29"/>
        <v>#N/A</v>
      </c>
    </row>
    <row r="443" spans="3:6" x14ac:dyDescent="0.25">
      <c r="C443" t="e">
        <f t="shared" ca="1" si="26"/>
        <v>#N/A</v>
      </c>
      <c r="D443" t="e">
        <f t="shared" ca="1" si="27"/>
        <v>#N/A</v>
      </c>
      <c r="E443" t="e">
        <f t="shared" ca="1" si="28"/>
        <v>#N/A</v>
      </c>
      <c r="F443" t="e">
        <f t="shared" ca="1" si="29"/>
        <v>#N/A</v>
      </c>
    </row>
    <row r="444" spans="3:6" x14ac:dyDescent="0.25">
      <c r="C444" t="e">
        <f t="shared" ca="1" si="26"/>
        <v>#N/A</v>
      </c>
      <c r="D444" t="e">
        <f t="shared" ca="1" si="27"/>
        <v>#N/A</v>
      </c>
      <c r="E444" t="e">
        <f t="shared" ca="1" si="28"/>
        <v>#N/A</v>
      </c>
      <c r="F444" t="e">
        <f t="shared" ca="1" si="29"/>
        <v>#N/A</v>
      </c>
    </row>
    <row r="445" spans="3:6" x14ac:dyDescent="0.25">
      <c r="C445" t="e">
        <f t="shared" ca="1" si="26"/>
        <v>#N/A</v>
      </c>
      <c r="D445" t="e">
        <f t="shared" ca="1" si="27"/>
        <v>#N/A</v>
      </c>
      <c r="E445" t="e">
        <f t="shared" ca="1" si="28"/>
        <v>#N/A</v>
      </c>
      <c r="F445" t="e">
        <f t="shared" ca="1" si="29"/>
        <v>#N/A</v>
      </c>
    </row>
    <row r="446" spans="3:6" x14ac:dyDescent="0.25">
      <c r="C446" t="e">
        <f t="shared" ca="1" si="26"/>
        <v>#N/A</v>
      </c>
      <c r="D446" t="e">
        <f t="shared" ca="1" si="27"/>
        <v>#N/A</v>
      </c>
      <c r="E446" t="e">
        <f t="shared" ca="1" si="28"/>
        <v>#N/A</v>
      </c>
      <c r="F446" t="e">
        <f t="shared" ca="1" si="29"/>
        <v>#N/A</v>
      </c>
    </row>
    <row r="447" spans="3:6" x14ac:dyDescent="0.25">
      <c r="C447" t="e">
        <f t="shared" ca="1" si="26"/>
        <v>#N/A</v>
      </c>
      <c r="D447" t="e">
        <f t="shared" ca="1" si="27"/>
        <v>#N/A</v>
      </c>
      <c r="E447" t="e">
        <f t="shared" ca="1" si="28"/>
        <v>#N/A</v>
      </c>
      <c r="F447" t="e">
        <f t="shared" ca="1" si="29"/>
        <v>#N/A</v>
      </c>
    </row>
    <row r="448" spans="3:6" x14ac:dyDescent="0.25">
      <c r="C448" t="e">
        <f t="shared" ca="1" si="26"/>
        <v>#N/A</v>
      </c>
      <c r="D448" t="e">
        <f t="shared" ca="1" si="27"/>
        <v>#N/A</v>
      </c>
      <c r="E448" t="e">
        <f t="shared" ca="1" si="28"/>
        <v>#N/A</v>
      </c>
      <c r="F448" t="e">
        <f t="shared" ca="1" si="29"/>
        <v>#N/A</v>
      </c>
    </row>
    <row r="449" spans="3:6" x14ac:dyDescent="0.25">
      <c r="C449" t="e">
        <f t="shared" ca="1" si="26"/>
        <v>#N/A</v>
      </c>
      <c r="D449" t="e">
        <f t="shared" ca="1" si="27"/>
        <v>#N/A</v>
      </c>
      <c r="E449" t="e">
        <f t="shared" ca="1" si="28"/>
        <v>#N/A</v>
      </c>
      <c r="F449" t="e">
        <f t="shared" ca="1" si="29"/>
        <v>#N/A</v>
      </c>
    </row>
    <row r="450" spans="3:6" x14ac:dyDescent="0.25">
      <c r="C450" t="e">
        <f t="shared" ca="1" si="26"/>
        <v>#N/A</v>
      </c>
      <c r="D450" t="e">
        <f t="shared" ca="1" si="27"/>
        <v>#N/A</v>
      </c>
      <c r="E450" t="e">
        <f t="shared" ca="1" si="28"/>
        <v>#N/A</v>
      </c>
      <c r="F450" t="e">
        <f t="shared" ca="1" si="29"/>
        <v>#N/A</v>
      </c>
    </row>
    <row r="451" spans="3:6" x14ac:dyDescent="0.25">
      <c r="C451" t="e">
        <f t="shared" ca="1" si="26"/>
        <v>#N/A</v>
      </c>
      <c r="D451" t="e">
        <f t="shared" ca="1" si="27"/>
        <v>#N/A</v>
      </c>
      <c r="E451" t="e">
        <f t="shared" ca="1" si="28"/>
        <v>#N/A</v>
      </c>
      <c r="F451" t="e">
        <f t="shared" ca="1" si="29"/>
        <v>#N/A</v>
      </c>
    </row>
    <row r="452" spans="3:6" x14ac:dyDescent="0.25">
      <c r="C452" t="e">
        <f t="shared" ca="1" si="26"/>
        <v>#N/A</v>
      </c>
      <c r="D452" t="e">
        <f t="shared" ca="1" si="27"/>
        <v>#N/A</v>
      </c>
      <c r="E452" t="e">
        <f t="shared" ca="1" si="28"/>
        <v>#N/A</v>
      </c>
      <c r="F452" t="e">
        <f t="shared" ca="1" si="29"/>
        <v>#N/A</v>
      </c>
    </row>
    <row r="453" spans="3:6" x14ac:dyDescent="0.25">
      <c r="C453" t="e">
        <f t="shared" ca="1" si="26"/>
        <v>#N/A</v>
      </c>
      <c r="D453" t="e">
        <f t="shared" ca="1" si="27"/>
        <v>#N/A</v>
      </c>
      <c r="E453" t="e">
        <f t="shared" ca="1" si="28"/>
        <v>#N/A</v>
      </c>
      <c r="F453" t="e">
        <f t="shared" ca="1" si="29"/>
        <v>#N/A</v>
      </c>
    </row>
    <row r="454" spans="3:6" x14ac:dyDescent="0.25">
      <c r="C454" t="e">
        <f t="shared" ca="1" si="26"/>
        <v>#N/A</v>
      </c>
      <c r="D454" t="e">
        <f t="shared" ca="1" si="27"/>
        <v>#N/A</v>
      </c>
      <c r="E454" t="e">
        <f t="shared" ca="1" si="28"/>
        <v>#N/A</v>
      </c>
      <c r="F454" t="e">
        <f t="shared" ca="1" si="29"/>
        <v>#N/A</v>
      </c>
    </row>
    <row r="455" spans="3:6" x14ac:dyDescent="0.25">
      <c r="C455" t="e">
        <f t="shared" ca="1" si="26"/>
        <v>#N/A</v>
      </c>
      <c r="D455" t="e">
        <f t="shared" ca="1" si="27"/>
        <v>#N/A</v>
      </c>
      <c r="E455" t="e">
        <f t="shared" ca="1" si="28"/>
        <v>#N/A</v>
      </c>
      <c r="F455" t="e">
        <f t="shared" ca="1" si="29"/>
        <v>#N/A</v>
      </c>
    </row>
    <row r="456" spans="3:6" x14ac:dyDescent="0.25">
      <c r="C456" t="e">
        <f t="shared" ca="1" si="26"/>
        <v>#N/A</v>
      </c>
      <c r="D456" t="e">
        <f t="shared" ca="1" si="27"/>
        <v>#N/A</v>
      </c>
      <c r="E456" t="e">
        <f t="shared" ca="1" si="28"/>
        <v>#N/A</v>
      </c>
      <c r="F456" t="e">
        <f t="shared" ca="1" si="29"/>
        <v>#N/A</v>
      </c>
    </row>
    <row r="457" spans="3:6" x14ac:dyDescent="0.25">
      <c r="C457" t="e">
        <f t="shared" ca="1" si="26"/>
        <v>#N/A</v>
      </c>
      <c r="D457" t="e">
        <f t="shared" ca="1" si="27"/>
        <v>#N/A</v>
      </c>
      <c r="E457" t="e">
        <f t="shared" ca="1" si="28"/>
        <v>#N/A</v>
      </c>
      <c r="F457" t="e">
        <f t="shared" ca="1" si="29"/>
        <v>#N/A</v>
      </c>
    </row>
    <row r="458" spans="3:6" x14ac:dyDescent="0.25">
      <c r="C458" t="e">
        <f t="shared" ref="C458:C521" ca="1" si="30">$C$7</f>
        <v>#N/A</v>
      </c>
      <c r="D458" t="e">
        <f t="shared" ref="D458:D521" ca="1" si="31">$D$7</f>
        <v>#N/A</v>
      </c>
      <c r="E458" t="e">
        <f t="shared" ref="E458:E521" ca="1" si="32">IF($B459="",C$8,"")</f>
        <v>#N/A</v>
      </c>
      <c r="F458" t="e">
        <f t="shared" ref="F458:F521" ca="1" si="33">IF($B459="",D$8,"")</f>
        <v>#N/A</v>
      </c>
    </row>
    <row r="459" spans="3:6" x14ac:dyDescent="0.25">
      <c r="C459" t="e">
        <f t="shared" ca="1" si="30"/>
        <v>#N/A</v>
      </c>
      <c r="D459" t="e">
        <f t="shared" ca="1" si="31"/>
        <v>#N/A</v>
      </c>
      <c r="E459" t="e">
        <f t="shared" ca="1" si="32"/>
        <v>#N/A</v>
      </c>
      <c r="F459" t="e">
        <f t="shared" ca="1" si="33"/>
        <v>#N/A</v>
      </c>
    </row>
    <row r="460" spans="3:6" x14ac:dyDescent="0.25">
      <c r="C460" t="e">
        <f t="shared" ca="1" si="30"/>
        <v>#N/A</v>
      </c>
      <c r="D460" t="e">
        <f t="shared" ca="1" si="31"/>
        <v>#N/A</v>
      </c>
      <c r="E460" t="e">
        <f t="shared" ca="1" si="32"/>
        <v>#N/A</v>
      </c>
      <c r="F460" t="e">
        <f t="shared" ca="1" si="33"/>
        <v>#N/A</v>
      </c>
    </row>
    <row r="461" spans="3:6" x14ac:dyDescent="0.25">
      <c r="C461" t="e">
        <f t="shared" ca="1" si="30"/>
        <v>#N/A</v>
      </c>
      <c r="D461" t="e">
        <f t="shared" ca="1" si="31"/>
        <v>#N/A</v>
      </c>
      <c r="E461" t="e">
        <f t="shared" ca="1" si="32"/>
        <v>#N/A</v>
      </c>
      <c r="F461" t="e">
        <f t="shared" ca="1" si="33"/>
        <v>#N/A</v>
      </c>
    </row>
    <row r="462" spans="3:6" x14ac:dyDescent="0.25">
      <c r="C462" t="e">
        <f t="shared" ca="1" si="30"/>
        <v>#N/A</v>
      </c>
      <c r="D462" t="e">
        <f t="shared" ca="1" si="31"/>
        <v>#N/A</v>
      </c>
      <c r="E462" t="e">
        <f t="shared" ca="1" si="32"/>
        <v>#N/A</v>
      </c>
      <c r="F462" t="e">
        <f t="shared" ca="1" si="33"/>
        <v>#N/A</v>
      </c>
    </row>
    <row r="463" spans="3:6" x14ac:dyDescent="0.25">
      <c r="C463" t="e">
        <f t="shared" ca="1" si="30"/>
        <v>#N/A</v>
      </c>
      <c r="D463" t="e">
        <f t="shared" ca="1" si="31"/>
        <v>#N/A</v>
      </c>
      <c r="E463" t="e">
        <f t="shared" ca="1" si="32"/>
        <v>#N/A</v>
      </c>
      <c r="F463" t="e">
        <f t="shared" ca="1" si="33"/>
        <v>#N/A</v>
      </c>
    </row>
    <row r="464" spans="3:6" x14ac:dyDescent="0.25">
      <c r="C464" t="e">
        <f t="shared" ca="1" si="30"/>
        <v>#N/A</v>
      </c>
      <c r="D464" t="e">
        <f t="shared" ca="1" si="31"/>
        <v>#N/A</v>
      </c>
      <c r="E464" t="e">
        <f t="shared" ca="1" si="32"/>
        <v>#N/A</v>
      </c>
      <c r="F464" t="e">
        <f t="shared" ca="1" si="33"/>
        <v>#N/A</v>
      </c>
    </row>
    <row r="465" spans="3:6" x14ac:dyDescent="0.25">
      <c r="C465" t="e">
        <f t="shared" ca="1" si="30"/>
        <v>#N/A</v>
      </c>
      <c r="D465" t="e">
        <f t="shared" ca="1" si="31"/>
        <v>#N/A</v>
      </c>
      <c r="E465" t="e">
        <f t="shared" ca="1" si="32"/>
        <v>#N/A</v>
      </c>
      <c r="F465" t="e">
        <f t="shared" ca="1" si="33"/>
        <v>#N/A</v>
      </c>
    </row>
    <row r="466" spans="3:6" x14ac:dyDescent="0.25">
      <c r="C466" t="e">
        <f t="shared" ca="1" si="30"/>
        <v>#N/A</v>
      </c>
      <c r="D466" t="e">
        <f t="shared" ca="1" si="31"/>
        <v>#N/A</v>
      </c>
      <c r="E466" t="e">
        <f t="shared" ca="1" si="32"/>
        <v>#N/A</v>
      </c>
      <c r="F466" t="e">
        <f t="shared" ca="1" si="33"/>
        <v>#N/A</v>
      </c>
    </row>
    <row r="467" spans="3:6" x14ac:dyDescent="0.25">
      <c r="C467" t="e">
        <f t="shared" ca="1" si="30"/>
        <v>#N/A</v>
      </c>
      <c r="D467" t="e">
        <f t="shared" ca="1" si="31"/>
        <v>#N/A</v>
      </c>
      <c r="E467" t="e">
        <f t="shared" ca="1" si="32"/>
        <v>#N/A</v>
      </c>
      <c r="F467" t="e">
        <f t="shared" ca="1" si="33"/>
        <v>#N/A</v>
      </c>
    </row>
    <row r="468" spans="3:6" x14ac:dyDescent="0.25">
      <c r="C468" t="e">
        <f t="shared" ca="1" si="30"/>
        <v>#N/A</v>
      </c>
      <c r="D468" t="e">
        <f t="shared" ca="1" si="31"/>
        <v>#N/A</v>
      </c>
      <c r="E468" t="e">
        <f t="shared" ca="1" si="32"/>
        <v>#N/A</v>
      </c>
      <c r="F468" t="e">
        <f t="shared" ca="1" si="33"/>
        <v>#N/A</v>
      </c>
    </row>
    <row r="469" spans="3:6" x14ac:dyDescent="0.25">
      <c r="C469" t="e">
        <f t="shared" ca="1" si="30"/>
        <v>#N/A</v>
      </c>
      <c r="D469" t="e">
        <f t="shared" ca="1" si="31"/>
        <v>#N/A</v>
      </c>
      <c r="E469" t="e">
        <f t="shared" ca="1" si="32"/>
        <v>#N/A</v>
      </c>
      <c r="F469" t="e">
        <f t="shared" ca="1" si="33"/>
        <v>#N/A</v>
      </c>
    </row>
    <row r="470" spans="3:6" x14ac:dyDescent="0.25">
      <c r="C470" t="e">
        <f t="shared" ca="1" si="30"/>
        <v>#N/A</v>
      </c>
      <c r="D470" t="e">
        <f t="shared" ca="1" si="31"/>
        <v>#N/A</v>
      </c>
      <c r="E470" t="e">
        <f t="shared" ca="1" si="32"/>
        <v>#N/A</v>
      </c>
      <c r="F470" t="e">
        <f t="shared" ca="1" si="33"/>
        <v>#N/A</v>
      </c>
    </row>
    <row r="471" spans="3:6" x14ac:dyDescent="0.25">
      <c r="C471" t="e">
        <f t="shared" ca="1" si="30"/>
        <v>#N/A</v>
      </c>
      <c r="D471" t="e">
        <f t="shared" ca="1" si="31"/>
        <v>#N/A</v>
      </c>
      <c r="E471" t="e">
        <f t="shared" ca="1" si="32"/>
        <v>#N/A</v>
      </c>
      <c r="F471" t="e">
        <f t="shared" ca="1" si="33"/>
        <v>#N/A</v>
      </c>
    </row>
    <row r="472" spans="3:6" x14ac:dyDescent="0.25">
      <c r="C472" t="e">
        <f t="shared" ca="1" si="30"/>
        <v>#N/A</v>
      </c>
      <c r="D472" t="e">
        <f t="shared" ca="1" si="31"/>
        <v>#N/A</v>
      </c>
      <c r="E472" t="e">
        <f t="shared" ca="1" si="32"/>
        <v>#N/A</v>
      </c>
      <c r="F472" t="e">
        <f t="shared" ca="1" si="33"/>
        <v>#N/A</v>
      </c>
    </row>
    <row r="473" spans="3:6" x14ac:dyDescent="0.25">
      <c r="C473" t="e">
        <f t="shared" ca="1" si="30"/>
        <v>#N/A</v>
      </c>
      <c r="D473" t="e">
        <f t="shared" ca="1" si="31"/>
        <v>#N/A</v>
      </c>
      <c r="E473" t="e">
        <f t="shared" ca="1" si="32"/>
        <v>#N/A</v>
      </c>
      <c r="F473" t="e">
        <f t="shared" ca="1" si="33"/>
        <v>#N/A</v>
      </c>
    </row>
    <row r="474" spans="3:6" x14ac:dyDescent="0.25">
      <c r="C474" t="e">
        <f t="shared" ca="1" si="30"/>
        <v>#N/A</v>
      </c>
      <c r="D474" t="e">
        <f t="shared" ca="1" si="31"/>
        <v>#N/A</v>
      </c>
      <c r="E474" t="e">
        <f t="shared" ca="1" si="32"/>
        <v>#N/A</v>
      </c>
      <c r="F474" t="e">
        <f t="shared" ca="1" si="33"/>
        <v>#N/A</v>
      </c>
    </row>
    <row r="475" spans="3:6" x14ac:dyDescent="0.25">
      <c r="C475" t="e">
        <f t="shared" ca="1" si="30"/>
        <v>#N/A</v>
      </c>
      <c r="D475" t="e">
        <f t="shared" ca="1" si="31"/>
        <v>#N/A</v>
      </c>
      <c r="E475" t="e">
        <f t="shared" ca="1" si="32"/>
        <v>#N/A</v>
      </c>
      <c r="F475" t="e">
        <f t="shared" ca="1" si="33"/>
        <v>#N/A</v>
      </c>
    </row>
    <row r="476" spans="3:6" x14ac:dyDescent="0.25">
      <c r="C476" t="e">
        <f t="shared" ca="1" si="30"/>
        <v>#N/A</v>
      </c>
      <c r="D476" t="e">
        <f t="shared" ca="1" si="31"/>
        <v>#N/A</v>
      </c>
      <c r="E476" t="e">
        <f t="shared" ca="1" si="32"/>
        <v>#N/A</v>
      </c>
      <c r="F476" t="e">
        <f t="shared" ca="1" si="33"/>
        <v>#N/A</v>
      </c>
    </row>
    <row r="477" spans="3:6" x14ac:dyDescent="0.25">
      <c r="C477" t="e">
        <f t="shared" ca="1" si="30"/>
        <v>#N/A</v>
      </c>
      <c r="D477" t="e">
        <f t="shared" ca="1" si="31"/>
        <v>#N/A</v>
      </c>
      <c r="E477" t="e">
        <f t="shared" ca="1" si="32"/>
        <v>#N/A</v>
      </c>
      <c r="F477" t="e">
        <f t="shared" ca="1" si="33"/>
        <v>#N/A</v>
      </c>
    </row>
    <row r="478" spans="3:6" x14ac:dyDescent="0.25">
      <c r="C478" t="e">
        <f t="shared" ca="1" si="30"/>
        <v>#N/A</v>
      </c>
      <c r="D478" t="e">
        <f t="shared" ca="1" si="31"/>
        <v>#N/A</v>
      </c>
      <c r="E478" t="e">
        <f t="shared" ca="1" si="32"/>
        <v>#N/A</v>
      </c>
      <c r="F478" t="e">
        <f t="shared" ca="1" si="33"/>
        <v>#N/A</v>
      </c>
    </row>
    <row r="479" spans="3:6" x14ac:dyDescent="0.25">
      <c r="C479" t="e">
        <f t="shared" ca="1" si="30"/>
        <v>#N/A</v>
      </c>
      <c r="D479" t="e">
        <f t="shared" ca="1" si="31"/>
        <v>#N/A</v>
      </c>
      <c r="E479" t="e">
        <f t="shared" ca="1" si="32"/>
        <v>#N/A</v>
      </c>
      <c r="F479" t="e">
        <f t="shared" ca="1" si="33"/>
        <v>#N/A</v>
      </c>
    </row>
    <row r="480" spans="3:6" x14ac:dyDescent="0.25">
      <c r="C480" t="e">
        <f t="shared" ca="1" si="30"/>
        <v>#N/A</v>
      </c>
      <c r="D480" t="e">
        <f t="shared" ca="1" si="31"/>
        <v>#N/A</v>
      </c>
      <c r="E480" t="e">
        <f t="shared" ca="1" si="32"/>
        <v>#N/A</v>
      </c>
      <c r="F480" t="e">
        <f t="shared" ca="1" si="33"/>
        <v>#N/A</v>
      </c>
    </row>
    <row r="481" spans="3:6" x14ac:dyDescent="0.25">
      <c r="C481" t="e">
        <f t="shared" ca="1" si="30"/>
        <v>#N/A</v>
      </c>
      <c r="D481" t="e">
        <f t="shared" ca="1" si="31"/>
        <v>#N/A</v>
      </c>
      <c r="E481" t="e">
        <f t="shared" ca="1" si="32"/>
        <v>#N/A</v>
      </c>
      <c r="F481" t="e">
        <f t="shared" ca="1" si="33"/>
        <v>#N/A</v>
      </c>
    </row>
    <row r="482" spans="3:6" x14ac:dyDescent="0.25">
      <c r="C482" t="e">
        <f t="shared" ca="1" si="30"/>
        <v>#N/A</v>
      </c>
      <c r="D482" t="e">
        <f t="shared" ca="1" si="31"/>
        <v>#N/A</v>
      </c>
      <c r="E482" t="e">
        <f t="shared" ca="1" si="32"/>
        <v>#N/A</v>
      </c>
      <c r="F482" t="e">
        <f t="shared" ca="1" si="33"/>
        <v>#N/A</v>
      </c>
    </row>
    <row r="483" spans="3:6" x14ac:dyDescent="0.25">
      <c r="C483" t="e">
        <f t="shared" ca="1" si="30"/>
        <v>#N/A</v>
      </c>
      <c r="D483" t="e">
        <f t="shared" ca="1" si="31"/>
        <v>#N/A</v>
      </c>
      <c r="E483" t="e">
        <f t="shared" ca="1" si="32"/>
        <v>#N/A</v>
      </c>
      <c r="F483" t="e">
        <f t="shared" ca="1" si="33"/>
        <v>#N/A</v>
      </c>
    </row>
    <row r="484" spans="3:6" x14ac:dyDescent="0.25">
      <c r="C484" t="e">
        <f t="shared" ca="1" si="30"/>
        <v>#N/A</v>
      </c>
      <c r="D484" t="e">
        <f t="shared" ca="1" si="31"/>
        <v>#N/A</v>
      </c>
      <c r="E484" t="e">
        <f t="shared" ca="1" si="32"/>
        <v>#N/A</v>
      </c>
      <c r="F484" t="e">
        <f t="shared" ca="1" si="33"/>
        <v>#N/A</v>
      </c>
    </row>
    <row r="485" spans="3:6" x14ac:dyDescent="0.25">
      <c r="C485" t="e">
        <f t="shared" ca="1" si="30"/>
        <v>#N/A</v>
      </c>
      <c r="D485" t="e">
        <f t="shared" ca="1" si="31"/>
        <v>#N/A</v>
      </c>
      <c r="E485" t="e">
        <f t="shared" ca="1" si="32"/>
        <v>#N/A</v>
      </c>
      <c r="F485" t="e">
        <f t="shared" ca="1" si="33"/>
        <v>#N/A</v>
      </c>
    </row>
    <row r="486" spans="3:6" x14ac:dyDescent="0.25">
      <c r="C486" t="e">
        <f t="shared" ca="1" si="30"/>
        <v>#N/A</v>
      </c>
      <c r="D486" t="e">
        <f t="shared" ca="1" si="31"/>
        <v>#N/A</v>
      </c>
      <c r="E486" t="e">
        <f t="shared" ca="1" si="32"/>
        <v>#N/A</v>
      </c>
      <c r="F486" t="e">
        <f t="shared" ca="1" si="33"/>
        <v>#N/A</v>
      </c>
    </row>
    <row r="487" spans="3:6" x14ac:dyDescent="0.25">
      <c r="C487" t="e">
        <f t="shared" ca="1" si="30"/>
        <v>#N/A</v>
      </c>
      <c r="D487" t="e">
        <f t="shared" ca="1" si="31"/>
        <v>#N/A</v>
      </c>
      <c r="E487" t="e">
        <f t="shared" ca="1" si="32"/>
        <v>#N/A</v>
      </c>
      <c r="F487" t="e">
        <f t="shared" ca="1" si="33"/>
        <v>#N/A</v>
      </c>
    </row>
    <row r="488" spans="3:6" x14ac:dyDescent="0.25">
      <c r="C488" t="e">
        <f t="shared" ca="1" si="30"/>
        <v>#N/A</v>
      </c>
      <c r="D488" t="e">
        <f t="shared" ca="1" si="31"/>
        <v>#N/A</v>
      </c>
      <c r="E488" t="e">
        <f t="shared" ca="1" si="32"/>
        <v>#N/A</v>
      </c>
      <c r="F488" t="e">
        <f t="shared" ca="1" si="33"/>
        <v>#N/A</v>
      </c>
    </row>
    <row r="489" spans="3:6" x14ac:dyDescent="0.25">
      <c r="C489" t="e">
        <f t="shared" ca="1" si="30"/>
        <v>#N/A</v>
      </c>
      <c r="D489" t="e">
        <f t="shared" ca="1" si="31"/>
        <v>#N/A</v>
      </c>
      <c r="E489" t="e">
        <f t="shared" ca="1" si="32"/>
        <v>#N/A</v>
      </c>
      <c r="F489" t="e">
        <f t="shared" ca="1" si="33"/>
        <v>#N/A</v>
      </c>
    </row>
    <row r="490" spans="3:6" x14ac:dyDescent="0.25">
      <c r="C490" t="e">
        <f t="shared" ca="1" si="30"/>
        <v>#N/A</v>
      </c>
      <c r="D490" t="e">
        <f t="shared" ca="1" si="31"/>
        <v>#N/A</v>
      </c>
      <c r="E490" t="e">
        <f t="shared" ca="1" si="32"/>
        <v>#N/A</v>
      </c>
      <c r="F490" t="e">
        <f t="shared" ca="1" si="33"/>
        <v>#N/A</v>
      </c>
    </row>
    <row r="491" spans="3:6" x14ac:dyDescent="0.25">
      <c r="C491" t="e">
        <f t="shared" ca="1" si="30"/>
        <v>#N/A</v>
      </c>
      <c r="D491" t="e">
        <f t="shared" ca="1" si="31"/>
        <v>#N/A</v>
      </c>
      <c r="E491" t="e">
        <f t="shared" ca="1" si="32"/>
        <v>#N/A</v>
      </c>
      <c r="F491" t="e">
        <f t="shared" ca="1" si="33"/>
        <v>#N/A</v>
      </c>
    </row>
    <row r="492" spans="3:6" x14ac:dyDescent="0.25">
      <c r="C492" t="e">
        <f t="shared" ca="1" si="30"/>
        <v>#N/A</v>
      </c>
      <c r="D492" t="e">
        <f t="shared" ca="1" si="31"/>
        <v>#N/A</v>
      </c>
      <c r="E492" t="e">
        <f t="shared" ca="1" si="32"/>
        <v>#N/A</v>
      </c>
      <c r="F492" t="e">
        <f t="shared" ca="1" si="33"/>
        <v>#N/A</v>
      </c>
    </row>
    <row r="493" spans="3:6" x14ac:dyDescent="0.25">
      <c r="C493" t="e">
        <f t="shared" ca="1" si="30"/>
        <v>#N/A</v>
      </c>
      <c r="D493" t="e">
        <f t="shared" ca="1" si="31"/>
        <v>#N/A</v>
      </c>
      <c r="E493" t="e">
        <f t="shared" ca="1" si="32"/>
        <v>#N/A</v>
      </c>
      <c r="F493" t="e">
        <f t="shared" ca="1" si="33"/>
        <v>#N/A</v>
      </c>
    </row>
    <row r="494" spans="3:6" x14ac:dyDescent="0.25">
      <c r="C494" t="e">
        <f t="shared" ca="1" si="30"/>
        <v>#N/A</v>
      </c>
      <c r="D494" t="e">
        <f t="shared" ca="1" si="31"/>
        <v>#N/A</v>
      </c>
      <c r="E494" t="e">
        <f t="shared" ca="1" si="32"/>
        <v>#N/A</v>
      </c>
      <c r="F494" t="e">
        <f t="shared" ca="1" si="33"/>
        <v>#N/A</v>
      </c>
    </row>
    <row r="495" spans="3:6" x14ac:dyDescent="0.25">
      <c r="C495" t="e">
        <f t="shared" ca="1" si="30"/>
        <v>#N/A</v>
      </c>
      <c r="D495" t="e">
        <f t="shared" ca="1" si="31"/>
        <v>#N/A</v>
      </c>
      <c r="E495" t="e">
        <f t="shared" ca="1" si="32"/>
        <v>#N/A</v>
      </c>
      <c r="F495" t="e">
        <f t="shared" ca="1" si="33"/>
        <v>#N/A</v>
      </c>
    </row>
    <row r="496" spans="3:6" x14ac:dyDescent="0.25">
      <c r="C496" t="e">
        <f t="shared" ca="1" si="30"/>
        <v>#N/A</v>
      </c>
      <c r="D496" t="e">
        <f t="shared" ca="1" si="31"/>
        <v>#N/A</v>
      </c>
      <c r="E496" t="e">
        <f t="shared" ca="1" si="32"/>
        <v>#N/A</v>
      </c>
      <c r="F496" t="e">
        <f t="shared" ca="1" si="33"/>
        <v>#N/A</v>
      </c>
    </row>
    <row r="497" spans="3:6" x14ac:dyDescent="0.25">
      <c r="C497" t="e">
        <f t="shared" ca="1" si="30"/>
        <v>#N/A</v>
      </c>
      <c r="D497" t="e">
        <f t="shared" ca="1" si="31"/>
        <v>#N/A</v>
      </c>
      <c r="E497" t="e">
        <f t="shared" ca="1" si="32"/>
        <v>#N/A</v>
      </c>
      <c r="F497" t="e">
        <f t="shared" ca="1" si="33"/>
        <v>#N/A</v>
      </c>
    </row>
    <row r="498" spans="3:6" x14ac:dyDescent="0.25">
      <c r="C498" t="e">
        <f t="shared" ca="1" si="30"/>
        <v>#N/A</v>
      </c>
      <c r="D498" t="e">
        <f t="shared" ca="1" si="31"/>
        <v>#N/A</v>
      </c>
      <c r="E498" t="e">
        <f t="shared" ca="1" si="32"/>
        <v>#N/A</v>
      </c>
      <c r="F498" t="e">
        <f t="shared" ca="1" si="33"/>
        <v>#N/A</v>
      </c>
    </row>
    <row r="499" spans="3:6" x14ac:dyDescent="0.25">
      <c r="C499" t="e">
        <f t="shared" ca="1" si="30"/>
        <v>#N/A</v>
      </c>
      <c r="D499" t="e">
        <f t="shared" ca="1" si="31"/>
        <v>#N/A</v>
      </c>
      <c r="E499" t="e">
        <f t="shared" ca="1" si="32"/>
        <v>#N/A</v>
      </c>
      <c r="F499" t="e">
        <f t="shared" ca="1" si="33"/>
        <v>#N/A</v>
      </c>
    </row>
    <row r="500" spans="3:6" x14ac:dyDescent="0.25">
      <c r="C500" t="e">
        <f t="shared" ca="1" si="30"/>
        <v>#N/A</v>
      </c>
      <c r="D500" t="e">
        <f t="shared" ca="1" si="31"/>
        <v>#N/A</v>
      </c>
      <c r="E500" t="e">
        <f t="shared" ca="1" si="32"/>
        <v>#N/A</v>
      </c>
      <c r="F500" t="e">
        <f t="shared" ca="1" si="33"/>
        <v>#N/A</v>
      </c>
    </row>
    <row r="501" spans="3:6" x14ac:dyDescent="0.25">
      <c r="C501" t="e">
        <f t="shared" ca="1" si="30"/>
        <v>#N/A</v>
      </c>
      <c r="D501" t="e">
        <f t="shared" ca="1" si="31"/>
        <v>#N/A</v>
      </c>
      <c r="E501" t="e">
        <f t="shared" ca="1" si="32"/>
        <v>#N/A</v>
      </c>
      <c r="F501" t="e">
        <f t="shared" ca="1" si="33"/>
        <v>#N/A</v>
      </c>
    </row>
    <row r="502" spans="3:6" x14ac:dyDescent="0.25">
      <c r="C502" t="e">
        <f t="shared" ca="1" si="30"/>
        <v>#N/A</v>
      </c>
      <c r="D502" t="e">
        <f t="shared" ca="1" si="31"/>
        <v>#N/A</v>
      </c>
      <c r="E502" t="e">
        <f t="shared" ca="1" si="32"/>
        <v>#N/A</v>
      </c>
      <c r="F502" t="e">
        <f t="shared" ca="1" si="33"/>
        <v>#N/A</v>
      </c>
    </row>
    <row r="503" spans="3:6" x14ac:dyDescent="0.25">
      <c r="C503" t="e">
        <f t="shared" ca="1" si="30"/>
        <v>#N/A</v>
      </c>
      <c r="D503" t="e">
        <f t="shared" ca="1" si="31"/>
        <v>#N/A</v>
      </c>
      <c r="E503" t="e">
        <f t="shared" ca="1" si="32"/>
        <v>#N/A</v>
      </c>
      <c r="F503" t="e">
        <f t="shared" ca="1" si="33"/>
        <v>#N/A</v>
      </c>
    </row>
    <row r="504" spans="3:6" x14ac:dyDescent="0.25">
      <c r="C504" t="e">
        <f t="shared" ca="1" si="30"/>
        <v>#N/A</v>
      </c>
      <c r="D504" t="e">
        <f t="shared" ca="1" si="31"/>
        <v>#N/A</v>
      </c>
      <c r="E504" t="e">
        <f t="shared" ca="1" si="32"/>
        <v>#N/A</v>
      </c>
      <c r="F504" t="e">
        <f t="shared" ca="1" si="33"/>
        <v>#N/A</v>
      </c>
    </row>
    <row r="505" spans="3:6" x14ac:dyDescent="0.25">
      <c r="C505" t="e">
        <f t="shared" ca="1" si="30"/>
        <v>#N/A</v>
      </c>
      <c r="D505" t="e">
        <f t="shared" ca="1" si="31"/>
        <v>#N/A</v>
      </c>
      <c r="E505" t="e">
        <f t="shared" ca="1" si="32"/>
        <v>#N/A</v>
      </c>
      <c r="F505" t="e">
        <f t="shared" ca="1" si="33"/>
        <v>#N/A</v>
      </c>
    </row>
    <row r="506" spans="3:6" x14ac:dyDescent="0.25">
      <c r="C506" t="e">
        <f t="shared" ca="1" si="30"/>
        <v>#N/A</v>
      </c>
      <c r="D506" t="e">
        <f t="shared" ca="1" si="31"/>
        <v>#N/A</v>
      </c>
      <c r="E506" t="e">
        <f t="shared" ca="1" si="32"/>
        <v>#N/A</v>
      </c>
      <c r="F506" t="e">
        <f t="shared" ca="1" si="33"/>
        <v>#N/A</v>
      </c>
    </row>
    <row r="507" spans="3:6" x14ac:dyDescent="0.25">
      <c r="C507" t="e">
        <f t="shared" ca="1" si="30"/>
        <v>#N/A</v>
      </c>
      <c r="D507" t="e">
        <f t="shared" ca="1" si="31"/>
        <v>#N/A</v>
      </c>
      <c r="E507" t="e">
        <f t="shared" ca="1" si="32"/>
        <v>#N/A</v>
      </c>
      <c r="F507" t="e">
        <f t="shared" ca="1" si="33"/>
        <v>#N/A</v>
      </c>
    </row>
    <row r="508" spans="3:6" x14ac:dyDescent="0.25">
      <c r="C508" t="e">
        <f t="shared" ca="1" si="30"/>
        <v>#N/A</v>
      </c>
      <c r="D508" t="e">
        <f t="shared" ca="1" si="31"/>
        <v>#N/A</v>
      </c>
      <c r="E508" t="e">
        <f t="shared" ca="1" si="32"/>
        <v>#N/A</v>
      </c>
      <c r="F508" t="e">
        <f t="shared" ca="1" si="33"/>
        <v>#N/A</v>
      </c>
    </row>
    <row r="509" spans="3:6" x14ac:dyDescent="0.25">
      <c r="C509" t="e">
        <f t="shared" ca="1" si="30"/>
        <v>#N/A</v>
      </c>
      <c r="D509" t="e">
        <f t="shared" ca="1" si="31"/>
        <v>#N/A</v>
      </c>
      <c r="E509" t="e">
        <f t="shared" ca="1" si="32"/>
        <v>#N/A</v>
      </c>
      <c r="F509" t="e">
        <f t="shared" ca="1" si="33"/>
        <v>#N/A</v>
      </c>
    </row>
    <row r="510" spans="3:6" x14ac:dyDescent="0.25">
      <c r="C510" t="e">
        <f t="shared" ca="1" si="30"/>
        <v>#N/A</v>
      </c>
      <c r="D510" t="e">
        <f t="shared" ca="1" si="31"/>
        <v>#N/A</v>
      </c>
      <c r="E510" t="e">
        <f t="shared" ca="1" si="32"/>
        <v>#N/A</v>
      </c>
      <c r="F510" t="e">
        <f t="shared" ca="1" si="33"/>
        <v>#N/A</v>
      </c>
    </row>
    <row r="511" spans="3:6" x14ac:dyDescent="0.25">
      <c r="C511" t="e">
        <f t="shared" ca="1" si="30"/>
        <v>#N/A</v>
      </c>
      <c r="D511" t="e">
        <f t="shared" ca="1" si="31"/>
        <v>#N/A</v>
      </c>
      <c r="E511" t="e">
        <f t="shared" ca="1" si="32"/>
        <v>#N/A</v>
      </c>
      <c r="F511" t="e">
        <f t="shared" ca="1" si="33"/>
        <v>#N/A</v>
      </c>
    </row>
    <row r="512" spans="3:6" x14ac:dyDescent="0.25">
      <c r="C512" t="e">
        <f t="shared" ca="1" si="30"/>
        <v>#N/A</v>
      </c>
      <c r="D512" t="e">
        <f t="shared" ca="1" si="31"/>
        <v>#N/A</v>
      </c>
      <c r="E512" t="e">
        <f t="shared" ca="1" si="32"/>
        <v>#N/A</v>
      </c>
      <c r="F512" t="e">
        <f t="shared" ca="1" si="33"/>
        <v>#N/A</v>
      </c>
    </row>
    <row r="513" spans="3:6" x14ac:dyDescent="0.25">
      <c r="C513" t="e">
        <f t="shared" ca="1" si="30"/>
        <v>#N/A</v>
      </c>
      <c r="D513" t="e">
        <f t="shared" ca="1" si="31"/>
        <v>#N/A</v>
      </c>
      <c r="E513" t="e">
        <f t="shared" ca="1" si="32"/>
        <v>#N/A</v>
      </c>
      <c r="F513" t="e">
        <f t="shared" ca="1" si="33"/>
        <v>#N/A</v>
      </c>
    </row>
    <row r="514" spans="3:6" x14ac:dyDescent="0.25">
      <c r="C514" t="e">
        <f t="shared" ca="1" si="30"/>
        <v>#N/A</v>
      </c>
      <c r="D514" t="e">
        <f t="shared" ca="1" si="31"/>
        <v>#N/A</v>
      </c>
      <c r="E514" t="e">
        <f t="shared" ca="1" si="32"/>
        <v>#N/A</v>
      </c>
      <c r="F514" t="e">
        <f t="shared" ca="1" si="33"/>
        <v>#N/A</v>
      </c>
    </row>
    <row r="515" spans="3:6" x14ac:dyDescent="0.25">
      <c r="C515" t="e">
        <f t="shared" ca="1" si="30"/>
        <v>#N/A</v>
      </c>
      <c r="D515" t="e">
        <f t="shared" ca="1" si="31"/>
        <v>#N/A</v>
      </c>
      <c r="E515" t="e">
        <f t="shared" ca="1" si="32"/>
        <v>#N/A</v>
      </c>
      <c r="F515" t="e">
        <f t="shared" ca="1" si="33"/>
        <v>#N/A</v>
      </c>
    </row>
    <row r="516" spans="3:6" x14ac:dyDescent="0.25">
      <c r="C516" t="e">
        <f t="shared" ca="1" si="30"/>
        <v>#N/A</v>
      </c>
      <c r="D516" t="e">
        <f t="shared" ca="1" si="31"/>
        <v>#N/A</v>
      </c>
      <c r="E516" t="e">
        <f t="shared" ca="1" si="32"/>
        <v>#N/A</v>
      </c>
      <c r="F516" t="e">
        <f t="shared" ca="1" si="33"/>
        <v>#N/A</v>
      </c>
    </row>
    <row r="517" spans="3:6" x14ac:dyDescent="0.25">
      <c r="C517" t="e">
        <f t="shared" ca="1" si="30"/>
        <v>#N/A</v>
      </c>
      <c r="D517" t="e">
        <f t="shared" ca="1" si="31"/>
        <v>#N/A</v>
      </c>
      <c r="E517" t="e">
        <f t="shared" ca="1" si="32"/>
        <v>#N/A</v>
      </c>
      <c r="F517" t="e">
        <f t="shared" ca="1" si="33"/>
        <v>#N/A</v>
      </c>
    </row>
    <row r="518" spans="3:6" x14ac:dyDescent="0.25">
      <c r="C518" t="e">
        <f t="shared" ca="1" si="30"/>
        <v>#N/A</v>
      </c>
      <c r="D518" t="e">
        <f t="shared" ca="1" si="31"/>
        <v>#N/A</v>
      </c>
      <c r="E518" t="e">
        <f t="shared" ca="1" si="32"/>
        <v>#N/A</v>
      </c>
      <c r="F518" t="e">
        <f t="shared" ca="1" si="33"/>
        <v>#N/A</v>
      </c>
    </row>
    <row r="519" spans="3:6" x14ac:dyDescent="0.25">
      <c r="C519" t="e">
        <f t="shared" ca="1" si="30"/>
        <v>#N/A</v>
      </c>
      <c r="D519" t="e">
        <f t="shared" ca="1" si="31"/>
        <v>#N/A</v>
      </c>
      <c r="E519" t="e">
        <f t="shared" ca="1" si="32"/>
        <v>#N/A</v>
      </c>
      <c r="F519" t="e">
        <f t="shared" ca="1" si="33"/>
        <v>#N/A</v>
      </c>
    </row>
    <row r="520" spans="3:6" x14ac:dyDescent="0.25">
      <c r="C520" t="e">
        <f t="shared" ca="1" si="30"/>
        <v>#N/A</v>
      </c>
      <c r="D520" t="e">
        <f t="shared" ca="1" si="31"/>
        <v>#N/A</v>
      </c>
      <c r="E520" t="e">
        <f t="shared" ca="1" si="32"/>
        <v>#N/A</v>
      </c>
      <c r="F520" t="e">
        <f t="shared" ca="1" si="33"/>
        <v>#N/A</v>
      </c>
    </row>
    <row r="521" spans="3:6" x14ac:dyDescent="0.25">
      <c r="C521" t="e">
        <f t="shared" ca="1" si="30"/>
        <v>#N/A</v>
      </c>
      <c r="D521" t="e">
        <f t="shared" ca="1" si="31"/>
        <v>#N/A</v>
      </c>
      <c r="E521" t="e">
        <f t="shared" ca="1" si="32"/>
        <v>#N/A</v>
      </c>
      <c r="F521" t="e">
        <f t="shared" ca="1" si="33"/>
        <v>#N/A</v>
      </c>
    </row>
    <row r="522" spans="3:6" x14ac:dyDescent="0.25">
      <c r="C522" t="e">
        <f t="shared" ref="C522:C585" ca="1" si="34">$C$7</f>
        <v>#N/A</v>
      </c>
      <c r="D522" t="e">
        <f t="shared" ref="D522:D585" ca="1" si="35">$D$7</f>
        <v>#N/A</v>
      </c>
      <c r="E522" t="e">
        <f t="shared" ref="E522:E585" ca="1" si="36">IF($B523="",C$8,"")</f>
        <v>#N/A</v>
      </c>
      <c r="F522" t="e">
        <f t="shared" ref="F522:F585" ca="1" si="37">IF($B523="",D$8,"")</f>
        <v>#N/A</v>
      </c>
    </row>
    <row r="523" spans="3:6" x14ac:dyDescent="0.25">
      <c r="C523" t="e">
        <f t="shared" ca="1" si="34"/>
        <v>#N/A</v>
      </c>
      <c r="D523" t="e">
        <f t="shared" ca="1" si="35"/>
        <v>#N/A</v>
      </c>
      <c r="E523" t="e">
        <f t="shared" ca="1" si="36"/>
        <v>#N/A</v>
      </c>
      <c r="F523" t="e">
        <f t="shared" ca="1" si="37"/>
        <v>#N/A</v>
      </c>
    </row>
    <row r="524" spans="3:6" x14ac:dyDescent="0.25">
      <c r="C524" t="e">
        <f t="shared" ca="1" si="34"/>
        <v>#N/A</v>
      </c>
      <c r="D524" t="e">
        <f t="shared" ca="1" si="35"/>
        <v>#N/A</v>
      </c>
      <c r="E524" t="e">
        <f t="shared" ca="1" si="36"/>
        <v>#N/A</v>
      </c>
      <c r="F524" t="e">
        <f t="shared" ca="1" si="37"/>
        <v>#N/A</v>
      </c>
    </row>
    <row r="525" spans="3:6" x14ac:dyDescent="0.25">
      <c r="C525" t="e">
        <f t="shared" ca="1" si="34"/>
        <v>#N/A</v>
      </c>
      <c r="D525" t="e">
        <f t="shared" ca="1" si="35"/>
        <v>#N/A</v>
      </c>
      <c r="E525" t="e">
        <f t="shared" ca="1" si="36"/>
        <v>#N/A</v>
      </c>
      <c r="F525" t="e">
        <f t="shared" ca="1" si="37"/>
        <v>#N/A</v>
      </c>
    </row>
    <row r="526" spans="3:6" x14ac:dyDescent="0.25">
      <c r="C526" t="e">
        <f t="shared" ca="1" si="34"/>
        <v>#N/A</v>
      </c>
      <c r="D526" t="e">
        <f t="shared" ca="1" si="35"/>
        <v>#N/A</v>
      </c>
      <c r="E526" t="e">
        <f t="shared" ca="1" si="36"/>
        <v>#N/A</v>
      </c>
      <c r="F526" t="e">
        <f t="shared" ca="1" si="37"/>
        <v>#N/A</v>
      </c>
    </row>
    <row r="527" spans="3:6" x14ac:dyDescent="0.25">
      <c r="C527" t="e">
        <f t="shared" ca="1" si="34"/>
        <v>#N/A</v>
      </c>
      <c r="D527" t="e">
        <f t="shared" ca="1" si="35"/>
        <v>#N/A</v>
      </c>
      <c r="E527" t="e">
        <f t="shared" ca="1" si="36"/>
        <v>#N/A</v>
      </c>
      <c r="F527" t="e">
        <f t="shared" ca="1" si="37"/>
        <v>#N/A</v>
      </c>
    </row>
    <row r="528" spans="3:6" x14ac:dyDescent="0.25">
      <c r="C528" t="e">
        <f t="shared" ca="1" si="34"/>
        <v>#N/A</v>
      </c>
      <c r="D528" t="e">
        <f t="shared" ca="1" si="35"/>
        <v>#N/A</v>
      </c>
      <c r="E528" t="e">
        <f t="shared" ca="1" si="36"/>
        <v>#N/A</v>
      </c>
      <c r="F528" t="e">
        <f t="shared" ca="1" si="37"/>
        <v>#N/A</v>
      </c>
    </row>
    <row r="529" spans="3:6" x14ac:dyDescent="0.25">
      <c r="C529" t="e">
        <f t="shared" ca="1" si="34"/>
        <v>#N/A</v>
      </c>
      <c r="D529" t="e">
        <f t="shared" ca="1" si="35"/>
        <v>#N/A</v>
      </c>
      <c r="E529" t="e">
        <f t="shared" ca="1" si="36"/>
        <v>#N/A</v>
      </c>
      <c r="F529" t="e">
        <f t="shared" ca="1" si="37"/>
        <v>#N/A</v>
      </c>
    </row>
    <row r="530" spans="3:6" x14ac:dyDescent="0.25">
      <c r="C530" t="e">
        <f t="shared" ca="1" si="34"/>
        <v>#N/A</v>
      </c>
      <c r="D530" t="e">
        <f t="shared" ca="1" si="35"/>
        <v>#N/A</v>
      </c>
      <c r="E530" t="e">
        <f t="shared" ca="1" si="36"/>
        <v>#N/A</v>
      </c>
      <c r="F530" t="e">
        <f t="shared" ca="1" si="37"/>
        <v>#N/A</v>
      </c>
    </row>
    <row r="531" spans="3:6" x14ac:dyDescent="0.25">
      <c r="C531" t="e">
        <f t="shared" ca="1" si="34"/>
        <v>#N/A</v>
      </c>
      <c r="D531" t="e">
        <f t="shared" ca="1" si="35"/>
        <v>#N/A</v>
      </c>
      <c r="E531" t="e">
        <f t="shared" ca="1" si="36"/>
        <v>#N/A</v>
      </c>
      <c r="F531" t="e">
        <f t="shared" ca="1" si="37"/>
        <v>#N/A</v>
      </c>
    </row>
    <row r="532" spans="3:6" x14ac:dyDescent="0.25">
      <c r="C532" t="e">
        <f t="shared" ca="1" si="34"/>
        <v>#N/A</v>
      </c>
      <c r="D532" t="e">
        <f t="shared" ca="1" si="35"/>
        <v>#N/A</v>
      </c>
      <c r="E532" t="e">
        <f t="shared" ca="1" si="36"/>
        <v>#N/A</v>
      </c>
      <c r="F532" t="e">
        <f t="shared" ca="1" si="37"/>
        <v>#N/A</v>
      </c>
    </row>
    <row r="533" spans="3:6" x14ac:dyDescent="0.25">
      <c r="C533" t="e">
        <f t="shared" ca="1" si="34"/>
        <v>#N/A</v>
      </c>
      <c r="D533" t="e">
        <f t="shared" ca="1" si="35"/>
        <v>#N/A</v>
      </c>
      <c r="E533" t="e">
        <f t="shared" ca="1" si="36"/>
        <v>#N/A</v>
      </c>
      <c r="F533" t="e">
        <f t="shared" ca="1" si="37"/>
        <v>#N/A</v>
      </c>
    </row>
    <row r="534" spans="3:6" x14ac:dyDescent="0.25">
      <c r="C534" t="e">
        <f t="shared" ca="1" si="34"/>
        <v>#N/A</v>
      </c>
      <c r="D534" t="e">
        <f t="shared" ca="1" si="35"/>
        <v>#N/A</v>
      </c>
      <c r="E534" t="e">
        <f t="shared" ca="1" si="36"/>
        <v>#N/A</v>
      </c>
      <c r="F534" t="e">
        <f t="shared" ca="1" si="37"/>
        <v>#N/A</v>
      </c>
    </row>
    <row r="535" spans="3:6" x14ac:dyDescent="0.25">
      <c r="C535" t="e">
        <f t="shared" ca="1" si="34"/>
        <v>#N/A</v>
      </c>
      <c r="D535" t="e">
        <f t="shared" ca="1" si="35"/>
        <v>#N/A</v>
      </c>
      <c r="E535" t="e">
        <f t="shared" ca="1" si="36"/>
        <v>#N/A</v>
      </c>
      <c r="F535" t="e">
        <f t="shared" ca="1" si="37"/>
        <v>#N/A</v>
      </c>
    </row>
    <row r="536" spans="3:6" x14ac:dyDescent="0.25">
      <c r="C536" t="e">
        <f t="shared" ca="1" si="34"/>
        <v>#N/A</v>
      </c>
      <c r="D536" t="e">
        <f t="shared" ca="1" si="35"/>
        <v>#N/A</v>
      </c>
      <c r="E536" t="e">
        <f t="shared" ca="1" si="36"/>
        <v>#N/A</v>
      </c>
      <c r="F536" t="e">
        <f t="shared" ca="1" si="37"/>
        <v>#N/A</v>
      </c>
    </row>
    <row r="537" spans="3:6" x14ac:dyDescent="0.25">
      <c r="C537" t="e">
        <f t="shared" ca="1" si="34"/>
        <v>#N/A</v>
      </c>
      <c r="D537" t="e">
        <f t="shared" ca="1" si="35"/>
        <v>#N/A</v>
      </c>
      <c r="E537" t="e">
        <f t="shared" ca="1" si="36"/>
        <v>#N/A</v>
      </c>
      <c r="F537" t="e">
        <f t="shared" ca="1" si="37"/>
        <v>#N/A</v>
      </c>
    </row>
    <row r="538" spans="3:6" x14ac:dyDescent="0.25">
      <c r="C538" t="e">
        <f t="shared" ca="1" si="34"/>
        <v>#N/A</v>
      </c>
      <c r="D538" t="e">
        <f t="shared" ca="1" si="35"/>
        <v>#N/A</v>
      </c>
      <c r="E538" t="e">
        <f t="shared" ca="1" si="36"/>
        <v>#N/A</v>
      </c>
      <c r="F538" t="e">
        <f t="shared" ca="1" si="37"/>
        <v>#N/A</v>
      </c>
    </row>
    <row r="539" spans="3:6" x14ac:dyDescent="0.25">
      <c r="C539" t="e">
        <f t="shared" ca="1" si="34"/>
        <v>#N/A</v>
      </c>
      <c r="D539" t="e">
        <f t="shared" ca="1" si="35"/>
        <v>#N/A</v>
      </c>
      <c r="E539" t="e">
        <f t="shared" ca="1" si="36"/>
        <v>#N/A</v>
      </c>
      <c r="F539" t="e">
        <f t="shared" ca="1" si="37"/>
        <v>#N/A</v>
      </c>
    </row>
    <row r="540" spans="3:6" x14ac:dyDescent="0.25">
      <c r="C540" t="e">
        <f t="shared" ca="1" si="34"/>
        <v>#N/A</v>
      </c>
      <c r="D540" t="e">
        <f t="shared" ca="1" si="35"/>
        <v>#N/A</v>
      </c>
      <c r="E540" t="e">
        <f t="shared" ca="1" si="36"/>
        <v>#N/A</v>
      </c>
      <c r="F540" t="e">
        <f t="shared" ca="1" si="37"/>
        <v>#N/A</v>
      </c>
    </row>
    <row r="541" spans="3:6" x14ac:dyDescent="0.25">
      <c r="C541" t="e">
        <f t="shared" ca="1" si="34"/>
        <v>#N/A</v>
      </c>
      <c r="D541" t="e">
        <f t="shared" ca="1" si="35"/>
        <v>#N/A</v>
      </c>
      <c r="E541" t="e">
        <f t="shared" ca="1" si="36"/>
        <v>#N/A</v>
      </c>
      <c r="F541" t="e">
        <f t="shared" ca="1" si="37"/>
        <v>#N/A</v>
      </c>
    </row>
    <row r="542" spans="3:6" x14ac:dyDescent="0.25">
      <c r="C542" t="e">
        <f t="shared" ca="1" si="34"/>
        <v>#N/A</v>
      </c>
      <c r="D542" t="e">
        <f t="shared" ca="1" si="35"/>
        <v>#N/A</v>
      </c>
      <c r="E542" t="e">
        <f t="shared" ca="1" si="36"/>
        <v>#N/A</v>
      </c>
      <c r="F542" t="e">
        <f t="shared" ca="1" si="37"/>
        <v>#N/A</v>
      </c>
    </row>
    <row r="543" spans="3:6" x14ac:dyDescent="0.25">
      <c r="C543" t="e">
        <f t="shared" ca="1" si="34"/>
        <v>#N/A</v>
      </c>
      <c r="D543" t="e">
        <f t="shared" ca="1" si="35"/>
        <v>#N/A</v>
      </c>
      <c r="E543" t="e">
        <f t="shared" ca="1" si="36"/>
        <v>#N/A</v>
      </c>
      <c r="F543" t="e">
        <f t="shared" ca="1" si="37"/>
        <v>#N/A</v>
      </c>
    </row>
    <row r="544" spans="3:6" x14ac:dyDescent="0.25">
      <c r="C544" t="e">
        <f t="shared" ca="1" si="34"/>
        <v>#N/A</v>
      </c>
      <c r="D544" t="e">
        <f t="shared" ca="1" si="35"/>
        <v>#N/A</v>
      </c>
      <c r="E544" t="e">
        <f t="shared" ca="1" si="36"/>
        <v>#N/A</v>
      </c>
      <c r="F544" t="e">
        <f t="shared" ca="1" si="37"/>
        <v>#N/A</v>
      </c>
    </row>
    <row r="545" spans="3:6" x14ac:dyDescent="0.25">
      <c r="C545" t="e">
        <f t="shared" ca="1" si="34"/>
        <v>#N/A</v>
      </c>
      <c r="D545" t="e">
        <f t="shared" ca="1" si="35"/>
        <v>#N/A</v>
      </c>
      <c r="E545" t="e">
        <f t="shared" ca="1" si="36"/>
        <v>#N/A</v>
      </c>
      <c r="F545" t="e">
        <f t="shared" ca="1" si="37"/>
        <v>#N/A</v>
      </c>
    </row>
    <row r="546" spans="3:6" x14ac:dyDescent="0.25">
      <c r="C546" t="e">
        <f t="shared" ca="1" si="34"/>
        <v>#N/A</v>
      </c>
      <c r="D546" t="e">
        <f t="shared" ca="1" si="35"/>
        <v>#N/A</v>
      </c>
      <c r="E546" t="e">
        <f t="shared" ca="1" si="36"/>
        <v>#N/A</v>
      </c>
      <c r="F546" t="e">
        <f t="shared" ca="1" si="37"/>
        <v>#N/A</v>
      </c>
    </row>
    <row r="547" spans="3:6" x14ac:dyDescent="0.25">
      <c r="C547" t="e">
        <f t="shared" ca="1" si="34"/>
        <v>#N/A</v>
      </c>
      <c r="D547" t="e">
        <f t="shared" ca="1" si="35"/>
        <v>#N/A</v>
      </c>
      <c r="E547" t="e">
        <f t="shared" ca="1" si="36"/>
        <v>#N/A</v>
      </c>
      <c r="F547" t="e">
        <f t="shared" ca="1" si="37"/>
        <v>#N/A</v>
      </c>
    </row>
    <row r="548" spans="3:6" x14ac:dyDescent="0.25">
      <c r="C548" t="e">
        <f t="shared" ca="1" si="34"/>
        <v>#N/A</v>
      </c>
      <c r="D548" t="e">
        <f t="shared" ca="1" si="35"/>
        <v>#N/A</v>
      </c>
      <c r="E548" t="e">
        <f t="shared" ca="1" si="36"/>
        <v>#N/A</v>
      </c>
      <c r="F548" t="e">
        <f t="shared" ca="1" si="37"/>
        <v>#N/A</v>
      </c>
    </row>
    <row r="549" spans="3:6" x14ac:dyDescent="0.25">
      <c r="C549" t="e">
        <f t="shared" ca="1" si="34"/>
        <v>#N/A</v>
      </c>
      <c r="D549" t="e">
        <f t="shared" ca="1" si="35"/>
        <v>#N/A</v>
      </c>
      <c r="E549" t="e">
        <f t="shared" ca="1" si="36"/>
        <v>#N/A</v>
      </c>
      <c r="F549" t="e">
        <f t="shared" ca="1" si="37"/>
        <v>#N/A</v>
      </c>
    </row>
    <row r="550" spans="3:6" x14ac:dyDescent="0.25">
      <c r="C550" t="e">
        <f t="shared" ca="1" si="34"/>
        <v>#N/A</v>
      </c>
      <c r="D550" t="e">
        <f t="shared" ca="1" si="35"/>
        <v>#N/A</v>
      </c>
      <c r="E550" t="e">
        <f t="shared" ca="1" si="36"/>
        <v>#N/A</v>
      </c>
      <c r="F550" t="e">
        <f t="shared" ca="1" si="37"/>
        <v>#N/A</v>
      </c>
    </row>
    <row r="551" spans="3:6" x14ac:dyDescent="0.25">
      <c r="C551" t="e">
        <f t="shared" ca="1" si="34"/>
        <v>#N/A</v>
      </c>
      <c r="D551" t="e">
        <f t="shared" ca="1" si="35"/>
        <v>#N/A</v>
      </c>
      <c r="E551" t="e">
        <f t="shared" ca="1" si="36"/>
        <v>#N/A</v>
      </c>
      <c r="F551" t="e">
        <f t="shared" ca="1" si="37"/>
        <v>#N/A</v>
      </c>
    </row>
    <row r="552" spans="3:6" x14ac:dyDescent="0.25">
      <c r="C552" t="e">
        <f t="shared" ca="1" si="34"/>
        <v>#N/A</v>
      </c>
      <c r="D552" t="e">
        <f t="shared" ca="1" si="35"/>
        <v>#N/A</v>
      </c>
      <c r="E552" t="e">
        <f t="shared" ca="1" si="36"/>
        <v>#N/A</v>
      </c>
      <c r="F552" t="e">
        <f t="shared" ca="1" si="37"/>
        <v>#N/A</v>
      </c>
    </row>
    <row r="553" spans="3:6" x14ac:dyDescent="0.25">
      <c r="C553" t="e">
        <f t="shared" ca="1" si="34"/>
        <v>#N/A</v>
      </c>
      <c r="D553" t="e">
        <f t="shared" ca="1" si="35"/>
        <v>#N/A</v>
      </c>
      <c r="E553" t="e">
        <f t="shared" ca="1" si="36"/>
        <v>#N/A</v>
      </c>
      <c r="F553" t="e">
        <f t="shared" ca="1" si="37"/>
        <v>#N/A</v>
      </c>
    </row>
    <row r="554" spans="3:6" x14ac:dyDescent="0.25">
      <c r="C554" t="e">
        <f t="shared" ca="1" si="34"/>
        <v>#N/A</v>
      </c>
      <c r="D554" t="e">
        <f t="shared" ca="1" si="35"/>
        <v>#N/A</v>
      </c>
      <c r="E554" t="e">
        <f t="shared" ca="1" si="36"/>
        <v>#N/A</v>
      </c>
      <c r="F554" t="e">
        <f t="shared" ca="1" si="37"/>
        <v>#N/A</v>
      </c>
    </row>
    <row r="555" spans="3:6" x14ac:dyDescent="0.25">
      <c r="C555" t="e">
        <f t="shared" ca="1" si="34"/>
        <v>#N/A</v>
      </c>
      <c r="D555" t="e">
        <f t="shared" ca="1" si="35"/>
        <v>#N/A</v>
      </c>
      <c r="E555" t="e">
        <f t="shared" ca="1" si="36"/>
        <v>#N/A</v>
      </c>
      <c r="F555" t="e">
        <f t="shared" ca="1" si="37"/>
        <v>#N/A</v>
      </c>
    </row>
    <row r="556" spans="3:6" x14ac:dyDescent="0.25">
      <c r="C556" t="e">
        <f t="shared" ca="1" si="34"/>
        <v>#N/A</v>
      </c>
      <c r="D556" t="e">
        <f t="shared" ca="1" si="35"/>
        <v>#N/A</v>
      </c>
      <c r="E556" t="e">
        <f t="shared" ca="1" si="36"/>
        <v>#N/A</v>
      </c>
      <c r="F556" t="e">
        <f t="shared" ca="1" si="37"/>
        <v>#N/A</v>
      </c>
    </row>
    <row r="557" spans="3:6" x14ac:dyDescent="0.25">
      <c r="C557" t="e">
        <f t="shared" ca="1" si="34"/>
        <v>#N/A</v>
      </c>
      <c r="D557" t="e">
        <f t="shared" ca="1" si="35"/>
        <v>#N/A</v>
      </c>
      <c r="E557" t="e">
        <f t="shared" ca="1" si="36"/>
        <v>#N/A</v>
      </c>
      <c r="F557" t="e">
        <f t="shared" ca="1" si="37"/>
        <v>#N/A</v>
      </c>
    </row>
    <row r="558" spans="3:6" x14ac:dyDescent="0.25">
      <c r="C558" t="e">
        <f t="shared" ca="1" si="34"/>
        <v>#N/A</v>
      </c>
      <c r="D558" t="e">
        <f t="shared" ca="1" si="35"/>
        <v>#N/A</v>
      </c>
      <c r="E558" t="e">
        <f t="shared" ca="1" si="36"/>
        <v>#N/A</v>
      </c>
      <c r="F558" t="e">
        <f t="shared" ca="1" si="37"/>
        <v>#N/A</v>
      </c>
    </row>
    <row r="559" spans="3:6" x14ac:dyDescent="0.25">
      <c r="C559" t="e">
        <f t="shared" ca="1" si="34"/>
        <v>#N/A</v>
      </c>
      <c r="D559" t="e">
        <f t="shared" ca="1" si="35"/>
        <v>#N/A</v>
      </c>
      <c r="E559" t="e">
        <f t="shared" ca="1" si="36"/>
        <v>#N/A</v>
      </c>
      <c r="F559" t="e">
        <f t="shared" ca="1" si="37"/>
        <v>#N/A</v>
      </c>
    </row>
    <row r="560" spans="3:6" x14ac:dyDescent="0.25">
      <c r="C560" t="e">
        <f t="shared" ca="1" si="34"/>
        <v>#N/A</v>
      </c>
      <c r="D560" t="e">
        <f t="shared" ca="1" si="35"/>
        <v>#N/A</v>
      </c>
      <c r="E560" t="e">
        <f t="shared" ca="1" si="36"/>
        <v>#N/A</v>
      </c>
      <c r="F560" t="e">
        <f t="shared" ca="1" si="37"/>
        <v>#N/A</v>
      </c>
    </row>
    <row r="561" spans="3:6" x14ac:dyDescent="0.25">
      <c r="C561" t="e">
        <f t="shared" ca="1" si="34"/>
        <v>#N/A</v>
      </c>
      <c r="D561" t="e">
        <f t="shared" ca="1" si="35"/>
        <v>#N/A</v>
      </c>
      <c r="E561" t="e">
        <f t="shared" ca="1" si="36"/>
        <v>#N/A</v>
      </c>
      <c r="F561" t="e">
        <f t="shared" ca="1" si="37"/>
        <v>#N/A</v>
      </c>
    </row>
    <row r="562" spans="3:6" x14ac:dyDescent="0.25">
      <c r="C562" t="e">
        <f t="shared" ca="1" si="34"/>
        <v>#N/A</v>
      </c>
      <c r="D562" t="e">
        <f t="shared" ca="1" si="35"/>
        <v>#N/A</v>
      </c>
      <c r="E562" t="e">
        <f t="shared" ca="1" si="36"/>
        <v>#N/A</v>
      </c>
      <c r="F562" t="e">
        <f t="shared" ca="1" si="37"/>
        <v>#N/A</v>
      </c>
    </row>
    <row r="563" spans="3:6" x14ac:dyDescent="0.25">
      <c r="C563" t="e">
        <f t="shared" ca="1" si="34"/>
        <v>#N/A</v>
      </c>
      <c r="D563" t="e">
        <f t="shared" ca="1" si="35"/>
        <v>#N/A</v>
      </c>
      <c r="E563" t="e">
        <f t="shared" ca="1" si="36"/>
        <v>#N/A</v>
      </c>
      <c r="F563" t="e">
        <f t="shared" ca="1" si="37"/>
        <v>#N/A</v>
      </c>
    </row>
    <row r="564" spans="3:6" x14ac:dyDescent="0.25">
      <c r="C564" t="e">
        <f t="shared" ca="1" si="34"/>
        <v>#N/A</v>
      </c>
      <c r="D564" t="e">
        <f t="shared" ca="1" si="35"/>
        <v>#N/A</v>
      </c>
      <c r="E564" t="e">
        <f t="shared" ca="1" si="36"/>
        <v>#N/A</v>
      </c>
      <c r="F564" t="e">
        <f t="shared" ca="1" si="37"/>
        <v>#N/A</v>
      </c>
    </row>
    <row r="565" spans="3:6" x14ac:dyDescent="0.25">
      <c r="C565" t="e">
        <f t="shared" ca="1" si="34"/>
        <v>#N/A</v>
      </c>
      <c r="D565" t="e">
        <f t="shared" ca="1" si="35"/>
        <v>#N/A</v>
      </c>
      <c r="E565" t="e">
        <f t="shared" ca="1" si="36"/>
        <v>#N/A</v>
      </c>
      <c r="F565" t="e">
        <f t="shared" ca="1" si="37"/>
        <v>#N/A</v>
      </c>
    </row>
    <row r="566" spans="3:6" x14ac:dyDescent="0.25">
      <c r="C566" t="e">
        <f t="shared" ca="1" si="34"/>
        <v>#N/A</v>
      </c>
      <c r="D566" t="e">
        <f t="shared" ca="1" si="35"/>
        <v>#N/A</v>
      </c>
      <c r="E566" t="e">
        <f t="shared" ca="1" si="36"/>
        <v>#N/A</v>
      </c>
      <c r="F566" t="e">
        <f t="shared" ca="1" si="37"/>
        <v>#N/A</v>
      </c>
    </row>
    <row r="567" spans="3:6" x14ac:dyDescent="0.25">
      <c r="C567" t="e">
        <f t="shared" ca="1" si="34"/>
        <v>#N/A</v>
      </c>
      <c r="D567" t="e">
        <f t="shared" ca="1" si="35"/>
        <v>#N/A</v>
      </c>
      <c r="E567" t="e">
        <f t="shared" ca="1" si="36"/>
        <v>#N/A</v>
      </c>
      <c r="F567" t="e">
        <f t="shared" ca="1" si="37"/>
        <v>#N/A</v>
      </c>
    </row>
    <row r="568" spans="3:6" x14ac:dyDescent="0.25">
      <c r="C568" t="e">
        <f t="shared" ca="1" si="34"/>
        <v>#N/A</v>
      </c>
      <c r="D568" t="e">
        <f t="shared" ca="1" si="35"/>
        <v>#N/A</v>
      </c>
      <c r="E568" t="e">
        <f t="shared" ca="1" si="36"/>
        <v>#N/A</v>
      </c>
      <c r="F568" t="e">
        <f t="shared" ca="1" si="37"/>
        <v>#N/A</v>
      </c>
    </row>
    <row r="569" spans="3:6" x14ac:dyDescent="0.25">
      <c r="C569" t="e">
        <f t="shared" ca="1" si="34"/>
        <v>#N/A</v>
      </c>
      <c r="D569" t="e">
        <f t="shared" ca="1" si="35"/>
        <v>#N/A</v>
      </c>
      <c r="E569" t="e">
        <f t="shared" ca="1" si="36"/>
        <v>#N/A</v>
      </c>
      <c r="F569" t="e">
        <f t="shared" ca="1" si="37"/>
        <v>#N/A</v>
      </c>
    </row>
    <row r="570" spans="3:6" x14ac:dyDescent="0.25">
      <c r="C570" t="e">
        <f t="shared" ca="1" si="34"/>
        <v>#N/A</v>
      </c>
      <c r="D570" t="e">
        <f t="shared" ca="1" si="35"/>
        <v>#N/A</v>
      </c>
      <c r="E570" t="e">
        <f t="shared" ca="1" si="36"/>
        <v>#N/A</v>
      </c>
      <c r="F570" t="e">
        <f t="shared" ca="1" si="37"/>
        <v>#N/A</v>
      </c>
    </row>
    <row r="571" spans="3:6" x14ac:dyDescent="0.25">
      <c r="C571" t="e">
        <f t="shared" ca="1" si="34"/>
        <v>#N/A</v>
      </c>
      <c r="D571" t="e">
        <f t="shared" ca="1" si="35"/>
        <v>#N/A</v>
      </c>
      <c r="E571" t="e">
        <f t="shared" ca="1" si="36"/>
        <v>#N/A</v>
      </c>
      <c r="F571" t="e">
        <f t="shared" ca="1" si="37"/>
        <v>#N/A</v>
      </c>
    </row>
    <row r="572" spans="3:6" x14ac:dyDescent="0.25">
      <c r="C572" t="e">
        <f t="shared" ca="1" si="34"/>
        <v>#N/A</v>
      </c>
      <c r="D572" t="e">
        <f t="shared" ca="1" si="35"/>
        <v>#N/A</v>
      </c>
      <c r="E572" t="e">
        <f t="shared" ca="1" si="36"/>
        <v>#N/A</v>
      </c>
      <c r="F572" t="e">
        <f t="shared" ca="1" si="37"/>
        <v>#N/A</v>
      </c>
    </row>
    <row r="573" spans="3:6" x14ac:dyDescent="0.25">
      <c r="C573" t="e">
        <f t="shared" ca="1" si="34"/>
        <v>#N/A</v>
      </c>
      <c r="D573" t="e">
        <f t="shared" ca="1" si="35"/>
        <v>#N/A</v>
      </c>
      <c r="E573" t="e">
        <f t="shared" ca="1" si="36"/>
        <v>#N/A</v>
      </c>
      <c r="F573" t="e">
        <f t="shared" ca="1" si="37"/>
        <v>#N/A</v>
      </c>
    </row>
    <row r="574" spans="3:6" x14ac:dyDescent="0.25">
      <c r="C574" t="e">
        <f t="shared" ca="1" si="34"/>
        <v>#N/A</v>
      </c>
      <c r="D574" t="e">
        <f t="shared" ca="1" si="35"/>
        <v>#N/A</v>
      </c>
      <c r="E574" t="e">
        <f t="shared" ca="1" si="36"/>
        <v>#N/A</v>
      </c>
      <c r="F574" t="e">
        <f t="shared" ca="1" si="37"/>
        <v>#N/A</v>
      </c>
    </row>
    <row r="575" spans="3:6" x14ac:dyDescent="0.25">
      <c r="C575" t="e">
        <f t="shared" ca="1" si="34"/>
        <v>#N/A</v>
      </c>
      <c r="D575" t="e">
        <f t="shared" ca="1" si="35"/>
        <v>#N/A</v>
      </c>
      <c r="E575" t="e">
        <f t="shared" ca="1" si="36"/>
        <v>#N/A</v>
      </c>
      <c r="F575" t="e">
        <f t="shared" ca="1" si="37"/>
        <v>#N/A</v>
      </c>
    </row>
    <row r="576" spans="3:6" x14ac:dyDescent="0.25">
      <c r="C576" t="e">
        <f t="shared" ca="1" si="34"/>
        <v>#N/A</v>
      </c>
      <c r="D576" t="e">
        <f t="shared" ca="1" si="35"/>
        <v>#N/A</v>
      </c>
      <c r="E576" t="e">
        <f t="shared" ca="1" si="36"/>
        <v>#N/A</v>
      </c>
      <c r="F576" t="e">
        <f t="shared" ca="1" si="37"/>
        <v>#N/A</v>
      </c>
    </row>
    <row r="577" spans="3:6" x14ac:dyDescent="0.25">
      <c r="C577" t="e">
        <f t="shared" ca="1" si="34"/>
        <v>#N/A</v>
      </c>
      <c r="D577" t="e">
        <f t="shared" ca="1" si="35"/>
        <v>#N/A</v>
      </c>
      <c r="E577" t="e">
        <f t="shared" ca="1" si="36"/>
        <v>#N/A</v>
      </c>
      <c r="F577" t="e">
        <f t="shared" ca="1" si="37"/>
        <v>#N/A</v>
      </c>
    </row>
    <row r="578" spans="3:6" x14ac:dyDescent="0.25">
      <c r="C578" t="e">
        <f t="shared" ca="1" si="34"/>
        <v>#N/A</v>
      </c>
      <c r="D578" t="e">
        <f t="shared" ca="1" si="35"/>
        <v>#N/A</v>
      </c>
      <c r="E578" t="e">
        <f t="shared" ca="1" si="36"/>
        <v>#N/A</v>
      </c>
      <c r="F578" t="e">
        <f t="shared" ca="1" si="37"/>
        <v>#N/A</v>
      </c>
    </row>
    <row r="579" spans="3:6" x14ac:dyDescent="0.25">
      <c r="C579" t="e">
        <f t="shared" ca="1" si="34"/>
        <v>#N/A</v>
      </c>
      <c r="D579" t="e">
        <f t="shared" ca="1" si="35"/>
        <v>#N/A</v>
      </c>
      <c r="E579" t="e">
        <f t="shared" ca="1" si="36"/>
        <v>#N/A</v>
      </c>
      <c r="F579" t="e">
        <f t="shared" ca="1" si="37"/>
        <v>#N/A</v>
      </c>
    </row>
    <row r="580" spans="3:6" x14ac:dyDescent="0.25">
      <c r="C580" t="e">
        <f t="shared" ca="1" si="34"/>
        <v>#N/A</v>
      </c>
      <c r="D580" t="e">
        <f t="shared" ca="1" si="35"/>
        <v>#N/A</v>
      </c>
      <c r="E580" t="e">
        <f t="shared" ca="1" si="36"/>
        <v>#N/A</v>
      </c>
      <c r="F580" t="e">
        <f t="shared" ca="1" si="37"/>
        <v>#N/A</v>
      </c>
    </row>
    <row r="581" spans="3:6" x14ac:dyDescent="0.25">
      <c r="C581" t="e">
        <f t="shared" ca="1" si="34"/>
        <v>#N/A</v>
      </c>
      <c r="D581" t="e">
        <f t="shared" ca="1" si="35"/>
        <v>#N/A</v>
      </c>
      <c r="E581" t="e">
        <f t="shared" ca="1" si="36"/>
        <v>#N/A</v>
      </c>
      <c r="F581" t="e">
        <f t="shared" ca="1" si="37"/>
        <v>#N/A</v>
      </c>
    </row>
    <row r="582" spans="3:6" x14ac:dyDescent="0.25">
      <c r="C582" t="e">
        <f t="shared" ca="1" si="34"/>
        <v>#N/A</v>
      </c>
      <c r="D582" t="e">
        <f t="shared" ca="1" si="35"/>
        <v>#N/A</v>
      </c>
      <c r="E582" t="e">
        <f t="shared" ca="1" si="36"/>
        <v>#N/A</v>
      </c>
      <c r="F582" t="e">
        <f t="shared" ca="1" si="37"/>
        <v>#N/A</v>
      </c>
    </row>
    <row r="583" spans="3:6" x14ac:dyDescent="0.25">
      <c r="C583" t="e">
        <f t="shared" ca="1" si="34"/>
        <v>#N/A</v>
      </c>
      <c r="D583" t="e">
        <f t="shared" ca="1" si="35"/>
        <v>#N/A</v>
      </c>
      <c r="E583" t="e">
        <f t="shared" ca="1" si="36"/>
        <v>#N/A</v>
      </c>
      <c r="F583" t="e">
        <f t="shared" ca="1" si="37"/>
        <v>#N/A</v>
      </c>
    </row>
    <row r="584" spans="3:6" x14ac:dyDescent="0.25">
      <c r="C584" t="e">
        <f t="shared" ca="1" si="34"/>
        <v>#N/A</v>
      </c>
      <c r="D584" t="e">
        <f t="shared" ca="1" si="35"/>
        <v>#N/A</v>
      </c>
      <c r="E584" t="e">
        <f t="shared" ca="1" si="36"/>
        <v>#N/A</v>
      </c>
      <c r="F584" t="e">
        <f t="shared" ca="1" si="37"/>
        <v>#N/A</v>
      </c>
    </row>
    <row r="585" spans="3:6" x14ac:dyDescent="0.25">
      <c r="C585" t="e">
        <f t="shared" ca="1" si="34"/>
        <v>#N/A</v>
      </c>
      <c r="D585" t="e">
        <f t="shared" ca="1" si="35"/>
        <v>#N/A</v>
      </c>
      <c r="E585" t="e">
        <f t="shared" ca="1" si="36"/>
        <v>#N/A</v>
      </c>
      <c r="F585" t="e">
        <f t="shared" ca="1" si="37"/>
        <v>#N/A</v>
      </c>
    </row>
    <row r="586" spans="3:6" x14ac:dyDescent="0.25">
      <c r="C586" t="e">
        <f t="shared" ref="C586:C649" ca="1" si="38">$C$7</f>
        <v>#N/A</v>
      </c>
      <c r="D586" t="e">
        <f t="shared" ref="D586:D649" ca="1" si="39">$D$7</f>
        <v>#N/A</v>
      </c>
      <c r="E586" t="e">
        <f t="shared" ref="E586:E649" ca="1" si="40">IF($B587="",C$8,"")</f>
        <v>#N/A</v>
      </c>
      <c r="F586" t="e">
        <f t="shared" ref="F586:F649" ca="1" si="41">IF($B587="",D$8,"")</f>
        <v>#N/A</v>
      </c>
    </row>
    <row r="587" spans="3:6" x14ac:dyDescent="0.25">
      <c r="C587" t="e">
        <f t="shared" ca="1" si="38"/>
        <v>#N/A</v>
      </c>
      <c r="D587" t="e">
        <f t="shared" ca="1" si="39"/>
        <v>#N/A</v>
      </c>
      <c r="E587" t="e">
        <f t="shared" ca="1" si="40"/>
        <v>#N/A</v>
      </c>
      <c r="F587" t="e">
        <f t="shared" ca="1" si="41"/>
        <v>#N/A</v>
      </c>
    </row>
    <row r="588" spans="3:6" x14ac:dyDescent="0.25">
      <c r="C588" t="e">
        <f t="shared" ca="1" si="38"/>
        <v>#N/A</v>
      </c>
      <c r="D588" t="e">
        <f t="shared" ca="1" si="39"/>
        <v>#N/A</v>
      </c>
      <c r="E588" t="e">
        <f t="shared" ca="1" si="40"/>
        <v>#N/A</v>
      </c>
      <c r="F588" t="e">
        <f t="shared" ca="1" si="41"/>
        <v>#N/A</v>
      </c>
    </row>
    <row r="589" spans="3:6" x14ac:dyDescent="0.25">
      <c r="C589" t="e">
        <f t="shared" ca="1" si="38"/>
        <v>#N/A</v>
      </c>
      <c r="D589" t="e">
        <f t="shared" ca="1" si="39"/>
        <v>#N/A</v>
      </c>
      <c r="E589" t="e">
        <f t="shared" ca="1" si="40"/>
        <v>#N/A</v>
      </c>
      <c r="F589" t="e">
        <f t="shared" ca="1" si="41"/>
        <v>#N/A</v>
      </c>
    </row>
    <row r="590" spans="3:6" x14ac:dyDescent="0.25">
      <c r="C590" t="e">
        <f t="shared" ca="1" si="38"/>
        <v>#N/A</v>
      </c>
      <c r="D590" t="e">
        <f t="shared" ca="1" si="39"/>
        <v>#N/A</v>
      </c>
      <c r="E590" t="e">
        <f t="shared" ca="1" si="40"/>
        <v>#N/A</v>
      </c>
      <c r="F590" t="e">
        <f t="shared" ca="1" si="41"/>
        <v>#N/A</v>
      </c>
    </row>
    <row r="591" spans="3:6" x14ac:dyDescent="0.25">
      <c r="C591" t="e">
        <f t="shared" ca="1" si="38"/>
        <v>#N/A</v>
      </c>
      <c r="D591" t="e">
        <f t="shared" ca="1" si="39"/>
        <v>#N/A</v>
      </c>
      <c r="E591" t="e">
        <f t="shared" ca="1" si="40"/>
        <v>#N/A</v>
      </c>
      <c r="F591" t="e">
        <f t="shared" ca="1" si="41"/>
        <v>#N/A</v>
      </c>
    </row>
    <row r="592" spans="3:6" x14ac:dyDescent="0.25">
      <c r="C592" t="e">
        <f t="shared" ca="1" si="38"/>
        <v>#N/A</v>
      </c>
      <c r="D592" t="e">
        <f t="shared" ca="1" si="39"/>
        <v>#N/A</v>
      </c>
      <c r="E592" t="e">
        <f t="shared" ca="1" si="40"/>
        <v>#N/A</v>
      </c>
      <c r="F592" t="e">
        <f t="shared" ca="1" si="41"/>
        <v>#N/A</v>
      </c>
    </row>
    <row r="593" spans="3:6" x14ac:dyDescent="0.25">
      <c r="C593" t="e">
        <f t="shared" ca="1" si="38"/>
        <v>#N/A</v>
      </c>
      <c r="D593" t="e">
        <f t="shared" ca="1" si="39"/>
        <v>#N/A</v>
      </c>
      <c r="E593" t="e">
        <f t="shared" ca="1" si="40"/>
        <v>#N/A</v>
      </c>
      <c r="F593" t="e">
        <f t="shared" ca="1" si="41"/>
        <v>#N/A</v>
      </c>
    </row>
    <row r="594" spans="3:6" x14ac:dyDescent="0.25">
      <c r="C594" t="e">
        <f t="shared" ca="1" si="38"/>
        <v>#N/A</v>
      </c>
      <c r="D594" t="e">
        <f t="shared" ca="1" si="39"/>
        <v>#N/A</v>
      </c>
      <c r="E594" t="e">
        <f t="shared" ca="1" si="40"/>
        <v>#N/A</v>
      </c>
      <c r="F594" t="e">
        <f t="shared" ca="1" si="41"/>
        <v>#N/A</v>
      </c>
    </row>
    <row r="595" spans="3:6" x14ac:dyDescent="0.25">
      <c r="C595" t="e">
        <f t="shared" ca="1" si="38"/>
        <v>#N/A</v>
      </c>
      <c r="D595" t="e">
        <f t="shared" ca="1" si="39"/>
        <v>#N/A</v>
      </c>
      <c r="E595" t="e">
        <f t="shared" ca="1" si="40"/>
        <v>#N/A</v>
      </c>
      <c r="F595" t="e">
        <f t="shared" ca="1" si="41"/>
        <v>#N/A</v>
      </c>
    </row>
    <row r="596" spans="3:6" x14ac:dyDescent="0.25">
      <c r="C596" t="e">
        <f t="shared" ca="1" si="38"/>
        <v>#N/A</v>
      </c>
      <c r="D596" t="e">
        <f t="shared" ca="1" si="39"/>
        <v>#N/A</v>
      </c>
      <c r="E596" t="e">
        <f t="shared" ca="1" si="40"/>
        <v>#N/A</v>
      </c>
      <c r="F596" t="e">
        <f t="shared" ca="1" si="41"/>
        <v>#N/A</v>
      </c>
    </row>
    <row r="597" spans="3:6" x14ac:dyDescent="0.25">
      <c r="C597" t="e">
        <f t="shared" ca="1" si="38"/>
        <v>#N/A</v>
      </c>
      <c r="D597" t="e">
        <f t="shared" ca="1" si="39"/>
        <v>#N/A</v>
      </c>
      <c r="E597" t="e">
        <f t="shared" ca="1" si="40"/>
        <v>#N/A</v>
      </c>
      <c r="F597" t="e">
        <f t="shared" ca="1" si="41"/>
        <v>#N/A</v>
      </c>
    </row>
    <row r="598" spans="3:6" x14ac:dyDescent="0.25">
      <c r="C598" t="e">
        <f t="shared" ca="1" si="38"/>
        <v>#N/A</v>
      </c>
      <c r="D598" t="e">
        <f t="shared" ca="1" si="39"/>
        <v>#N/A</v>
      </c>
      <c r="E598" t="e">
        <f t="shared" ca="1" si="40"/>
        <v>#N/A</v>
      </c>
      <c r="F598" t="e">
        <f t="shared" ca="1" si="41"/>
        <v>#N/A</v>
      </c>
    </row>
    <row r="599" spans="3:6" x14ac:dyDescent="0.25">
      <c r="C599" t="e">
        <f t="shared" ca="1" si="38"/>
        <v>#N/A</v>
      </c>
      <c r="D599" t="e">
        <f t="shared" ca="1" si="39"/>
        <v>#N/A</v>
      </c>
      <c r="E599" t="e">
        <f t="shared" ca="1" si="40"/>
        <v>#N/A</v>
      </c>
      <c r="F599" t="e">
        <f t="shared" ca="1" si="41"/>
        <v>#N/A</v>
      </c>
    </row>
    <row r="600" spans="3:6" x14ac:dyDescent="0.25">
      <c r="C600" t="e">
        <f t="shared" ca="1" si="38"/>
        <v>#N/A</v>
      </c>
      <c r="D600" t="e">
        <f t="shared" ca="1" si="39"/>
        <v>#N/A</v>
      </c>
      <c r="E600" t="e">
        <f t="shared" ca="1" si="40"/>
        <v>#N/A</v>
      </c>
      <c r="F600" t="e">
        <f t="shared" ca="1" si="41"/>
        <v>#N/A</v>
      </c>
    </row>
    <row r="601" spans="3:6" x14ac:dyDescent="0.25">
      <c r="C601" t="e">
        <f t="shared" ca="1" si="38"/>
        <v>#N/A</v>
      </c>
      <c r="D601" t="e">
        <f t="shared" ca="1" si="39"/>
        <v>#N/A</v>
      </c>
      <c r="E601" t="e">
        <f t="shared" ca="1" si="40"/>
        <v>#N/A</v>
      </c>
      <c r="F601" t="e">
        <f t="shared" ca="1" si="41"/>
        <v>#N/A</v>
      </c>
    </row>
    <row r="602" spans="3:6" x14ac:dyDescent="0.25">
      <c r="C602" t="e">
        <f t="shared" ca="1" si="38"/>
        <v>#N/A</v>
      </c>
      <c r="D602" t="e">
        <f t="shared" ca="1" si="39"/>
        <v>#N/A</v>
      </c>
      <c r="E602" t="e">
        <f t="shared" ca="1" si="40"/>
        <v>#N/A</v>
      </c>
      <c r="F602" t="e">
        <f t="shared" ca="1" si="41"/>
        <v>#N/A</v>
      </c>
    </row>
    <row r="603" spans="3:6" x14ac:dyDescent="0.25">
      <c r="C603" t="e">
        <f t="shared" ca="1" si="38"/>
        <v>#N/A</v>
      </c>
      <c r="D603" t="e">
        <f t="shared" ca="1" si="39"/>
        <v>#N/A</v>
      </c>
      <c r="E603" t="e">
        <f t="shared" ca="1" si="40"/>
        <v>#N/A</v>
      </c>
      <c r="F603" t="e">
        <f t="shared" ca="1" si="41"/>
        <v>#N/A</v>
      </c>
    </row>
    <row r="604" spans="3:6" x14ac:dyDescent="0.25">
      <c r="C604" t="e">
        <f t="shared" ca="1" si="38"/>
        <v>#N/A</v>
      </c>
      <c r="D604" t="e">
        <f t="shared" ca="1" si="39"/>
        <v>#N/A</v>
      </c>
      <c r="E604" t="e">
        <f t="shared" ca="1" si="40"/>
        <v>#N/A</v>
      </c>
      <c r="F604" t="e">
        <f t="shared" ca="1" si="41"/>
        <v>#N/A</v>
      </c>
    </row>
    <row r="605" spans="3:6" x14ac:dyDescent="0.25">
      <c r="C605" t="e">
        <f t="shared" ca="1" si="38"/>
        <v>#N/A</v>
      </c>
      <c r="D605" t="e">
        <f t="shared" ca="1" si="39"/>
        <v>#N/A</v>
      </c>
      <c r="E605" t="e">
        <f t="shared" ca="1" si="40"/>
        <v>#N/A</v>
      </c>
      <c r="F605" t="e">
        <f t="shared" ca="1" si="41"/>
        <v>#N/A</v>
      </c>
    </row>
    <row r="606" spans="3:6" x14ac:dyDescent="0.25">
      <c r="C606" t="e">
        <f t="shared" ca="1" si="38"/>
        <v>#N/A</v>
      </c>
      <c r="D606" t="e">
        <f t="shared" ca="1" si="39"/>
        <v>#N/A</v>
      </c>
      <c r="E606" t="e">
        <f t="shared" ca="1" si="40"/>
        <v>#N/A</v>
      </c>
      <c r="F606" t="e">
        <f t="shared" ca="1" si="41"/>
        <v>#N/A</v>
      </c>
    </row>
    <row r="607" spans="3:6" x14ac:dyDescent="0.25">
      <c r="C607" t="e">
        <f t="shared" ca="1" si="38"/>
        <v>#N/A</v>
      </c>
      <c r="D607" t="e">
        <f t="shared" ca="1" si="39"/>
        <v>#N/A</v>
      </c>
      <c r="E607" t="e">
        <f t="shared" ca="1" si="40"/>
        <v>#N/A</v>
      </c>
      <c r="F607" t="e">
        <f t="shared" ca="1" si="41"/>
        <v>#N/A</v>
      </c>
    </row>
    <row r="608" spans="3:6" x14ac:dyDescent="0.25">
      <c r="C608" t="e">
        <f t="shared" ca="1" si="38"/>
        <v>#N/A</v>
      </c>
      <c r="D608" t="e">
        <f t="shared" ca="1" si="39"/>
        <v>#N/A</v>
      </c>
      <c r="E608" t="e">
        <f t="shared" ca="1" si="40"/>
        <v>#N/A</v>
      </c>
      <c r="F608" t="e">
        <f t="shared" ca="1" si="41"/>
        <v>#N/A</v>
      </c>
    </row>
    <row r="609" spans="3:6" x14ac:dyDescent="0.25">
      <c r="C609" t="e">
        <f t="shared" ca="1" si="38"/>
        <v>#N/A</v>
      </c>
      <c r="D609" t="e">
        <f t="shared" ca="1" si="39"/>
        <v>#N/A</v>
      </c>
      <c r="E609" t="e">
        <f t="shared" ca="1" si="40"/>
        <v>#N/A</v>
      </c>
      <c r="F609" t="e">
        <f t="shared" ca="1" si="41"/>
        <v>#N/A</v>
      </c>
    </row>
    <row r="610" spans="3:6" x14ac:dyDescent="0.25">
      <c r="C610" t="e">
        <f t="shared" ca="1" si="38"/>
        <v>#N/A</v>
      </c>
      <c r="D610" t="e">
        <f t="shared" ca="1" si="39"/>
        <v>#N/A</v>
      </c>
      <c r="E610" t="e">
        <f t="shared" ca="1" si="40"/>
        <v>#N/A</v>
      </c>
      <c r="F610" t="e">
        <f t="shared" ca="1" si="41"/>
        <v>#N/A</v>
      </c>
    </row>
    <row r="611" spans="3:6" x14ac:dyDescent="0.25">
      <c r="C611" t="e">
        <f t="shared" ca="1" si="38"/>
        <v>#N/A</v>
      </c>
      <c r="D611" t="e">
        <f t="shared" ca="1" si="39"/>
        <v>#N/A</v>
      </c>
      <c r="E611" t="e">
        <f t="shared" ca="1" si="40"/>
        <v>#N/A</v>
      </c>
      <c r="F611" t="e">
        <f t="shared" ca="1" si="41"/>
        <v>#N/A</v>
      </c>
    </row>
    <row r="612" spans="3:6" x14ac:dyDescent="0.25">
      <c r="C612" t="e">
        <f t="shared" ca="1" si="38"/>
        <v>#N/A</v>
      </c>
      <c r="D612" t="e">
        <f t="shared" ca="1" si="39"/>
        <v>#N/A</v>
      </c>
      <c r="E612" t="e">
        <f t="shared" ca="1" si="40"/>
        <v>#N/A</v>
      </c>
      <c r="F612" t="e">
        <f t="shared" ca="1" si="41"/>
        <v>#N/A</v>
      </c>
    </row>
    <row r="613" spans="3:6" x14ac:dyDescent="0.25">
      <c r="C613" t="e">
        <f t="shared" ca="1" si="38"/>
        <v>#N/A</v>
      </c>
      <c r="D613" t="e">
        <f t="shared" ca="1" si="39"/>
        <v>#N/A</v>
      </c>
      <c r="E613" t="e">
        <f t="shared" ca="1" si="40"/>
        <v>#N/A</v>
      </c>
      <c r="F613" t="e">
        <f t="shared" ca="1" si="41"/>
        <v>#N/A</v>
      </c>
    </row>
    <row r="614" spans="3:6" x14ac:dyDescent="0.25">
      <c r="C614" t="e">
        <f t="shared" ca="1" si="38"/>
        <v>#N/A</v>
      </c>
      <c r="D614" t="e">
        <f t="shared" ca="1" si="39"/>
        <v>#N/A</v>
      </c>
      <c r="E614" t="e">
        <f t="shared" ca="1" si="40"/>
        <v>#N/A</v>
      </c>
      <c r="F614" t="e">
        <f t="shared" ca="1" si="41"/>
        <v>#N/A</v>
      </c>
    </row>
    <row r="615" spans="3:6" x14ac:dyDescent="0.25">
      <c r="C615" t="e">
        <f t="shared" ca="1" si="38"/>
        <v>#N/A</v>
      </c>
      <c r="D615" t="e">
        <f t="shared" ca="1" si="39"/>
        <v>#N/A</v>
      </c>
      <c r="E615" t="e">
        <f t="shared" ca="1" si="40"/>
        <v>#N/A</v>
      </c>
      <c r="F615" t="e">
        <f t="shared" ca="1" si="41"/>
        <v>#N/A</v>
      </c>
    </row>
    <row r="616" spans="3:6" x14ac:dyDescent="0.25">
      <c r="C616" t="e">
        <f t="shared" ca="1" si="38"/>
        <v>#N/A</v>
      </c>
      <c r="D616" t="e">
        <f t="shared" ca="1" si="39"/>
        <v>#N/A</v>
      </c>
      <c r="E616" t="e">
        <f t="shared" ca="1" si="40"/>
        <v>#N/A</v>
      </c>
      <c r="F616" t="e">
        <f t="shared" ca="1" si="41"/>
        <v>#N/A</v>
      </c>
    </row>
    <row r="617" spans="3:6" x14ac:dyDescent="0.25">
      <c r="C617" t="e">
        <f t="shared" ca="1" si="38"/>
        <v>#N/A</v>
      </c>
      <c r="D617" t="e">
        <f t="shared" ca="1" si="39"/>
        <v>#N/A</v>
      </c>
      <c r="E617" t="e">
        <f t="shared" ca="1" si="40"/>
        <v>#N/A</v>
      </c>
      <c r="F617" t="e">
        <f t="shared" ca="1" si="41"/>
        <v>#N/A</v>
      </c>
    </row>
    <row r="618" spans="3:6" x14ac:dyDescent="0.25">
      <c r="C618" t="e">
        <f t="shared" ca="1" si="38"/>
        <v>#N/A</v>
      </c>
      <c r="D618" t="e">
        <f t="shared" ca="1" si="39"/>
        <v>#N/A</v>
      </c>
      <c r="E618" t="e">
        <f t="shared" ca="1" si="40"/>
        <v>#N/A</v>
      </c>
      <c r="F618" t="e">
        <f t="shared" ca="1" si="41"/>
        <v>#N/A</v>
      </c>
    </row>
    <row r="619" spans="3:6" x14ac:dyDescent="0.25">
      <c r="C619" t="e">
        <f t="shared" ca="1" si="38"/>
        <v>#N/A</v>
      </c>
      <c r="D619" t="e">
        <f t="shared" ca="1" si="39"/>
        <v>#N/A</v>
      </c>
      <c r="E619" t="e">
        <f t="shared" ca="1" si="40"/>
        <v>#N/A</v>
      </c>
      <c r="F619" t="e">
        <f t="shared" ca="1" si="41"/>
        <v>#N/A</v>
      </c>
    </row>
    <row r="620" spans="3:6" x14ac:dyDescent="0.25">
      <c r="C620" t="e">
        <f t="shared" ca="1" si="38"/>
        <v>#N/A</v>
      </c>
      <c r="D620" t="e">
        <f t="shared" ca="1" si="39"/>
        <v>#N/A</v>
      </c>
      <c r="E620" t="e">
        <f t="shared" ca="1" si="40"/>
        <v>#N/A</v>
      </c>
      <c r="F620" t="e">
        <f t="shared" ca="1" si="41"/>
        <v>#N/A</v>
      </c>
    </row>
    <row r="621" spans="3:6" x14ac:dyDescent="0.25">
      <c r="C621" t="e">
        <f t="shared" ca="1" si="38"/>
        <v>#N/A</v>
      </c>
      <c r="D621" t="e">
        <f t="shared" ca="1" si="39"/>
        <v>#N/A</v>
      </c>
      <c r="E621" t="e">
        <f t="shared" ca="1" si="40"/>
        <v>#N/A</v>
      </c>
      <c r="F621" t="e">
        <f t="shared" ca="1" si="41"/>
        <v>#N/A</v>
      </c>
    </row>
    <row r="622" spans="3:6" x14ac:dyDescent="0.25">
      <c r="C622" t="e">
        <f t="shared" ca="1" si="38"/>
        <v>#N/A</v>
      </c>
      <c r="D622" t="e">
        <f t="shared" ca="1" si="39"/>
        <v>#N/A</v>
      </c>
      <c r="E622" t="e">
        <f t="shared" ca="1" si="40"/>
        <v>#N/A</v>
      </c>
      <c r="F622" t="e">
        <f t="shared" ca="1" si="41"/>
        <v>#N/A</v>
      </c>
    </row>
    <row r="623" spans="3:6" x14ac:dyDescent="0.25">
      <c r="C623" t="e">
        <f t="shared" ca="1" si="38"/>
        <v>#N/A</v>
      </c>
      <c r="D623" t="e">
        <f t="shared" ca="1" si="39"/>
        <v>#N/A</v>
      </c>
      <c r="E623" t="e">
        <f t="shared" ca="1" si="40"/>
        <v>#N/A</v>
      </c>
      <c r="F623" t="e">
        <f t="shared" ca="1" si="41"/>
        <v>#N/A</v>
      </c>
    </row>
    <row r="624" spans="3:6" x14ac:dyDescent="0.25">
      <c r="C624" t="e">
        <f t="shared" ca="1" si="38"/>
        <v>#N/A</v>
      </c>
      <c r="D624" t="e">
        <f t="shared" ca="1" si="39"/>
        <v>#N/A</v>
      </c>
      <c r="E624" t="e">
        <f t="shared" ca="1" si="40"/>
        <v>#N/A</v>
      </c>
      <c r="F624" t="e">
        <f t="shared" ca="1" si="41"/>
        <v>#N/A</v>
      </c>
    </row>
    <row r="625" spans="3:6" x14ac:dyDescent="0.25">
      <c r="C625" t="e">
        <f t="shared" ca="1" si="38"/>
        <v>#N/A</v>
      </c>
      <c r="D625" t="e">
        <f t="shared" ca="1" si="39"/>
        <v>#N/A</v>
      </c>
      <c r="E625" t="e">
        <f t="shared" ca="1" si="40"/>
        <v>#N/A</v>
      </c>
      <c r="F625" t="e">
        <f t="shared" ca="1" si="41"/>
        <v>#N/A</v>
      </c>
    </row>
    <row r="626" spans="3:6" x14ac:dyDescent="0.25">
      <c r="C626" t="e">
        <f t="shared" ca="1" si="38"/>
        <v>#N/A</v>
      </c>
      <c r="D626" t="e">
        <f t="shared" ca="1" si="39"/>
        <v>#N/A</v>
      </c>
      <c r="E626" t="e">
        <f t="shared" ca="1" si="40"/>
        <v>#N/A</v>
      </c>
      <c r="F626" t="e">
        <f t="shared" ca="1" si="41"/>
        <v>#N/A</v>
      </c>
    </row>
    <row r="627" spans="3:6" x14ac:dyDescent="0.25">
      <c r="C627" t="e">
        <f t="shared" ca="1" si="38"/>
        <v>#N/A</v>
      </c>
      <c r="D627" t="e">
        <f t="shared" ca="1" si="39"/>
        <v>#N/A</v>
      </c>
      <c r="E627" t="e">
        <f t="shared" ca="1" si="40"/>
        <v>#N/A</v>
      </c>
      <c r="F627" t="e">
        <f t="shared" ca="1" si="41"/>
        <v>#N/A</v>
      </c>
    </row>
    <row r="628" spans="3:6" x14ac:dyDescent="0.25">
      <c r="C628" t="e">
        <f t="shared" ca="1" si="38"/>
        <v>#N/A</v>
      </c>
      <c r="D628" t="e">
        <f t="shared" ca="1" si="39"/>
        <v>#N/A</v>
      </c>
      <c r="E628" t="e">
        <f t="shared" ca="1" si="40"/>
        <v>#N/A</v>
      </c>
      <c r="F628" t="e">
        <f t="shared" ca="1" si="41"/>
        <v>#N/A</v>
      </c>
    </row>
    <row r="629" spans="3:6" x14ac:dyDescent="0.25">
      <c r="C629" t="e">
        <f t="shared" ca="1" si="38"/>
        <v>#N/A</v>
      </c>
      <c r="D629" t="e">
        <f t="shared" ca="1" si="39"/>
        <v>#N/A</v>
      </c>
      <c r="E629" t="e">
        <f t="shared" ca="1" si="40"/>
        <v>#N/A</v>
      </c>
      <c r="F629" t="e">
        <f t="shared" ca="1" si="41"/>
        <v>#N/A</v>
      </c>
    </row>
    <row r="630" spans="3:6" x14ac:dyDescent="0.25">
      <c r="C630" t="e">
        <f t="shared" ca="1" si="38"/>
        <v>#N/A</v>
      </c>
      <c r="D630" t="e">
        <f t="shared" ca="1" si="39"/>
        <v>#N/A</v>
      </c>
      <c r="E630" t="e">
        <f t="shared" ca="1" si="40"/>
        <v>#N/A</v>
      </c>
      <c r="F630" t="e">
        <f t="shared" ca="1" si="41"/>
        <v>#N/A</v>
      </c>
    </row>
    <row r="631" spans="3:6" x14ac:dyDescent="0.25">
      <c r="C631" t="e">
        <f t="shared" ca="1" si="38"/>
        <v>#N/A</v>
      </c>
      <c r="D631" t="e">
        <f t="shared" ca="1" si="39"/>
        <v>#N/A</v>
      </c>
      <c r="E631" t="e">
        <f t="shared" ca="1" si="40"/>
        <v>#N/A</v>
      </c>
      <c r="F631" t="e">
        <f t="shared" ca="1" si="41"/>
        <v>#N/A</v>
      </c>
    </row>
    <row r="632" spans="3:6" x14ac:dyDescent="0.25">
      <c r="C632" t="e">
        <f t="shared" ca="1" si="38"/>
        <v>#N/A</v>
      </c>
      <c r="D632" t="e">
        <f t="shared" ca="1" si="39"/>
        <v>#N/A</v>
      </c>
      <c r="E632" t="e">
        <f t="shared" ca="1" si="40"/>
        <v>#N/A</v>
      </c>
      <c r="F632" t="e">
        <f t="shared" ca="1" si="41"/>
        <v>#N/A</v>
      </c>
    </row>
    <row r="633" spans="3:6" x14ac:dyDescent="0.25">
      <c r="C633" t="e">
        <f t="shared" ca="1" si="38"/>
        <v>#N/A</v>
      </c>
      <c r="D633" t="e">
        <f t="shared" ca="1" si="39"/>
        <v>#N/A</v>
      </c>
      <c r="E633" t="e">
        <f t="shared" ca="1" si="40"/>
        <v>#N/A</v>
      </c>
      <c r="F633" t="e">
        <f t="shared" ca="1" si="41"/>
        <v>#N/A</v>
      </c>
    </row>
    <row r="634" spans="3:6" x14ac:dyDescent="0.25">
      <c r="C634" t="e">
        <f t="shared" ca="1" si="38"/>
        <v>#N/A</v>
      </c>
      <c r="D634" t="e">
        <f t="shared" ca="1" si="39"/>
        <v>#N/A</v>
      </c>
      <c r="E634" t="e">
        <f t="shared" ca="1" si="40"/>
        <v>#N/A</v>
      </c>
      <c r="F634" t="e">
        <f t="shared" ca="1" si="41"/>
        <v>#N/A</v>
      </c>
    </row>
    <row r="635" spans="3:6" x14ac:dyDescent="0.25">
      <c r="C635" t="e">
        <f t="shared" ca="1" si="38"/>
        <v>#N/A</v>
      </c>
      <c r="D635" t="e">
        <f t="shared" ca="1" si="39"/>
        <v>#N/A</v>
      </c>
      <c r="E635" t="e">
        <f t="shared" ca="1" si="40"/>
        <v>#N/A</v>
      </c>
      <c r="F635" t="e">
        <f t="shared" ca="1" si="41"/>
        <v>#N/A</v>
      </c>
    </row>
    <row r="636" spans="3:6" x14ac:dyDescent="0.25">
      <c r="C636" t="e">
        <f t="shared" ca="1" si="38"/>
        <v>#N/A</v>
      </c>
      <c r="D636" t="e">
        <f t="shared" ca="1" si="39"/>
        <v>#N/A</v>
      </c>
      <c r="E636" t="e">
        <f t="shared" ca="1" si="40"/>
        <v>#N/A</v>
      </c>
      <c r="F636" t="e">
        <f t="shared" ca="1" si="41"/>
        <v>#N/A</v>
      </c>
    </row>
    <row r="637" spans="3:6" x14ac:dyDescent="0.25">
      <c r="C637" t="e">
        <f t="shared" ca="1" si="38"/>
        <v>#N/A</v>
      </c>
      <c r="D637" t="e">
        <f t="shared" ca="1" si="39"/>
        <v>#N/A</v>
      </c>
      <c r="E637" t="e">
        <f t="shared" ca="1" si="40"/>
        <v>#N/A</v>
      </c>
      <c r="F637" t="e">
        <f t="shared" ca="1" si="41"/>
        <v>#N/A</v>
      </c>
    </row>
    <row r="638" spans="3:6" x14ac:dyDescent="0.25">
      <c r="C638" t="e">
        <f t="shared" ca="1" si="38"/>
        <v>#N/A</v>
      </c>
      <c r="D638" t="e">
        <f t="shared" ca="1" si="39"/>
        <v>#N/A</v>
      </c>
      <c r="E638" t="e">
        <f t="shared" ca="1" si="40"/>
        <v>#N/A</v>
      </c>
      <c r="F638" t="e">
        <f t="shared" ca="1" si="41"/>
        <v>#N/A</v>
      </c>
    </row>
    <row r="639" spans="3:6" x14ac:dyDescent="0.25">
      <c r="C639" t="e">
        <f t="shared" ca="1" si="38"/>
        <v>#N/A</v>
      </c>
      <c r="D639" t="e">
        <f t="shared" ca="1" si="39"/>
        <v>#N/A</v>
      </c>
      <c r="E639" t="e">
        <f t="shared" ca="1" si="40"/>
        <v>#N/A</v>
      </c>
      <c r="F639" t="e">
        <f t="shared" ca="1" si="41"/>
        <v>#N/A</v>
      </c>
    </row>
    <row r="640" spans="3:6" x14ac:dyDescent="0.25">
      <c r="C640" t="e">
        <f t="shared" ca="1" si="38"/>
        <v>#N/A</v>
      </c>
      <c r="D640" t="e">
        <f t="shared" ca="1" si="39"/>
        <v>#N/A</v>
      </c>
      <c r="E640" t="e">
        <f t="shared" ca="1" si="40"/>
        <v>#N/A</v>
      </c>
      <c r="F640" t="e">
        <f t="shared" ca="1" si="41"/>
        <v>#N/A</v>
      </c>
    </row>
    <row r="641" spans="3:6" x14ac:dyDescent="0.25">
      <c r="C641" t="e">
        <f t="shared" ca="1" si="38"/>
        <v>#N/A</v>
      </c>
      <c r="D641" t="e">
        <f t="shared" ca="1" si="39"/>
        <v>#N/A</v>
      </c>
      <c r="E641" t="e">
        <f t="shared" ca="1" si="40"/>
        <v>#N/A</v>
      </c>
      <c r="F641" t="e">
        <f t="shared" ca="1" si="41"/>
        <v>#N/A</v>
      </c>
    </row>
    <row r="642" spans="3:6" x14ac:dyDescent="0.25">
      <c r="C642" t="e">
        <f t="shared" ca="1" si="38"/>
        <v>#N/A</v>
      </c>
      <c r="D642" t="e">
        <f t="shared" ca="1" si="39"/>
        <v>#N/A</v>
      </c>
      <c r="E642" t="e">
        <f t="shared" ca="1" si="40"/>
        <v>#N/A</v>
      </c>
      <c r="F642" t="e">
        <f t="shared" ca="1" si="41"/>
        <v>#N/A</v>
      </c>
    </row>
    <row r="643" spans="3:6" x14ac:dyDescent="0.25">
      <c r="C643" t="e">
        <f t="shared" ca="1" si="38"/>
        <v>#N/A</v>
      </c>
      <c r="D643" t="e">
        <f t="shared" ca="1" si="39"/>
        <v>#N/A</v>
      </c>
      <c r="E643" t="e">
        <f t="shared" ca="1" si="40"/>
        <v>#N/A</v>
      </c>
      <c r="F643" t="e">
        <f t="shared" ca="1" si="41"/>
        <v>#N/A</v>
      </c>
    </row>
    <row r="644" spans="3:6" x14ac:dyDescent="0.25">
      <c r="C644" t="e">
        <f t="shared" ca="1" si="38"/>
        <v>#N/A</v>
      </c>
      <c r="D644" t="e">
        <f t="shared" ca="1" si="39"/>
        <v>#N/A</v>
      </c>
      <c r="E644" t="e">
        <f t="shared" ca="1" si="40"/>
        <v>#N/A</v>
      </c>
      <c r="F644" t="e">
        <f t="shared" ca="1" si="41"/>
        <v>#N/A</v>
      </c>
    </row>
    <row r="645" spans="3:6" x14ac:dyDescent="0.25">
      <c r="C645" t="e">
        <f t="shared" ca="1" si="38"/>
        <v>#N/A</v>
      </c>
      <c r="D645" t="e">
        <f t="shared" ca="1" si="39"/>
        <v>#N/A</v>
      </c>
      <c r="E645" t="e">
        <f t="shared" ca="1" si="40"/>
        <v>#N/A</v>
      </c>
      <c r="F645" t="e">
        <f t="shared" ca="1" si="41"/>
        <v>#N/A</v>
      </c>
    </row>
    <row r="646" spans="3:6" x14ac:dyDescent="0.25">
      <c r="C646" t="e">
        <f t="shared" ca="1" si="38"/>
        <v>#N/A</v>
      </c>
      <c r="D646" t="e">
        <f t="shared" ca="1" si="39"/>
        <v>#N/A</v>
      </c>
      <c r="E646" t="e">
        <f t="shared" ca="1" si="40"/>
        <v>#N/A</v>
      </c>
      <c r="F646" t="e">
        <f t="shared" ca="1" si="41"/>
        <v>#N/A</v>
      </c>
    </row>
    <row r="647" spans="3:6" x14ac:dyDescent="0.25">
      <c r="C647" t="e">
        <f t="shared" ca="1" si="38"/>
        <v>#N/A</v>
      </c>
      <c r="D647" t="e">
        <f t="shared" ca="1" si="39"/>
        <v>#N/A</v>
      </c>
      <c r="E647" t="e">
        <f t="shared" ca="1" si="40"/>
        <v>#N/A</v>
      </c>
      <c r="F647" t="e">
        <f t="shared" ca="1" si="41"/>
        <v>#N/A</v>
      </c>
    </row>
    <row r="648" spans="3:6" x14ac:dyDescent="0.25">
      <c r="C648" t="e">
        <f t="shared" ca="1" si="38"/>
        <v>#N/A</v>
      </c>
      <c r="D648" t="e">
        <f t="shared" ca="1" si="39"/>
        <v>#N/A</v>
      </c>
      <c r="E648" t="e">
        <f t="shared" ca="1" si="40"/>
        <v>#N/A</v>
      </c>
      <c r="F648" t="e">
        <f t="shared" ca="1" si="41"/>
        <v>#N/A</v>
      </c>
    </row>
    <row r="649" spans="3:6" x14ac:dyDescent="0.25">
      <c r="C649" t="e">
        <f t="shared" ca="1" si="38"/>
        <v>#N/A</v>
      </c>
      <c r="D649" t="e">
        <f t="shared" ca="1" si="39"/>
        <v>#N/A</v>
      </c>
      <c r="E649" t="e">
        <f t="shared" ca="1" si="40"/>
        <v>#N/A</v>
      </c>
      <c r="F649" t="e">
        <f t="shared" ca="1" si="41"/>
        <v>#N/A</v>
      </c>
    </row>
    <row r="650" spans="3:6" x14ac:dyDescent="0.25">
      <c r="C650" t="e">
        <f t="shared" ref="C650:C713" ca="1" si="42">$C$7</f>
        <v>#N/A</v>
      </c>
      <c r="D650" t="e">
        <f t="shared" ref="D650:D713" ca="1" si="43">$D$7</f>
        <v>#N/A</v>
      </c>
      <c r="E650" t="e">
        <f t="shared" ref="E650:E713" ca="1" si="44">IF($B651="",C$8,"")</f>
        <v>#N/A</v>
      </c>
      <c r="F650" t="e">
        <f t="shared" ref="F650:F713" ca="1" si="45">IF($B651="",D$8,"")</f>
        <v>#N/A</v>
      </c>
    </row>
    <row r="651" spans="3:6" x14ac:dyDescent="0.25">
      <c r="C651" t="e">
        <f t="shared" ca="1" si="42"/>
        <v>#N/A</v>
      </c>
      <c r="D651" t="e">
        <f t="shared" ca="1" si="43"/>
        <v>#N/A</v>
      </c>
      <c r="E651" t="e">
        <f t="shared" ca="1" si="44"/>
        <v>#N/A</v>
      </c>
      <c r="F651" t="e">
        <f t="shared" ca="1" si="45"/>
        <v>#N/A</v>
      </c>
    </row>
    <row r="652" spans="3:6" x14ac:dyDescent="0.25">
      <c r="C652" t="e">
        <f t="shared" ca="1" si="42"/>
        <v>#N/A</v>
      </c>
      <c r="D652" t="e">
        <f t="shared" ca="1" si="43"/>
        <v>#N/A</v>
      </c>
      <c r="E652" t="e">
        <f t="shared" ca="1" si="44"/>
        <v>#N/A</v>
      </c>
      <c r="F652" t="e">
        <f t="shared" ca="1" si="45"/>
        <v>#N/A</v>
      </c>
    </row>
    <row r="653" spans="3:6" x14ac:dyDescent="0.25">
      <c r="C653" t="e">
        <f t="shared" ca="1" si="42"/>
        <v>#N/A</v>
      </c>
      <c r="D653" t="e">
        <f t="shared" ca="1" si="43"/>
        <v>#N/A</v>
      </c>
      <c r="E653" t="e">
        <f t="shared" ca="1" si="44"/>
        <v>#N/A</v>
      </c>
      <c r="F653" t="e">
        <f t="shared" ca="1" si="45"/>
        <v>#N/A</v>
      </c>
    </row>
    <row r="654" spans="3:6" x14ac:dyDescent="0.25">
      <c r="C654" t="e">
        <f t="shared" ca="1" si="42"/>
        <v>#N/A</v>
      </c>
      <c r="D654" t="e">
        <f t="shared" ca="1" si="43"/>
        <v>#N/A</v>
      </c>
      <c r="E654" t="e">
        <f t="shared" ca="1" si="44"/>
        <v>#N/A</v>
      </c>
      <c r="F654" t="e">
        <f t="shared" ca="1" si="45"/>
        <v>#N/A</v>
      </c>
    </row>
    <row r="655" spans="3:6" x14ac:dyDescent="0.25">
      <c r="C655" t="e">
        <f t="shared" ca="1" si="42"/>
        <v>#N/A</v>
      </c>
      <c r="D655" t="e">
        <f t="shared" ca="1" si="43"/>
        <v>#N/A</v>
      </c>
      <c r="E655" t="e">
        <f t="shared" ca="1" si="44"/>
        <v>#N/A</v>
      </c>
      <c r="F655" t="e">
        <f t="shared" ca="1" si="45"/>
        <v>#N/A</v>
      </c>
    </row>
    <row r="656" spans="3:6" x14ac:dyDescent="0.25">
      <c r="C656" t="e">
        <f t="shared" ca="1" si="42"/>
        <v>#N/A</v>
      </c>
      <c r="D656" t="e">
        <f t="shared" ca="1" si="43"/>
        <v>#N/A</v>
      </c>
      <c r="E656" t="e">
        <f t="shared" ca="1" si="44"/>
        <v>#N/A</v>
      </c>
      <c r="F656" t="e">
        <f t="shared" ca="1" si="45"/>
        <v>#N/A</v>
      </c>
    </row>
    <row r="657" spans="3:6" x14ac:dyDescent="0.25">
      <c r="C657" t="e">
        <f t="shared" ca="1" si="42"/>
        <v>#N/A</v>
      </c>
      <c r="D657" t="e">
        <f t="shared" ca="1" si="43"/>
        <v>#N/A</v>
      </c>
      <c r="E657" t="e">
        <f t="shared" ca="1" si="44"/>
        <v>#N/A</v>
      </c>
      <c r="F657" t="e">
        <f t="shared" ca="1" si="45"/>
        <v>#N/A</v>
      </c>
    </row>
    <row r="658" spans="3:6" x14ac:dyDescent="0.25">
      <c r="C658" t="e">
        <f t="shared" ca="1" si="42"/>
        <v>#N/A</v>
      </c>
      <c r="D658" t="e">
        <f t="shared" ca="1" si="43"/>
        <v>#N/A</v>
      </c>
      <c r="E658" t="e">
        <f t="shared" ca="1" si="44"/>
        <v>#N/A</v>
      </c>
      <c r="F658" t="e">
        <f t="shared" ca="1" si="45"/>
        <v>#N/A</v>
      </c>
    </row>
    <row r="659" spans="3:6" x14ac:dyDescent="0.25">
      <c r="C659" t="e">
        <f t="shared" ca="1" si="42"/>
        <v>#N/A</v>
      </c>
      <c r="D659" t="e">
        <f t="shared" ca="1" si="43"/>
        <v>#N/A</v>
      </c>
      <c r="E659" t="e">
        <f t="shared" ca="1" si="44"/>
        <v>#N/A</v>
      </c>
      <c r="F659" t="e">
        <f t="shared" ca="1" si="45"/>
        <v>#N/A</v>
      </c>
    </row>
    <row r="660" spans="3:6" x14ac:dyDescent="0.25">
      <c r="C660" t="e">
        <f t="shared" ca="1" si="42"/>
        <v>#N/A</v>
      </c>
      <c r="D660" t="e">
        <f t="shared" ca="1" si="43"/>
        <v>#N/A</v>
      </c>
      <c r="E660" t="e">
        <f t="shared" ca="1" si="44"/>
        <v>#N/A</v>
      </c>
      <c r="F660" t="e">
        <f t="shared" ca="1" si="45"/>
        <v>#N/A</v>
      </c>
    </row>
    <row r="661" spans="3:6" x14ac:dyDescent="0.25">
      <c r="C661" t="e">
        <f t="shared" ca="1" si="42"/>
        <v>#N/A</v>
      </c>
      <c r="D661" t="e">
        <f t="shared" ca="1" si="43"/>
        <v>#N/A</v>
      </c>
      <c r="E661" t="e">
        <f t="shared" ca="1" si="44"/>
        <v>#N/A</v>
      </c>
      <c r="F661" t="e">
        <f t="shared" ca="1" si="45"/>
        <v>#N/A</v>
      </c>
    </row>
    <row r="662" spans="3:6" x14ac:dyDescent="0.25">
      <c r="C662" t="e">
        <f t="shared" ca="1" si="42"/>
        <v>#N/A</v>
      </c>
      <c r="D662" t="e">
        <f t="shared" ca="1" si="43"/>
        <v>#N/A</v>
      </c>
      <c r="E662" t="e">
        <f t="shared" ca="1" si="44"/>
        <v>#N/A</v>
      </c>
      <c r="F662" t="e">
        <f t="shared" ca="1" si="45"/>
        <v>#N/A</v>
      </c>
    </row>
    <row r="663" spans="3:6" x14ac:dyDescent="0.25">
      <c r="C663" t="e">
        <f t="shared" ca="1" si="42"/>
        <v>#N/A</v>
      </c>
      <c r="D663" t="e">
        <f t="shared" ca="1" si="43"/>
        <v>#N/A</v>
      </c>
      <c r="E663" t="e">
        <f t="shared" ca="1" si="44"/>
        <v>#N/A</v>
      </c>
      <c r="F663" t="e">
        <f t="shared" ca="1" si="45"/>
        <v>#N/A</v>
      </c>
    </row>
    <row r="664" spans="3:6" x14ac:dyDescent="0.25">
      <c r="C664" t="e">
        <f t="shared" ca="1" si="42"/>
        <v>#N/A</v>
      </c>
      <c r="D664" t="e">
        <f t="shared" ca="1" si="43"/>
        <v>#N/A</v>
      </c>
      <c r="E664" t="e">
        <f t="shared" ca="1" si="44"/>
        <v>#N/A</v>
      </c>
      <c r="F664" t="e">
        <f t="shared" ca="1" si="45"/>
        <v>#N/A</v>
      </c>
    </row>
    <row r="665" spans="3:6" x14ac:dyDescent="0.25">
      <c r="C665" t="e">
        <f t="shared" ca="1" si="42"/>
        <v>#N/A</v>
      </c>
      <c r="D665" t="e">
        <f t="shared" ca="1" si="43"/>
        <v>#N/A</v>
      </c>
      <c r="E665" t="e">
        <f t="shared" ca="1" si="44"/>
        <v>#N/A</v>
      </c>
      <c r="F665" t="e">
        <f t="shared" ca="1" si="45"/>
        <v>#N/A</v>
      </c>
    </row>
    <row r="666" spans="3:6" x14ac:dyDescent="0.25">
      <c r="C666" t="e">
        <f t="shared" ca="1" si="42"/>
        <v>#N/A</v>
      </c>
      <c r="D666" t="e">
        <f t="shared" ca="1" si="43"/>
        <v>#N/A</v>
      </c>
      <c r="E666" t="e">
        <f t="shared" ca="1" si="44"/>
        <v>#N/A</v>
      </c>
      <c r="F666" t="e">
        <f t="shared" ca="1" si="45"/>
        <v>#N/A</v>
      </c>
    </row>
    <row r="667" spans="3:6" x14ac:dyDescent="0.25">
      <c r="C667" t="e">
        <f t="shared" ca="1" si="42"/>
        <v>#N/A</v>
      </c>
      <c r="D667" t="e">
        <f t="shared" ca="1" si="43"/>
        <v>#N/A</v>
      </c>
      <c r="E667" t="e">
        <f t="shared" ca="1" si="44"/>
        <v>#N/A</v>
      </c>
      <c r="F667" t="e">
        <f t="shared" ca="1" si="45"/>
        <v>#N/A</v>
      </c>
    </row>
    <row r="668" spans="3:6" x14ac:dyDescent="0.25">
      <c r="C668" t="e">
        <f t="shared" ca="1" si="42"/>
        <v>#N/A</v>
      </c>
      <c r="D668" t="e">
        <f t="shared" ca="1" si="43"/>
        <v>#N/A</v>
      </c>
      <c r="E668" t="e">
        <f t="shared" ca="1" si="44"/>
        <v>#N/A</v>
      </c>
      <c r="F668" t="e">
        <f t="shared" ca="1" si="45"/>
        <v>#N/A</v>
      </c>
    </row>
    <row r="669" spans="3:6" x14ac:dyDescent="0.25">
      <c r="C669" t="e">
        <f t="shared" ca="1" si="42"/>
        <v>#N/A</v>
      </c>
      <c r="D669" t="e">
        <f t="shared" ca="1" si="43"/>
        <v>#N/A</v>
      </c>
      <c r="E669" t="e">
        <f t="shared" ca="1" si="44"/>
        <v>#N/A</v>
      </c>
      <c r="F669" t="e">
        <f t="shared" ca="1" si="45"/>
        <v>#N/A</v>
      </c>
    </row>
    <row r="670" spans="3:6" x14ac:dyDescent="0.25">
      <c r="C670" t="e">
        <f t="shared" ca="1" si="42"/>
        <v>#N/A</v>
      </c>
      <c r="D670" t="e">
        <f t="shared" ca="1" si="43"/>
        <v>#N/A</v>
      </c>
      <c r="E670" t="e">
        <f t="shared" ca="1" si="44"/>
        <v>#N/A</v>
      </c>
      <c r="F670" t="e">
        <f t="shared" ca="1" si="45"/>
        <v>#N/A</v>
      </c>
    </row>
    <row r="671" spans="3:6" x14ac:dyDescent="0.25">
      <c r="C671" t="e">
        <f t="shared" ca="1" si="42"/>
        <v>#N/A</v>
      </c>
      <c r="D671" t="e">
        <f t="shared" ca="1" si="43"/>
        <v>#N/A</v>
      </c>
      <c r="E671" t="e">
        <f t="shared" ca="1" si="44"/>
        <v>#N/A</v>
      </c>
      <c r="F671" t="e">
        <f t="shared" ca="1" si="45"/>
        <v>#N/A</v>
      </c>
    </row>
    <row r="672" spans="3:6" x14ac:dyDescent="0.25">
      <c r="C672" t="e">
        <f t="shared" ca="1" si="42"/>
        <v>#N/A</v>
      </c>
      <c r="D672" t="e">
        <f t="shared" ca="1" si="43"/>
        <v>#N/A</v>
      </c>
      <c r="E672" t="e">
        <f t="shared" ca="1" si="44"/>
        <v>#N/A</v>
      </c>
      <c r="F672" t="e">
        <f t="shared" ca="1" si="45"/>
        <v>#N/A</v>
      </c>
    </row>
    <row r="673" spans="3:6" x14ac:dyDescent="0.25">
      <c r="C673" t="e">
        <f t="shared" ca="1" si="42"/>
        <v>#N/A</v>
      </c>
      <c r="D673" t="e">
        <f t="shared" ca="1" si="43"/>
        <v>#N/A</v>
      </c>
      <c r="E673" t="e">
        <f t="shared" ca="1" si="44"/>
        <v>#N/A</v>
      </c>
      <c r="F673" t="e">
        <f t="shared" ca="1" si="45"/>
        <v>#N/A</v>
      </c>
    </row>
    <row r="674" spans="3:6" x14ac:dyDescent="0.25">
      <c r="C674" t="e">
        <f t="shared" ca="1" si="42"/>
        <v>#N/A</v>
      </c>
      <c r="D674" t="e">
        <f t="shared" ca="1" si="43"/>
        <v>#N/A</v>
      </c>
      <c r="E674" t="e">
        <f t="shared" ca="1" si="44"/>
        <v>#N/A</v>
      </c>
      <c r="F674" t="e">
        <f t="shared" ca="1" si="45"/>
        <v>#N/A</v>
      </c>
    </row>
    <row r="675" spans="3:6" x14ac:dyDescent="0.25">
      <c r="C675" t="e">
        <f t="shared" ca="1" si="42"/>
        <v>#N/A</v>
      </c>
      <c r="D675" t="e">
        <f t="shared" ca="1" si="43"/>
        <v>#N/A</v>
      </c>
      <c r="E675" t="e">
        <f t="shared" ca="1" si="44"/>
        <v>#N/A</v>
      </c>
      <c r="F675" t="e">
        <f t="shared" ca="1" si="45"/>
        <v>#N/A</v>
      </c>
    </row>
    <row r="676" spans="3:6" x14ac:dyDescent="0.25">
      <c r="C676" t="e">
        <f t="shared" ca="1" si="42"/>
        <v>#N/A</v>
      </c>
      <c r="D676" t="e">
        <f t="shared" ca="1" si="43"/>
        <v>#N/A</v>
      </c>
      <c r="E676" t="e">
        <f t="shared" ca="1" si="44"/>
        <v>#N/A</v>
      </c>
      <c r="F676" t="e">
        <f t="shared" ca="1" si="45"/>
        <v>#N/A</v>
      </c>
    </row>
    <row r="677" spans="3:6" x14ac:dyDescent="0.25">
      <c r="C677" t="e">
        <f t="shared" ca="1" si="42"/>
        <v>#N/A</v>
      </c>
      <c r="D677" t="e">
        <f t="shared" ca="1" si="43"/>
        <v>#N/A</v>
      </c>
      <c r="E677" t="e">
        <f t="shared" ca="1" si="44"/>
        <v>#N/A</v>
      </c>
      <c r="F677" t="e">
        <f t="shared" ca="1" si="45"/>
        <v>#N/A</v>
      </c>
    </row>
    <row r="678" spans="3:6" x14ac:dyDescent="0.25">
      <c r="C678" t="e">
        <f t="shared" ca="1" si="42"/>
        <v>#N/A</v>
      </c>
      <c r="D678" t="e">
        <f t="shared" ca="1" si="43"/>
        <v>#N/A</v>
      </c>
      <c r="E678" t="e">
        <f t="shared" ca="1" si="44"/>
        <v>#N/A</v>
      </c>
      <c r="F678" t="e">
        <f t="shared" ca="1" si="45"/>
        <v>#N/A</v>
      </c>
    </row>
    <row r="679" spans="3:6" x14ac:dyDescent="0.25">
      <c r="C679" t="e">
        <f t="shared" ca="1" si="42"/>
        <v>#N/A</v>
      </c>
      <c r="D679" t="e">
        <f t="shared" ca="1" si="43"/>
        <v>#N/A</v>
      </c>
      <c r="E679" t="e">
        <f t="shared" ca="1" si="44"/>
        <v>#N/A</v>
      </c>
      <c r="F679" t="e">
        <f t="shared" ca="1" si="45"/>
        <v>#N/A</v>
      </c>
    </row>
    <row r="680" spans="3:6" x14ac:dyDescent="0.25">
      <c r="C680" t="e">
        <f t="shared" ca="1" si="42"/>
        <v>#N/A</v>
      </c>
      <c r="D680" t="e">
        <f t="shared" ca="1" si="43"/>
        <v>#N/A</v>
      </c>
      <c r="E680" t="e">
        <f t="shared" ca="1" si="44"/>
        <v>#N/A</v>
      </c>
      <c r="F680" t="e">
        <f t="shared" ca="1" si="45"/>
        <v>#N/A</v>
      </c>
    </row>
    <row r="681" spans="3:6" x14ac:dyDescent="0.25">
      <c r="C681" t="e">
        <f t="shared" ca="1" si="42"/>
        <v>#N/A</v>
      </c>
      <c r="D681" t="e">
        <f t="shared" ca="1" si="43"/>
        <v>#N/A</v>
      </c>
      <c r="E681" t="e">
        <f t="shared" ca="1" si="44"/>
        <v>#N/A</v>
      </c>
      <c r="F681" t="e">
        <f t="shared" ca="1" si="45"/>
        <v>#N/A</v>
      </c>
    </row>
    <row r="682" spans="3:6" x14ac:dyDescent="0.25">
      <c r="C682" t="e">
        <f t="shared" ca="1" si="42"/>
        <v>#N/A</v>
      </c>
      <c r="D682" t="e">
        <f t="shared" ca="1" si="43"/>
        <v>#N/A</v>
      </c>
      <c r="E682" t="e">
        <f t="shared" ca="1" si="44"/>
        <v>#N/A</v>
      </c>
      <c r="F682" t="e">
        <f t="shared" ca="1" si="45"/>
        <v>#N/A</v>
      </c>
    </row>
    <row r="683" spans="3:6" x14ac:dyDescent="0.25">
      <c r="C683" t="e">
        <f t="shared" ca="1" si="42"/>
        <v>#N/A</v>
      </c>
      <c r="D683" t="e">
        <f t="shared" ca="1" si="43"/>
        <v>#N/A</v>
      </c>
      <c r="E683" t="e">
        <f t="shared" ca="1" si="44"/>
        <v>#N/A</v>
      </c>
      <c r="F683" t="e">
        <f t="shared" ca="1" si="45"/>
        <v>#N/A</v>
      </c>
    </row>
    <row r="684" spans="3:6" x14ac:dyDescent="0.25">
      <c r="C684" t="e">
        <f t="shared" ca="1" si="42"/>
        <v>#N/A</v>
      </c>
      <c r="D684" t="e">
        <f t="shared" ca="1" si="43"/>
        <v>#N/A</v>
      </c>
      <c r="E684" t="e">
        <f t="shared" ca="1" si="44"/>
        <v>#N/A</v>
      </c>
      <c r="F684" t="e">
        <f t="shared" ca="1" si="45"/>
        <v>#N/A</v>
      </c>
    </row>
    <row r="685" spans="3:6" x14ac:dyDescent="0.25">
      <c r="C685" t="e">
        <f t="shared" ca="1" si="42"/>
        <v>#N/A</v>
      </c>
      <c r="D685" t="e">
        <f t="shared" ca="1" si="43"/>
        <v>#N/A</v>
      </c>
      <c r="E685" t="e">
        <f t="shared" ca="1" si="44"/>
        <v>#N/A</v>
      </c>
      <c r="F685" t="e">
        <f t="shared" ca="1" si="45"/>
        <v>#N/A</v>
      </c>
    </row>
    <row r="686" spans="3:6" x14ac:dyDescent="0.25">
      <c r="C686" t="e">
        <f t="shared" ca="1" si="42"/>
        <v>#N/A</v>
      </c>
      <c r="D686" t="e">
        <f t="shared" ca="1" si="43"/>
        <v>#N/A</v>
      </c>
      <c r="E686" t="e">
        <f t="shared" ca="1" si="44"/>
        <v>#N/A</v>
      </c>
      <c r="F686" t="e">
        <f t="shared" ca="1" si="45"/>
        <v>#N/A</v>
      </c>
    </row>
    <row r="687" spans="3:6" x14ac:dyDescent="0.25">
      <c r="C687" t="e">
        <f t="shared" ca="1" si="42"/>
        <v>#N/A</v>
      </c>
      <c r="D687" t="e">
        <f t="shared" ca="1" si="43"/>
        <v>#N/A</v>
      </c>
      <c r="E687" t="e">
        <f t="shared" ca="1" si="44"/>
        <v>#N/A</v>
      </c>
      <c r="F687" t="e">
        <f t="shared" ca="1" si="45"/>
        <v>#N/A</v>
      </c>
    </row>
    <row r="688" spans="3:6" x14ac:dyDescent="0.25">
      <c r="C688" t="e">
        <f t="shared" ca="1" si="42"/>
        <v>#N/A</v>
      </c>
      <c r="D688" t="e">
        <f t="shared" ca="1" si="43"/>
        <v>#N/A</v>
      </c>
      <c r="E688" t="e">
        <f t="shared" ca="1" si="44"/>
        <v>#N/A</v>
      </c>
      <c r="F688" t="e">
        <f t="shared" ca="1" si="45"/>
        <v>#N/A</v>
      </c>
    </row>
    <row r="689" spans="3:6" x14ac:dyDescent="0.25">
      <c r="C689" t="e">
        <f t="shared" ca="1" si="42"/>
        <v>#N/A</v>
      </c>
      <c r="D689" t="e">
        <f t="shared" ca="1" si="43"/>
        <v>#N/A</v>
      </c>
      <c r="E689" t="e">
        <f t="shared" ca="1" si="44"/>
        <v>#N/A</v>
      </c>
      <c r="F689" t="e">
        <f t="shared" ca="1" si="45"/>
        <v>#N/A</v>
      </c>
    </row>
    <row r="690" spans="3:6" x14ac:dyDescent="0.25">
      <c r="C690" t="e">
        <f t="shared" ca="1" si="42"/>
        <v>#N/A</v>
      </c>
      <c r="D690" t="e">
        <f t="shared" ca="1" si="43"/>
        <v>#N/A</v>
      </c>
      <c r="E690" t="e">
        <f t="shared" ca="1" si="44"/>
        <v>#N/A</v>
      </c>
      <c r="F690" t="e">
        <f t="shared" ca="1" si="45"/>
        <v>#N/A</v>
      </c>
    </row>
    <row r="691" spans="3:6" x14ac:dyDescent="0.25">
      <c r="C691" t="e">
        <f t="shared" ca="1" si="42"/>
        <v>#N/A</v>
      </c>
      <c r="D691" t="e">
        <f t="shared" ca="1" si="43"/>
        <v>#N/A</v>
      </c>
      <c r="E691" t="e">
        <f t="shared" ca="1" si="44"/>
        <v>#N/A</v>
      </c>
      <c r="F691" t="e">
        <f t="shared" ca="1" si="45"/>
        <v>#N/A</v>
      </c>
    </row>
    <row r="692" spans="3:6" x14ac:dyDescent="0.25">
      <c r="C692" t="e">
        <f t="shared" ca="1" si="42"/>
        <v>#N/A</v>
      </c>
      <c r="D692" t="e">
        <f t="shared" ca="1" si="43"/>
        <v>#N/A</v>
      </c>
      <c r="E692" t="e">
        <f t="shared" ca="1" si="44"/>
        <v>#N/A</v>
      </c>
      <c r="F692" t="e">
        <f t="shared" ca="1" si="45"/>
        <v>#N/A</v>
      </c>
    </row>
    <row r="693" spans="3:6" x14ac:dyDescent="0.25">
      <c r="C693" t="e">
        <f t="shared" ca="1" si="42"/>
        <v>#N/A</v>
      </c>
      <c r="D693" t="e">
        <f t="shared" ca="1" si="43"/>
        <v>#N/A</v>
      </c>
      <c r="E693" t="e">
        <f t="shared" ca="1" si="44"/>
        <v>#N/A</v>
      </c>
      <c r="F693" t="e">
        <f t="shared" ca="1" si="45"/>
        <v>#N/A</v>
      </c>
    </row>
    <row r="694" spans="3:6" x14ac:dyDescent="0.25">
      <c r="C694" t="e">
        <f t="shared" ca="1" si="42"/>
        <v>#N/A</v>
      </c>
      <c r="D694" t="e">
        <f t="shared" ca="1" si="43"/>
        <v>#N/A</v>
      </c>
      <c r="E694" t="e">
        <f t="shared" ca="1" si="44"/>
        <v>#N/A</v>
      </c>
      <c r="F694" t="e">
        <f t="shared" ca="1" si="45"/>
        <v>#N/A</v>
      </c>
    </row>
    <row r="695" spans="3:6" x14ac:dyDescent="0.25">
      <c r="C695" t="e">
        <f t="shared" ca="1" si="42"/>
        <v>#N/A</v>
      </c>
      <c r="D695" t="e">
        <f t="shared" ca="1" si="43"/>
        <v>#N/A</v>
      </c>
      <c r="E695" t="e">
        <f t="shared" ca="1" si="44"/>
        <v>#N/A</v>
      </c>
      <c r="F695" t="e">
        <f t="shared" ca="1" si="45"/>
        <v>#N/A</v>
      </c>
    </row>
    <row r="696" spans="3:6" x14ac:dyDescent="0.25">
      <c r="C696" t="e">
        <f t="shared" ca="1" si="42"/>
        <v>#N/A</v>
      </c>
      <c r="D696" t="e">
        <f t="shared" ca="1" si="43"/>
        <v>#N/A</v>
      </c>
      <c r="E696" t="e">
        <f t="shared" ca="1" si="44"/>
        <v>#N/A</v>
      </c>
      <c r="F696" t="e">
        <f t="shared" ca="1" si="45"/>
        <v>#N/A</v>
      </c>
    </row>
    <row r="697" spans="3:6" x14ac:dyDescent="0.25">
      <c r="C697" t="e">
        <f t="shared" ca="1" si="42"/>
        <v>#N/A</v>
      </c>
      <c r="D697" t="e">
        <f t="shared" ca="1" si="43"/>
        <v>#N/A</v>
      </c>
      <c r="E697" t="e">
        <f t="shared" ca="1" si="44"/>
        <v>#N/A</v>
      </c>
      <c r="F697" t="e">
        <f t="shared" ca="1" si="45"/>
        <v>#N/A</v>
      </c>
    </row>
    <row r="698" spans="3:6" x14ac:dyDescent="0.25">
      <c r="C698" t="e">
        <f t="shared" ca="1" si="42"/>
        <v>#N/A</v>
      </c>
      <c r="D698" t="e">
        <f t="shared" ca="1" si="43"/>
        <v>#N/A</v>
      </c>
      <c r="E698" t="e">
        <f t="shared" ca="1" si="44"/>
        <v>#N/A</v>
      </c>
      <c r="F698" t="e">
        <f t="shared" ca="1" si="45"/>
        <v>#N/A</v>
      </c>
    </row>
    <row r="699" spans="3:6" x14ac:dyDescent="0.25">
      <c r="C699" t="e">
        <f t="shared" ca="1" si="42"/>
        <v>#N/A</v>
      </c>
      <c r="D699" t="e">
        <f t="shared" ca="1" si="43"/>
        <v>#N/A</v>
      </c>
      <c r="E699" t="e">
        <f t="shared" ca="1" si="44"/>
        <v>#N/A</v>
      </c>
      <c r="F699" t="e">
        <f t="shared" ca="1" si="45"/>
        <v>#N/A</v>
      </c>
    </row>
    <row r="700" spans="3:6" x14ac:dyDescent="0.25">
      <c r="C700" t="e">
        <f t="shared" ca="1" si="42"/>
        <v>#N/A</v>
      </c>
      <c r="D700" t="e">
        <f t="shared" ca="1" si="43"/>
        <v>#N/A</v>
      </c>
      <c r="E700" t="e">
        <f t="shared" ca="1" si="44"/>
        <v>#N/A</v>
      </c>
      <c r="F700" t="e">
        <f t="shared" ca="1" si="45"/>
        <v>#N/A</v>
      </c>
    </row>
    <row r="701" spans="3:6" x14ac:dyDescent="0.25">
      <c r="C701" t="e">
        <f t="shared" ca="1" si="42"/>
        <v>#N/A</v>
      </c>
      <c r="D701" t="e">
        <f t="shared" ca="1" si="43"/>
        <v>#N/A</v>
      </c>
      <c r="E701" t="e">
        <f t="shared" ca="1" si="44"/>
        <v>#N/A</v>
      </c>
      <c r="F701" t="e">
        <f t="shared" ca="1" si="45"/>
        <v>#N/A</v>
      </c>
    </row>
    <row r="702" spans="3:6" x14ac:dyDescent="0.25">
      <c r="C702" t="e">
        <f t="shared" ca="1" si="42"/>
        <v>#N/A</v>
      </c>
      <c r="D702" t="e">
        <f t="shared" ca="1" si="43"/>
        <v>#N/A</v>
      </c>
      <c r="E702" t="e">
        <f t="shared" ca="1" si="44"/>
        <v>#N/A</v>
      </c>
      <c r="F702" t="e">
        <f t="shared" ca="1" si="45"/>
        <v>#N/A</v>
      </c>
    </row>
    <row r="703" spans="3:6" x14ac:dyDescent="0.25">
      <c r="C703" t="e">
        <f t="shared" ca="1" si="42"/>
        <v>#N/A</v>
      </c>
      <c r="D703" t="e">
        <f t="shared" ca="1" si="43"/>
        <v>#N/A</v>
      </c>
      <c r="E703" t="e">
        <f t="shared" ca="1" si="44"/>
        <v>#N/A</v>
      </c>
      <c r="F703" t="e">
        <f t="shared" ca="1" si="45"/>
        <v>#N/A</v>
      </c>
    </row>
    <row r="704" spans="3:6" x14ac:dyDescent="0.25">
      <c r="C704" t="e">
        <f t="shared" ca="1" si="42"/>
        <v>#N/A</v>
      </c>
      <c r="D704" t="e">
        <f t="shared" ca="1" si="43"/>
        <v>#N/A</v>
      </c>
      <c r="E704" t="e">
        <f t="shared" ca="1" si="44"/>
        <v>#N/A</v>
      </c>
      <c r="F704" t="e">
        <f t="shared" ca="1" si="45"/>
        <v>#N/A</v>
      </c>
    </row>
    <row r="705" spans="3:6" x14ac:dyDescent="0.25">
      <c r="C705" t="e">
        <f t="shared" ca="1" si="42"/>
        <v>#N/A</v>
      </c>
      <c r="D705" t="e">
        <f t="shared" ca="1" si="43"/>
        <v>#N/A</v>
      </c>
      <c r="E705" t="e">
        <f t="shared" ca="1" si="44"/>
        <v>#N/A</v>
      </c>
      <c r="F705" t="e">
        <f t="shared" ca="1" si="45"/>
        <v>#N/A</v>
      </c>
    </row>
    <row r="706" spans="3:6" x14ac:dyDescent="0.25">
      <c r="C706" t="e">
        <f t="shared" ca="1" si="42"/>
        <v>#N/A</v>
      </c>
      <c r="D706" t="e">
        <f t="shared" ca="1" si="43"/>
        <v>#N/A</v>
      </c>
      <c r="E706" t="e">
        <f t="shared" ca="1" si="44"/>
        <v>#N/A</v>
      </c>
      <c r="F706" t="e">
        <f t="shared" ca="1" si="45"/>
        <v>#N/A</v>
      </c>
    </row>
    <row r="707" spans="3:6" x14ac:dyDescent="0.25">
      <c r="C707" t="e">
        <f t="shared" ca="1" si="42"/>
        <v>#N/A</v>
      </c>
      <c r="D707" t="e">
        <f t="shared" ca="1" si="43"/>
        <v>#N/A</v>
      </c>
      <c r="E707" t="e">
        <f t="shared" ca="1" si="44"/>
        <v>#N/A</v>
      </c>
      <c r="F707" t="e">
        <f t="shared" ca="1" si="45"/>
        <v>#N/A</v>
      </c>
    </row>
    <row r="708" spans="3:6" x14ac:dyDescent="0.25">
      <c r="C708" t="e">
        <f t="shared" ca="1" si="42"/>
        <v>#N/A</v>
      </c>
      <c r="D708" t="e">
        <f t="shared" ca="1" si="43"/>
        <v>#N/A</v>
      </c>
      <c r="E708" t="e">
        <f t="shared" ca="1" si="44"/>
        <v>#N/A</v>
      </c>
      <c r="F708" t="e">
        <f t="shared" ca="1" si="45"/>
        <v>#N/A</v>
      </c>
    </row>
    <row r="709" spans="3:6" x14ac:dyDescent="0.25">
      <c r="C709" t="e">
        <f t="shared" ca="1" si="42"/>
        <v>#N/A</v>
      </c>
      <c r="D709" t="e">
        <f t="shared" ca="1" si="43"/>
        <v>#N/A</v>
      </c>
      <c r="E709" t="e">
        <f t="shared" ca="1" si="44"/>
        <v>#N/A</v>
      </c>
      <c r="F709" t="e">
        <f t="shared" ca="1" si="45"/>
        <v>#N/A</v>
      </c>
    </row>
    <row r="710" spans="3:6" x14ac:dyDescent="0.25">
      <c r="C710" t="e">
        <f t="shared" ca="1" si="42"/>
        <v>#N/A</v>
      </c>
      <c r="D710" t="e">
        <f t="shared" ca="1" si="43"/>
        <v>#N/A</v>
      </c>
      <c r="E710" t="e">
        <f t="shared" ca="1" si="44"/>
        <v>#N/A</v>
      </c>
      <c r="F710" t="e">
        <f t="shared" ca="1" si="45"/>
        <v>#N/A</v>
      </c>
    </row>
    <row r="711" spans="3:6" x14ac:dyDescent="0.25">
      <c r="C711" t="e">
        <f t="shared" ca="1" si="42"/>
        <v>#N/A</v>
      </c>
      <c r="D711" t="e">
        <f t="shared" ca="1" si="43"/>
        <v>#N/A</v>
      </c>
      <c r="E711" t="e">
        <f t="shared" ca="1" si="44"/>
        <v>#N/A</v>
      </c>
      <c r="F711" t="e">
        <f t="shared" ca="1" si="45"/>
        <v>#N/A</v>
      </c>
    </row>
    <row r="712" spans="3:6" x14ac:dyDescent="0.25">
      <c r="C712" t="e">
        <f t="shared" ca="1" si="42"/>
        <v>#N/A</v>
      </c>
      <c r="D712" t="e">
        <f t="shared" ca="1" si="43"/>
        <v>#N/A</v>
      </c>
      <c r="E712" t="e">
        <f t="shared" ca="1" si="44"/>
        <v>#N/A</v>
      </c>
      <c r="F712" t="e">
        <f t="shared" ca="1" si="45"/>
        <v>#N/A</v>
      </c>
    </row>
    <row r="713" spans="3:6" x14ac:dyDescent="0.25">
      <c r="C713" t="e">
        <f t="shared" ca="1" si="42"/>
        <v>#N/A</v>
      </c>
      <c r="D713" t="e">
        <f t="shared" ca="1" si="43"/>
        <v>#N/A</v>
      </c>
      <c r="E713" t="e">
        <f t="shared" ca="1" si="44"/>
        <v>#N/A</v>
      </c>
      <c r="F713" t="e">
        <f t="shared" ca="1" si="45"/>
        <v>#N/A</v>
      </c>
    </row>
    <row r="714" spans="3:6" x14ac:dyDescent="0.25">
      <c r="C714" t="e">
        <f t="shared" ref="C714:C777" ca="1" si="46">$C$7</f>
        <v>#N/A</v>
      </c>
      <c r="D714" t="e">
        <f t="shared" ref="D714:D777" ca="1" si="47">$D$7</f>
        <v>#N/A</v>
      </c>
      <c r="E714" t="e">
        <f t="shared" ref="E714:E777" ca="1" si="48">IF($B715="",C$8,"")</f>
        <v>#N/A</v>
      </c>
      <c r="F714" t="e">
        <f t="shared" ref="F714:F777" ca="1" si="49">IF($B715="",D$8,"")</f>
        <v>#N/A</v>
      </c>
    </row>
    <row r="715" spans="3:6" x14ac:dyDescent="0.25">
      <c r="C715" t="e">
        <f t="shared" ca="1" si="46"/>
        <v>#N/A</v>
      </c>
      <c r="D715" t="e">
        <f t="shared" ca="1" si="47"/>
        <v>#N/A</v>
      </c>
      <c r="E715" t="e">
        <f t="shared" ca="1" si="48"/>
        <v>#N/A</v>
      </c>
      <c r="F715" t="e">
        <f t="shared" ca="1" si="49"/>
        <v>#N/A</v>
      </c>
    </row>
    <row r="716" spans="3:6" x14ac:dyDescent="0.25">
      <c r="C716" t="e">
        <f t="shared" ca="1" si="46"/>
        <v>#N/A</v>
      </c>
      <c r="D716" t="e">
        <f t="shared" ca="1" si="47"/>
        <v>#N/A</v>
      </c>
      <c r="E716" t="e">
        <f t="shared" ca="1" si="48"/>
        <v>#N/A</v>
      </c>
      <c r="F716" t="e">
        <f t="shared" ca="1" si="49"/>
        <v>#N/A</v>
      </c>
    </row>
    <row r="717" spans="3:6" x14ac:dyDescent="0.25">
      <c r="C717" t="e">
        <f t="shared" ca="1" si="46"/>
        <v>#N/A</v>
      </c>
      <c r="D717" t="e">
        <f t="shared" ca="1" si="47"/>
        <v>#N/A</v>
      </c>
      <c r="E717" t="e">
        <f t="shared" ca="1" si="48"/>
        <v>#N/A</v>
      </c>
      <c r="F717" t="e">
        <f t="shared" ca="1" si="49"/>
        <v>#N/A</v>
      </c>
    </row>
    <row r="718" spans="3:6" x14ac:dyDescent="0.25">
      <c r="C718" t="e">
        <f t="shared" ca="1" si="46"/>
        <v>#N/A</v>
      </c>
      <c r="D718" t="e">
        <f t="shared" ca="1" si="47"/>
        <v>#N/A</v>
      </c>
      <c r="E718" t="e">
        <f t="shared" ca="1" si="48"/>
        <v>#N/A</v>
      </c>
      <c r="F718" t="e">
        <f t="shared" ca="1" si="49"/>
        <v>#N/A</v>
      </c>
    </row>
    <row r="719" spans="3:6" x14ac:dyDescent="0.25">
      <c r="C719" t="e">
        <f t="shared" ca="1" si="46"/>
        <v>#N/A</v>
      </c>
      <c r="D719" t="e">
        <f t="shared" ca="1" si="47"/>
        <v>#N/A</v>
      </c>
      <c r="E719" t="e">
        <f t="shared" ca="1" si="48"/>
        <v>#N/A</v>
      </c>
      <c r="F719" t="e">
        <f t="shared" ca="1" si="49"/>
        <v>#N/A</v>
      </c>
    </row>
    <row r="720" spans="3:6" x14ac:dyDescent="0.25">
      <c r="C720" t="e">
        <f t="shared" ca="1" si="46"/>
        <v>#N/A</v>
      </c>
      <c r="D720" t="e">
        <f t="shared" ca="1" si="47"/>
        <v>#N/A</v>
      </c>
      <c r="E720" t="e">
        <f t="shared" ca="1" si="48"/>
        <v>#N/A</v>
      </c>
      <c r="F720" t="e">
        <f t="shared" ca="1" si="49"/>
        <v>#N/A</v>
      </c>
    </row>
    <row r="721" spans="3:6" x14ac:dyDescent="0.25">
      <c r="C721" t="e">
        <f t="shared" ca="1" si="46"/>
        <v>#N/A</v>
      </c>
      <c r="D721" t="e">
        <f t="shared" ca="1" si="47"/>
        <v>#N/A</v>
      </c>
      <c r="E721" t="e">
        <f t="shared" ca="1" si="48"/>
        <v>#N/A</v>
      </c>
      <c r="F721" t="e">
        <f t="shared" ca="1" si="49"/>
        <v>#N/A</v>
      </c>
    </row>
    <row r="722" spans="3:6" x14ac:dyDescent="0.25">
      <c r="C722" t="e">
        <f t="shared" ca="1" si="46"/>
        <v>#N/A</v>
      </c>
      <c r="D722" t="e">
        <f t="shared" ca="1" si="47"/>
        <v>#N/A</v>
      </c>
      <c r="E722" t="e">
        <f t="shared" ca="1" si="48"/>
        <v>#N/A</v>
      </c>
      <c r="F722" t="e">
        <f t="shared" ca="1" si="49"/>
        <v>#N/A</v>
      </c>
    </row>
    <row r="723" spans="3:6" x14ac:dyDescent="0.25">
      <c r="C723" t="e">
        <f t="shared" ca="1" si="46"/>
        <v>#N/A</v>
      </c>
      <c r="D723" t="e">
        <f t="shared" ca="1" si="47"/>
        <v>#N/A</v>
      </c>
      <c r="E723" t="e">
        <f t="shared" ca="1" si="48"/>
        <v>#N/A</v>
      </c>
      <c r="F723" t="e">
        <f t="shared" ca="1" si="49"/>
        <v>#N/A</v>
      </c>
    </row>
    <row r="724" spans="3:6" x14ac:dyDescent="0.25">
      <c r="C724" t="e">
        <f t="shared" ca="1" si="46"/>
        <v>#N/A</v>
      </c>
      <c r="D724" t="e">
        <f t="shared" ca="1" si="47"/>
        <v>#N/A</v>
      </c>
      <c r="E724" t="e">
        <f t="shared" ca="1" si="48"/>
        <v>#N/A</v>
      </c>
      <c r="F724" t="e">
        <f t="shared" ca="1" si="49"/>
        <v>#N/A</v>
      </c>
    </row>
    <row r="725" spans="3:6" x14ac:dyDescent="0.25">
      <c r="C725" t="e">
        <f t="shared" ca="1" si="46"/>
        <v>#N/A</v>
      </c>
      <c r="D725" t="e">
        <f t="shared" ca="1" si="47"/>
        <v>#N/A</v>
      </c>
      <c r="E725" t="e">
        <f t="shared" ca="1" si="48"/>
        <v>#N/A</v>
      </c>
      <c r="F725" t="e">
        <f t="shared" ca="1" si="49"/>
        <v>#N/A</v>
      </c>
    </row>
    <row r="726" spans="3:6" x14ac:dyDescent="0.25">
      <c r="C726" t="e">
        <f t="shared" ca="1" si="46"/>
        <v>#N/A</v>
      </c>
      <c r="D726" t="e">
        <f t="shared" ca="1" si="47"/>
        <v>#N/A</v>
      </c>
      <c r="E726" t="e">
        <f t="shared" ca="1" si="48"/>
        <v>#N/A</v>
      </c>
      <c r="F726" t="e">
        <f t="shared" ca="1" si="49"/>
        <v>#N/A</v>
      </c>
    </row>
    <row r="727" spans="3:6" x14ac:dyDescent="0.25">
      <c r="C727" t="e">
        <f t="shared" ca="1" si="46"/>
        <v>#N/A</v>
      </c>
      <c r="D727" t="e">
        <f t="shared" ca="1" si="47"/>
        <v>#N/A</v>
      </c>
      <c r="E727" t="e">
        <f t="shared" ca="1" si="48"/>
        <v>#N/A</v>
      </c>
      <c r="F727" t="e">
        <f t="shared" ca="1" si="49"/>
        <v>#N/A</v>
      </c>
    </row>
    <row r="728" spans="3:6" x14ac:dyDescent="0.25">
      <c r="C728" t="e">
        <f t="shared" ca="1" si="46"/>
        <v>#N/A</v>
      </c>
      <c r="D728" t="e">
        <f t="shared" ca="1" si="47"/>
        <v>#N/A</v>
      </c>
      <c r="E728" t="e">
        <f t="shared" ca="1" si="48"/>
        <v>#N/A</v>
      </c>
      <c r="F728" t="e">
        <f t="shared" ca="1" si="49"/>
        <v>#N/A</v>
      </c>
    </row>
    <row r="729" spans="3:6" x14ac:dyDescent="0.25">
      <c r="C729" t="e">
        <f t="shared" ca="1" si="46"/>
        <v>#N/A</v>
      </c>
      <c r="D729" t="e">
        <f t="shared" ca="1" si="47"/>
        <v>#N/A</v>
      </c>
      <c r="E729" t="e">
        <f t="shared" ca="1" si="48"/>
        <v>#N/A</v>
      </c>
      <c r="F729" t="e">
        <f t="shared" ca="1" si="49"/>
        <v>#N/A</v>
      </c>
    </row>
    <row r="730" spans="3:6" x14ac:dyDescent="0.25">
      <c r="C730" t="e">
        <f t="shared" ca="1" si="46"/>
        <v>#N/A</v>
      </c>
      <c r="D730" t="e">
        <f t="shared" ca="1" si="47"/>
        <v>#N/A</v>
      </c>
      <c r="E730" t="e">
        <f t="shared" ca="1" si="48"/>
        <v>#N/A</v>
      </c>
      <c r="F730" t="e">
        <f t="shared" ca="1" si="49"/>
        <v>#N/A</v>
      </c>
    </row>
    <row r="731" spans="3:6" x14ac:dyDescent="0.25">
      <c r="C731" t="e">
        <f t="shared" ca="1" si="46"/>
        <v>#N/A</v>
      </c>
      <c r="D731" t="e">
        <f t="shared" ca="1" si="47"/>
        <v>#N/A</v>
      </c>
      <c r="E731" t="e">
        <f t="shared" ca="1" si="48"/>
        <v>#N/A</v>
      </c>
      <c r="F731" t="e">
        <f t="shared" ca="1" si="49"/>
        <v>#N/A</v>
      </c>
    </row>
    <row r="732" spans="3:6" x14ac:dyDescent="0.25">
      <c r="C732" t="e">
        <f t="shared" ca="1" si="46"/>
        <v>#N/A</v>
      </c>
      <c r="D732" t="e">
        <f t="shared" ca="1" si="47"/>
        <v>#N/A</v>
      </c>
      <c r="E732" t="e">
        <f t="shared" ca="1" si="48"/>
        <v>#N/A</v>
      </c>
      <c r="F732" t="e">
        <f t="shared" ca="1" si="49"/>
        <v>#N/A</v>
      </c>
    </row>
    <row r="733" spans="3:6" x14ac:dyDescent="0.25">
      <c r="C733" t="e">
        <f t="shared" ca="1" si="46"/>
        <v>#N/A</v>
      </c>
      <c r="D733" t="e">
        <f t="shared" ca="1" si="47"/>
        <v>#N/A</v>
      </c>
      <c r="E733" t="e">
        <f t="shared" ca="1" si="48"/>
        <v>#N/A</v>
      </c>
      <c r="F733" t="e">
        <f t="shared" ca="1" si="49"/>
        <v>#N/A</v>
      </c>
    </row>
    <row r="734" spans="3:6" x14ac:dyDescent="0.25">
      <c r="C734" t="e">
        <f t="shared" ca="1" si="46"/>
        <v>#N/A</v>
      </c>
      <c r="D734" t="e">
        <f t="shared" ca="1" si="47"/>
        <v>#N/A</v>
      </c>
      <c r="E734" t="e">
        <f t="shared" ca="1" si="48"/>
        <v>#N/A</v>
      </c>
      <c r="F734" t="e">
        <f t="shared" ca="1" si="49"/>
        <v>#N/A</v>
      </c>
    </row>
    <row r="735" spans="3:6" x14ac:dyDescent="0.25">
      <c r="C735" t="e">
        <f t="shared" ca="1" si="46"/>
        <v>#N/A</v>
      </c>
      <c r="D735" t="e">
        <f t="shared" ca="1" si="47"/>
        <v>#N/A</v>
      </c>
      <c r="E735" t="e">
        <f t="shared" ca="1" si="48"/>
        <v>#N/A</v>
      </c>
      <c r="F735" t="e">
        <f t="shared" ca="1" si="49"/>
        <v>#N/A</v>
      </c>
    </row>
    <row r="736" spans="3:6" x14ac:dyDescent="0.25">
      <c r="C736" t="e">
        <f t="shared" ca="1" si="46"/>
        <v>#N/A</v>
      </c>
      <c r="D736" t="e">
        <f t="shared" ca="1" si="47"/>
        <v>#N/A</v>
      </c>
      <c r="E736" t="e">
        <f t="shared" ca="1" si="48"/>
        <v>#N/A</v>
      </c>
      <c r="F736" t="e">
        <f t="shared" ca="1" si="49"/>
        <v>#N/A</v>
      </c>
    </row>
    <row r="737" spans="3:6" x14ac:dyDescent="0.25">
      <c r="C737" t="e">
        <f t="shared" ca="1" si="46"/>
        <v>#N/A</v>
      </c>
      <c r="D737" t="e">
        <f t="shared" ca="1" si="47"/>
        <v>#N/A</v>
      </c>
      <c r="E737" t="e">
        <f t="shared" ca="1" si="48"/>
        <v>#N/A</v>
      </c>
      <c r="F737" t="e">
        <f t="shared" ca="1" si="49"/>
        <v>#N/A</v>
      </c>
    </row>
    <row r="738" spans="3:6" x14ac:dyDescent="0.25">
      <c r="C738" t="e">
        <f t="shared" ca="1" si="46"/>
        <v>#N/A</v>
      </c>
      <c r="D738" t="e">
        <f t="shared" ca="1" si="47"/>
        <v>#N/A</v>
      </c>
      <c r="E738" t="e">
        <f t="shared" ca="1" si="48"/>
        <v>#N/A</v>
      </c>
      <c r="F738" t="e">
        <f t="shared" ca="1" si="49"/>
        <v>#N/A</v>
      </c>
    </row>
    <row r="739" spans="3:6" x14ac:dyDescent="0.25">
      <c r="C739" t="e">
        <f t="shared" ca="1" si="46"/>
        <v>#N/A</v>
      </c>
      <c r="D739" t="e">
        <f t="shared" ca="1" si="47"/>
        <v>#N/A</v>
      </c>
      <c r="E739" t="e">
        <f t="shared" ca="1" si="48"/>
        <v>#N/A</v>
      </c>
      <c r="F739" t="e">
        <f t="shared" ca="1" si="49"/>
        <v>#N/A</v>
      </c>
    </row>
    <row r="740" spans="3:6" x14ac:dyDescent="0.25">
      <c r="C740" t="e">
        <f t="shared" ca="1" si="46"/>
        <v>#N/A</v>
      </c>
      <c r="D740" t="e">
        <f t="shared" ca="1" si="47"/>
        <v>#N/A</v>
      </c>
      <c r="E740" t="e">
        <f t="shared" ca="1" si="48"/>
        <v>#N/A</v>
      </c>
      <c r="F740" t="e">
        <f t="shared" ca="1" si="49"/>
        <v>#N/A</v>
      </c>
    </row>
    <row r="741" spans="3:6" x14ac:dyDescent="0.25">
      <c r="C741" t="e">
        <f t="shared" ca="1" si="46"/>
        <v>#N/A</v>
      </c>
      <c r="D741" t="e">
        <f t="shared" ca="1" si="47"/>
        <v>#N/A</v>
      </c>
      <c r="E741" t="e">
        <f t="shared" ca="1" si="48"/>
        <v>#N/A</v>
      </c>
      <c r="F741" t="e">
        <f t="shared" ca="1" si="49"/>
        <v>#N/A</v>
      </c>
    </row>
    <row r="742" spans="3:6" x14ac:dyDescent="0.25">
      <c r="C742" t="e">
        <f t="shared" ca="1" si="46"/>
        <v>#N/A</v>
      </c>
      <c r="D742" t="e">
        <f t="shared" ca="1" si="47"/>
        <v>#N/A</v>
      </c>
      <c r="E742" t="e">
        <f t="shared" ca="1" si="48"/>
        <v>#N/A</v>
      </c>
      <c r="F742" t="e">
        <f t="shared" ca="1" si="49"/>
        <v>#N/A</v>
      </c>
    </row>
    <row r="743" spans="3:6" x14ac:dyDescent="0.25">
      <c r="C743" t="e">
        <f t="shared" ca="1" si="46"/>
        <v>#N/A</v>
      </c>
      <c r="D743" t="e">
        <f t="shared" ca="1" si="47"/>
        <v>#N/A</v>
      </c>
      <c r="E743" t="e">
        <f t="shared" ca="1" si="48"/>
        <v>#N/A</v>
      </c>
      <c r="F743" t="e">
        <f t="shared" ca="1" si="49"/>
        <v>#N/A</v>
      </c>
    </row>
    <row r="744" spans="3:6" x14ac:dyDescent="0.25">
      <c r="C744" t="e">
        <f t="shared" ca="1" si="46"/>
        <v>#N/A</v>
      </c>
      <c r="D744" t="e">
        <f t="shared" ca="1" si="47"/>
        <v>#N/A</v>
      </c>
      <c r="E744" t="e">
        <f t="shared" ca="1" si="48"/>
        <v>#N/A</v>
      </c>
      <c r="F744" t="e">
        <f t="shared" ca="1" si="49"/>
        <v>#N/A</v>
      </c>
    </row>
    <row r="745" spans="3:6" x14ac:dyDescent="0.25">
      <c r="C745" t="e">
        <f t="shared" ca="1" si="46"/>
        <v>#N/A</v>
      </c>
      <c r="D745" t="e">
        <f t="shared" ca="1" si="47"/>
        <v>#N/A</v>
      </c>
      <c r="E745" t="e">
        <f t="shared" ca="1" si="48"/>
        <v>#N/A</v>
      </c>
      <c r="F745" t="e">
        <f t="shared" ca="1" si="49"/>
        <v>#N/A</v>
      </c>
    </row>
    <row r="746" spans="3:6" x14ac:dyDescent="0.25">
      <c r="C746" t="e">
        <f t="shared" ca="1" si="46"/>
        <v>#N/A</v>
      </c>
      <c r="D746" t="e">
        <f t="shared" ca="1" si="47"/>
        <v>#N/A</v>
      </c>
      <c r="E746" t="e">
        <f t="shared" ca="1" si="48"/>
        <v>#N/A</v>
      </c>
      <c r="F746" t="e">
        <f t="shared" ca="1" si="49"/>
        <v>#N/A</v>
      </c>
    </row>
    <row r="747" spans="3:6" x14ac:dyDescent="0.25">
      <c r="C747" t="e">
        <f t="shared" ca="1" si="46"/>
        <v>#N/A</v>
      </c>
      <c r="D747" t="e">
        <f t="shared" ca="1" si="47"/>
        <v>#N/A</v>
      </c>
      <c r="E747" t="e">
        <f t="shared" ca="1" si="48"/>
        <v>#N/A</v>
      </c>
      <c r="F747" t="e">
        <f t="shared" ca="1" si="49"/>
        <v>#N/A</v>
      </c>
    </row>
    <row r="748" spans="3:6" x14ac:dyDescent="0.25">
      <c r="C748" t="e">
        <f t="shared" ca="1" si="46"/>
        <v>#N/A</v>
      </c>
      <c r="D748" t="e">
        <f t="shared" ca="1" si="47"/>
        <v>#N/A</v>
      </c>
      <c r="E748" t="e">
        <f t="shared" ca="1" si="48"/>
        <v>#N/A</v>
      </c>
      <c r="F748" t="e">
        <f t="shared" ca="1" si="49"/>
        <v>#N/A</v>
      </c>
    </row>
    <row r="749" spans="3:6" x14ac:dyDescent="0.25">
      <c r="C749" t="e">
        <f t="shared" ca="1" si="46"/>
        <v>#N/A</v>
      </c>
      <c r="D749" t="e">
        <f t="shared" ca="1" si="47"/>
        <v>#N/A</v>
      </c>
      <c r="E749" t="e">
        <f t="shared" ca="1" si="48"/>
        <v>#N/A</v>
      </c>
      <c r="F749" t="e">
        <f t="shared" ca="1" si="49"/>
        <v>#N/A</v>
      </c>
    </row>
    <row r="750" spans="3:6" x14ac:dyDescent="0.25">
      <c r="C750" t="e">
        <f t="shared" ca="1" si="46"/>
        <v>#N/A</v>
      </c>
      <c r="D750" t="e">
        <f t="shared" ca="1" si="47"/>
        <v>#N/A</v>
      </c>
      <c r="E750" t="e">
        <f t="shared" ca="1" si="48"/>
        <v>#N/A</v>
      </c>
      <c r="F750" t="e">
        <f t="shared" ca="1" si="49"/>
        <v>#N/A</v>
      </c>
    </row>
    <row r="751" spans="3:6" x14ac:dyDescent="0.25">
      <c r="C751" t="e">
        <f t="shared" ca="1" si="46"/>
        <v>#N/A</v>
      </c>
      <c r="D751" t="e">
        <f t="shared" ca="1" si="47"/>
        <v>#N/A</v>
      </c>
      <c r="E751" t="e">
        <f t="shared" ca="1" si="48"/>
        <v>#N/A</v>
      </c>
      <c r="F751" t="e">
        <f t="shared" ca="1" si="49"/>
        <v>#N/A</v>
      </c>
    </row>
    <row r="752" spans="3:6" x14ac:dyDescent="0.25">
      <c r="C752" t="e">
        <f t="shared" ca="1" si="46"/>
        <v>#N/A</v>
      </c>
      <c r="D752" t="e">
        <f t="shared" ca="1" si="47"/>
        <v>#N/A</v>
      </c>
      <c r="E752" t="e">
        <f t="shared" ca="1" si="48"/>
        <v>#N/A</v>
      </c>
      <c r="F752" t="e">
        <f t="shared" ca="1" si="49"/>
        <v>#N/A</v>
      </c>
    </row>
    <row r="753" spans="3:6" x14ac:dyDescent="0.25">
      <c r="C753" t="e">
        <f t="shared" ca="1" si="46"/>
        <v>#N/A</v>
      </c>
      <c r="D753" t="e">
        <f t="shared" ca="1" si="47"/>
        <v>#N/A</v>
      </c>
      <c r="E753" t="e">
        <f t="shared" ca="1" si="48"/>
        <v>#N/A</v>
      </c>
      <c r="F753" t="e">
        <f t="shared" ca="1" si="49"/>
        <v>#N/A</v>
      </c>
    </row>
    <row r="754" spans="3:6" x14ac:dyDescent="0.25">
      <c r="C754" t="e">
        <f t="shared" ca="1" si="46"/>
        <v>#N/A</v>
      </c>
      <c r="D754" t="e">
        <f t="shared" ca="1" si="47"/>
        <v>#N/A</v>
      </c>
      <c r="E754" t="e">
        <f t="shared" ca="1" si="48"/>
        <v>#N/A</v>
      </c>
      <c r="F754" t="e">
        <f t="shared" ca="1" si="49"/>
        <v>#N/A</v>
      </c>
    </row>
    <row r="755" spans="3:6" x14ac:dyDescent="0.25">
      <c r="C755" t="e">
        <f t="shared" ca="1" si="46"/>
        <v>#N/A</v>
      </c>
      <c r="D755" t="e">
        <f t="shared" ca="1" si="47"/>
        <v>#N/A</v>
      </c>
      <c r="E755" t="e">
        <f t="shared" ca="1" si="48"/>
        <v>#N/A</v>
      </c>
      <c r="F755" t="e">
        <f t="shared" ca="1" si="49"/>
        <v>#N/A</v>
      </c>
    </row>
    <row r="756" spans="3:6" x14ac:dyDescent="0.25">
      <c r="C756" t="e">
        <f t="shared" ca="1" si="46"/>
        <v>#N/A</v>
      </c>
      <c r="D756" t="e">
        <f t="shared" ca="1" si="47"/>
        <v>#N/A</v>
      </c>
      <c r="E756" t="e">
        <f t="shared" ca="1" si="48"/>
        <v>#N/A</v>
      </c>
      <c r="F756" t="e">
        <f t="shared" ca="1" si="49"/>
        <v>#N/A</v>
      </c>
    </row>
    <row r="757" spans="3:6" x14ac:dyDescent="0.25">
      <c r="C757" t="e">
        <f t="shared" ca="1" si="46"/>
        <v>#N/A</v>
      </c>
      <c r="D757" t="e">
        <f t="shared" ca="1" si="47"/>
        <v>#N/A</v>
      </c>
      <c r="E757" t="e">
        <f t="shared" ca="1" si="48"/>
        <v>#N/A</v>
      </c>
      <c r="F757" t="e">
        <f t="shared" ca="1" si="49"/>
        <v>#N/A</v>
      </c>
    </row>
    <row r="758" spans="3:6" x14ac:dyDescent="0.25">
      <c r="C758" t="e">
        <f t="shared" ca="1" si="46"/>
        <v>#N/A</v>
      </c>
      <c r="D758" t="e">
        <f t="shared" ca="1" si="47"/>
        <v>#N/A</v>
      </c>
      <c r="E758" t="e">
        <f t="shared" ca="1" si="48"/>
        <v>#N/A</v>
      </c>
      <c r="F758" t="e">
        <f t="shared" ca="1" si="49"/>
        <v>#N/A</v>
      </c>
    </row>
    <row r="759" spans="3:6" x14ac:dyDescent="0.25">
      <c r="C759" t="e">
        <f t="shared" ca="1" si="46"/>
        <v>#N/A</v>
      </c>
      <c r="D759" t="e">
        <f t="shared" ca="1" si="47"/>
        <v>#N/A</v>
      </c>
      <c r="E759" t="e">
        <f t="shared" ca="1" si="48"/>
        <v>#N/A</v>
      </c>
      <c r="F759" t="e">
        <f t="shared" ca="1" si="49"/>
        <v>#N/A</v>
      </c>
    </row>
    <row r="760" spans="3:6" x14ac:dyDescent="0.25">
      <c r="C760" t="e">
        <f t="shared" ca="1" si="46"/>
        <v>#N/A</v>
      </c>
      <c r="D760" t="e">
        <f t="shared" ca="1" si="47"/>
        <v>#N/A</v>
      </c>
      <c r="E760" t="e">
        <f t="shared" ca="1" si="48"/>
        <v>#N/A</v>
      </c>
      <c r="F760" t="e">
        <f t="shared" ca="1" si="49"/>
        <v>#N/A</v>
      </c>
    </row>
    <row r="761" spans="3:6" x14ac:dyDescent="0.25">
      <c r="C761" t="e">
        <f t="shared" ca="1" si="46"/>
        <v>#N/A</v>
      </c>
      <c r="D761" t="e">
        <f t="shared" ca="1" si="47"/>
        <v>#N/A</v>
      </c>
      <c r="E761" t="e">
        <f t="shared" ca="1" si="48"/>
        <v>#N/A</v>
      </c>
      <c r="F761" t="e">
        <f t="shared" ca="1" si="49"/>
        <v>#N/A</v>
      </c>
    </row>
    <row r="762" spans="3:6" x14ac:dyDescent="0.25">
      <c r="C762" t="e">
        <f t="shared" ca="1" si="46"/>
        <v>#N/A</v>
      </c>
      <c r="D762" t="e">
        <f t="shared" ca="1" si="47"/>
        <v>#N/A</v>
      </c>
      <c r="E762" t="e">
        <f t="shared" ca="1" si="48"/>
        <v>#N/A</v>
      </c>
      <c r="F762" t="e">
        <f t="shared" ca="1" si="49"/>
        <v>#N/A</v>
      </c>
    </row>
    <row r="763" spans="3:6" x14ac:dyDescent="0.25">
      <c r="C763" t="e">
        <f t="shared" ca="1" si="46"/>
        <v>#N/A</v>
      </c>
      <c r="D763" t="e">
        <f t="shared" ca="1" si="47"/>
        <v>#N/A</v>
      </c>
      <c r="E763" t="e">
        <f t="shared" ca="1" si="48"/>
        <v>#N/A</v>
      </c>
      <c r="F763" t="e">
        <f t="shared" ca="1" si="49"/>
        <v>#N/A</v>
      </c>
    </row>
    <row r="764" spans="3:6" x14ac:dyDescent="0.25">
      <c r="C764" t="e">
        <f t="shared" ca="1" si="46"/>
        <v>#N/A</v>
      </c>
      <c r="D764" t="e">
        <f t="shared" ca="1" si="47"/>
        <v>#N/A</v>
      </c>
      <c r="E764" t="e">
        <f t="shared" ca="1" si="48"/>
        <v>#N/A</v>
      </c>
      <c r="F764" t="e">
        <f t="shared" ca="1" si="49"/>
        <v>#N/A</v>
      </c>
    </row>
    <row r="765" spans="3:6" x14ac:dyDescent="0.25">
      <c r="C765" t="e">
        <f t="shared" ca="1" si="46"/>
        <v>#N/A</v>
      </c>
      <c r="D765" t="e">
        <f t="shared" ca="1" si="47"/>
        <v>#N/A</v>
      </c>
      <c r="E765" t="e">
        <f t="shared" ca="1" si="48"/>
        <v>#N/A</v>
      </c>
      <c r="F765" t="e">
        <f t="shared" ca="1" si="49"/>
        <v>#N/A</v>
      </c>
    </row>
    <row r="766" spans="3:6" x14ac:dyDescent="0.25">
      <c r="C766" t="e">
        <f t="shared" ca="1" si="46"/>
        <v>#N/A</v>
      </c>
      <c r="D766" t="e">
        <f t="shared" ca="1" si="47"/>
        <v>#N/A</v>
      </c>
      <c r="E766" t="e">
        <f t="shared" ca="1" si="48"/>
        <v>#N/A</v>
      </c>
      <c r="F766" t="e">
        <f t="shared" ca="1" si="49"/>
        <v>#N/A</v>
      </c>
    </row>
    <row r="767" spans="3:6" x14ac:dyDescent="0.25">
      <c r="C767" t="e">
        <f t="shared" ca="1" si="46"/>
        <v>#N/A</v>
      </c>
      <c r="D767" t="e">
        <f t="shared" ca="1" si="47"/>
        <v>#N/A</v>
      </c>
      <c r="E767" t="e">
        <f t="shared" ca="1" si="48"/>
        <v>#N/A</v>
      </c>
      <c r="F767" t="e">
        <f t="shared" ca="1" si="49"/>
        <v>#N/A</v>
      </c>
    </row>
    <row r="768" spans="3:6" x14ac:dyDescent="0.25">
      <c r="C768" t="e">
        <f t="shared" ca="1" si="46"/>
        <v>#N/A</v>
      </c>
      <c r="D768" t="e">
        <f t="shared" ca="1" si="47"/>
        <v>#N/A</v>
      </c>
      <c r="E768" t="e">
        <f t="shared" ca="1" si="48"/>
        <v>#N/A</v>
      </c>
      <c r="F768" t="e">
        <f t="shared" ca="1" si="49"/>
        <v>#N/A</v>
      </c>
    </row>
    <row r="769" spans="3:6" x14ac:dyDescent="0.25">
      <c r="C769" t="e">
        <f t="shared" ca="1" si="46"/>
        <v>#N/A</v>
      </c>
      <c r="D769" t="e">
        <f t="shared" ca="1" si="47"/>
        <v>#N/A</v>
      </c>
      <c r="E769" t="e">
        <f t="shared" ca="1" si="48"/>
        <v>#N/A</v>
      </c>
      <c r="F769" t="e">
        <f t="shared" ca="1" si="49"/>
        <v>#N/A</v>
      </c>
    </row>
    <row r="770" spans="3:6" x14ac:dyDescent="0.25">
      <c r="C770" t="e">
        <f t="shared" ca="1" si="46"/>
        <v>#N/A</v>
      </c>
      <c r="D770" t="e">
        <f t="shared" ca="1" si="47"/>
        <v>#N/A</v>
      </c>
      <c r="E770" t="e">
        <f t="shared" ca="1" si="48"/>
        <v>#N/A</v>
      </c>
      <c r="F770" t="e">
        <f t="shared" ca="1" si="49"/>
        <v>#N/A</v>
      </c>
    </row>
    <row r="771" spans="3:6" x14ac:dyDescent="0.25">
      <c r="C771" t="e">
        <f t="shared" ca="1" si="46"/>
        <v>#N/A</v>
      </c>
      <c r="D771" t="e">
        <f t="shared" ca="1" si="47"/>
        <v>#N/A</v>
      </c>
      <c r="E771" t="e">
        <f t="shared" ca="1" si="48"/>
        <v>#N/A</v>
      </c>
      <c r="F771" t="e">
        <f t="shared" ca="1" si="49"/>
        <v>#N/A</v>
      </c>
    </row>
    <row r="772" spans="3:6" x14ac:dyDescent="0.25">
      <c r="C772" t="e">
        <f t="shared" ca="1" si="46"/>
        <v>#N/A</v>
      </c>
      <c r="D772" t="e">
        <f t="shared" ca="1" si="47"/>
        <v>#N/A</v>
      </c>
      <c r="E772" t="e">
        <f t="shared" ca="1" si="48"/>
        <v>#N/A</v>
      </c>
      <c r="F772" t="e">
        <f t="shared" ca="1" si="49"/>
        <v>#N/A</v>
      </c>
    </row>
    <row r="773" spans="3:6" x14ac:dyDescent="0.25">
      <c r="C773" t="e">
        <f t="shared" ca="1" si="46"/>
        <v>#N/A</v>
      </c>
      <c r="D773" t="e">
        <f t="shared" ca="1" si="47"/>
        <v>#N/A</v>
      </c>
      <c r="E773" t="e">
        <f t="shared" ca="1" si="48"/>
        <v>#N/A</v>
      </c>
      <c r="F773" t="e">
        <f t="shared" ca="1" si="49"/>
        <v>#N/A</v>
      </c>
    </row>
    <row r="774" spans="3:6" x14ac:dyDescent="0.25">
      <c r="C774" t="e">
        <f t="shared" ca="1" si="46"/>
        <v>#N/A</v>
      </c>
      <c r="D774" t="e">
        <f t="shared" ca="1" si="47"/>
        <v>#N/A</v>
      </c>
      <c r="E774" t="e">
        <f t="shared" ca="1" si="48"/>
        <v>#N/A</v>
      </c>
      <c r="F774" t="e">
        <f t="shared" ca="1" si="49"/>
        <v>#N/A</v>
      </c>
    </row>
    <row r="775" spans="3:6" x14ac:dyDescent="0.25">
      <c r="C775" t="e">
        <f t="shared" ca="1" si="46"/>
        <v>#N/A</v>
      </c>
      <c r="D775" t="e">
        <f t="shared" ca="1" si="47"/>
        <v>#N/A</v>
      </c>
      <c r="E775" t="e">
        <f t="shared" ca="1" si="48"/>
        <v>#N/A</v>
      </c>
      <c r="F775" t="e">
        <f t="shared" ca="1" si="49"/>
        <v>#N/A</v>
      </c>
    </row>
    <row r="776" spans="3:6" x14ac:dyDescent="0.25">
      <c r="C776" t="e">
        <f t="shared" ca="1" si="46"/>
        <v>#N/A</v>
      </c>
      <c r="D776" t="e">
        <f t="shared" ca="1" si="47"/>
        <v>#N/A</v>
      </c>
      <c r="E776" t="e">
        <f t="shared" ca="1" si="48"/>
        <v>#N/A</v>
      </c>
      <c r="F776" t="e">
        <f t="shared" ca="1" si="49"/>
        <v>#N/A</v>
      </c>
    </row>
    <row r="777" spans="3:6" x14ac:dyDescent="0.25">
      <c r="C777" t="e">
        <f t="shared" ca="1" si="46"/>
        <v>#N/A</v>
      </c>
      <c r="D777" t="e">
        <f t="shared" ca="1" si="47"/>
        <v>#N/A</v>
      </c>
      <c r="E777" t="e">
        <f t="shared" ca="1" si="48"/>
        <v>#N/A</v>
      </c>
      <c r="F777" t="e">
        <f t="shared" ca="1" si="49"/>
        <v>#N/A</v>
      </c>
    </row>
    <row r="778" spans="3:6" x14ac:dyDescent="0.25">
      <c r="C778" t="e">
        <f t="shared" ref="C778:C841" ca="1" si="50">$C$7</f>
        <v>#N/A</v>
      </c>
      <c r="D778" t="e">
        <f t="shared" ref="D778:D841" ca="1" si="51">$D$7</f>
        <v>#N/A</v>
      </c>
      <c r="E778" t="e">
        <f t="shared" ref="E778:E841" ca="1" si="52">IF($B779="",C$8,"")</f>
        <v>#N/A</v>
      </c>
      <c r="F778" t="e">
        <f t="shared" ref="F778:F841" ca="1" si="53">IF($B779="",D$8,"")</f>
        <v>#N/A</v>
      </c>
    </row>
    <row r="779" spans="3:6" x14ac:dyDescent="0.25">
      <c r="C779" t="e">
        <f t="shared" ca="1" si="50"/>
        <v>#N/A</v>
      </c>
      <c r="D779" t="e">
        <f t="shared" ca="1" si="51"/>
        <v>#N/A</v>
      </c>
      <c r="E779" t="e">
        <f t="shared" ca="1" si="52"/>
        <v>#N/A</v>
      </c>
      <c r="F779" t="e">
        <f t="shared" ca="1" si="53"/>
        <v>#N/A</v>
      </c>
    </row>
    <row r="780" spans="3:6" x14ac:dyDescent="0.25">
      <c r="C780" t="e">
        <f t="shared" ca="1" si="50"/>
        <v>#N/A</v>
      </c>
      <c r="D780" t="e">
        <f t="shared" ca="1" si="51"/>
        <v>#N/A</v>
      </c>
      <c r="E780" t="e">
        <f t="shared" ca="1" si="52"/>
        <v>#N/A</v>
      </c>
      <c r="F780" t="e">
        <f t="shared" ca="1" si="53"/>
        <v>#N/A</v>
      </c>
    </row>
    <row r="781" spans="3:6" x14ac:dyDescent="0.25">
      <c r="C781" t="e">
        <f t="shared" ca="1" si="50"/>
        <v>#N/A</v>
      </c>
      <c r="D781" t="e">
        <f t="shared" ca="1" si="51"/>
        <v>#N/A</v>
      </c>
      <c r="E781" t="e">
        <f t="shared" ca="1" si="52"/>
        <v>#N/A</v>
      </c>
      <c r="F781" t="e">
        <f t="shared" ca="1" si="53"/>
        <v>#N/A</v>
      </c>
    </row>
    <row r="782" spans="3:6" x14ac:dyDescent="0.25">
      <c r="C782" t="e">
        <f t="shared" ca="1" si="50"/>
        <v>#N/A</v>
      </c>
      <c r="D782" t="e">
        <f t="shared" ca="1" si="51"/>
        <v>#N/A</v>
      </c>
      <c r="E782" t="e">
        <f t="shared" ca="1" si="52"/>
        <v>#N/A</v>
      </c>
      <c r="F782" t="e">
        <f t="shared" ca="1" si="53"/>
        <v>#N/A</v>
      </c>
    </row>
    <row r="783" spans="3:6" x14ac:dyDescent="0.25">
      <c r="C783" t="e">
        <f t="shared" ca="1" si="50"/>
        <v>#N/A</v>
      </c>
      <c r="D783" t="e">
        <f t="shared" ca="1" si="51"/>
        <v>#N/A</v>
      </c>
      <c r="E783" t="e">
        <f t="shared" ca="1" si="52"/>
        <v>#N/A</v>
      </c>
      <c r="F783" t="e">
        <f t="shared" ca="1" si="53"/>
        <v>#N/A</v>
      </c>
    </row>
    <row r="784" spans="3:6" x14ac:dyDescent="0.25">
      <c r="C784" t="e">
        <f t="shared" ca="1" si="50"/>
        <v>#N/A</v>
      </c>
      <c r="D784" t="e">
        <f t="shared" ca="1" si="51"/>
        <v>#N/A</v>
      </c>
      <c r="E784" t="e">
        <f t="shared" ca="1" si="52"/>
        <v>#N/A</v>
      </c>
      <c r="F784" t="e">
        <f t="shared" ca="1" si="53"/>
        <v>#N/A</v>
      </c>
    </row>
    <row r="785" spans="3:6" x14ac:dyDescent="0.25">
      <c r="C785" t="e">
        <f t="shared" ca="1" si="50"/>
        <v>#N/A</v>
      </c>
      <c r="D785" t="e">
        <f t="shared" ca="1" si="51"/>
        <v>#N/A</v>
      </c>
      <c r="E785" t="e">
        <f t="shared" ca="1" si="52"/>
        <v>#N/A</v>
      </c>
      <c r="F785" t="e">
        <f t="shared" ca="1" si="53"/>
        <v>#N/A</v>
      </c>
    </row>
    <row r="786" spans="3:6" x14ac:dyDescent="0.25">
      <c r="C786" t="e">
        <f t="shared" ca="1" si="50"/>
        <v>#N/A</v>
      </c>
      <c r="D786" t="e">
        <f t="shared" ca="1" si="51"/>
        <v>#N/A</v>
      </c>
      <c r="E786" t="e">
        <f t="shared" ca="1" si="52"/>
        <v>#N/A</v>
      </c>
      <c r="F786" t="e">
        <f t="shared" ca="1" si="53"/>
        <v>#N/A</v>
      </c>
    </row>
    <row r="787" spans="3:6" x14ac:dyDescent="0.25">
      <c r="C787" t="e">
        <f t="shared" ca="1" si="50"/>
        <v>#N/A</v>
      </c>
      <c r="D787" t="e">
        <f t="shared" ca="1" si="51"/>
        <v>#N/A</v>
      </c>
      <c r="E787" t="e">
        <f t="shared" ca="1" si="52"/>
        <v>#N/A</v>
      </c>
      <c r="F787" t="e">
        <f t="shared" ca="1" si="53"/>
        <v>#N/A</v>
      </c>
    </row>
    <row r="788" spans="3:6" x14ac:dyDescent="0.25">
      <c r="C788" t="e">
        <f t="shared" ca="1" si="50"/>
        <v>#N/A</v>
      </c>
      <c r="D788" t="e">
        <f t="shared" ca="1" si="51"/>
        <v>#N/A</v>
      </c>
      <c r="E788" t="e">
        <f t="shared" ca="1" si="52"/>
        <v>#N/A</v>
      </c>
      <c r="F788" t="e">
        <f t="shared" ca="1" si="53"/>
        <v>#N/A</v>
      </c>
    </row>
    <row r="789" spans="3:6" x14ac:dyDescent="0.25">
      <c r="C789" t="e">
        <f t="shared" ca="1" si="50"/>
        <v>#N/A</v>
      </c>
      <c r="D789" t="e">
        <f t="shared" ca="1" si="51"/>
        <v>#N/A</v>
      </c>
      <c r="E789" t="e">
        <f t="shared" ca="1" si="52"/>
        <v>#N/A</v>
      </c>
      <c r="F789" t="e">
        <f t="shared" ca="1" si="53"/>
        <v>#N/A</v>
      </c>
    </row>
    <row r="790" spans="3:6" x14ac:dyDescent="0.25">
      <c r="C790" t="e">
        <f t="shared" ca="1" si="50"/>
        <v>#N/A</v>
      </c>
      <c r="D790" t="e">
        <f t="shared" ca="1" si="51"/>
        <v>#N/A</v>
      </c>
      <c r="E790" t="e">
        <f t="shared" ca="1" si="52"/>
        <v>#N/A</v>
      </c>
      <c r="F790" t="e">
        <f t="shared" ca="1" si="53"/>
        <v>#N/A</v>
      </c>
    </row>
    <row r="791" spans="3:6" x14ac:dyDescent="0.25">
      <c r="C791" t="e">
        <f t="shared" ca="1" si="50"/>
        <v>#N/A</v>
      </c>
      <c r="D791" t="e">
        <f t="shared" ca="1" si="51"/>
        <v>#N/A</v>
      </c>
      <c r="E791" t="e">
        <f t="shared" ca="1" si="52"/>
        <v>#N/A</v>
      </c>
      <c r="F791" t="e">
        <f t="shared" ca="1" si="53"/>
        <v>#N/A</v>
      </c>
    </row>
    <row r="792" spans="3:6" x14ac:dyDescent="0.25">
      <c r="C792" t="e">
        <f t="shared" ca="1" si="50"/>
        <v>#N/A</v>
      </c>
      <c r="D792" t="e">
        <f t="shared" ca="1" si="51"/>
        <v>#N/A</v>
      </c>
      <c r="E792" t="e">
        <f t="shared" ca="1" si="52"/>
        <v>#N/A</v>
      </c>
      <c r="F792" t="e">
        <f t="shared" ca="1" si="53"/>
        <v>#N/A</v>
      </c>
    </row>
    <row r="793" spans="3:6" x14ac:dyDescent="0.25">
      <c r="C793" t="e">
        <f t="shared" ca="1" si="50"/>
        <v>#N/A</v>
      </c>
      <c r="D793" t="e">
        <f t="shared" ca="1" si="51"/>
        <v>#N/A</v>
      </c>
      <c r="E793" t="e">
        <f t="shared" ca="1" si="52"/>
        <v>#N/A</v>
      </c>
      <c r="F793" t="e">
        <f t="shared" ca="1" si="53"/>
        <v>#N/A</v>
      </c>
    </row>
    <row r="794" spans="3:6" x14ac:dyDescent="0.25">
      <c r="C794" t="e">
        <f t="shared" ca="1" si="50"/>
        <v>#N/A</v>
      </c>
      <c r="D794" t="e">
        <f t="shared" ca="1" si="51"/>
        <v>#N/A</v>
      </c>
      <c r="E794" t="e">
        <f t="shared" ca="1" si="52"/>
        <v>#N/A</v>
      </c>
      <c r="F794" t="e">
        <f t="shared" ca="1" si="53"/>
        <v>#N/A</v>
      </c>
    </row>
    <row r="795" spans="3:6" x14ac:dyDescent="0.25">
      <c r="C795" t="e">
        <f t="shared" ca="1" si="50"/>
        <v>#N/A</v>
      </c>
      <c r="D795" t="e">
        <f t="shared" ca="1" si="51"/>
        <v>#N/A</v>
      </c>
      <c r="E795" t="e">
        <f t="shared" ca="1" si="52"/>
        <v>#N/A</v>
      </c>
      <c r="F795" t="e">
        <f t="shared" ca="1" si="53"/>
        <v>#N/A</v>
      </c>
    </row>
    <row r="796" spans="3:6" x14ac:dyDescent="0.25">
      <c r="C796" t="e">
        <f t="shared" ca="1" si="50"/>
        <v>#N/A</v>
      </c>
      <c r="D796" t="e">
        <f t="shared" ca="1" si="51"/>
        <v>#N/A</v>
      </c>
      <c r="E796" t="e">
        <f t="shared" ca="1" si="52"/>
        <v>#N/A</v>
      </c>
      <c r="F796" t="e">
        <f t="shared" ca="1" si="53"/>
        <v>#N/A</v>
      </c>
    </row>
    <row r="797" spans="3:6" x14ac:dyDescent="0.25">
      <c r="C797" t="e">
        <f t="shared" ca="1" si="50"/>
        <v>#N/A</v>
      </c>
      <c r="D797" t="e">
        <f t="shared" ca="1" si="51"/>
        <v>#N/A</v>
      </c>
      <c r="E797" t="e">
        <f t="shared" ca="1" si="52"/>
        <v>#N/A</v>
      </c>
      <c r="F797" t="e">
        <f t="shared" ca="1" si="53"/>
        <v>#N/A</v>
      </c>
    </row>
    <row r="798" spans="3:6" x14ac:dyDescent="0.25">
      <c r="C798" t="e">
        <f t="shared" ca="1" si="50"/>
        <v>#N/A</v>
      </c>
      <c r="D798" t="e">
        <f t="shared" ca="1" si="51"/>
        <v>#N/A</v>
      </c>
      <c r="E798" t="e">
        <f t="shared" ca="1" si="52"/>
        <v>#N/A</v>
      </c>
      <c r="F798" t="e">
        <f t="shared" ca="1" si="53"/>
        <v>#N/A</v>
      </c>
    </row>
    <row r="799" spans="3:6" x14ac:dyDescent="0.25">
      <c r="C799" t="e">
        <f t="shared" ca="1" si="50"/>
        <v>#N/A</v>
      </c>
      <c r="D799" t="e">
        <f t="shared" ca="1" si="51"/>
        <v>#N/A</v>
      </c>
      <c r="E799" t="e">
        <f t="shared" ca="1" si="52"/>
        <v>#N/A</v>
      </c>
      <c r="F799" t="e">
        <f t="shared" ca="1" si="53"/>
        <v>#N/A</v>
      </c>
    </row>
    <row r="800" spans="3:6" x14ac:dyDescent="0.25">
      <c r="C800" t="e">
        <f t="shared" ca="1" si="50"/>
        <v>#N/A</v>
      </c>
      <c r="D800" t="e">
        <f t="shared" ca="1" si="51"/>
        <v>#N/A</v>
      </c>
      <c r="E800" t="e">
        <f t="shared" ca="1" si="52"/>
        <v>#N/A</v>
      </c>
      <c r="F800" t="e">
        <f t="shared" ca="1" si="53"/>
        <v>#N/A</v>
      </c>
    </row>
    <row r="801" spans="3:6" x14ac:dyDescent="0.25">
      <c r="C801" t="e">
        <f t="shared" ca="1" si="50"/>
        <v>#N/A</v>
      </c>
      <c r="D801" t="e">
        <f t="shared" ca="1" si="51"/>
        <v>#N/A</v>
      </c>
      <c r="E801" t="e">
        <f t="shared" ca="1" si="52"/>
        <v>#N/A</v>
      </c>
      <c r="F801" t="e">
        <f t="shared" ca="1" si="53"/>
        <v>#N/A</v>
      </c>
    </row>
    <row r="802" spans="3:6" x14ac:dyDescent="0.25">
      <c r="C802" t="e">
        <f t="shared" ca="1" si="50"/>
        <v>#N/A</v>
      </c>
      <c r="D802" t="e">
        <f t="shared" ca="1" si="51"/>
        <v>#N/A</v>
      </c>
      <c r="E802" t="e">
        <f t="shared" ca="1" si="52"/>
        <v>#N/A</v>
      </c>
      <c r="F802" t="e">
        <f t="shared" ca="1" si="53"/>
        <v>#N/A</v>
      </c>
    </row>
    <row r="803" spans="3:6" x14ac:dyDescent="0.25">
      <c r="C803" t="e">
        <f t="shared" ca="1" si="50"/>
        <v>#N/A</v>
      </c>
      <c r="D803" t="e">
        <f t="shared" ca="1" si="51"/>
        <v>#N/A</v>
      </c>
      <c r="E803" t="e">
        <f t="shared" ca="1" si="52"/>
        <v>#N/A</v>
      </c>
      <c r="F803" t="e">
        <f t="shared" ca="1" si="53"/>
        <v>#N/A</v>
      </c>
    </row>
    <row r="804" spans="3:6" x14ac:dyDescent="0.25">
      <c r="C804" t="e">
        <f t="shared" ca="1" si="50"/>
        <v>#N/A</v>
      </c>
      <c r="D804" t="e">
        <f t="shared" ca="1" si="51"/>
        <v>#N/A</v>
      </c>
      <c r="E804" t="e">
        <f t="shared" ca="1" si="52"/>
        <v>#N/A</v>
      </c>
      <c r="F804" t="e">
        <f t="shared" ca="1" si="53"/>
        <v>#N/A</v>
      </c>
    </row>
    <row r="805" spans="3:6" x14ac:dyDescent="0.25">
      <c r="C805" t="e">
        <f t="shared" ca="1" si="50"/>
        <v>#N/A</v>
      </c>
      <c r="D805" t="e">
        <f t="shared" ca="1" si="51"/>
        <v>#N/A</v>
      </c>
      <c r="E805" t="e">
        <f t="shared" ca="1" si="52"/>
        <v>#N/A</v>
      </c>
      <c r="F805" t="e">
        <f t="shared" ca="1" si="53"/>
        <v>#N/A</v>
      </c>
    </row>
    <row r="806" spans="3:6" x14ac:dyDescent="0.25">
      <c r="C806" t="e">
        <f t="shared" ca="1" si="50"/>
        <v>#N/A</v>
      </c>
      <c r="D806" t="e">
        <f t="shared" ca="1" si="51"/>
        <v>#N/A</v>
      </c>
      <c r="E806" t="e">
        <f t="shared" ca="1" si="52"/>
        <v>#N/A</v>
      </c>
      <c r="F806" t="e">
        <f t="shared" ca="1" si="53"/>
        <v>#N/A</v>
      </c>
    </row>
    <row r="807" spans="3:6" x14ac:dyDescent="0.25">
      <c r="C807" t="e">
        <f t="shared" ca="1" si="50"/>
        <v>#N/A</v>
      </c>
      <c r="D807" t="e">
        <f t="shared" ca="1" si="51"/>
        <v>#N/A</v>
      </c>
      <c r="E807" t="e">
        <f t="shared" ca="1" si="52"/>
        <v>#N/A</v>
      </c>
      <c r="F807" t="e">
        <f t="shared" ca="1" si="53"/>
        <v>#N/A</v>
      </c>
    </row>
    <row r="808" spans="3:6" x14ac:dyDescent="0.25">
      <c r="C808" t="e">
        <f t="shared" ca="1" si="50"/>
        <v>#N/A</v>
      </c>
      <c r="D808" t="e">
        <f t="shared" ca="1" si="51"/>
        <v>#N/A</v>
      </c>
      <c r="E808" t="e">
        <f t="shared" ca="1" si="52"/>
        <v>#N/A</v>
      </c>
      <c r="F808" t="e">
        <f t="shared" ca="1" si="53"/>
        <v>#N/A</v>
      </c>
    </row>
    <row r="809" spans="3:6" x14ac:dyDescent="0.25">
      <c r="C809" t="e">
        <f t="shared" ca="1" si="50"/>
        <v>#N/A</v>
      </c>
      <c r="D809" t="e">
        <f t="shared" ca="1" si="51"/>
        <v>#N/A</v>
      </c>
      <c r="E809" t="e">
        <f t="shared" ca="1" si="52"/>
        <v>#N/A</v>
      </c>
      <c r="F809" t="e">
        <f t="shared" ca="1" si="53"/>
        <v>#N/A</v>
      </c>
    </row>
    <row r="810" spans="3:6" x14ac:dyDescent="0.25">
      <c r="C810" t="e">
        <f t="shared" ca="1" si="50"/>
        <v>#N/A</v>
      </c>
      <c r="D810" t="e">
        <f t="shared" ca="1" si="51"/>
        <v>#N/A</v>
      </c>
      <c r="E810" t="e">
        <f t="shared" ca="1" si="52"/>
        <v>#N/A</v>
      </c>
      <c r="F810" t="e">
        <f t="shared" ca="1" si="53"/>
        <v>#N/A</v>
      </c>
    </row>
    <row r="811" spans="3:6" x14ac:dyDescent="0.25">
      <c r="C811" t="e">
        <f t="shared" ca="1" si="50"/>
        <v>#N/A</v>
      </c>
      <c r="D811" t="e">
        <f t="shared" ca="1" si="51"/>
        <v>#N/A</v>
      </c>
      <c r="E811" t="e">
        <f t="shared" ca="1" si="52"/>
        <v>#N/A</v>
      </c>
      <c r="F811" t="e">
        <f t="shared" ca="1" si="53"/>
        <v>#N/A</v>
      </c>
    </row>
    <row r="812" spans="3:6" x14ac:dyDescent="0.25">
      <c r="C812" t="e">
        <f t="shared" ca="1" si="50"/>
        <v>#N/A</v>
      </c>
      <c r="D812" t="e">
        <f t="shared" ca="1" si="51"/>
        <v>#N/A</v>
      </c>
      <c r="E812" t="e">
        <f t="shared" ca="1" si="52"/>
        <v>#N/A</v>
      </c>
      <c r="F812" t="e">
        <f t="shared" ca="1" si="53"/>
        <v>#N/A</v>
      </c>
    </row>
    <row r="813" spans="3:6" x14ac:dyDescent="0.25">
      <c r="C813" t="e">
        <f t="shared" ca="1" si="50"/>
        <v>#N/A</v>
      </c>
      <c r="D813" t="e">
        <f t="shared" ca="1" si="51"/>
        <v>#N/A</v>
      </c>
      <c r="E813" t="e">
        <f t="shared" ca="1" si="52"/>
        <v>#N/A</v>
      </c>
      <c r="F813" t="e">
        <f t="shared" ca="1" si="53"/>
        <v>#N/A</v>
      </c>
    </row>
    <row r="814" spans="3:6" x14ac:dyDescent="0.25">
      <c r="C814" t="e">
        <f t="shared" ca="1" si="50"/>
        <v>#N/A</v>
      </c>
      <c r="D814" t="e">
        <f t="shared" ca="1" si="51"/>
        <v>#N/A</v>
      </c>
      <c r="E814" t="e">
        <f t="shared" ca="1" si="52"/>
        <v>#N/A</v>
      </c>
      <c r="F814" t="e">
        <f t="shared" ca="1" si="53"/>
        <v>#N/A</v>
      </c>
    </row>
    <row r="815" spans="3:6" x14ac:dyDescent="0.25">
      <c r="C815" t="e">
        <f t="shared" ca="1" si="50"/>
        <v>#N/A</v>
      </c>
      <c r="D815" t="e">
        <f t="shared" ca="1" si="51"/>
        <v>#N/A</v>
      </c>
      <c r="E815" t="e">
        <f t="shared" ca="1" si="52"/>
        <v>#N/A</v>
      </c>
      <c r="F815" t="e">
        <f t="shared" ca="1" si="53"/>
        <v>#N/A</v>
      </c>
    </row>
    <row r="816" spans="3:6" x14ac:dyDescent="0.25">
      <c r="C816" t="e">
        <f t="shared" ca="1" si="50"/>
        <v>#N/A</v>
      </c>
      <c r="D816" t="e">
        <f t="shared" ca="1" si="51"/>
        <v>#N/A</v>
      </c>
      <c r="E816" t="e">
        <f t="shared" ca="1" si="52"/>
        <v>#N/A</v>
      </c>
      <c r="F816" t="e">
        <f t="shared" ca="1" si="53"/>
        <v>#N/A</v>
      </c>
    </row>
    <row r="817" spans="3:6" x14ac:dyDescent="0.25">
      <c r="C817" t="e">
        <f t="shared" ca="1" si="50"/>
        <v>#N/A</v>
      </c>
      <c r="D817" t="e">
        <f t="shared" ca="1" si="51"/>
        <v>#N/A</v>
      </c>
      <c r="E817" t="e">
        <f t="shared" ca="1" si="52"/>
        <v>#N/A</v>
      </c>
      <c r="F817" t="e">
        <f t="shared" ca="1" si="53"/>
        <v>#N/A</v>
      </c>
    </row>
    <row r="818" spans="3:6" x14ac:dyDescent="0.25">
      <c r="C818" t="e">
        <f t="shared" ca="1" si="50"/>
        <v>#N/A</v>
      </c>
      <c r="D818" t="e">
        <f t="shared" ca="1" si="51"/>
        <v>#N/A</v>
      </c>
      <c r="E818" t="e">
        <f t="shared" ca="1" si="52"/>
        <v>#N/A</v>
      </c>
      <c r="F818" t="e">
        <f t="shared" ca="1" si="53"/>
        <v>#N/A</v>
      </c>
    </row>
    <row r="819" spans="3:6" x14ac:dyDescent="0.25">
      <c r="C819" t="e">
        <f t="shared" ca="1" si="50"/>
        <v>#N/A</v>
      </c>
      <c r="D819" t="e">
        <f t="shared" ca="1" si="51"/>
        <v>#N/A</v>
      </c>
      <c r="E819" t="e">
        <f t="shared" ca="1" si="52"/>
        <v>#N/A</v>
      </c>
      <c r="F819" t="e">
        <f t="shared" ca="1" si="53"/>
        <v>#N/A</v>
      </c>
    </row>
    <row r="820" spans="3:6" x14ac:dyDescent="0.25">
      <c r="C820" t="e">
        <f t="shared" ca="1" si="50"/>
        <v>#N/A</v>
      </c>
      <c r="D820" t="e">
        <f t="shared" ca="1" si="51"/>
        <v>#N/A</v>
      </c>
      <c r="E820" t="e">
        <f t="shared" ca="1" si="52"/>
        <v>#N/A</v>
      </c>
      <c r="F820" t="e">
        <f t="shared" ca="1" si="53"/>
        <v>#N/A</v>
      </c>
    </row>
    <row r="821" spans="3:6" x14ac:dyDescent="0.25">
      <c r="C821" t="e">
        <f t="shared" ca="1" si="50"/>
        <v>#N/A</v>
      </c>
      <c r="D821" t="e">
        <f t="shared" ca="1" si="51"/>
        <v>#N/A</v>
      </c>
      <c r="E821" t="e">
        <f t="shared" ca="1" si="52"/>
        <v>#N/A</v>
      </c>
      <c r="F821" t="e">
        <f t="shared" ca="1" si="53"/>
        <v>#N/A</v>
      </c>
    </row>
    <row r="822" spans="3:6" x14ac:dyDescent="0.25">
      <c r="C822" t="e">
        <f t="shared" ca="1" si="50"/>
        <v>#N/A</v>
      </c>
      <c r="D822" t="e">
        <f t="shared" ca="1" si="51"/>
        <v>#N/A</v>
      </c>
      <c r="E822" t="e">
        <f t="shared" ca="1" si="52"/>
        <v>#N/A</v>
      </c>
      <c r="F822" t="e">
        <f t="shared" ca="1" si="53"/>
        <v>#N/A</v>
      </c>
    </row>
    <row r="823" spans="3:6" x14ac:dyDescent="0.25">
      <c r="C823" t="e">
        <f t="shared" ca="1" si="50"/>
        <v>#N/A</v>
      </c>
      <c r="D823" t="e">
        <f t="shared" ca="1" si="51"/>
        <v>#N/A</v>
      </c>
      <c r="E823" t="e">
        <f t="shared" ca="1" si="52"/>
        <v>#N/A</v>
      </c>
      <c r="F823" t="e">
        <f t="shared" ca="1" si="53"/>
        <v>#N/A</v>
      </c>
    </row>
    <row r="824" spans="3:6" x14ac:dyDescent="0.25">
      <c r="C824" t="e">
        <f t="shared" ca="1" si="50"/>
        <v>#N/A</v>
      </c>
      <c r="D824" t="e">
        <f t="shared" ca="1" si="51"/>
        <v>#N/A</v>
      </c>
      <c r="E824" t="e">
        <f t="shared" ca="1" si="52"/>
        <v>#N/A</v>
      </c>
      <c r="F824" t="e">
        <f t="shared" ca="1" si="53"/>
        <v>#N/A</v>
      </c>
    </row>
    <row r="825" spans="3:6" x14ac:dyDescent="0.25">
      <c r="C825" t="e">
        <f t="shared" ca="1" si="50"/>
        <v>#N/A</v>
      </c>
      <c r="D825" t="e">
        <f t="shared" ca="1" si="51"/>
        <v>#N/A</v>
      </c>
      <c r="E825" t="e">
        <f t="shared" ca="1" si="52"/>
        <v>#N/A</v>
      </c>
      <c r="F825" t="e">
        <f t="shared" ca="1" si="53"/>
        <v>#N/A</v>
      </c>
    </row>
    <row r="826" spans="3:6" x14ac:dyDescent="0.25">
      <c r="C826" t="e">
        <f t="shared" ca="1" si="50"/>
        <v>#N/A</v>
      </c>
      <c r="D826" t="e">
        <f t="shared" ca="1" si="51"/>
        <v>#N/A</v>
      </c>
      <c r="E826" t="e">
        <f t="shared" ca="1" si="52"/>
        <v>#N/A</v>
      </c>
      <c r="F826" t="e">
        <f t="shared" ca="1" si="53"/>
        <v>#N/A</v>
      </c>
    </row>
    <row r="827" spans="3:6" x14ac:dyDescent="0.25">
      <c r="C827" t="e">
        <f t="shared" ca="1" si="50"/>
        <v>#N/A</v>
      </c>
      <c r="D827" t="e">
        <f t="shared" ca="1" si="51"/>
        <v>#N/A</v>
      </c>
      <c r="E827" t="e">
        <f t="shared" ca="1" si="52"/>
        <v>#N/A</v>
      </c>
      <c r="F827" t="e">
        <f t="shared" ca="1" si="53"/>
        <v>#N/A</v>
      </c>
    </row>
    <row r="828" spans="3:6" x14ac:dyDescent="0.25">
      <c r="C828" t="e">
        <f t="shared" ca="1" si="50"/>
        <v>#N/A</v>
      </c>
      <c r="D828" t="e">
        <f t="shared" ca="1" si="51"/>
        <v>#N/A</v>
      </c>
      <c r="E828" t="e">
        <f t="shared" ca="1" si="52"/>
        <v>#N/A</v>
      </c>
      <c r="F828" t="e">
        <f t="shared" ca="1" si="53"/>
        <v>#N/A</v>
      </c>
    </row>
    <row r="829" spans="3:6" x14ac:dyDescent="0.25">
      <c r="C829" t="e">
        <f t="shared" ca="1" si="50"/>
        <v>#N/A</v>
      </c>
      <c r="D829" t="e">
        <f t="shared" ca="1" si="51"/>
        <v>#N/A</v>
      </c>
      <c r="E829" t="e">
        <f t="shared" ca="1" si="52"/>
        <v>#N/A</v>
      </c>
      <c r="F829" t="e">
        <f t="shared" ca="1" si="53"/>
        <v>#N/A</v>
      </c>
    </row>
    <row r="830" spans="3:6" x14ac:dyDescent="0.25">
      <c r="C830" t="e">
        <f t="shared" ca="1" si="50"/>
        <v>#N/A</v>
      </c>
      <c r="D830" t="e">
        <f t="shared" ca="1" si="51"/>
        <v>#N/A</v>
      </c>
      <c r="E830" t="e">
        <f t="shared" ca="1" si="52"/>
        <v>#N/A</v>
      </c>
      <c r="F830" t="e">
        <f t="shared" ca="1" si="53"/>
        <v>#N/A</v>
      </c>
    </row>
    <row r="831" spans="3:6" x14ac:dyDescent="0.25">
      <c r="C831" t="e">
        <f t="shared" ca="1" si="50"/>
        <v>#N/A</v>
      </c>
      <c r="D831" t="e">
        <f t="shared" ca="1" si="51"/>
        <v>#N/A</v>
      </c>
      <c r="E831" t="e">
        <f t="shared" ca="1" si="52"/>
        <v>#N/A</v>
      </c>
      <c r="F831" t="e">
        <f t="shared" ca="1" si="53"/>
        <v>#N/A</v>
      </c>
    </row>
    <row r="832" spans="3:6" x14ac:dyDescent="0.25">
      <c r="C832" t="e">
        <f t="shared" ca="1" si="50"/>
        <v>#N/A</v>
      </c>
      <c r="D832" t="e">
        <f t="shared" ca="1" si="51"/>
        <v>#N/A</v>
      </c>
      <c r="E832" t="e">
        <f t="shared" ca="1" si="52"/>
        <v>#N/A</v>
      </c>
      <c r="F832" t="e">
        <f t="shared" ca="1" si="53"/>
        <v>#N/A</v>
      </c>
    </row>
    <row r="833" spans="3:6" x14ac:dyDescent="0.25">
      <c r="C833" t="e">
        <f t="shared" ca="1" si="50"/>
        <v>#N/A</v>
      </c>
      <c r="D833" t="e">
        <f t="shared" ca="1" si="51"/>
        <v>#N/A</v>
      </c>
      <c r="E833" t="e">
        <f t="shared" ca="1" si="52"/>
        <v>#N/A</v>
      </c>
      <c r="F833" t="e">
        <f t="shared" ca="1" si="53"/>
        <v>#N/A</v>
      </c>
    </row>
    <row r="834" spans="3:6" x14ac:dyDescent="0.25">
      <c r="C834" t="e">
        <f t="shared" ca="1" si="50"/>
        <v>#N/A</v>
      </c>
      <c r="D834" t="e">
        <f t="shared" ca="1" si="51"/>
        <v>#N/A</v>
      </c>
      <c r="E834" t="e">
        <f t="shared" ca="1" si="52"/>
        <v>#N/A</v>
      </c>
      <c r="F834" t="e">
        <f t="shared" ca="1" si="53"/>
        <v>#N/A</v>
      </c>
    </row>
    <row r="835" spans="3:6" x14ac:dyDescent="0.25">
      <c r="C835" t="e">
        <f t="shared" ca="1" si="50"/>
        <v>#N/A</v>
      </c>
      <c r="D835" t="e">
        <f t="shared" ca="1" si="51"/>
        <v>#N/A</v>
      </c>
      <c r="E835" t="e">
        <f t="shared" ca="1" si="52"/>
        <v>#N/A</v>
      </c>
      <c r="F835" t="e">
        <f t="shared" ca="1" si="53"/>
        <v>#N/A</v>
      </c>
    </row>
    <row r="836" spans="3:6" x14ac:dyDescent="0.25">
      <c r="C836" t="e">
        <f t="shared" ca="1" si="50"/>
        <v>#N/A</v>
      </c>
      <c r="D836" t="e">
        <f t="shared" ca="1" si="51"/>
        <v>#N/A</v>
      </c>
      <c r="E836" t="e">
        <f t="shared" ca="1" si="52"/>
        <v>#N/A</v>
      </c>
      <c r="F836" t="e">
        <f t="shared" ca="1" si="53"/>
        <v>#N/A</v>
      </c>
    </row>
    <row r="837" spans="3:6" x14ac:dyDescent="0.25">
      <c r="C837" t="e">
        <f t="shared" ca="1" si="50"/>
        <v>#N/A</v>
      </c>
      <c r="D837" t="e">
        <f t="shared" ca="1" si="51"/>
        <v>#N/A</v>
      </c>
      <c r="E837" t="e">
        <f t="shared" ca="1" si="52"/>
        <v>#N/A</v>
      </c>
      <c r="F837" t="e">
        <f t="shared" ca="1" si="53"/>
        <v>#N/A</v>
      </c>
    </row>
    <row r="838" spans="3:6" x14ac:dyDescent="0.25">
      <c r="C838" t="e">
        <f t="shared" ca="1" si="50"/>
        <v>#N/A</v>
      </c>
      <c r="D838" t="e">
        <f t="shared" ca="1" si="51"/>
        <v>#N/A</v>
      </c>
      <c r="E838" t="e">
        <f t="shared" ca="1" si="52"/>
        <v>#N/A</v>
      </c>
      <c r="F838" t="e">
        <f t="shared" ca="1" si="53"/>
        <v>#N/A</v>
      </c>
    </row>
    <row r="839" spans="3:6" x14ac:dyDescent="0.25">
      <c r="C839" t="e">
        <f t="shared" ca="1" si="50"/>
        <v>#N/A</v>
      </c>
      <c r="D839" t="e">
        <f t="shared" ca="1" si="51"/>
        <v>#N/A</v>
      </c>
      <c r="E839" t="e">
        <f t="shared" ca="1" si="52"/>
        <v>#N/A</v>
      </c>
      <c r="F839" t="e">
        <f t="shared" ca="1" si="53"/>
        <v>#N/A</v>
      </c>
    </row>
    <row r="840" spans="3:6" x14ac:dyDescent="0.25">
      <c r="C840" t="e">
        <f t="shared" ca="1" si="50"/>
        <v>#N/A</v>
      </c>
      <c r="D840" t="e">
        <f t="shared" ca="1" si="51"/>
        <v>#N/A</v>
      </c>
      <c r="E840" t="e">
        <f t="shared" ca="1" si="52"/>
        <v>#N/A</v>
      </c>
      <c r="F840" t="e">
        <f t="shared" ca="1" si="53"/>
        <v>#N/A</v>
      </c>
    </row>
    <row r="841" spans="3:6" x14ac:dyDescent="0.25">
      <c r="C841" t="e">
        <f t="shared" ca="1" si="50"/>
        <v>#N/A</v>
      </c>
      <c r="D841" t="e">
        <f t="shared" ca="1" si="51"/>
        <v>#N/A</v>
      </c>
      <c r="E841" t="e">
        <f t="shared" ca="1" si="52"/>
        <v>#N/A</v>
      </c>
      <c r="F841" t="e">
        <f t="shared" ca="1" si="53"/>
        <v>#N/A</v>
      </c>
    </row>
    <row r="842" spans="3:6" x14ac:dyDescent="0.25">
      <c r="C842" t="e">
        <f t="shared" ref="C842:C905" ca="1" si="54">$C$7</f>
        <v>#N/A</v>
      </c>
      <c r="D842" t="e">
        <f t="shared" ref="D842:D905" ca="1" si="55">$D$7</f>
        <v>#N/A</v>
      </c>
      <c r="E842" t="e">
        <f t="shared" ref="E842:E905" ca="1" si="56">IF($B843="",C$8,"")</f>
        <v>#N/A</v>
      </c>
      <c r="F842" t="e">
        <f t="shared" ref="F842:F905" ca="1" si="57">IF($B843="",D$8,"")</f>
        <v>#N/A</v>
      </c>
    </row>
    <row r="843" spans="3:6" x14ac:dyDescent="0.25">
      <c r="C843" t="e">
        <f t="shared" ca="1" si="54"/>
        <v>#N/A</v>
      </c>
      <c r="D843" t="e">
        <f t="shared" ca="1" si="55"/>
        <v>#N/A</v>
      </c>
      <c r="E843" t="e">
        <f t="shared" ca="1" si="56"/>
        <v>#N/A</v>
      </c>
      <c r="F843" t="e">
        <f t="shared" ca="1" si="57"/>
        <v>#N/A</v>
      </c>
    </row>
    <row r="844" spans="3:6" x14ac:dyDescent="0.25">
      <c r="C844" t="e">
        <f t="shared" ca="1" si="54"/>
        <v>#N/A</v>
      </c>
      <c r="D844" t="e">
        <f t="shared" ca="1" si="55"/>
        <v>#N/A</v>
      </c>
      <c r="E844" t="e">
        <f t="shared" ca="1" si="56"/>
        <v>#N/A</v>
      </c>
      <c r="F844" t="e">
        <f t="shared" ca="1" si="57"/>
        <v>#N/A</v>
      </c>
    </row>
    <row r="845" spans="3:6" x14ac:dyDescent="0.25">
      <c r="C845" t="e">
        <f t="shared" ca="1" si="54"/>
        <v>#N/A</v>
      </c>
      <c r="D845" t="e">
        <f t="shared" ca="1" si="55"/>
        <v>#N/A</v>
      </c>
      <c r="E845" t="e">
        <f t="shared" ca="1" si="56"/>
        <v>#N/A</v>
      </c>
      <c r="F845" t="e">
        <f t="shared" ca="1" si="57"/>
        <v>#N/A</v>
      </c>
    </row>
    <row r="846" spans="3:6" x14ac:dyDescent="0.25">
      <c r="C846" t="e">
        <f t="shared" ca="1" si="54"/>
        <v>#N/A</v>
      </c>
      <c r="D846" t="e">
        <f t="shared" ca="1" si="55"/>
        <v>#N/A</v>
      </c>
      <c r="E846" t="e">
        <f t="shared" ca="1" si="56"/>
        <v>#N/A</v>
      </c>
      <c r="F846" t="e">
        <f t="shared" ca="1" si="57"/>
        <v>#N/A</v>
      </c>
    </row>
    <row r="847" spans="3:6" x14ac:dyDescent="0.25">
      <c r="C847" t="e">
        <f t="shared" ca="1" si="54"/>
        <v>#N/A</v>
      </c>
      <c r="D847" t="e">
        <f t="shared" ca="1" si="55"/>
        <v>#N/A</v>
      </c>
      <c r="E847" t="e">
        <f t="shared" ca="1" si="56"/>
        <v>#N/A</v>
      </c>
      <c r="F847" t="e">
        <f t="shared" ca="1" si="57"/>
        <v>#N/A</v>
      </c>
    </row>
    <row r="848" spans="3:6" x14ac:dyDescent="0.25">
      <c r="C848" t="e">
        <f t="shared" ca="1" si="54"/>
        <v>#N/A</v>
      </c>
      <c r="D848" t="e">
        <f t="shared" ca="1" si="55"/>
        <v>#N/A</v>
      </c>
      <c r="E848" t="e">
        <f t="shared" ca="1" si="56"/>
        <v>#N/A</v>
      </c>
      <c r="F848" t="e">
        <f t="shared" ca="1" si="57"/>
        <v>#N/A</v>
      </c>
    </row>
    <row r="849" spans="3:6" x14ac:dyDescent="0.25">
      <c r="C849" t="e">
        <f t="shared" ca="1" si="54"/>
        <v>#N/A</v>
      </c>
      <c r="D849" t="e">
        <f t="shared" ca="1" si="55"/>
        <v>#N/A</v>
      </c>
      <c r="E849" t="e">
        <f t="shared" ca="1" si="56"/>
        <v>#N/A</v>
      </c>
      <c r="F849" t="e">
        <f t="shared" ca="1" si="57"/>
        <v>#N/A</v>
      </c>
    </row>
    <row r="850" spans="3:6" x14ac:dyDescent="0.25">
      <c r="C850" t="e">
        <f t="shared" ca="1" si="54"/>
        <v>#N/A</v>
      </c>
      <c r="D850" t="e">
        <f t="shared" ca="1" si="55"/>
        <v>#N/A</v>
      </c>
      <c r="E850" t="e">
        <f t="shared" ca="1" si="56"/>
        <v>#N/A</v>
      </c>
      <c r="F850" t="e">
        <f t="shared" ca="1" si="57"/>
        <v>#N/A</v>
      </c>
    </row>
    <row r="851" spans="3:6" x14ac:dyDescent="0.25">
      <c r="C851" t="e">
        <f t="shared" ca="1" si="54"/>
        <v>#N/A</v>
      </c>
      <c r="D851" t="e">
        <f t="shared" ca="1" si="55"/>
        <v>#N/A</v>
      </c>
      <c r="E851" t="e">
        <f t="shared" ca="1" si="56"/>
        <v>#N/A</v>
      </c>
      <c r="F851" t="e">
        <f t="shared" ca="1" si="57"/>
        <v>#N/A</v>
      </c>
    </row>
    <row r="852" spans="3:6" x14ac:dyDescent="0.25">
      <c r="C852" t="e">
        <f t="shared" ca="1" si="54"/>
        <v>#N/A</v>
      </c>
      <c r="D852" t="e">
        <f t="shared" ca="1" si="55"/>
        <v>#N/A</v>
      </c>
      <c r="E852" t="e">
        <f t="shared" ca="1" si="56"/>
        <v>#N/A</v>
      </c>
      <c r="F852" t="e">
        <f t="shared" ca="1" si="57"/>
        <v>#N/A</v>
      </c>
    </row>
    <row r="853" spans="3:6" x14ac:dyDescent="0.25">
      <c r="C853" t="e">
        <f t="shared" ca="1" si="54"/>
        <v>#N/A</v>
      </c>
      <c r="D853" t="e">
        <f t="shared" ca="1" si="55"/>
        <v>#N/A</v>
      </c>
      <c r="E853" t="e">
        <f t="shared" ca="1" si="56"/>
        <v>#N/A</v>
      </c>
      <c r="F853" t="e">
        <f t="shared" ca="1" si="57"/>
        <v>#N/A</v>
      </c>
    </row>
    <row r="854" spans="3:6" x14ac:dyDescent="0.25">
      <c r="C854" t="e">
        <f t="shared" ca="1" si="54"/>
        <v>#N/A</v>
      </c>
      <c r="D854" t="e">
        <f t="shared" ca="1" si="55"/>
        <v>#N/A</v>
      </c>
      <c r="E854" t="e">
        <f t="shared" ca="1" si="56"/>
        <v>#N/A</v>
      </c>
      <c r="F854" t="e">
        <f t="shared" ca="1" si="57"/>
        <v>#N/A</v>
      </c>
    </row>
    <row r="855" spans="3:6" x14ac:dyDescent="0.25">
      <c r="C855" t="e">
        <f t="shared" ca="1" si="54"/>
        <v>#N/A</v>
      </c>
      <c r="D855" t="e">
        <f t="shared" ca="1" si="55"/>
        <v>#N/A</v>
      </c>
      <c r="E855" t="e">
        <f t="shared" ca="1" si="56"/>
        <v>#N/A</v>
      </c>
      <c r="F855" t="e">
        <f t="shared" ca="1" si="57"/>
        <v>#N/A</v>
      </c>
    </row>
    <row r="856" spans="3:6" x14ac:dyDescent="0.25">
      <c r="C856" t="e">
        <f t="shared" ca="1" si="54"/>
        <v>#N/A</v>
      </c>
      <c r="D856" t="e">
        <f t="shared" ca="1" si="55"/>
        <v>#N/A</v>
      </c>
      <c r="E856" t="e">
        <f t="shared" ca="1" si="56"/>
        <v>#N/A</v>
      </c>
      <c r="F856" t="e">
        <f t="shared" ca="1" si="57"/>
        <v>#N/A</v>
      </c>
    </row>
    <row r="857" spans="3:6" x14ac:dyDescent="0.25">
      <c r="C857" t="e">
        <f t="shared" ca="1" si="54"/>
        <v>#N/A</v>
      </c>
      <c r="D857" t="e">
        <f t="shared" ca="1" si="55"/>
        <v>#N/A</v>
      </c>
      <c r="E857" t="e">
        <f t="shared" ca="1" si="56"/>
        <v>#N/A</v>
      </c>
      <c r="F857" t="e">
        <f t="shared" ca="1" si="57"/>
        <v>#N/A</v>
      </c>
    </row>
    <row r="858" spans="3:6" x14ac:dyDescent="0.25">
      <c r="C858" t="e">
        <f t="shared" ca="1" si="54"/>
        <v>#N/A</v>
      </c>
      <c r="D858" t="e">
        <f t="shared" ca="1" si="55"/>
        <v>#N/A</v>
      </c>
      <c r="E858" t="e">
        <f t="shared" ca="1" si="56"/>
        <v>#N/A</v>
      </c>
      <c r="F858" t="e">
        <f t="shared" ca="1" si="57"/>
        <v>#N/A</v>
      </c>
    </row>
    <row r="859" spans="3:6" x14ac:dyDescent="0.25">
      <c r="C859" t="e">
        <f t="shared" ca="1" si="54"/>
        <v>#N/A</v>
      </c>
      <c r="D859" t="e">
        <f t="shared" ca="1" si="55"/>
        <v>#N/A</v>
      </c>
      <c r="E859" t="e">
        <f t="shared" ca="1" si="56"/>
        <v>#N/A</v>
      </c>
      <c r="F859" t="e">
        <f t="shared" ca="1" si="57"/>
        <v>#N/A</v>
      </c>
    </row>
    <row r="860" spans="3:6" x14ac:dyDescent="0.25">
      <c r="C860" t="e">
        <f t="shared" ca="1" si="54"/>
        <v>#N/A</v>
      </c>
      <c r="D860" t="e">
        <f t="shared" ca="1" si="55"/>
        <v>#N/A</v>
      </c>
      <c r="E860" t="e">
        <f t="shared" ca="1" si="56"/>
        <v>#N/A</v>
      </c>
      <c r="F860" t="e">
        <f t="shared" ca="1" si="57"/>
        <v>#N/A</v>
      </c>
    </row>
    <row r="861" spans="3:6" x14ac:dyDescent="0.25">
      <c r="C861" t="e">
        <f t="shared" ca="1" si="54"/>
        <v>#N/A</v>
      </c>
      <c r="D861" t="e">
        <f t="shared" ca="1" si="55"/>
        <v>#N/A</v>
      </c>
      <c r="E861" t="e">
        <f t="shared" ca="1" si="56"/>
        <v>#N/A</v>
      </c>
      <c r="F861" t="e">
        <f t="shared" ca="1" si="57"/>
        <v>#N/A</v>
      </c>
    </row>
    <row r="862" spans="3:6" x14ac:dyDescent="0.25">
      <c r="C862" t="e">
        <f t="shared" ca="1" si="54"/>
        <v>#N/A</v>
      </c>
      <c r="D862" t="e">
        <f t="shared" ca="1" si="55"/>
        <v>#N/A</v>
      </c>
      <c r="E862" t="e">
        <f t="shared" ca="1" si="56"/>
        <v>#N/A</v>
      </c>
      <c r="F862" t="e">
        <f t="shared" ca="1" si="57"/>
        <v>#N/A</v>
      </c>
    </row>
    <row r="863" spans="3:6" x14ac:dyDescent="0.25">
      <c r="C863" t="e">
        <f t="shared" ca="1" si="54"/>
        <v>#N/A</v>
      </c>
      <c r="D863" t="e">
        <f t="shared" ca="1" si="55"/>
        <v>#N/A</v>
      </c>
      <c r="E863" t="e">
        <f t="shared" ca="1" si="56"/>
        <v>#N/A</v>
      </c>
      <c r="F863" t="e">
        <f t="shared" ca="1" si="57"/>
        <v>#N/A</v>
      </c>
    </row>
    <row r="864" spans="3:6" x14ac:dyDescent="0.25">
      <c r="C864" t="e">
        <f t="shared" ca="1" si="54"/>
        <v>#N/A</v>
      </c>
      <c r="D864" t="e">
        <f t="shared" ca="1" si="55"/>
        <v>#N/A</v>
      </c>
      <c r="E864" t="e">
        <f t="shared" ca="1" si="56"/>
        <v>#N/A</v>
      </c>
      <c r="F864" t="e">
        <f t="shared" ca="1" si="57"/>
        <v>#N/A</v>
      </c>
    </row>
    <row r="865" spans="3:6" x14ac:dyDescent="0.25">
      <c r="C865" t="e">
        <f t="shared" ca="1" si="54"/>
        <v>#N/A</v>
      </c>
      <c r="D865" t="e">
        <f t="shared" ca="1" si="55"/>
        <v>#N/A</v>
      </c>
      <c r="E865" t="e">
        <f t="shared" ca="1" si="56"/>
        <v>#N/A</v>
      </c>
      <c r="F865" t="e">
        <f t="shared" ca="1" si="57"/>
        <v>#N/A</v>
      </c>
    </row>
    <row r="866" spans="3:6" x14ac:dyDescent="0.25">
      <c r="C866" t="e">
        <f t="shared" ca="1" si="54"/>
        <v>#N/A</v>
      </c>
      <c r="D866" t="e">
        <f t="shared" ca="1" si="55"/>
        <v>#N/A</v>
      </c>
      <c r="E866" t="e">
        <f t="shared" ca="1" si="56"/>
        <v>#N/A</v>
      </c>
      <c r="F866" t="e">
        <f t="shared" ca="1" si="57"/>
        <v>#N/A</v>
      </c>
    </row>
    <row r="867" spans="3:6" x14ac:dyDescent="0.25">
      <c r="C867" t="e">
        <f t="shared" ca="1" si="54"/>
        <v>#N/A</v>
      </c>
      <c r="D867" t="e">
        <f t="shared" ca="1" si="55"/>
        <v>#N/A</v>
      </c>
      <c r="E867" t="e">
        <f t="shared" ca="1" si="56"/>
        <v>#N/A</v>
      </c>
      <c r="F867" t="e">
        <f t="shared" ca="1" si="57"/>
        <v>#N/A</v>
      </c>
    </row>
    <row r="868" spans="3:6" x14ac:dyDescent="0.25">
      <c r="C868" t="e">
        <f t="shared" ca="1" si="54"/>
        <v>#N/A</v>
      </c>
      <c r="D868" t="e">
        <f t="shared" ca="1" si="55"/>
        <v>#N/A</v>
      </c>
      <c r="E868" t="e">
        <f t="shared" ca="1" si="56"/>
        <v>#N/A</v>
      </c>
      <c r="F868" t="e">
        <f t="shared" ca="1" si="57"/>
        <v>#N/A</v>
      </c>
    </row>
    <row r="869" spans="3:6" x14ac:dyDescent="0.25">
      <c r="C869" t="e">
        <f t="shared" ca="1" si="54"/>
        <v>#N/A</v>
      </c>
      <c r="D869" t="e">
        <f t="shared" ca="1" si="55"/>
        <v>#N/A</v>
      </c>
      <c r="E869" t="e">
        <f t="shared" ca="1" si="56"/>
        <v>#N/A</v>
      </c>
      <c r="F869" t="e">
        <f t="shared" ca="1" si="57"/>
        <v>#N/A</v>
      </c>
    </row>
    <row r="870" spans="3:6" x14ac:dyDescent="0.25">
      <c r="C870" t="e">
        <f t="shared" ca="1" si="54"/>
        <v>#N/A</v>
      </c>
      <c r="D870" t="e">
        <f t="shared" ca="1" si="55"/>
        <v>#N/A</v>
      </c>
      <c r="E870" t="e">
        <f t="shared" ca="1" si="56"/>
        <v>#N/A</v>
      </c>
      <c r="F870" t="e">
        <f t="shared" ca="1" si="57"/>
        <v>#N/A</v>
      </c>
    </row>
    <row r="871" spans="3:6" x14ac:dyDescent="0.25">
      <c r="C871" t="e">
        <f t="shared" ca="1" si="54"/>
        <v>#N/A</v>
      </c>
      <c r="D871" t="e">
        <f t="shared" ca="1" si="55"/>
        <v>#N/A</v>
      </c>
      <c r="E871" t="e">
        <f t="shared" ca="1" si="56"/>
        <v>#N/A</v>
      </c>
      <c r="F871" t="e">
        <f t="shared" ca="1" si="57"/>
        <v>#N/A</v>
      </c>
    </row>
    <row r="872" spans="3:6" x14ac:dyDescent="0.25">
      <c r="C872" t="e">
        <f t="shared" ca="1" si="54"/>
        <v>#N/A</v>
      </c>
      <c r="D872" t="e">
        <f t="shared" ca="1" si="55"/>
        <v>#N/A</v>
      </c>
      <c r="E872" t="e">
        <f t="shared" ca="1" si="56"/>
        <v>#N/A</v>
      </c>
      <c r="F872" t="e">
        <f t="shared" ca="1" si="57"/>
        <v>#N/A</v>
      </c>
    </row>
    <row r="873" spans="3:6" x14ac:dyDescent="0.25">
      <c r="C873" t="e">
        <f t="shared" ca="1" si="54"/>
        <v>#N/A</v>
      </c>
      <c r="D873" t="e">
        <f t="shared" ca="1" si="55"/>
        <v>#N/A</v>
      </c>
      <c r="E873" t="e">
        <f t="shared" ca="1" si="56"/>
        <v>#N/A</v>
      </c>
      <c r="F873" t="e">
        <f t="shared" ca="1" si="57"/>
        <v>#N/A</v>
      </c>
    </row>
    <row r="874" spans="3:6" x14ac:dyDescent="0.25">
      <c r="C874" t="e">
        <f t="shared" ca="1" si="54"/>
        <v>#N/A</v>
      </c>
      <c r="D874" t="e">
        <f t="shared" ca="1" si="55"/>
        <v>#N/A</v>
      </c>
      <c r="E874" t="e">
        <f t="shared" ca="1" si="56"/>
        <v>#N/A</v>
      </c>
      <c r="F874" t="e">
        <f t="shared" ca="1" si="57"/>
        <v>#N/A</v>
      </c>
    </row>
    <row r="875" spans="3:6" x14ac:dyDescent="0.25">
      <c r="C875" t="e">
        <f t="shared" ca="1" si="54"/>
        <v>#N/A</v>
      </c>
      <c r="D875" t="e">
        <f t="shared" ca="1" si="55"/>
        <v>#N/A</v>
      </c>
      <c r="E875" t="e">
        <f t="shared" ca="1" si="56"/>
        <v>#N/A</v>
      </c>
      <c r="F875" t="e">
        <f t="shared" ca="1" si="57"/>
        <v>#N/A</v>
      </c>
    </row>
    <row r="876" spans="3:6" x14ac:dyDescent="0.25">
      <c r="C876" t="e">
        <f t="shared" ca="1" si="54"/>
        <v>#N/A</v>
      </c>
      <c r="D876" t="e">
        <f t="shared" ca="1" si="55"/>
        <v>#N/A</v>
      </c>
      <c r="E876" t="e">
        <f t="shared" ca="1" si="56"/>
        <v>#N/A</v>
      </c>
      <c r="F876" t="e">
        <f t="shared" ca="1" si="57"/>
        <v>#N/A</v>
      </c>
    </row>
    <row r="877" spans="3:6" x14ac:dyDescent="0.25">
      <c r="C877" t="e">
        <f t="shared" ca="1" si="54"/>
        <v>#N/A</v>
      </c>
      <c r="D877" t="e">
        <f t="shared" ca="1" si="55"/>
        <v>#N/A</v>
      </c>
      <c r="E877" t="e">
        <f t="shared" ca="1" si="56"/>
        <v>#N/A</v>
      </c>
      <c r="F877" t="e">
        <f t="shared" ca="1" si="57"/>
        <v>#N/A</v>
      </c>
    </row>
    <row r="878" spans="3:6" x14ac:dyDescent="0.25">
      <c r="C878" t="e">
        <f t="shared" ca="1" si="54"/>
        <v>#N/A</v>
      </c>
      <c r="D878" t="e">
        <f t="shared" ca="1" si="55"/>
        <v>#N/A</v>
      </c>
      <c r="E878" t="e">
        <f t="shared" ca="1" si="56"/>
        <v>#N/A</v>
      </c>
      <c r="F878" t="e">
        <f t="shared" ca="1" si="57"/>
        <v>#N/A</v>
      </c>
    </row>
    <row r="879" spans="3:6" x14ac:dyDescent="0.25">
      <c r="C879" t="e">
        <f t="shared" ca="1" si="54"/>
        <v>#N/A</v>
      </c>
      <c r="D879" t="e">
        <f t="shared" ca="1" si="55"/>
        <v>#N/A</v>
      </c>
      <c r="E879" t="e">
        <f t="shared" ca="1" si="56"/>
        <v>#N/A</v>
      </c>
      <c r="F879" t="e">
        <f t="shared" ca="1" si="57"/>
        <v>#N/A</v>
      </c>
    </row>
    <row r="880" spans="3:6" x14ac:dyDescent="0.25">
      <c r="C880" t="e">
        <f t="shared" ca="1" si="54"/>
        <v>#N/A</v>
      </c>
      <c r="D880" t="e">
        <f t="shared" ca="1" si="55"/>
        <v>#N/A</v>
      </c>
      <c r="E880" t="e">
        <f t="shared" ca="1" si="56"/>
        <v>#N/A</v>
      </c>
      <c r="F880" t="e">
        <f t="shared" ca="1" si="57"/>
        <v>#N/A</v>
      </c>
    </row>
    <row r="881" spans="3:6" x14ac:dyDescent="0.25">
      <c r="C881" t="e">
        <f t="shared" ca="1" si="54"/>
        <v>#N/A</v>
      </c>
      <c r="D881" t="e">
        <f t="shared" ca="1" si="55"/>
        <v>#N/A</v>
      </c>
      <c r="E881" t="e">
        <f t="shared" ca="1" si="56"/>
        <v>#N/A</v>
      </c>
      <c r="F881" t="e">
        <f t="shared" ca="1" si="57"/>
        <v>#N/A</v>
      </c>
    </row>
    <row r="882" spans="3:6" x14ac:dyDescent="0.25">
      <c r="C882" t="e">
        <f t="shared" ca="1" si="54"/>
        <v>#N/A</v>
      </c>
      <c r="D882" t="e">
        <f t="shared" ca="1" si="55"/>
        <v>#N/A</v>
      </c>
      <c r="E882" t="e">
        <f t="shared" ca="1" si="56"/>
        <v>#N/A</v>
      </c>
      <c r="F882" t="e">
        <f t="shared" ca="1" si="57"/>
        <v>#N/A</v>
      </c>
    </row>
    <row r="883" spans="3:6" x14ac:dyDescent="0.25">
      <c r="C883" t="e">
        <f t="shared" ca="1" si="54"/>
        <v>#N/A</v>
      </c>
      <c r="D883" t="e">
        <f t="shared" ca="1" si="55"/>
        <v>#N/A</v>
      </c>
      <c r="E883" t="e">
        <f t="shared" ca="1" si="56"/>
        <v>#N/A</v>
      </c>
      <c r="F883" t="e">
        <f t="shared" ca="1" si="57"/>
        <v>#N/A</v>
      </c>
    </row>
    <row r="884" spans="3:6" x14ac:dyDescent="0.25">
      <c r="C884" t="e">
        <f t="shared" ca="1" si="54"/>
        <v>#N/A</v>
      </c>
      <c r="D884" t="e">
        <f t="shared" ca="1" si="55"/>
        <v>#N/A</v>
      </c>
      <c r="E884" t="e">
        <f t="shared" ca="1" si="56"/>
        <v>#N/A</v>
      </c>
      <c r="F884" t="e">
        <f t="shared" ca="1" si="57"/>
        <v>#N/A</v>
      </c>
    </row>
    <row r="885" spans="3:6" x14ac:dyDescent="0.25">
      <c r="C885" t="e">
        <f t="shared" ca="1" si="54"/>
        <v>#N/A</v>
      </c>
      <c r="D885" t="e">
        <f t="shared" ca="1" si="55"/>
        <v>#N/A</v>
      </c>
      <c r="E885" t="e">
        <f t="shared" ca="1" si="56"/>
        <v>#N/A</v>
      </c>
      <c r="F885" t="e">
        <f t="shared" ca="1" si="57"/>
        <v>#N/A</v>
      </c>
    </row>
    <row r="886" spans="3:6" x14ac:dyDescent="0.25">
      <c r="C886" t="e">
        <f t="shared" ca="1" si="54"/>
        <v>#N/A</v>
      </c>
      <c r="D886" t="e">
        <f t="shared" ca="1" si="55"/>
        <v>#N/A</v>
      </c>
      <c r="E886" t="e">
        <f t="shared" ca="1" si="56"/>
        <v>#N/A</v>
      </c>
      <c r="F886" t="e">
        <f t="shared" ca="1" si="57"/>
        <v>#N/A</v>
      </c>
    </row>
    <row r="887" spans="3:6" x14ac:dyDescent="0.25">
      <c r="C887" t="e">
        <f t="shared" ca="1" si="54"/>
        <v>#N/A</v>
      </c>
      <c r="D887" t="e">
        <f t="shared" ca="1" si="55"/>
        <v>#N/A</v>
      </c>
      <c r="E887" t="e">
        <f t="shared" ca="1" si="56"/>
        <v>#N/A</v>
      </c>
      <c r="F887" t="e">
        <f t="shared" ca="1" si="57"/>
        <v>#N/A</v>
      </c>
    </row>
    <row r="888" spans="3:6" x14ac:dyDescent="0.25">
      <c r="C888" t="e">
        <f t="shared" ca="1" si="54"/>
        <v>#N/A</v>
      </c>
      <c r="D888" t="e">
        <f t="shared" ca="1" si="55"/>
        <v>#N/A</v>
      </c>
      <c r="E888" t="e">
        <f t="shared" ca="1" si="56"/>
        <v>#N/A</v>
      </c>
      <c r="F888" t="e">
        <f t="shared" ca="1" si="57"/>
        <v>#N/A</v>
      </c>
    </row>
    <row r="889" spans="3:6" x14ac:dyDescent="0.25">
      <c r="C889" t="e">
        <f t="shared" ca="1" si="54"/>
        <v>#N/A</v>
      </c>
      <c r="D889" t="e">
        <f t="shared" ca="1" si="55"/>
        <v>#N/A</v>
      </c>
      <c r="E889" t="e">
        <f t="shared" ca="1" si="56"/>
        <v>#N/A</v>
      </c>
      <c r="F889" t="e">
        <f t="shared" ca="1" si="57"/>
        <v>#N/A</v>
      </c>
    </row>
    <row r="890" spans="3:6" x14ac:dyDescent="0.25">
      <c r="C890" t="e">
        <f t="shared" ca="1" si="54"/>
        <v>#N/A</v>
      </c>
      <c r="D890" t="e">
        <f t="shared" ca="1" si="55"/>
        <v>#N/A</v>
      </c>
      <c r="E890" t="e">
        <f t="shared" ca="1" si="56"/>
        <v>#N/A</v>
      </c>
      <c r="F890" t="e">
        <f t="shared" ca="1" si="57"/>
        <v>#N/A</v>
      </c>
    </row>
    <row r="891" spans="3:6" x14ac:dyDescent="0.25">
      <c r="C891" t="e">
        <f t="shared" ca="1" si="54"/>
        <v>#N/A</v>
      </c>
      <c r="D891" t="e">
        <f t="shared" ca="1" si="55"/>
        <v>#N/A</v>
      </c>
      <c r="E891" t="e">
        <f t="shared" ca="1" si="56"/>
        <v>#N/A</v>
      </c>
      <c r="F891" t="e">
        <f t="shared" ca="1" si="57"/>
        <v>#N/A</v>
      </c>
    </row>
    <row r="892" spans="3:6" x14ac:dyDescent="0.25">
      <c r="C892" t="e">
        <f t="shared" ca="1" si="54"/>
        <v>#N/A</v>
      </c>
      <c r="D892" t="e">
        <f t="shared" ca="1" si="55"/>
        <v>#N/A</v>
      </c>
      <c r="E892" t="e">
        <f t="shared" ca="1" si="56"/>
        <v>#N/A</v>
      </c>
      <c r="F892" t="e">
        <f t="shared" ca="1" si="57"/>
        <v>#N/A</v>
      </c>
    </row>
    <row r="893" spans="3:6" x14ac:dyDescent="0.25">
      <c r="C893" t="e">
        <f t="shared" ca="1" si="54"/>
        <v>#N/A</v>
      </c>
      <c r="D893" t="e">
        <f t="shared" ca="1" si="55"/>
        <v>#N/A</v>
      </c>
      <c r="E893" t="e">
        <f t="shared" ca="1" si="56"/>
        <v>#N/A</v>
      </c>
      <c r="F893" t="e">
        <f t="shared" ca="1" si="57"/>
        <v>#N/A</v>
      </c>
    </row>
    <row r="894" spans="3:6" x14ac:dyDescent="0.25">
      <c r="C894" t="e">
        <f t="shared" ca="1" si="54"/>
        <v>#N/A</v>
      </c>
      <c r="D894" t="e">
        <f t="shared" ca="1" si="55"/>
        <v>#N/A</v>
      </c>
      <c r="E894" t="e">
        <f t="shared" ca="1" si="56"/>
        <v>#N/A</v>
      </c>
      <c r="F894" t="e">
        <f t="shared" ca="1" si="57"/>
        <v>#N/A</v>
      </c>
    </row>
    <row r="895" spans="3:6" x14ac:dyDescent="0.25">
      <c r="C895" t="e">
        <f t="shared" ca="1" si="54"/>
        <v>#N/A</v>
      </c>
      <c r="D895" t="e">
        <f t="shared" ca="1" si="55"/>
        <v>#N/A</v>
      </c>
      <c r="E895" t="e">
        <f t="shared" ca="1" si="56"/>
        <v>#N/A</v>
      </c>
      <c r="F895" t="e">
        <f t="shared" ca="1" si="57"/>
        <v>#N/A</v>
      </c>
    </row>
    <row r="896" spans="3:6" x14ac:dyDescent="0.25">
      <c r="C896" t="e">
        <f t="shared" ca="1" si="54"/>
        <v>#N/A</v>
      </c>
      <c r="D896" t="e">
        <f t="shared" ca="1" si="55"/>
        <v>#N/A</v>
      </c>
      <c r="E896" t="e">
        <f t="shared" ca="1" si="56"/>
        <v>#N/A</v>
      </c>
      <c r="F896" t="e">
        <f t="shared" ca="1" si="57"/>
        <v>#N/A</v>
      </c>
    </row>
    <row r="897" spans="3:6" x14ac:dyDescent="0.25">
      <c r="C897" t="e">
        <f t="shared" ca="1" si="54"/>
        <v>#N/A</v>
      </c>
      <c r="D897" t="e">
        <f t="shared" ca="1" si="55"/>
        <v>#N/A</v>
      </c>
      <c r="E897" t="e">
        <f t="shared" ca="1" si="56"/>
        <v>#N/A</v>
      </c>
      <c r="F897" t="e">
        <f t="shared" ca="1" si="57"/>
        <v>#N/A</v>
      </c>
    </row>
    <row r="898" spans="3:6" x14ac:dyDescent="0.25">
      <c r="C898" t="e">
        <f t="shared" ca="1" si="54"/>
        <v>#N/A</v>
      </c>
      <c r="D898" t="e">
        <f t="shared" ca="1" si="55"/>
        <v>#N/A</v>
      </c>
      <c r="E898" t="e">
        <f t="shared" ca="1" si="56"/>
        <v>#N/A</v>
      </c>
      <c r="F898" t="e">
        <f t="shared" ca="1" si="57"/>
        <v>#N/A</v>
      </c>
    </row>
    <row r="899" spans="3:6" x14ac:dyDescent="0.25">
      <c r="C899" t="e">
        <f t="shared" ca="1" si="54"/>
        <v>#N/A</v>
      </c>
      <c r="D899" t="e">
        <f t="shared" ca="1" si="55"/>
        <v>#N/A</v>
      </c>
      <c r="E899" t="e">
        <f t="shared" ca="1" si="56"/>
        <v>#N/A</v>
      </c>
      <c r="F899" t="e">
        <f t="shared" ca="1" si="57"/>
        <v>#N/A</v>
      </c>
    </row>
    <row r="900" spans="3:6" x14ac:dyDescent="0.25">
      <c r="C900" t="e">
        <f t="shared" ca="1" si="54"/>
        <v>#N/A</v>
      </c>
      <c r="D900" t="e">
        <f t="shared" ca="1" si="55"/>
        <v>#N/A</v>
      </c>
      <c r="E900" t="e">
        <f t="shared" ca="1" si="56"/>
        <v>#N/A</v>
      </c>
      <c r="F900" t="e">
        <f t="shared" ca="1" si="57"/>
        <v>#N/A</v>
      </c>
    </row>
    <row r="901" spans="3:6" x14ac:dyDescent="0.25">
      <c r="C901" t="e">
        <f t="shared" ca="1" si="54"/>
        <v>#N/A</v>
      </c>
      <c r="D901" t="e">
        <f t="shared" ca="1" si="55"/>
        <v>#N/A</v>
      </c>
      <c r="E901" t="e">
        <f t="shared" ca="1" si="56"/>
        <v>#N/A</v>
      </c>
      <c r="F901" t="e">
        <f t="shared" ca="1" si="57"/>
        <v>#N/A</v>
      </c>
    </row>
    <row r="902" spans="3:6" x14ac:dyDescent="0.25">
      <c r="C902" t="e">
        <f t="shared" ca="1" si="54"/>
        <v>#N/A</v>
      </c>
      <c r="D902" t="e">
        <f t="shared" ca="1" si="55"/>
        <v>#N/A</v>
      </c>
      <c r="E902" t="e">
        <f t="shared" ca="1" si="56"/>
        <v>#N/A</v>
      </c>
      <c r="F902" t="e">
        <f t="shared" ca="1" si="57"/>
        <v>#N/A</v>
      </c>
    </row>
    <row r="903" spans="3:6" x14ac:dyDescent="0.25">
      <c r="C903" t="e">
        <f t="shared" ca="1" si="54"/>
        <v>#N/A</v>
      </c>
      <c r="D903" t="e">
        <f t="shared" ca="1" si="55"/>
        <v>#N/A</v>
      </c>
      <c r="E903" t="e">
        <f t="shared" ca="1" si="56"/>
        <v>#N/A</v>
      </c>
      <c r="F903" t="e">
        <f t="shared" ca="1" si="57"/>
        <v>#N/A</v>
      </c>
    </row>
    <row r="904" spans="3:6" x14ac:dyDescent="0.25">
      <c r="C904" t="e">
        <f t="shared" ca="1" si="54"/>
        <v>#N/A</v>
      </c>
      <c r="D904" t="e">
        <f t="shared" ca="1" si="55"/>
        <v>#N/A</v>
      </c>
      <c r="E904" t="e">
        <f t="shared" ca="1" si="56"/>
        <v>#N/A</v>
      </c>
      <c r="F904" t="e">
        <f t="shared" ca="1" si="57"/>
        <v>#N/A</v>
      </c>
    </row>
    <row r="905" spans="3:6" x14ac:dyDescent="0.25">
      <c r="C905" t="e">
        <f t="shared" ca="1" si="54"/>
        <v>#N/A</v>
      </c>
      <c r="D905" t="e">
        <f t="shared" ca="1" si="55"/>
        <v>#N/A</v>
      </c>
      <c r="E905" t="e">
        <f t="shared" ca="1" si="56"/>
        <v>#N/A</v>
      </c>
      <c r="F905" t="e">
        <f t="shared" ca="1" si="57"/>
        <v>#N/A</v>
      </c>
    </row>
    <row r="906" spans="3:6" x14ac:dyDescent="0.25">
      <c r="C906" t="e">
        <f t="shared" ref="C906:C969" ca="1" si="58">$C$7</f>
        <v>#N/A</v>
      </c>
      <c r="D906" t="e">
        <f t="shared" ref="D906:D969" ca="1" si="59">$D$7</f>
        <v>#N/A</v>
      </c>
      <c r="E906" t="e">
        <f t="shared" ref="E906:E969" ca="1" si="60">IF($B907="",C$8,"")</f>
        <v>#N/A</v>
      </c>
      <c r="F906" t="e">
        <f t="shared" ref="F906:F969" ca="1" si="61">IF($B907="",D$8,"")</f>
        <v>#N/A</v>
      </c>
    </row>
    <row r="907" spans="3:6" x14ac:dyDescent="0.25">
      <c r="C907" t="e">
        <f t="shared" ca="1" si="58"/>
        <v>#N/A</v>
      </c>
      <c r="D907" t="e">
        <f t="shared" ca="1" si="59"/>
        <v>#N/A</v>
      </c>
      <c r="E907" t="e">
        <f t="shared" ca="1" si="60"/>
        <v>#N/A</v>
      </c>
      <c r="F907" t="e">
        <f t="shared" ca="1" si="61"/>
        <v>#N/A</v>
      </c>
    </row>
    <row r="908" spans="3:6" x14ac:dyDescent="0.25">
      <c r="C908" t="e">
        <f t="shared" ca="1" si="58"/>
        <v>#N/A</v>
      </c>
      <c r="D908" t="e">
        <f t="shared" ca="1" si="59"/>
        <v>#N/A</v>
      </c>
      <c r="E908" t="e">
        <f t="shared" ca="1" si="60"/>
        <v>#N/A</v>
      </c>
      <c r="F908" t="e">
        <f t="shared" ca="1" si="61"/>
        <v>#N/A</v>
      </c>
    </row>
    <row r="909" spans="3:6" x14ac:dyDescent="0.25">
      <c r="C909" t="e">
        <f t="shared" ca="1" si="58"/>
        <v>#N/A</v>
      </c>
      <c r="D909" t="e">
        <f t="shared" ca="1" si="59"/>
        <v>#N/A</v>
      </c>
      <c r="E909" t="e">
        <f t="shared" ca="1" si="60"/>
        <v>#N/A</v>
      </c>
      <c r="F909" t="e">
        <f t="shared" ca="1" si="61"/>
        <v>#N/A</v>
      </c>
    </row>
    <row r="910" spans="3:6" x14ac:dyDescent="0.25">
      <c r="C910" t="e">
        <f t="shared" ca="1" si="58"/>
        <v>#N/A</v>
      </c>
      <c r="D910" t="e">
        <f t="shared" ca="1" si="59"/>
        <v>#N/A</v>
      </c>
      <c r="E910" t="e">
        <f t="shared" ca="1" si="60"/>
        <v>#N/A</v>
      </c>
      <c r="F910" t="e">
        <f t="shared" ca="1" si="61"/>
        <v>#N/A</v>
      </c>
    </row>
    <row r="911" spans="3:6" x14ac:dyDescent="0.25">
      <c r="C911" t="e">
        <f t="shared" ca="1" si="58"/>
        <v>#N/A</v>
      </c>
      <c r="D911" t="e">
        <f t="shared" ca="1" si="59"/>
        <v>#N/A</v>
      </c>
      <c r="E911" t="e">
        <f t="shared" ca="1" si="60"/>
        <v>#N/A</v>
      </c>
      <c r="F911" t="e">
        <f t="shared" ca="1" si="61"/>
        <v>#N/A</v>
      </c>
    </row>
    <row r="912" spans="3:6" x14ac:dyDescent="0.25">
      <c r="C912" t="e">
        <f t="shared" ca="1" si="58"/>
        <v>#N/A</v>
      </c>
      <c r="D912" t="e">
        <f t="shared" ca="1" si="59"/>
        <v>#N/A</v>
      </c>
      <c r="E912" t="e">
        <f t="shared" ca="1" si="60"/>
        <v>#N/A</v>
      </c>
      <c r="F912" t="e">
        <f t="shared" ca="1" si="61"/>
        <v>#N/A</v>
      </c>
    </row>
    <row r="913" spans="3:6" x14ac:dyDescent="0.25">
      <c r="C913" t="e">
        <f t="shared" ca="1" si="58"/>
        <v>#N/A</v>
      </c>
      <c r="D913" t="e">
        <f t="shared" ca="1" si="59"/>
        <v>#N/A</v>
      </c>
      <c r="E913" t="e">
        <f t="shared" ca="1" si="60"/>
        <v>#N/A</v>
      </c>
      <c r="F913" t="e">
        <f t="shared" ca="1" si="61"/>
        <v>#N/A</v>
      </c>
    </row>
    <row r="914" spans="3:6" x14ac:dyDescent="0.25">
      <c r="C914" t="e">
        <f t="shared" ca="1" si="58"/>
        <v>#N/A</v>
      </c>
      <c r="D914" t="e">
        <f t="shared" ca="1" si="59"/>
        <v>#N/A</v>
      </c>
      <c r="E914" t="e">
        <f t="shared" ca="1" si="60"/>
        <v>#N/A</v>
      </c>
      <c r="F914" t="e">
        <f t="shared" ca="1" si="61"/>
        <v>#N/A</v>
      </c>
    </row>
    <row r="915" spans="3:6" x14ac:dyDescent="0.25">
      <c r="C915" t="e">
        <f t="shared" ca="1" si="58"/>
        <v>#N/A</v>
      </c>
      <c r="D915" t="e">
        <f t="shared" ca="1" si="59"/>
        <v>#N/A</v>
      </c>
      <c r="E915" t="e">
        <f t="shared" ca="1" si="60"/>
        <v>#N/A</v>
      </c>
      <c r="F915" t="e">
        <f t="shared" ca="1" si="61"/>
        <v>#N/A</v>
      </c>
    </row>
    <row r="916" spans="3:6" x14ac:dyDescent="0.25">
      <c r="C916" t="e">
        <f t="shared" ca="1" si="58"/>
        <v>#N/A</v>
      </c>
      <c r="D916" t="e">
        <f t="shared" ca="1" si="59"/>
        <v>#N/A</v>
      </c>
      <c r="E916" t="e">
        <f t="shared" ca="1" si="60"/>
        <v>#N/A</v>
      </c>
      <c r="F916" t="e">
        <f t="shared" ca="1" si="61"/>
        <v>#N/A</v>
      </c>
    </row>
    <row r="917" spans="3:6" x14ac:dyDescent="0.25">
      <c r="C917" t="e">
        <f t="shared" ca="1" si="58"/>
        <v>#N/A</v>
      </c>
      <c r="D917" t="e">
        <f t="shared" ca="1" si="59"/>
        <v>#N/A</v>
      </c>
      <c r="E917" t="e">
        <f t="shared" ca="1" si="60"/>
        <v>#N/A</v>
      </c>
      <c r="F917" t="e">
        <f t="shared" ca="1" si="61"/>
        <v>#N/A</v>
      </c>
    </row>
    <row r="918" spans="3:6" x14ac:dyDescent="0.25">
      <c r="C918" t="e">
        <f t="shared" ca="1" si="58"/>
        <v>#N/A</v>
      </c>
      <c r="D918" t="e">
        <f t="shared" ca="1" si="59"/>
        <v>#N/A</v>
      </c>
      <c r="E918" t="e">
        <f t="shared" ca="1" si="60"/>
        <v>#N/A</v>
      </c>
      <c r="F918" t="e">
        <f t="shared" ca="1" si="61"/>
        <v>#N/A</v>
      </c>
    </row>
    <row r="919" spans="3:6" x14ac:dyDescent="0.25">
      <c r="C919" t="e">
        <f t="shared" ca="1" si="58"/>
        <v>#N/A</v>
      </c>
      <c r="D919" t="e">
        <f t="shared" ca="1" si="59"/>
        <v>#N/A</v>
      </c>
      <c r="E919" t="e">
        <f t="shared" ca="1" si="60"/>
        <v>#N/A</v>
      </c>
      <c r="F919" t="e">
        <f t="shared" ca="1" si="61"/>
        <v>#N/A</v>
      </c>
    </row>
    <row r="920" spans="3:6" x14ac:dyDescent="0.25">
      <c r="C920" t="e">
        <f t="shared" ca="1" si="58"/>
        <v>#N/A</v>
      </c>
      <c r="D920" t="e">
        <f t="shared" ca="1" si="59"/>
        <v>#N/A</v>
      </c>
      <c r="E920" t="e">
        <f t="shared" ca="1" si="60"/>
        <v>#N/A</v>
      </c>
      <c r="F920" t="e">
        <f t="shared" ca="1" si="61"/>
        <v>#N/A</v>
      </c>
    </row>
    <row r="921" spans="3:6" x14ac:dyDescent="0.25">
      <c r="C921" t="e">
        <f t="shared" ca="1" si="58"/>
        <v>#N/A</v>
      </c>
      <c r="D921" t="e">
        <f t="shared" ca="1" si="59"/>
        <v>#N/A</v>
      </c>
      <c r="E921" t="e">
        <f t="shared" ca="1" si="60"/>
        <v>#N/A</v>
      </c>
      <c r="F921" t="e">
        <f t="shared" ca="1" si="61"/>
        <v>#N/A</v>
      </c>
    </row>
    <row r="922" spans="3:6" x14ac:dyDescent="0.25">
      <c r="C922" t="e">
        <f t="shared" ca="1" si="58"/>
        <v>#N/A</v>
      </c>
      <c r="D922" t="e">
        <f t="shared" ca="1" si="59"/>
        <v>#N/A</v>
      </c>
      <c r="E922" t="e">
        <f t="shared" ca="1" si="60"/>
        <v>#N/A</v>
      </c>
      <c r="F922" t="e">
        <f t="shared" ca="1" si="61"/>
        <v>#N/A</v>
      </c>
    </row>
    <row r="923" spans="3:6" x14ac:dyDescent="0.25">
      <c r="C923" t="e">
        <f t="shared" ca="1" si="58"/>
        <v>#N/A</v>
      </c>
      <c r="D923" t="e">
        <f t="shared" ca="1" si="59"/>
        <v>#N/A</v>
      </c>
      <c r="E923" t="e">
        <f t="shared" ca="1" si="60"/>
        <v>#N/A</v>
      </c>
      <c r="F923" t="e">
        <f t="shared" ca="1" si="61"/>
        <v>#N/A</v>
      </c>
    </row>
    <row r="924" spans="3:6" x14ac:dyDescent="0.25">
      <c r="C924" t="e">
        <f t="shared" ca="1" si="58"/>
        <v>#N/A</v>
      </c>
      <c r="D924" t="e">
        <f t="shared" ca="1" si="59"/>
        <v>#N/A</v>
      </c>
      <c r="E924" t="e">
        <f t="shared" ca="1" si="60"/>
        <v>#N/A</v>
      </c>
      <c r="F924" t="e">
        <f t="shared" ca="1" si="61"/>
        <v>#N/A</v>
      </c>
    </row>
    <row r="925" spans="3:6" x14ac:dyDescent="0.25">
      <c r="C925" t="e">
        <f t="shared" ca="1" si="58"/>
        <v>#N/A</v>
      </c>
      <c r="D925" t="e">
        <f t="shared" ca="1" si="59"/>
        <v>#N/A</v>
      </c>
      <c r="E925" t="e">
        <f t="shared" ca="1" si="60"/>
        <v>#N/A</v>
      </c>
      <c r="F925" t="e">
        <f t="shared" ca="1" si="61"/>
        <v>#N/A</v>
      </c>
    </row>
    <row r="926" spans="3:6" x14ac:dyDescent="0.25">
      <c r="C926" t="e">
        <f t="shared" ca="1" si="58"/>
        <v>#N/A</v>
      </c>
      <c r="D926" t="e">
        <f t="shared" ca="1" si="59"/>
        <v>#N/A</v>
      </c>
      <c r="E926" t="e">
        <f t="shared" ca="1" si="60"/>
        <v>#N/A</v>
      </c>
      <c r="F926" t="e">
        <f t="shared" ca="1" si="61"/>
        <v>#N/A</v>
      </c>
    </row>
    <row r="927" spans="3:6" x14ac:dyDescent="0.25">
      <c r="C927" t="e">
        <f t="shared" ca="1" si="58"/>
        <v>#N/A</v>
      </c>
      <c r="D927" t="e">
        <f t="shared" ca="1" si="59"/>
        <v>#N/A</v>
      </c>
      <c r="E927" t="e">
        <f t="shared" ca="1" si="60"/>
        <v>#N/A</v>
      </c>
      <c r="F927" t="e">
        <f t="shared" ca="1" si="61"/>
        <v>#N/A</v>
      </c>
    </row>
    <row r="928" spans="3:6" x14ac:dyDescent="0.25">
      <c r="C928" t="e">
        <f t="shared" ca="1" si="58"/>
        <v>#N/A</v>
      </c>
      <c r="D928" t="e">
        <f t="shared" ca="1" si="59"/>
        <v>#N/A</v>
      </c>
      <c r="E928" t="e">
        <f t="shared" ca="1" si="60"/>
        <v>#N/A</v>
      </c>
      <c r="F928" t="e">
        <f t="shared" ca="1" si="61"/>
        <v>#N/A</v>
      </c>
    </row>
    <row r="929" spans="3:6" x14ac:dyDescent="0.25">
      <c r="C929" t="e">
        <f t="shared" ca="1" si="58"/>
        <v>#N/A</v>
      </c>
      <c r="D929" t="e">
        <f t="shared" ca="1" si="59"/>
        <v>#N/A</v>
      </c>
      <c r="E929" t="e">
        <f t="shared" ca="1" si="60"/>
        <v>#N/A</v>
      </c>
      <c r="F929" t="e">
        <f t="shared" ca="1" si="61"/>
        <v>#N/A</v>
      </c>
    </row>
    <row r="930" spans="3:6" x14ac:dyDescent="0.25">
      <c r="C930" t="e">
        <f t="shared" ca="1" si="58"/>
        <v>#N/A</v>
      </c>
      <c r="D930" t="e">
        <f t="shared" ca="1" si="59"/>
        <v>#N/A</v>
      </c>
      <c r="E930" t="e">
        <f t="shared" ca="1" si="60"/>
        <v>#N/A</v>
      </c>
      <c r="F930" t="e">
        <f t="shared" ca="1" si="61"/>
        <v>#N/A</v>
      </c>
    </row>
    <row r="931" spans="3:6" x14ac:dyDescent="0.25">
      <c r="C931" t="e">
        <f t="shared" ca="1" si="58"/>
        <v>#N/A</v>
      </c>
      <c r="D931" t="e">
        <f t="shared" ca="1" si="59"/>
        <v>#N/A</v>
      </c>
      <c r="E931" t="e">
        <f t="shared" ca="1" si="60"/>
        <v>#N/A</v>
      </c>
      <c r="F931" t="e">
        <f t="shared" ca="1" si="61"/>
        <v>#N/A</v>
      </c>
    </row>
    <row r="932" spans="3:6" x14ac:dyDescent="0.25">
      <c r="C932" t="e">
        <f t="shared" ca="1" si="58"/>
        <v>#N/A</v>
      </c>
      <c r="D932" t="e">
        <f t="shared" ca="1" si="59"/>
        <v>#N/A</v>
      </c>
      <c r="E932" t="e">
        <f t="shared" ca="1" si="60"/>
        <v>#N/A</v>
      </c>
      <c r="F932" t="e">
        <f t="shared" ca="1" si="61"/>
        <v>#N/A</v>
      </c>
    </row>
    <row r="933" spans="3:6" x14ac:dyDescent="0.25">
      <c r="C933" t="e">
        <f t="shared" ca="1" si="58"/>
        <v>#N/A</v>
      </c>
      <c r="D933" t="e">
        <f t="shared" ca="1" si="59"/>
        <v>#N/A</v>
      </c>
      <c r="E933" t="e">
        <f t="shared" ca="1" si="60"/>
        <v>#N/A</v>
      </c>
      <c r="F933" t="e">
        <f t="shared" ca="1" si="61"/>
        <v>#N/A</v>
      </c>
    </row>
    <row r="934" spans="3:6" x14ac:dyDescent="0.25">
      <c r="C934" t="e">
        <f t="shared" ca="1" si="58"/>
        <v>#N/A</v>
      </c>
      <c r="D934" t="e">
        <f t="shared" ca="1" si="59"/>
        <v>#N/A</v>
      </c>
      <c r="E934" t="e">
        <f t="shared" ca="1" si="60"/>
        <v>#N/A</v>
      </c>
      <c r="F934" t="e">
        <f t="shared" ca="1" si="61"/>
        <v>#N/A</v>
      </c>
    </row>
    <row r="935" spans="3:6" x14ac:dyDescent="0.25">
      <c r="C935" t="e">
        <f t="shared" ca="1" si="58"/>
        <v>#N/A</v>
      </c>
      <c r="D935" t="e">
        <f t="shared" ca="1" si="59"/>
        <v>#N/A</v>
      </c>
      <c r="E935" t="e">
        <f t="shared" ca="1" si="60"/>
        <v>#N/A</v>
      </c>
      <c r="F935" t="e">
        <f t="shared" ca="1" si="61"/>
        <v>#N/A</v>
      </c>
    </row>
    <row r="936" spans="3:6" x14ac:dyDescent="0.25">
      <c r="C936" t="e">
        <f t="shared" ca="1" si="58"/>
        <v>#N/A</v>
      </c>
      <c r="D936" t="e">
        <f t="shared" ca="1" si="59"/>
        <v>#N/A</v>
      </c>
      <c r="E936" t="e">
        <f t="shared" ca="1" si="60"/>
        <v>#N/A</v>
      </c>
      <c r="F936" t="e">
        <f t="shared" ca="1" si="61"/>
        <v>#N/A</v>
      </c>
    </row>
    <row r="937" spans="3:6" x14ac:dyDescent="0.25">
      <c r="C937" t="e">
        <f t="shared" ca="1" si="58"/>
        <v>#N/A</v>
      </c>
      <c r="D937" t="e">
        <f t="shared" ca="1" si="59"/>
        <v>#N/A</v>
      </c>
      <c r="E937" t="e">
        <f t="shared" ca="1" si="60"/>
        <v>#N/A</v>
      </c>
      <c r="F937" t="e">
        <f t="shared" ca="1" si="61"/>
        <v>#N/A</v>
      </c>
    </row>
    <row r="938" spans="3:6" x14ac:dyDescent="0.25">
      <c r="C938" t="e">
        <f t="shared" ca="1" si="58"/>
        <v>#N/A</v>
      </c>
      <c r="D938" t="e">
        <f t="shared" ca="1" si="59"/>
        <v>#N/A</v>
      </c>
      <c r="E938" t="e">
        <f t="shared" ca="1" si="60"/>
        <v>#N/A</v>
      </c>
      <c r="F938" t="e">
        <f t="shared" ca="1" si="61"/>
        <v>#N/A</v>
      </c>
    </row>
    <row r="939" spans="3:6" x14ac:dyDescent="0.25">
      <c r="C939" t="e">
        <f t="shared" ca="1" si="58"/>
        <v>#N/A</v>
      </c>
      <c r="D939" t="e">
        <f t="shared" ca="1" si="59"/>
        <v>#N/A</v>
      </c>
      <c r="E939" t="e">
        <f t="shared" ca="1" si="60"/>
        <v>#N/A</v>
      </c>
      <c r="F939" t="e">
        <f t="shared" ca="1" si="61"/>
        <v>#N/A</v>
      </c>
    </row>
    <row r="940" spans="3:6" x14ac:dyDescent="0.25">
      <c r="C940" t="e">
        <f t="shared" ca="1" si="58"/>
        <v>#N/A</v>
      </c>
      <c r="D940" t="e">
        <f t="shared" ca="1" si="59"/>
        <v>#N/A</v>
      </c>
      <c r="E940" t="e">
        <f t="shared" ca="1" si="60"/>
        <v>#N/A</v>
      </c>
      <c r="F940" t="e">
        <f t="shared" ca="1" si="61"/>
        <v>#N/A</v>
      </c>
    </row>
    <row r="941" spans="3:6" x14ac:dyDescent="0.25">
      <c r="C941" t="e">
        <f t="shared" ca="1" si="58"/>
        <v>#N/A</v>
      </c>
      <c r="D941" t="e">
        <f t="shared" ca="1" si="59"/>
        <v>#N/A</v>
      </c>
      <c r="E941" t="e">
        <f t="shared" ca="1" si="60"/>
        <v>#N/A</v>
      </c>
      <c r="F941" t="e">
        <f t="shared" ca="1" si="61"/>
        <v>#N/A</v>
      </c>
    </row>
    <row r="942" spans="3:6" x14ac:dyDescent="0.25">
      <c r="C942" t="e">
        <f t="shared" ca="1" si="58"/>
        <v>#N/A</v>
      </c>
      <c r="D942" t="e">
        <f t="shared" ca="1" si="59"/>
        <v>#N/A</v>
      </c>
      <c r="E942" t="e">
        <f t="shared" ca="1" si="60"/>
        <v>#N/A</v>
      </c>
      <c r="F942" t="e">
        <f t="shared" ca="1" si="61"/>
        <v>#N/A</v>
      </c>
    </row>
    <row r="943" spans="3:6" x14ac:dyDescent="0.25">
      <c r="C943" t="e">
        <f t="shared" ca="1" si="58"/>
        <v>#N/A</v>
      </c>
      <c r="D943" t="e">
        <f t="shared" ca="1" si="59"/>
        <v>#N/A</v>
      </c>
      <c r="E943" t="e">
        <f t="shared" ca="1" si="60"/>
        <v>#N/A</v>
      </c>
      <c r="F943" t="e">
        <f t="shared" ca="1" si="61"/>
        <v>#N/A</v>
      </c>
    </row>
    <row r="944" spans="3:6" x14ac:dyDescent="0.25">
      <c r="C944" t="e">
        <f t="shared" ca="1" si="58"/>
        <v>#N/A</v>
      </c>
      <c r="D944" t="e">
        <f t="shared" ca="1" si="59"/>
        <v>#N/A</v>
      </c>
      <c r="E944" t="e">
        <f t="shared" ca="1" si="60"/>
        <v>#N/A</v>
      </c>
      <c r="F944" t="e">
        <f t="shared" ca="1" si="61"/>
        <v>#N/A</v>
      </c>
    </row>
    <row r="945" spans="3:6" x14ac:dyDescent="0.25">
      <c r="C945" t="e">
        <f t="shared" ca="1" si="58"/>
        <v>#N/A</v>
      </c>
      <c r="D945" t="e">
        <f t="shared" ca="1" si="59"/>
        <v>#N/A</v>
      </c>
      <c r="E945" t="e">
        <f t="shared" ca="1" si="60"/>
        <v>#N/A</v>
      </c>
      <c r="F945" t="e">
        <f t="shared" ca="1" si="61"/>
        <v>#N/A</v>
      </c>
    </row>
    <row r="946" spans="3:6" x14ac:dyDescent="0.25">
      <c r="C946" t="e">
        <f t="shared" ca="1" si="58"/>
        <v>#N/A</v>
      </c>
      <c r="D946" t="e">
        <f t="shared" ca="1" si="59"/>
        <v>#N/A</v>
      </c>
      <c r="E946" t="e">
        <f t="shared" ca="1" si="60"/>
        <v>#N/A</v>
      </c>
      <c r="F946" t="e">
        <f t="shared" ca="1" si="61"/>
        <v>#N/A</v>
      </c>
    </row>
    <row r="947" spans="3:6" x14ac:dyDescent="0.25">
      <c r="C947" t="e">
        <f t="shared" ca="1" si="58"/>
        <v>#N/A</v>
      </c>
      <c r="D947" t="e">
        <f t="shared" ca="1" si="59"/>
        <v>#N/A</v>
      </c>
      <c r="E947" t="e">
        <f t="shared" ca="1" si="60"/>
        <v>#N/A</v>
      </c>
      <c r="F947" t="e">
        <f t="shared" ca="1" si="61"/>
        <v>#N/A</v>
      </c>
    </row>
    <row r="948" spans="3:6" x14ac:dyDescent="0.25">
      <c r="C948" t="e">
        <f t="shared" ca="1" si="58"/>
        <v>#N/A</v>
      </c>
      <c r="D948" t="e">
        <f t="shared" ca="1" si="59"/>
        <v>#N/A</v>
      </c>
      <c r="E948" t="e">
        <f t="shared" ca="1" si="60"/>
        <v>#N/A</v>
      </c>
      <c r="F948" t="e">
        <f t="shared" ca="1" si="61"/>
        <v>#N/A</v>
      </c>
    </row>
    <row r="949" spans="3:6" x14ac:dyDescent="0.25">
      <c r="C949" t="e">
        <f t="shared" ca="1" si="58"/>
        <v>#N/A</v>
      </c>
      <c r="D949" t="e">
        <f t="shared" ca="1" si="59"/>
        <v>#N/A</v>
      </c>
      <c r="E949" t="e">
        <f t="shared" ca="1" si="60"/>
        <v>#N/A</v>
      </c>
      <c r="F949" t="e">
        <f t="shared" ca="1" si="61"/>
        <v>#N/A</v>
      </c>
    </row>
    <row r="950" spans="3:6" x14ac:dyDescent="0.25">
      <c r="C950" t="e">
        <f t="shared" ca="1" si="58"/>
        <v>#N/A</v>
      </c>
      <c r="D950" t="e">
        <f t="shared" ca="1" si="59"/>
        <v>#N/A</v>
      </c>
      <c r="E950" t="e">
        <f t="shared" ca="1" si="60"/>
        <v>#N/A</v>
      </c>
      <c r="F950" t="e">
        <f t="shared" ca="1" si="61"/>
        <v>#N/A</v>
      </c>
    </row>
    <row r="951" spans="3:6" x14ac:dyDescent="0.25">
      <c r="C951" t="e">
        <f t="shared" ca="1" si="58"/>
        <v>#N/A</v>
      </c>
      <c r="D951" t="e">
        <f t="shared" ca="1" si="59"/>
        <v>#N/A</v>
      </c>
      <c r="E951" t="e">
        <f t="shared" ca="1" si="60"/>
        <v>#N/A</v>
      </c>
      <c r="F951" t="e">
        <f t="shared" ca="1" si="61"/>
        <v>#N/A</v>
      </c>
    </row>
    <row r="952" spans="3:6" x14ac:dyDescent="0.25">
      <c r="C952" t="e">
        <f t="shared" ca="1" si="58"/>
        <v>#N/A</v>
      </c>
      <c r="D952" t="e">
        <f t="shared" ca="1" si="59"/>
        <v>#N/A</v>
      </c>
      <c r="E952" t="e">
        <f t="shared" ca="1" si="60"/>
        <v>#N/A</v>
      </c>
      <c r="F952" t="e">
        <f t="shared" ca="1" si="61"/>
        <v>#N/A</v>
      </c>
    </row>
    <row r="953" spans="3:6" x14ac:dyDescent="0.25">
      <c r="C953" t="e">
        <f t="shared" ca="1" si="58"/>
        <v>#N/A</v>
      </c>
      <c r="D953" t="e">
        <f t="shared" ca="1" si="59"/>
        <v>#N/A</v>
      </c>
      <c r="E953" t="e">
        <f t="shared" ca="1" si="60"/>
        <v>#N/A</v>
      </c>
      <c r="F953" t="e">
        <f t="shared" ca="1" si="61"/>
        <v>#N/A</v>
      </c>
    </row>
    <row r="954" spans="3:6" x14ac:dyDescent="0.25">
      <c r="C954" t="e">
        <f t="shared" ca="1" si="58"/>
        <v>#N/A</v>
      </c>
      <c r="D954" t="e">
        <f t="shared" ca="1" si="59"/>
        <v>#N/A</v>
      </c>
      <c r="E954" t="e">
        <f t="shared" ca="1" si="60"/>
        <v>#N/A</v>
      </c>
      <c r="F954" t="e">
        <f t="shared" ca="1" si="61"/>
        <v>#N/A</v>
      </c>
    </row>
    <row r="955" spans="3:6" x14ac:dyDescent="0.25">
      <c r="C955" t="e">
        <f t="shared" ca="1" si="58"/>
        <v>#N/A</v>
      </c>
      <c r="D955" t="e">
        <f t="shared" ca="1" si="59"/>
        <v>#N/A</v>
      </c>
      <c r="E955" t="e">
        <f t="shared" ca="1" si="60"/>
        <v>#N/A</v>
      </c>
      <c r="F955" t="e">
        <f t="shared" ca="1" si="61"/>
        <v>#N/A</v>
      </c>
    </row>
    <row r="956" spans="3:6" x14ac:dyDescent="0.25">
      <c r="C956" t="e">
        <f t="shared" ca="1" si="58"/>
        <v>#N/A</v>
      </c>
      <c r="D956" t="e">
        <f t="shared" ca="1" si="59"/>
        <v>#N/A</v>
      </c>
      <c r="E956" t="e">
        <f t="shared" ca="1" si="60"/>
        <v>#N/A</v>
      </c>
      <c r="F956" t="e">
        <f t="shared" ca="1" si="61"/>
        <v>#N/A</v>
      </c>
    </row>
    <row r="957" spans="3:6" x14ac:dyDescent="0.25">
      <c r="C957" t="e">
        <f t="shared" ca="1" si="58"/>
        <v>#N/A</v>
      </c>
      <c r="D957" t="e">
        <f t="shared" ca="1" si="59"/>
        <v>#N/A</v>
      </c>
      <c r="E957" t="e">
        <f t="shared" ca="1" si="60"/>
        <v>#N/A</v>
      </c>
      <c r="F957" t="e">
        <f t="shared" ca="1" si="61"/>
        <v>#N/A</v>
      </c>
    </row>
    <row r="958" spans="3:6" x14ac:dyDescent="0.25">
      <c r="C958" t="e">
        <f t="shared" ca="1" si="58"/>
        <v>#N/A</v>
      </c>
      <c r="D958" t="e">
        <f t="shared" ca="1" si="59"/>
        <v>#N/A</v>
      </c>
      <c r="E958" t="e">
        <f t="shared" ca="1" si="60"/>
        <v>#N/A</v>
      </c>
      <c r="F958" t="e">
        <f t="shared" ca="1" si="61"/>
        <v>#N/A</v>
      </c>
    </row>
    <row r="959" spans="3:6" x14ac:dyDescent="0.25">
      <c r="C959" t="e">
        <f t="shared" ca="1" si="58"/>
        <v>#N/A</v>
      </c>
      <c r="D959" t="e">
        <f t="shared" ca="1" si="59"/>
        <v>#N/A</v>
      </c>
      <c r="E959" t="e">
        <f t="shared" ca="1" si="60"/>
        <v>#N/A</v>
      </c>
      <c r="F959" t="e">
        <f t="shared" ca="1" si="61"/>
        <v>#N/A</v>
      </c>
    </row>
    <row r="960" spans="3:6" x14ac:dyDescent="0.25">
      <c r="C960" t="e">
        <f t="shared" ca="1" si="58"/>
        <v>#N/A</v>
      </c>
      <c r="D960" t="e">
        <f t="shared" ca="1" si="59"/>
        <v>#N/A</v>
      </c>
      <c r="E960" t="e">
        <f t="shared" ca="1" si="60"/>
        <v>#N/A</v>
      </c>
      <c r="F960" t="e">
        <f t="shared" ca="1" si="61"/>
        <v>#N/A</v>
      </c>
    </row>
    <row r="961" spans="3:6" x14ac:dyDescent="0.25">
      <c r="C961" t="e">
        <f t="shared" ca="1" si="58"/>
        <v>#N/A</v>
      </c>
      <c r="D961" t="e">
        <f t="shared" ca="1" si="59"/>
        <v>#N/A</v>
      </c>
      <c r="E961" t="e">
        <f t="shared" ca="1" si="60"/>
        <v>#N/A</v>
      </c>
      <c r="F961" t="e">
        <f t="shared" ca="1" si="61"/>
        <v>#N/A</v>
      </c>
    </row>
    <row r="962" spans="3:6" x14ac:dyDescent="0.25">
      <c r="C962" t="e">
        <f t="shared" ca="1" si="58"/>
        <v>#N/A</v>
      </c>
      <c r="D962" t="e">
        <f t="shared" ca="1" si="59"/>
        <v>#N/A</v>
      </c>
      <c r="E962" t="e">
        <f t="shared" ca="1" si="60"/>
        <v>#N/A</v>
      </c>
      <c r="F962" t="e">
        <f t="shared" ca="1" si="61"/>
        <v>#N/A</v>
      </c>
    </row>
    <row r="963" spans="3:6" x14ac:dyDescent="0.25">
      <c r="C963" t="e">
        <f t="shared" ca="1" si="58"/>
        <v>#N/A</v>
      </c>
      <c r="D963" t="e">
        <f t="shared" ca="1" si="59"/>
        <v>#N/A</v>
      </c>
      <c r="E963" t="e">
        <f t="shared" ca="1" si="60"/>
        <v>#N/A</v>
      </c>
      <c r="F963" t="e">
        <f t="shared" ca="1" si="61"/>
        <v>#N/A</v>
      </c>
    </row>
    <row r="964" spans="3:6" x14ac:dyDescent="0.25">
      <c r="C964" t="e">
        <f t="shared" ca="1" si="58"/>
        <v>#N/A</v>
      </c>
      <c r="D964" t="e">
        <f t="shared" ca="1" si="59"/>
        <v>#N/A</v>
      </c>
      <c r="E964" t="e">
        <f t="shared" ca="1" si="60"/>
        <v>#N/A</v>
      </c>
      <c r="F964" t="e">
        <f t="shared" ca="1" si="61"/>
        <v>#N/A</v>
      </c>
    </row>
    <row r="965" spans="3:6" x14ac:dyDescent="0.25">
      <c r="C965" t="e">
        <f t="shared" ca="1" si="58"/>
        <v>#N/A</v>
      </c>
      <c r="D965" t="e">
        <f t="shared" ca="1" si="59"/>
        <v>#N/A</v>
      </c>
      <c r="E965" t="e">
        <f t="shared" ca="1" si="60"/>
        <v>#N/A</v>
      </c>
      <c r="F965" t="e">
        <f t="shared" ca="1" si="61"/>
        <v>#N/A</v>
      </c>
    </row>
    <row r="966" spans="3:6" x14ac:dyDescent="0.25">
      <c r="C966" t="e">
        <f t="shared" ca="1" si="58"/>
        <v>#N/A</v>
      </c>
      <c r="D966" t="e">
        <f t="shared" ca="1" si="59"/>
        <v>#N/A</v>
      </c>
      <c r="E966" t="e">
        <f t="shared" ca="1" si="60"/>
        <v>#N/A</v>
      </c>
      <c r="F966" t="e">
        <f t="shared" ca="1" si="61"/>
        <v>#N/A</v>
      </c>
    </row>
    <row r="967" spans="3:6" x14ac:dyDescent="0.25">
      <c r="C967" t="e">
        <f t="shared" ca="1" si="58"/>
        <v>#N/A</v>
      </c>
      <c r="D967" t="e">
        <f t="shared" ca="1" si="59"/>
        <v>#N/A</v>
      </c>
      <c r="E967" t="e">
        <f t="shared" ca="1" si="60"/>
        <v>#N/A</v>
      </c>
      <c r="F967" t="e">
        <f t="shared" ca="1" si="61"/>
        <v>#N/A</v>
      </c>
    </row>
    <row r="968" spans="3:6" x14ac:dyDescent="0.25">
      <c r="C968" t="e">
        <f t="shared" ca="1" si="58"/>
        <v>#N/A</v>
      </c>
      <c r="D968" t="e">
        <f t="shared" ca="1" si="59"/>
        <v>#N/A</v>
      </c>
      <c r="E968" t="e">
        <f t="shared" ca="1" si="60"/>
        <v>#N/A</v>
      </c>
      <c r="F968" t="e">
        <f t="shared" ca="1" si="61"/>
        <v>#N/A</v>
      </c>
    </row>
    <row r="969" spans="3:6" x14ac:dyDescent="0.25">
      <c r="C969" t="e">
        <f t="shared" ca="1" si="58"/>
        <v>#N/A</v>
      </c>
      <c r="D969" t="e">
        <f t="shared" ca="1" si="59"/>
        <v>#N/A</v>
      </c>
      <c r="E969" t="e">
        <f t="shared" ca="1" si="60"/>
        <v>#N/A</v>
      </c>
      <c r="F969" t="e">
        <f t="shared" ca="1" si="61"/>
        <v>#N/A</v>
      </c>
    </row>
    <row r="970" spans="3:6" x14ac:dyDescent="0.25">
      <c r="C970" t="e">
        <f t="shared" ref="C970:C1033" ca="1" si="62">$C$7</f>
        <v>#N/A</v>
      </c>
      <c r="D970" t="e">
        <f t="shared" ref="D970:D1033" ca="1" si="63">$D$7</f>
        <v>#N/A</v>
      </c>
      <c r="E970" t="e">
        <f t="shared" ref="E970:E1033" ca="1" si="64">IF($B971="",C$8,"")</f>
        <v>#N/A</v>
      </c>
      <c r="F970" t="e">
        <f t="shared" ref="F970:F1033" ca="1" si="65">IF($B971="",D$8,"")</f>
        <v>#N/A</v>
      </c>
    </row>
    <row r="971" spans="3:6" x14ac:dyDescent="0.25">
      <c r="C971" t="e">
        <f t="shared" ca="1" si="62"/>
        <v>#N/A</v>
      </c>
      <c r="D971" t="e">
        <f t="shared" ca="1" si="63"/>
        <v>#N/A</v>
      </c>
      <c r="E971" t="e">
        <f t="shared" ca="1" si="64"/>
        <v>#N/A</v>
      </c>
      <c r="F971" t="e">
        <f t="shared" ca="1" si="65"/>
        <v>#N/A</v>
      </c>
    </row>
    <row r="972" spans="3:6" x14ac:dyDescent="0.25">
      <c r="C972" t="e">
        <f t="shared" ca="1" si="62"/>
        <v>#N/A</v>
      </c>
      <c r="D972" t="e">
        <f t="shared" ca="1" si="63"/>
        <v>#N/A</v>
      </c>
      <c r="E972" t="e">
        <f t="shared" ca="1" si="64"/>
        <v>#N/A</v>
      </c>
      <c r="F972" t="e">
        <f t="shared" ca="1" si="65"/>
        <v>#N/A</v>
      </c>
    </row>
    <row r="973" spans="3:6" x14ac:dyDescent="0.25">
      <c r="C973" t="e">
        <f t="shared" ca="1" si="62"/>
        <v>#N/A</v>
      </c>
      <c r="D973" t="e">
        <f t="shared" ca="1" si="63"/>
        <v>#N/A</v>
      </c>
      <c r="E973" t="e">
        <f t="shared" ca="1" si="64"/>
        <v>#N/A</v>
      </c>
      <c r="F973" t="e">
        <f t="shared" ca="1" si="65"/>
        <v>#N/A</v>
      </c>
    </row>
    <row r="974" spans="3:6" x14ac:dyDescent="0.25">
      <c r="C974" t="e">
        <f t="shared" ca="1" si="62"/>
        <v>#N/A</v>
      </c>
      <c r="D974" t="e">
        <f t="shared" ca="1" si="63"/>
        <v>#N/A</v>
      </c>
      <c r="E974" t="e">
        <f t="shared" ca="1" si="64"/>
        <v>#N/A</v>
      </c>
      <c r="F974" t="e">
        <f t="shared" ca="1" si="65"/>
        <v>#N/A</v>
      </c>
    </row>
    <row r="975" spans="3:6" x14ac:dyDescent="0.25">
      <c r="C975" t="e">
        <f t="shared" ca="1" si="62"/>
        <v>#N/A</v>
      </c>
      <c r="D975" t="e">
        <f t="shared" ca="1" si="63"/>
        <v>#N/A</v>
      </c>
      <c r="E975" t="e">
        <f t="shared" ca="1" si="64"/>
        <v>#N/A</v>
      </c>
      <c r="F975" t="e">
        <f t="shared" ca="1" si="65"/>
        <v>#N/A</v>
      </c>
    </row>
    <row r="976" spans="3:6" x14ac:dyDescent="0.25">
      <c r="C976" t="e">
        <f t="shared" ca="1" si="62"/>
        <v>#N/A</v>
      </c>
      <c r="D976" t="e">
        <f t="shared" ca="1" si="63"/>
        <v>#N/A</v>
      </c>
      <c r="E976" t="e">
        <f t="shared" ca="1" si="64"/>
        <v>#N/A</v>
      </c>
      <c r="F976" t="e">
        <f t="shared" ca="1" si="65"/>
        <v>#N/A</v>
      </c>
    </row>
    <row r="977" spans="3:6" x14ac:dyDescent="0.25">
      <c r="C977" t="e">
        <f t="shared" ca="1" si="62"/>
        <v>#N/A</v>
      </c>
      <c r="D977" t="e">
        <f t="shared" ca="1" si="63"/>
        <v>#N/A</v>
      </c>
      <c r="E977" t="e">
        <f t="shared" ca="1" si="64"/>
        <v>#N/A</v>
      </c>
      <c r="F977" t="e">
        <f t="shared" ca="1" si="65"/>
        <v>#N/A</v>
      </c>
    </row>
    <row r="978" spans="3:6" x14ac:dyDescent="0.25">
      <c r="C978" t="e">
        <f t="shared" ca="1" si="62"/>
        <v>#N/A</v>
      </c>
      <c r="D978" t="e">
        <f t="shared" ca="1" si="63"/>
        <v>#N/A</v>
      </c>
      <c r="E978" t="e">
        <f t="shared" ca="1" si="64"/>
        <v>#N/A</v>
      </c>
      <c r="F978" t="e">
        <f t="shared" ca="1" si="65"/>
        <v>#N/A</v>
      </c>
    </row>
    <row r="979" spans="3:6" x14ac:dyDescent="0.25">
      <c r="C979" t="e">
        <f t="shared" ca="1" si="62"/>
        <v>#N/A</v>
      </c>
      <c r="D979" t="e">
        <f t="shared" ca="1" si="63"/>
        <v>#N/A</v>
      </c>
      <c r="E979" t="e">
        <f t="shared" ca="1" si="64"/>
        <v>#N/A</v>
      </c>
      <c r="F979" t="e">
        <f t="shared" ca="1" si="65"/>
        <v>#N/A</v>
      </c>
    </row>
    <row r="980" spans="3:6" x14ac:dyDescent="0.25">
      <c r="C980" t="e">
        <f t="shared" ca="1" si="62"/>
        <v>#N/A</v>
      </c>
      <c r="D980" t="e">
        <f t="shared" ca="1" si="63"/>
        <v>#N/A</v>
      </c>
      <c r="E980" t="e">
        <f t="shared" ca="1" si="64"/>
        <v>#N/A</v>
      </c>
      <c r="F980" t="e">
        <f t="shared" ca="1" si="65"/>
        <v>#N/A</v>
      </c>
    </row>
    <row r="981" spans="3:6" x14ac:dyDescent="0.25">
      <c r="C981" t="e">
        <f t="shared" ca="1" si="62"/>
        <v>#N/A</v>
      </c>
      <c r="D981" t="e">
        <f t="shared" ca="1" si="63"/>
        <v>#N/A</v>
      </c>
      <c r="E981" t="e">
        <f t="shared" ca="1" si="64"/>
        <v>#N/A</v>
      </c>
      <c r="F981" t="e">
        <f t="shared" ca="1" si="65"/>
        <v>#N/A</v>
      </c>
    </row>
    <row r="982" spans="3:6" x14ac:dyDescent="0.25">
      <c r="C982" t="e">
        <f t="shared" ca="1" si="62"/>
        <v>#N/A</v>
      </c>
      <c r="D982" t="e">
        <f t="shared" ca="1" si="63"/>
        <v>#N/A</v>
      </c>
      <c r="E982" t="e">
        <f t="shared" ca="1" si="64"/>
        <v>#N/A</v>
      </c>
      <c r="F982" t="e">
        <f t="shared" ca="1" si="65"/>
        <v>#N/A</v>
      </c>
    </row>
    <row r="983" spans="3:6" x14ac:dyDescent="0.25">
      <c r="C983" t="e">
        <f t="shared" ca="1" si="62"/>
        <v>#N/A</v>
      </c>
      <c r="D983" t="e">
        <f t="shared" ca="1" si="63"/>
        <v>#N/A</v>
      </c>
      <c r="E983" t="e">
        <f t="shared" ca="1" si="64"/>
        <v>#N/A</v>
      </c>
      <c r="F983" t="e">
        <f t="shared" ca="1" si="65"/>
        <v>#N/A</v>
      </c>
    </row>
    <row r="984" spans="3:6" x14ac:dyDescent="0.25">
      <c r="C984" t="e">
        <f t="shared" ca="1" si="62"/>
        <v>#N/A</v>
      </c>
      <c r="D984" t="e">
        <f t="shared" ca="1" si="63"/>
        <v>#N/A</v>
      </c>
      <c r="E984" t="e">
        <f t="shared" ca="1" si="64"/>
        <v>#N/A</v>
      </c>
      <c r="F984" t="e">
        <f t="shared" ca="1" si="65"/>
        <v>#N/A</v>
      </c>
    </row>
    <row r="985" spans="3:6" x14ac:dyDescent="0.25">
      <c r="C985" t="e">
        <f t="shared" ca="1" si="62"/>
        <v>#N/A</v>
      </c>
      <c r="D985" t="e">
        <f t="shared" ca="1" si="63"/>
        <v>#N/A</v>
      </c>
      <c r="E985" t="e">
        <f t="shared" ca="1" si="64"/>
        <v>#N/A</v>
      </c>
      <c r="F985" t="e">
        <f t="shared" ca="1" si="65"/>
        <v>#N/A</v>
      </c>
    </row>
    <row r="986" spans="3:6" x14ac:dyDescent="0.25">
      <c r="C986" t="e">
        <f t="shared" ca="1" si="62"/>
        <v>#N/A</v>
      </c>
      <c r="D986" t="e">
        <f t="shared" ca="1" si="63"/>
        <v>#N/A</v>
      </c>
      <c r="E986" t="e">
        <f t="shared" ca="1" si="64"/>
        <v>#N/A</v>
      </c>
      <c r="F986" t="e">
        <f t="shared" ca="1" si="65"/>
        <v>#N/A</v>
      </c>
    </row>
    <row r="987" spans="3:6" x14ac:dyDescent="0.25">
      <c r="C987" t="e">
        <f t="shared" ca="1" si="62"/>
        <v>#N/A</v>
      </c>
      <c r="D987" t="e">
        <f t="shared" ca="1" si="63"/>
        <v>#N/A</v>
      </c>
      <c r="E987" t="e">
        <f t="shared" ca="1" si="64"/>
        <v>#N/A</v>
      </c>
      <c r="F987" t="e">
        <f t="shared" ca="1" si="65"/>
        <v>#N/A</v>
      </c>
    </row>
    <row r="988" spans="3:6" x14ac:dyDescent="0.25">
      <c r="C988" t="e">
        <f t="shared" ca="1" si="62"/>
        <v>#N/A</v>
      </c>
      <c r="D988" t="e">
        <f t="shared" ca="1" si="63"/>
        <v>#N/A</v>
      </c>
      <c r="E988" t="e">
        <f t="shared" ca="1" si="64"/>
        <v>#N/A</v>
      </c>
      <c r="F988" t="e">
        <f t="shared" ca="1" si="65"/>
        <v>#N/A</v>
      </c>
    </row>
    <row r="989" spans="3:6" x14ac:dyDescent="0.25">
      <c r="C989" t="e">
        <f t="shared" ca="1" si="62"/>
        <v>#N/A</v>
      </c>
      <c r="D989" t="e">
        <f t="shared" ca="1" si="63"/>
        <v>#N/A</v>
      </c>
      <c r="E989" t="e">
        <f t="shared" ca="1" si="64"/>
        <v>#N/A</v>
      </c>
      <c r="F989" t="e">
        <f t="shared" ca="1" si="65"/>
        <v>#N/A</v>
      </c>
    </row>
    <row r="990" spans="3:6" x14ac:dyDescent="0.25">
      <c r="C990" t="e">
        <f t="shared" ca="1" si="62"/>
        <v>#N/A</v>
      </c>
      <c r="D990" t="e">
        <f t="shared" ca="1" si="63"/>
        <v>#N/A</v>
      </c>
      <c r="E990" t="e">
        <f t="shared" ca="1" si="64"/>
        <v>#N/A</v>
      </c>
      <c r="F990" t="e">
        <f t="shared" ca="1" si="65"/>
        <v>#N/A</v>
      </c>
    </row>
    <row r="991" spans="3:6" x14ac:dyDescent="0.25">
      <c r="C991" t="e">
        <f t="shared" ca="1" si="62"/>
        <v>#N/A</v>
      </c>
      <c r="D991" t="e">
        <f t="shared" ca="1" si="63"/>
        <v>#N/A</v>
      </c>
      <c r="E991" t="e">
        <f t="shared" ca="1" si="64"/>
        <v>#N/A</v>
      </c>
      <c r="F991" t="e">
        <f t="shared" ca="1" si="65"/>
        <v>#N/A</v>
      </c>
    </row>
    <row r="992" spans="3:6" x14ac:dyDescent="0.25">
      <c r="C992" t="e">
        <f t="shared" ca="1" si="62"/>
        <v>#N/A</v>
      </c>
      <c r="D992" t="e">
        <f t="shared" ca="1" si="63"/>
        <v>#N/A</v>
      </c>
      <c r="E992" t="e">
        <f t="shared" ca="1" si="64"/>
        <v>#N/A</v>
      </c>
      <c r="F992" t="e">
        <f t="shared" ca="1" si="65"/>
        <v>#N/A</v>
      </c>
    </row>
    <row r="993" spans="3:6" x14ac:dyDescent="0.25">
      <c r="C993" t="e">
        <f t="shared" ca="1" si="62"/>
        <v>#N/A</v>
      </c>
      <c r="D993" t="e">
        <f t="shared" ca="1" si="63"/>
        <v>#N/A</v>
      </c>
      <c r="E993" t="e">
        <f t="shared" ca="1" si="64"/>
        <v>#N/A</v>
      </c>
      <c r="F993" t="e">
        <f t="shared" ca="1" si="65"/>
        <v>#N/A</v>
      </c>
    </row>
    <row r="994" spans="3:6" x14ac:dyDescent="0.25">
      <c r="C994" t="e">
        <f t="shared" ca="1" si="62"/>
        <v>#N/A</v>
      </c>
      <c r="D994" t="e">
        <f t="shared" ca="1" si="63"/>
        <v>#N/A</v>
      </c>
      <c r="E994" t="e">
        <f t="shared" ca="1" si="64"/>
        <v>#N/A</v>
      </c>
      <c r="F994" t="e">
        <f t="shared" ca="1" si="65"/>
        <v>#N/A</v>
      </c>
    </row>
    <row r="995" spans="3:6" x14ac:dyDescent="0.25">
      <c r="C995" t="e">
        <f t="shared" ca="1" si="62"/>
        <v>#N/A</v>
      </c>
      <c r="D995" t="e">
        <f t="shared" ca="1" si="63"/>
        <v>#N/A</v>
      </c>
      <c r="E995" t="e">
        <f t="shared" ca="1" si="64"/>
        <v>#N/A</v>
      </c>
      <c r="F995" t="e">
        <f t="shared" ca="1" si="65"/>
        <v>#N/A</v>
      </c>
    </row>
    <row r="996" spans="3:6" x14ac:dyDescent="0.25">
      <c r="C996" t="e">
        <f t="shared" ca="1" si="62"/>
        <v>#N/A</v>
      </c>
      <c r="D996" t="e">
        <f t="shared" ca="1" si="63"/>
        <v>#N/A</v>
      </c>
      <c r="E996" t="e">
        <f t="shared" ca="1" si="64"/>
        <v>#N/A</v>
      </c>
      <c r="F996" t="e">
        <f t="shared" ca="1" si="65"/>
        <v>#N/A</v>
      </c>
    </row>
    <row r="997" spans="3:6" x14ac:dyDescent="0.25">
      <c r="C997" t="e">
        <f t="shared" ca="1" si="62"/>
        <v>#N/A</v>
      </c>
      <c r="D997" t="e">
        <f t="shared" ca="1" si="63"/>
        <v>#N/A</v>
      </c>
      <c r="E997" t="e">
        <f t="shared" ca="1" si="64"/>
        <v>#N/A</v>
      </c>
      <c r="F997" t="e">
        <f t="shared" ca="1" si="65"/>
        <v>#N/A</v>
      </c>
    </row>
    <row r="998" spans="3:6" x14ac:dyDescent="0.25">
      <c r="C998" t="e">
        <f t="shared" ca="1" si="62"/>
        <v>#N/A</v>
      </c>
      <c r="D998" t="e">
        <f t="shared" ca="1" si="63"/>
        <v>#N/A</v>
      </c>
      <c r="E998" t="e">
        <f t="shared" ca="1" si="64"/>
        <v>#N/A</v>
      </c>
      <c r="F998" t="e">
        <f t="shared" ca="1" si="65"/>
        <v>#N/A</v>
      </c>
    </row>
    <row r="999" spans="3:6" x14ac:dyDescent="0.25">
      <c r="C999" t="e">
        <f t="shared" ca="1" si="62"/>
        <v>#N/A</v>
      </c>
      <c r="D999" t="e">
        <f t="shared" ca="1" si="63"/>
        <v>#N/A</v>
      </c>
      <c r="E999" t="e">
        <f t="shared" ca="1" si="64"/>
        <v>#N/A</v>
      </c>
      <c r="F999" t="e">
        <f t="shared" ca="1" si="65"/>
        <v>#N/A</v>
      </c>
    </row>
    <row r="1000" spans="3:6" x14ac:dyDescent="0.25">
      <c r="C1000" t="e">
        <f t="shared" ca="1" si="62"/>
        <v>#N/A</v>
      </c>
      <c r="D1000" t="e">
        <f t="shared" ca="1" si="63"/>
        <v>#N/A</v>
      </c>
      <c r="E1000" t="e">
        <f t="shared" ca="1" si="64"/>
        <v>#N/A</v>
      </c>
      <c r="F1000" t="e">
        <f t="shared" ca="1" si="65"/>
        <v>#N/A</v>
      </c>
    </row>
    <row r="1001" spans="3:6" x14ac:dyDescent="0.25">
      <c r="C1001" t="e">
        <f t="shared" ca="1" si="62"/>
        <v>#N/A</v>
      </c>
      <c r="D1001" t="e">
        <f t="shared" ca="1" si="63"/>
        <v>#N/A</v>
      </c>
      <c r="E1001" t="e">
        <f t="shared" ca="1" si="64"/>
        <v>#N/A</v>
      </c>
      <c r="F1001" t="e">
        <f t="shared" ca="1" si="65"/>
        <v>#N/A</v>
      </c>
    </row>
    <row r="1002" spans="3:6" x14ac:dyDescent="0.25">
      <c r="C1002" t="e">
        <f t="shared" ca="1" si="62"/>
        <v>#N/A</v>
      </c>
      <c r="D1002" t="e">
        <f t="shared" ca="1" si="63"/>
        <v>#N/A</v>
      </c>
      <c r="E1002" t="e">
        <f t="shared" ca="1" si="64"/>
        <v>#N/A</v>
      </c>
      <c r="F1002" t="e">
        <f t="shared" ca="1" si="65"/>
        <v>#N/A</v>
      </c>
    </row>
    <row r="1003" spans="3:6" x14ac:dyDescent="0.25">
      <c r="C1003" t="e">
        <f t="shared" ca="1" si="62"/>
        <v>#N/A</v>
      </c>
      <c r="D1003" t="e">
        <f t="shared" ca="1" si="63"/>
        <v>#N/A</v>
      </c>
      <c r="E1003" t="e">
        <f t="shared" ca="1" si="64"/>
        <v>#N/A</v>
      </c>
      <c r="F1003" t="e">
        <f t="shared" ca="1" si="65"/>
        <v>#N/A</v>
      </c>
    </row>
    <row r="1004" spans="3:6" x14ac:dyDescent="0.25">
      <c r="C1004" t="e">
        <f t="shared" ca="1" si="62"/>
        <v>#N/A</v>
      </c>
      <c r="D1004" t="e">
        <f t="shared" ca="1" si="63"/>
        <v>#N/A</v>
      </c>
      <c r="E1004" t="e">
        <f t="shared" ca="1" si="64"/>
        <v>#N/A</v>
      </c>
      <c r="F1004" t="e">
        <f t="shared" ca="1" si="65"/>
        <v>#N/A</v>
      </c>
    </row>
    <row r="1005" spans="3:6" x14ac:dyDescent="0.25">
      <c r="C1005" t="e">
        <f t="shared" ca="1" si="62"/>
        <v>#N/A</v>
      </c>
      <c r="D1005" t="e">
        <f t="shared" ca="1" si="63"/>
        <v>#N/A</v>
      </c>
      <c r="E1005" t="e">
        <f t="shared" ca="1" si="64"/>
        <v>#N/A</v>
      </c>
      <c r="F1005" t="e">
        <f t="shared" ca="1" si="65"/>
        <v>#N/A</v>
      </c>
    </row>
    <row r="1006" spans="3:6" x14ac:dyDescent="0.25">
      <c r="C1006" t="e">
        <f t="shared" ca="1" si="62"/>
        <v>#N/A</v>
      </c>
      <c r="D1006" t="e">
        <f t="shared" ca="1" si="63"/>
        <v>#N/A</v>
      </c>
      <c r="E1006" t="e">
        <f t="shared" ca="1" si="64"/>
        <v>#N/A</v>
      </c>
      <c r="F1006" t="e">
        <f t="shared" ca="1" si="65"/>
        <v>#N/A</v>
      </c>
    </row>
    <row r="1007" spans="3:6" x14ac:dyDescent="0.25">
      <c r="C1007" t="e">
        <f t="shared" ca="1" si="62"/>
        <v>#N/A</v>
      </c>
      <c r="D1007" t="e">
        <f t="shared" ca="1" si="63"/>
        <v>#N/A</v>
      </c>
      <c r="E1007" t="e">
        <f t="shared" ca="1" si="64"/>
        <v>#N/A</v>
      </c>
      <c r="F1007" t="e">
        <f t="shared" ca="1" si="65"/>
        <v>#N/A</v>
      </c>
    </row>
    <row r="1008" spans="3:6" x14ac:dyDescent="0.25">
      <c r="C1008" t="e">
        <f t="shared" ca="1" si="62"/>
        <v>#N/A</v>
      </c>
      <c r="D1008" t="e">
        <f t="shared" ca="1" si="63"/>
        <v>#N/A</v>
      </c>
      <c r="E1008" t="e">
        <f t="shared" ca="1" si="64"/>
        <v>#N/A</v>
      </c>
      <c r="F1008" t="e">
        <f t="shared" ca="1" si="65"/>
        <v>#N/A</v>
      </c>
    </row>
    <row r="1009" spans="3:6" x14ac:dyDescent="0.25">
      <c r="C1009" t="e">
        <f t="shared" ca="1" si="62"/>
        <v>#N/A</v>
      </c>
      <c r="D1009" t="e">
        <f t="shared" ca="1" si="63"/>
        <v>#N/A</v>
      </c>
      <c r="E1009" t="e">
        <f t="shared" ca="1" si="64"/>
        <v>#N/A</v>
      </c>
      <c r="F1009" t="e">
        <f t="shared" ca="1" si="65"/>
        <v>#N/A</v>
      </c>
    </row>
    <row r="1010" spans="3:6" x14ac:dyDescent="0.25">
      <c r="C1010" t="e">
        <f t="shared" ca="1" si="62"/>
        <v>#N/A</v>
      </c>
      <c r="D1010" t="e">
        <f t="shared" ca="1" si="63"/>
        <v>#N/A</v>
      </c>
      <c r="E1010" t="e">
        <f t="shared" ca="1" si="64"/>
        <v>#N/A</v>
      </c>
      <c r="F1010" t="e">
        <f t="shared" ca="1" si="65"/>
        <v>#N/A</v>
      </c>
    </row>
    <row r="1011" spans="3:6" x14ac:dyDescent="0.25">
      <c r="C1011" t="e">
        <f t="shared" ca="1" si="62"/>
        <v>#N/A</v>
      </c>
      <c r="D1011" t="e">
        <f t="shared" ca="1" si="63"/>
        <v>#N/A</v>
      </c>
      <c r="E1011" t="e">
        <f t="shared" ca="1" si="64"/>
        <v>#N/A</v>
      </c>
      <c r="F1011" t="e">
        <f t="shared" ca="1" si="65"/>
        <v>#N/A</v>
      </c>
    </row>
    <row r="1012" spans="3:6" x14ac:dyDescent="0.25">
      <c r="C1012" t="e">
        <f t="shared" ca="1" si="62"/>
        <v>#N/A</v>
      </c>
      <c r="D1012" t="e">
        <f t="shared" ca="1" si="63"/>
        <v>#N/A</v>
      </c>
      <c r="E1012" t="e">
        <f t="shared" ca="1" si="64"/>
        <v>#N/A</v>
      </c>
      <c r="F1012" t="e">
        <f t="shared" ca="1" si="65"/>
        <v>#N/A</v>
      </c>
    </row>
    <row r="1013" spans="3:6" x14ac:dyDescent="0.25">
      <c r="C1013" t="e">
        <f t="shared" ca="1" si="62"/>
        <v>#N/A</v>
      </c>
      <c r="D1013" t="e">
        <f t="shared" ca="1" si="63"/>
        <v>#N/A</v>
      </c>
      <c r="E1013" t="e">
        <f t="shared" ca="1" si="64"/>
        <v>#N/A</v>
      </c>
      <c r="F1013" t="e">
        <f t="shared" ca="1" si="65"/>
        <v>#N/A</v>
      </c>
    </row>
    <row r="1014" spans="3:6" x14ac:dyDescent="0.25">
      <c r="C1014" t="e">
        <f t="shared" ca="1" si="62"/>
        <v>#N/A</v>
      </c>
      <c r="D1014" t="e">
        <f t="shared" ca="1" si="63"/>
        <v>#N/A</v>
      </c>
      <c r="E1014" t="e">
        <f t="shared" ca="1" si="64"/>
        <v>#N/A</v>
      </c>
      <c r="F1014" t="e">
        <f t="shared" ca="1" si="65"/>
        <v>#N/A</v>
      </c>
    </row>
    <row r="1015" spans="3:6" x14ac:dyDescent="0.25">
      <c r="C1015" t="e">
        <f t="shared" ca="1" si="62"/>
        <v>#N/A</v>
      </c>
      <c r="D1015" t="e">
        <f t="shared" ca="1" si="63"/>
        <v>#N/A</v>
      </c>
      <c r="E1015" t="e">
        <f t="shared" ca="1" si="64"/>
        <v>#N/A</v>
      </c>
      <c r="F1015" t="e">
        <f t="shared" ca="1" si="65"/>
        <v>#N/A</v>
      </c>
    </row>
    <row r="1016" spans="3:6" x14ac:dyDescent="0.25">
      <c r="C1016" t="e">
        <f t="shared" ca="1" si="62"/>
        <v>#N/A</v>
      </c>
      <c r="D1016" t="e">
        <f t="shared" ca="1" si="63"/>
        <v>#N/A</v>
      </c>
      <c r="E1016" t="e">
        <f t="shared" ca="1" si="64"/>
        <v>#N/A</v>
      </c>
      <c r="F1016" t="e">
        <f t="shared" ca="1" si="65"/>
        <v>#N/A</v>
      </c>
    </row>
    <row r="1017" spans="3:6" x14ac:dyDescent="0.25">
      <c r="C1017" t="e">
        <f t="shared" ca="1" si="62"/>
        <v>#N/A</v>
      </c>
      <c r="D1017" t="e">
        <f t="shared" ca="1" si="63"/>
        <v>#N/A</v>
      </c>
      <c r="E1017" t="e">
        <f t="shared" ca="1" si="64"/>
        <v>#N/A</v>
      </c>
      <c r="F1017" t="e">
        <f t="shared" ca="1" si="65"/>
        <v>#N/A</v>
      </c>
    </row>
    <row r="1018" spans="3:6" x14ac:dyDescent="0.25">
      <c r="C1018" t="e">
        <f t="shared" ca="1" si="62"/>
        <v>#N/A</v>
      </c>
      <c r="D1018" t="e">
        <f t="shared" ca="1" si="63"/>
        <v>#N/A</v>
      </c>
      <c r="E1018" t="e">
        <f t="shared" ca="1" si="64"/>
        <v>#N/A</v>
      </c>
      <c r="F1018" t="e">
        <f t="shared" ca="1" si="65"/>
        <v>#N/A</v>
      </c>
    </row>
    <row r="1019" spans="3:6" x14ac:dyDescent="0.25">
      <c r="C1019" t="e">
        <f t="shared" ca="1" si="62"/>
        <v>#N/A</v>
      </c>
      <c r="D1019" t="e">
        <f t="shared" ca="1" si="63"/>
        <v>#N/A</v>
      </c>
      <c r="E1019" t="e">
        <f t="shared" ca="1" si="64"/>
        <v>#N/A</v>
      </c>
      <c r="F1019" t="e">
        <f t="shared" ca="1" si="65"/>
        <v>#N/A</v>
      </c>
    </row>
    <row r="1020" spans="3:6" x14ac:dyDescent="0.25">
      <c r="C1020" t="e">
        <f t="shared" ca="1" si="62"/>
        <v>#N/A</v>
      </c>
      <c r="D1020" t="e">
        <f t="shared" ca="1" si="63"/>
        <v>#N/A</v>
      </c>
      <c r="E1020" t="e">
        <f t="shared" ca="1" si="64"/>
        <v>#N/A</v>
      </c>
      <c r="F1020" t="e">
        <f t="shared" ca="1" si="65"/>
        <v>#N/A</v>
      </c>
    </row>
    <row r="1021" spans="3:6" x14ac:dyDescent="0.25">
      <c r="C1021" t="e">
        <f t="shared" ca="1" si="62"/>
        <v>#N/A</v>
      </c>
      <c r="D1021" t="e">
        <f t="shared" ca="1" si="63"/>
        <v>#N/A</v>
      </c>
      <c r="E1021" t="e">
        <f t="shared" ca="1" si="64"/>
        <v>#N/A</v>
      </c>
      <c r="F1021" t="e">
        <f t="shared" ca="1" si="65"/>
        <v>#N/A</v>
      </c>
    </row>
    <row r="1022" spans="3:6" x14ac:dyDescent="0.25">
      <c r="C1022" t="e">
        <f t="shared" ca="1" si="62"/>
        <v>#N/A</v>
      </c>
      <c r="D1022" t="e">
        <f t="shared" ca="1" si="63"/>
        <v>#N/A</v>
      </c>
      <c r="E1022" t="e">
        <f t="shared" ca="1" si="64"/>
        <v>#N/A</v>
      </c>
      <c r="F1022" t="e">
        <f t="shared" ca="1" si="65"/>
        <v>#N/A</v>
      </c>
    </row>
    <row r="1023" spans="3:6" x14ac:dyDescent="0.25">
      <c r="C1023" t="e">
        <f t="shared" ca="1" si="62"/>
        <v>#N/A</v>
      </c>
      <c r="D1023" t="e">
        <f t="shared" ca="1" si="63"/>
        <v>#N/A</v>
      </c>
      <c r="E1023" t="e">
        <f t="shared" ca="1" si="64"/>
        <v>#N/A</v>
      </c>
      <c r="F1023" t="e">
        <f t="shared" ca="1" si="65"/>
        <v>#N/A</v>
      </c>
    </row>
    <row r="1024" spans="3:6" x14ac:dyDescent="0.25">
      <c r="C1024" t="e">
        <f t="shared" ca="1" si="62"/>
        <v>#N/A</v>
      </c>
      <c r="D1024" t="e">
        <f t="shared" ca="1" si="63"/>
        <v>#N/A</v>
      </c>
      <c r="E1024" t="e">
        <f t="shared" ca="1" si="64"/>
        <v>#N/A</v>
      </c>
      <c r="F1024" t="e">
        <f t="shared" ca="1" si="65"/>
        <v>#N/A</v>
      </c>
    </row>
    <row r="1025" spans="3:6" x14ac:dyDescent="0.25">
      <c r="C1025" t="e">
        <f t="shared" ca="1" si="62"/>
        <v>#N/A</v>
      </c>
      <c r="D1025" t="e">
        <f t="shared" ca="1" si="63"/>
        <v>#N/A</v>
      </c>
      <c r="E1025" t="e">
        <f t="shared" ca="1" si="64"/>
        <v>#N/A</v>
      </c>
      <c r="F1025" t="e">
        <f t="shared" ca="1" si="65"/>
        <v>#N/A</v>
      </c>
    </row>
    <row r="1026" spans="3:6" x14ac:dyDescent="0.25">
      <c r="C1026" t="e">
        <f t="shared" ca="1" si="62"/>
        <v>#N/A</v>
      </c>
      <c r="D1026" t="e">
        <f t="shared" ca="1" si="63"/>
        <v>#N/A</v>
      </c>
      <c r="E1026" t="e">
        <f t="shared" ca="1" si="64"/>
        <v>#N/A</v>
      </c>
      <c r="F1026" t="e">
        <f t="shared" ca="1" si="65"/>
        <v>#N/A</v>
      </c>
    </row>
    <row r="1027" spans="3:6" x14ac:dyDescent="0.25">
      <c r="C1027" t="e">
        <f t="shared" ca="1" si="62"/>
        <v>#N/A</v>
      </c>
      <c r="D1027" t="e">
        <f t="shared" ca="1" si="63"/>
        <v>#N/A</v>
      </c>
      <c r="E1027" t="e">
        <f t="shared" ca="1" si="64"/>
        <v>#N/A</v>
      </c>
      <c r="F1027" t="e">
        <f t="shared" ca="1" si="65"/>
        <v>#N/A</v>
      </c>
    </row>
    <row r="1028" spans="3:6" x14ac:dyDescent="0.25">
      <c r="C1028" t="e">
        <f t="shared" ca="1" si="62"/>
        <v>#N/A</v>
      </c>
      <c r="D1028" t="e">
        <f t="shared" ca="1" si="63"/>
        <v>#N/A</v>
      </c>
      <c r="E1028" t="e">
        <f t="shared" ca="1" si="64"/>
        <v>#N/A</v>
      </c>
      <c r="F1028" t="e">
        <f t="shared" ca="1" si="65"/>
        <v>#N/A</v>
      </c>
    </row>
    <row r="1029" spans="3:6" x14ac:dyDescent="0.25">
      <c r="C1029" t="e">
        <f t="shared" ca="1" si="62"/>
        <v>#N/A</v>
      </c>
      <c r="D1029" t="e">
        <f t="shared" ca="1" si="63"/>
        <v>#N/A</v>
      </c>
      <c r="E1029" t="e">
        <f t="shared" ca="1" si="64"/>
        <v>#N/A</v>
      </c>
      <c r="F1029" t="e">
        <f t="shared" ca="1" si="65"/>
        <v>#N/A</v>
      </c>
    </row>
    <row r="1030" spans="3:6" x14ac:dyDescent="0.25">
      <c r="C1030" t="e">
        <f t="shared" ca="1" si="62"/>
        <v>#N/A</v>
      </c>
      <c r="D1030" t="e">
        <f t="shared" ca="1" si="63"/>
        <v>#N/A</v>
      </c>
      <c r="E1030" t="e">
        <f t="shared" ca="1" si="64"/>
        <v>#N/A</v>
      </c>
      <c r="F1030" t="e">
        <f t="shared" ca="1" si="65"/>
        <v>#N/A</v>
      </c>
    </row>
    <row r="1031" spans="3:6" x14ac:dyDescent="0.25">
      <c r="C1031" t="e">
        <f t="shared" ca="1" si="62"/>
        <v>#N/A</v>
      </c>
      <c r="D1031" t="e">
        <f t="shared" ca="1" si="63"/>
        <v>#N/A</v>
      </c>
      <c r="E1031" t="e">
        <f t="shared" ca="1" si="64"/>
        <v>#N/A</v>
      </c>
      <c r="F1031" t="e">
        <f t="shared" ca="1" si="65"/>
        <v>#N/A</v>
      </c>
    </row>
    <row r="1032" spans="3:6" x14ac:dyDescent="0.25">
      <c r="C1032" t="e">
        <f t="shared" ca="1" si="62"/>
        <v>#N/A</v>
      </c>
      <c r="D1032" t="e">
        <f t="shared" ca="1" si="63"/>
        <v>#N/A</v>
      </c>
      <c r="E1032" t="e">
        <f t="shared" ca="1" si="64"/>
        <v>#N/A</v>
      </c>
      <c r="F1032" t="e">
        <f t="shared" ca="1" si="65"/>
        <v>#N/A</v>
      </c>
    </row>
    <row r="1033" spans="3:6" x14ac:dyDescent="0.25">
      <c r="C1033" t="e">
        <f t="shared" ca="1" si="62"/>
        <v>#N/A</v>
      </c>
      <c r="D1033" t="e">
        <f t="shared" ca="1" si="63"/>
        <v>#N/A</v>
      </c>
      <c r="E1033" t="e">
        <f t="shared" ca="1" si="64"/>
        <v>#N/A</v>
      </c>
      <c r="F1033" t="e">
        <f t="shared" ca="1" si="65"/>
        <v>#N/A</v>
      </c>
    </row>
    <row r="1034" spans="3:6" x14ac:dyDescent="0.25">
      <c r="C1034" t="e">
        <f t="shared" ref="C1034:C1097" ca="1" si="66">$C$7</f>
        <v>#N/A</v>
      </c>
      <c r="D1034" t="e">
        <f t="shared" ref="D1034:D1097" ca="1" si="67">$D$7</f>
        <v>#N/A</v>
      </c>
      <c r="E1034" t="e">
        <f t="shared" ref="E1034:E1097" ca="1" si="68">IF($B1035="",C$8,"")</f>
        <v>#N/A</v>
      </c>
      <c r="F1034" t="e">
        <f t="shared" ref="F1034:F1097" ca="1" si="69">IF($B1035="",D$8,"")</f>
        <v>#N/A</v>
      </c>
    </row>
    <row r="1035" spans="3:6" x14ac:dyDescent="0.25">
      <c r="C1035" t="e">
        <f t="shared" ca="1" si="66"/>
        <v>#N/A</v>
      </c>
      <c r="D1035" t="e">
        <f t="shared" ca="1" si="67"/>
        <v>#N/A</v>
      </c>
      <c r="E1035" t="e">
        <f t="shared" ca="1" si="68"/>
        <v>#N/A</v>
      </c>
      <c r="F1035" t="e">
        <f t="shared" ca="1" si="69"/>
        <v>#N/A</v>
      </c>
    </row>
    <row r="1036" spans="3:6" x14ac:dyDescent="0.25">
      <c r="C1036" t="e">
        <f t="shared" ca="1" si="66"/>
        <v>#N/A</v>
      </c>
      <c r="D1036" t="e">
        <f t="shared" ca="1" si="67"/>
        <v>#N/A</v>
      </c>
      <c r="E1036" t="e">
        <f t="shared" ca="1" si="68"/>
        <v>#N/A</v>
      </c>
      <c r="F1036" t="e">
        <f t="shared" ca="1" si="69"/>
        <v>#N/A</v>
      </c>
    </row>
    <row r="1037" spans="3:6" x14ac:dyDescent="0.25">
      <c r="C1037" t="e">
        <f t="shared" ca="1" si="66"/>
        <v>#N/A</v>
      </c>
      <c r="D1037" t="e">
        <f t="shared" ca="1" si="67"/>
        <v>#N/A</v>
      </c>
      <c r="E1037" t="e">
        <f t="shared" ca="1" si="68"/>
        <v>#N/A</v>
      </c>
      <c r="F1037" t="e">
        <f t="shared" ca="1" si="69"/>
        <v>#N/A</v>
      </c>
    </row>
    <row r="1038" spans="3:6" x14ac:dyDescent="0.25">
      <c r="C1038" t="e">
        <f t="shared" ca="1" si="66"/>
        <v>#N/A</v>
      </c>
      <c r="D1038" t="e">
        <f t="shared" ca="1" si="67"/>
        <v>#N/A</v>
      </c>
      <c r="E1038" t="e">
        <f t="shared" ca="1" si="68"/>
        <v>#N/A</v>
      </c>
      <c r="F1038" t="e">
        <f t="shared" ca="1" si="69"/>
        <v>#N/A</v>
      </c>
    </row>
    <row r="1039" spans="3:6" x14ac:dyDescent="0.25">
      <c r="C1039" t="e">
        <f t="shared" ca="1" si="66"/>
        <v>#N/A</v>
      </c>
      <c r="D1039" t="e">
        <f t="shared" ca="1" si="67"/>
        <v>#N/A</v>
      </c>
      <c r="E1039" t="e">
        <f t="shared" ca="1" si="68"/>
        <v>#N/A</v>
      </c>
      <c r="F1039" t="e">
        <f t="shared" ca="1" si="69"/>
        <v>#N/A</v>
      </c>
    </row>
    <row r="1040" spans="3:6" x14ac:dyDescent="0.25">
      <c r="C1040" t="e">
        <f t="shared" ca="1" si="66"/>
        <v>#N/A</v>
      </c>
      <c r="D1040" t="e">
        <f t="shared" ca="1" si="67"/>
        <v>#N/A</v>
      </c>
      <c r="E1040" t="e">
        <f t="shared" ca="1" si="68"/>
        <v>#N/A</v>
      </c>
      <c r="F1040" t="e">
        <f t="shared" ca="1" si="69"/>
        <v>#N/A</v>
      </c>
    </row>
    <row r="1041" spans="3:6" x14ac:dyDescent="0.25">
      <c r="C1041" t="e">
        <f t="shared" ca="1" si="66"/>
        <v>#N/A</v>
      </c>
      <c r="D1041" t="e">
        <f t="shared" ca="1" si="67"/>
        <v>#N/A</v>
      </c>
      <c r="E1041" t="e">
        <f t="shared" ca="1" si="68"/>
        <v>#N/A</v>
      </c>
      <c r="F1041" t="e">
        <f t="shared" ca="1" si="69"/>
        <v>#N/A</v>
      </c>
    </row>
    <row r="1042" spans="3:6" x14ac:dyDescent="0.25">
      <c r="C1042" t="e">
        <f t="shared" ca="1" si="66"/>
        <v>#N/A</v>
      </c>
      <c r="D1042" t="e">
        <f t="shared" ca="1" si="67"/>
        <v>#N/A</v>
      </c>
      <c r="E1042" t="e">
        <f t="shared" ca="1" si="68"/>
        <v>#N/A</v>
      </c>
      <c r="F1042" t="e">
        <f t="shared" ca="1" si="69"/>
        <v>#N/A</v>
      </c>
    </row>
    <row r="1043" spans="3:6" x14ac:dyDescent="0.25">
      <c r="C1043" t="e">
        <f t="shared" ca="1" si="66"/>
        <v>#N/A</v>
      </c>
      <c r="D1043" t="e">
        <f t="shared" ca="1" si="67"/>
        <v>#N/A</v>
      </c>
      <c r="E1043" t="e">
        <f t="shared" ca="1" si="68"/>
        <v>#N/A</v>
      </c>
      <c r="F1043" t="e">
        <f t="shared" ca="1" si="69"/>
        <v>#N/A</v>
      </c>
    </row>
    <row r="1044" spans="3:6" x14ac:dyDescent="0.25">
      <c r="C1044" t="e">
        <f t="shared" ca="1" si="66"/>
        <v>#N/A</v>
      </c>
      <c r="D1044" t="e">
        <f t="shared" ca="1" si="67"/>
        <v>#N/A</v>
      </c>
      <c r="E1044" t="e">
        <f t="shared" ca="1" si="68"/>
        <v>#N/A</v>
      </c>
      <c r="F1044" t="e">
        <f t="shared" ca="1" si="69"/>
        <v>#N/A</v>
      </c>
    </row>
    <row r="1045" spans="3:6" x14ac:dyDescent="0.25">
      <c r="C1045" t="e">
        <f t="shared" ca="1" si="66"/>
        <v>#N/A</v>
      </c>
      <c r="D1045" t="e">
        <f t="shared" ca="1" si="67"/>
        <v>#N/A</v>
      </c>
      <c r="E1045" t="e">
        <f t="shared" ca="1" si="68"/>
        <v>#N/A</v>
      </c>
      <c r="F1045" t="e">
        <f t="shared" ca="1" si="69"/>
        <v>#N/A</v>
      </c>
    </row>
    <row r="1046" spans="3:6" x14ac:dyDescent="0.25">
      <c r="C1046" t="e">
        <f t="shared" ca="1" si="66"/>
        <v>#N/A</v>
      </c>
      <c r="D1046" t="e">
        <f t="shared" ca="1" si="67"/>
        <v>#N/A</v>
      </c>
      <c r="E1046" t="e">
        <f t="shared" ca="1" si="68"/>
        <v>#N/A</v>
      </c>
      <c r="F1046" t="e">
        <f t="shared" ca="1" si="69"/>
        <v>#N/A</v>
      </c>
    </row>
    <row r="1047" spans="3:6" x14ac:dyDescent="0.25">
      <c r="C1047" t="e">
        <f t="shared" ca="1" si="66"/>
        <v>#N/A</v>
      </c>
      <c r="D1047" t="e">
        <f t="shared" ca="1" si="67"/>
        <v>#N/A</v>
      </c>
      <c r="E1047" t="e">
        <f t="shared" ca="1" si="68"/>
        <v>#N/A</v>
      </c>
      <c r="F1047" t="e">
        <f t="shared" ca="1" si="69"/>
        <v>#N/A</v>
      </c>
    </row>
    <row r="1048" spans="3:6" x14ac:dyDescent="0.25">
      <c r="C1048" t="e">
        <f t="shared" ca="1" si="66"/>
        <v>#N/A</v>
      </c>
      <c r="D1048" t="e">
        <f t="shared" ca="1" si="67"/>
        <v>#N/A</v>
      </c>
      <c r="E1048" t="e">
        <f t="shared" ca="1" si="68"/>
        <v>#N/A</v>
      </c>
      <c r="F1048" t="e">
        <f t="shared" ca="1" si="69"/>
        <v>#N/A</v>
      </c>
    </row>
    <row r="1049" spans="3:6" x14ac:dyDescent="0.25">
      <c r="C1049" t="e">
        <f t="shared" ca="1" si="66"/>
        <v>#N/A</v>
      </c>
      <c r="D1049" t="e">
        <f t="shared" ca="1" si="67"/>
        <v>#N/A</v>
      </c>
      <c r="E1049" t="e">
        <f t="shared" ca="1" si="68"/>
        <v>#N/A</v>
      </c>
      <c r="F1049" t="e">
        <f t="shared" ca="1" si="69"/>
        <v>#N/A</v>
      </c>
    </row>
    <row r="1050" spans="3:6" x14ac:dyDescent="0.25">
      <c r="C1050" t="e">
        <f t="shared" ca="1" si="66"/>
        <v>#N/A</v>
      </c>
      <c r="D1050" t="e">
        <f t="shared" ca="1" si="67"/>
        <v>#N/A</v>
      </c>
      <c r="E1050" t="e">
        <f t="shared" ca="1" si="68"/>
        <v>#N/A</v>
      </c>
      <c r="F1050" t="e">
        <f t="shared" ca="1" si="69"/>
        <v>#N/A</v>
      </c>
    </row>
    <row r="1051" spans="3:6" x14ac:dyDescent="0.25">
      <c r="C1051" t="e">
        <f t="shared" ca="1" si="66"/>
        <v>#N/A</v>
      </c>
      <c r="D1051" t="e">
        <f t="shared" ca="1" si="67"/>
        <v>#N/A</v>
      </c>
      <c r="E1051" t="e">
        <f t="shared" ca="1" si="68"/>
        <v>#N/A</v>
      </c>
      <c r="F1051" t="e">
        <f t="shared" ca="1" si="69"/>
        <v>#N/A</v>
      </c>
    </row>
    <row r="1052" spans="3:6" x14ac:dyDescent="0.25">
      <c r="C1052" t="e">
        <f t="shared" ca="1" si="66"/>
        <v>#N/A</v>
      </c>
      <c r="D1052" t="e">
        <f t="shared" ca="1" si="67"/>
        <v>#N/A</v>
      </c>
      <c r="E1052" t="e">
        <f t="shared" ca="1" si="68"/>
        <v>#N/A</v>
      </c>
      <c r="F1052" t="e">
        <f t="shared" ca="1" si="69"/>
        <v>#N/A</v>
      </c>
    </row>
    <row r="1053" spans="3:6" x14ac:dyDescent="0.25">
      <c r="C1053" t="e">
        <f t="shared" ca="1" si="66"/>
        <v>#N/A</v>
      </c>
      <c r="D1053" t="e">
        <f t="shared" ca="1" si="67"/>
        <v>#N/A</v>
      </c>
      <c r="E1053" t="e">
        <f t="shared" ca="1" si="68"/>
        <v>#N/A</v>
      </c>
      <c r="F1053" t="e">
        <f t="shared" ca="1" si="69"/>
        <v>#N/A</v>
      </c>
    </row>
    <row r="1054" spans="3:6" x14ac:dyDescent="0.25">
      <c r="C1054" t="e">
        <f t="shared" ca="1" si="66"/>
        <v>#N/A</v>
      </c>
      <c r="D1054" t="e">
        <f t="shared" ca="1" si="67"/>
        <v>#N/A</v>
      </c>
      <c r="E1054" t="e">
        <f t="shared" ca="1" si="68"/>
        <v>#N/A</v>
      </c>
      <c r="F1054" t="e">
        <f t="shared" ca="1" si="69"/>
        <v>#N/A</v>
      </c>
    </row>
    <row r="1055" spans="3:6" x14ac:dyDescent="0.25">
      <c r="C1055" t="e">
        <f t="shared" ca="1" si="66"/>
        <v>#N/A</v>
      </c>
      <c r="D1055" t="e">
        <f t="shared" ca="1" si="67"/>
        <v>#N/A</v>
      </c>
      <c r="E1055" t="e">
        <f t="shared" ca="1" si="68"/>
        <v>#N/A</v>
      </c>
      <c r="F1055" t="e">
        <f t="shared" ca="1" si="69"/>
        <v>#N/A</v>
      </c>
    </row>
    <row r="1056" spans="3:6" x14ac:dyDescent="0.25">
      <c r="C1056" t="e">
        <f t="shared" ca="1" si="66"/>
        <v>#N/A</v>
      </c>
      <c r="D1056" t="e">
        <f t="shared" ca="1" si="67"/>
        <v>#N/A</v>
      </c>
      <c r="E1056" t="e">
        <f t="shared" ca="1" si="68"/>
        <v>#N/A</v>
      </c>
      <c r="F1056" t="e">
        <f t="shared" ca="1" si="69"/>
        <v>#N/A</v>
      </c>
    </row>
    <row r="1057" spans="3:6" x14ac:dyDescent="0.25">
      <c r="C1057" t="e">
        <f t="shared" ca="1" si="66"/>
        <v>#N/A</v>
      </c>
      <c r="D1057" t="e">
        <f t="shared" ca="1" si="67"/>
        <v>#N/A</v>
      </c>
      <c r="E1057" t="e">
        <f t="shared" ca="1" si="68"/>
        <v>#N/A</v>
      </c>
      <c r="F1057" t="e">
        <f t="shared" ca="1" si="69"/>
        <v>#N/A</v>
      </c>
    </row>
    <row r="1058" spans="3:6" x14ac:dyDescent="0.25">
      <c r="C1058" t="e">
        <f t="shared" ca="1" si="66"/>
        <v>#N/A</v>
      </c>
      <c r="D1058" t="e">
        <f t="shared" ca="1" si="67"/>
        <v>#N/A</v>
      </c>
      <c r="E1058" t="e">
        <f t="shared" ca="1" si="68"/>
        <v>#N/A</v>
      </c>
      <c r="F1058" t="e">
        <f t="shared" ca="1" si="69"/>
        <v>#N/A</v>
      </c>
    </row>
    <row r="1059" spans="3:6" x14ac:dyDescent="0.25">
      <c r="C1059" t="e">
        <f t="shared" ca="1" si="66"/>
        <v>#N/A</v>
      </c>
      <c r="D1059" t="e">
        <f t="shared" ca="1" si="67"/>
        <v>#N/A</v>
      </c>
      <c r="E1059" t="e">
        <f t="shared" ca="1" si="68"/>
        <v>#N/A</v>
      </c>
      <c r="F1059" t="e">
        <f t="shared" ca="1" si="69"/>
        <v>#N/A</v>
      </c>
    </row>
    <row r="1060" spans="3:6" x14ac:dyDescent="0.25">
      <c r="C1060" t="e">
        <f t="shared" ca="1" si="66"/>
        <v>#N/A</v>
      </c>
      <c r="D1060" t="e">
        <f t="shared" ca="1" si="67"/>
        <v>#N/A</v>
      </c>
      <c r="E1060" t="e">
        <f t="shared" ca="1" si="68"/>
        <v>#N/A</v>
      </c>
      <c r="F1060" t="e">
        <f t="shared" ca="1" si="69"/>
        <v>#N/A</v>
      </c>
    </row>
    <row r="1061" spans="3:6" x14ac:dyDescent="0.25">
      <c r="C1061" t="e">
        <f t="shared" ca="1" si="66"/>
        <v>#N/A</v>
      </c>
      <c r="D1061" t="e">
        <f t="shared" ca="1" si="67"/>
        <v>#N/A</v>
      </c>
      <c r="E1061" t="e">
        <f t="shared" ca="1" si="68"/>
        <v>#N/A</v>
      </c>
      <c r="F1061" t="e">
        <f t="shared" ca="1" si="69"/>
        <v>#N/A</v>
      </c>
    </row>
    <row r="1062" spans="3:6" x14ac:dyDescent="0.25">
      <c r="C1062" t="e">
        <f t="shared" ca="1" si="66"/>
        <v>#N/A</v>
      </c>
      <c r="D1062" t="e">
        <f t="shared" ca="1" si="67"/>
        <v>#N/A</v>
      </c>
      <c r="E1062" t="e">
        <f t="shared" ca="1" si="68"/>
        <v>#N/A</v>
      </c>
      <c r="F1062" t="e">
        <f t="shared" ca="1" si="69"/>
        <v>#N/A</v>
      </c>
    </row>
    <row r="1063" spans="3:6" x14ac:dyDescent="0.25">
      <c r="C1063" t="e">
        <f t="shared" ca="1" si="66"/>
        <v>#N/A</v>
      </c>
      <c r="D1063" t="e">
        <f t="shared" ca="1" si="67"/>
        <v>#N/A</v>
      </c>
      <c r="E1063" t="e">
        <f t="shared" ca="1" si="68"/>
        <v>#N/A</v>
      </c>
      <c r="F1063" t="e">
        <f t="shared" ca="1" si="69"/>
        <v>#N/A</v>
      </c>
    </row>
    <row r="1064" spans="3:6" x14ac:dyDescent="0.25">
      <c r="C1064" t="e">
        <f t="shared" ca="1" si="66"/>
        <v>#N/A</v>
      </c>
      <c r="D1064" t="e">
        <f t="shared" ca="1" si="67"/>
        <v>#N/A</v>
      </c>
      <c r="E1064" t="e">
        <f t="shared" ca="1" si="68"/>
        <v>#N/A</v>
      </c>
      <c r="F1064" t="e">
        <f t="shared" ca="1" si="69"/>
        <v>#N/A</v>
      </c>
    </row>
    <row r="1065" spans="3:6" x14ac:dyDescent="0.25">
      <c r="C1065" t="e">
        <f t="shared" ca="1" si="66"/>
        <v>#N/A</v>
      </c>
      <c r="D1065" t="e">
        <f t="shared" ca="1" si="67"/>
        <v>#N/A</v>
      </c>
      <c r="E1065" t="e">
        <f t="shared" ca="1" si="68"/>
        <v>#N/A</v>
      </c>
      <c r="F1065" t="e">
        <f t="shared" ca="1" si="69"/>
        <v>#N/A</v>
      </c>
    </row>
    <row r="1066" spans="3:6" x14ac:dyDescent="0.25">
      <c r="C1066" t="e">
        <f t="shared" ca="1" si="66"/>
        <v>#N/A</v>
      </c>
      <c r="D1066" t="e">
        <f t="shared" ca="1" si="67"/>
        <v>#N/A</v>
      </c>
      <c r="E1066" t="e">
        <f t="shared" ca="1" si="68"/>
        <v>#N/A</v>
      </c>
      <c r="F1066" t="e">
        <f t="shared" ca="1" si="69"/>
        <v>#N/A</v>
      </c>
    </row>
    <row r="1067" spans="3:6" x14ac:dyDescent="0.25">
      <c r="C1067" t="e">
        <f t="shared" ca="1" si="66"/>
        <v>#N/A</v>
      </c>
      <c r="D1067" t="e">
        <f t="shared" ca="1" si="67"/>
        <v>#N/A</v>
      </c>
      <c r="E1067" t="e">
        <f t="shared" ca="1" si="68"/>
        <v>#N/A</v>
      </c>
      <c r="F1067" t="e">
        <f t="shared" ca="1" si="69"/>
        <v>#N/A</v>
      </c>
    </row>
    <row r="1068" spans="3:6" x14ac:dyDescent="0.25">
      <c r="C1068" t="e">
        <f t="shared" ca="1" si="66"/>
        <v>#N/A</v>
      </c>
      <c r="D1068" t="e">
        <f t="shared" ca="1" si="67"/>
        <v>#N/A</v>
      </c>
      <c r="E1068" t="e">
        <f t="shared" ca="1" si="68"/>
        <v>#N/A</v>
      </c>
      <c r="F1068" t="e">
        <f t="shared" ca="1" si="69"/>
        <v>#N/A</v>
      </c>
    </row>
    <row r="1069" spans="3:6" x14ac:dyDescent="0.25">
      <c r="C1069" t="e">
        <f t="shared" ca="1" si="66"/>
        <v>#N/A</v>
      </c>
      <c r="D1069" t="e">
        <f t="shared" ca="1" si="67"/>
        <v>#N/A</v>
      </c>
      <c r="E1069" t="e">
        <f t="shared" ca="1" si="68"/>
        <v>#N/A</v>
      </c>
      <c r="F1069" t="e">
        <f t="shared" ca="1" si="69"/>
        <v>#N/A</v>
      </c>
    </row>
    <row r="1070" spans="3:6" x14ac:dyDescent="0.25">
      <c r="C1070" t="e">
        <f t="shared" ca="1" si="66"/>
        <v>#N/A</v>
      </c>
      <c r="D1070" t="e">
        <f t="shared" ca="1" si="67"/>
        <v>#N/A</v>
      </c>
      <c r="E1070" t="e">
        <f t="shared" ca="1" si="68"/>
        <v>#N/A</v>
      </c>
      <c r="F1070" t="e">
        <f t="shared" ca="1" si="69"/>
        <v>#N/A</v>
      </c>
    </row>
    <row r="1071" spans="3:6" x14ac:dyDescent="0.25">
      <c r="C1071" t="e">
        <f t="shared" ca="1" si="66"/>
        <v>#N/A</v>
      </c>
      <c r="D1071" t="e">
        <f t="shared" ca="1" si="67"/>
        <v>#N/A</v>
      </c>
      <c r="E1071" t="e">
        <f t="shared" ca="1" si="68"/>
        <v>#N/A</v>
      </c>
      <c r="F1071" t="e">
        <f t="shared" ca="1" si="69"/>
        <v>#N/A</v>
      </c>
    </row>
    <row r="1072" spans="3:6" x14ac:dyDescent="0.25">
      <c r="C1072" t="e">
        <f t="shared" ca="1" si="66"/>
        <v>#N/A</v>
      </c>
      <c r="D1072" t="e">
        <f t="shared" ca="1" si="67"/>
        <v>#N/A</v>
      </c>
      <c r="E1072" t="e">
        <f t="shared" ca="1" si="68"/>
        <v>#N/A</v>
      </c>
      <c r="F1072" t="e">
        <f t="shared" ca="1" si="69"/>
        <v>#N/A</v>
      </c>
    </row>
    <row r="1073" spans="3:6" x14ac:dyDescent="0.25">
      <c r="C1073" t="e">
        <f t="shared" ca="1" si="66"/>
        <v>#N/A</v>
      </c>
      <c r="D1073" t="e">
        <f t="shared" ca="1" si="67"/>
        <v>#N/A</v>
      </c>
      <c r="E1073" t="e">
        <f t="shared" ca="1" si="68"/>
        <v>#N/A</v>
      </c>
      <c r="F1073" t="e">
        <f t="shared" ca="1" si="69"/>
        <v>#N/A</v>
      </c>
    </row>
    <row r="1074" spans="3:6" x14ac:dyDescent="0.25">
      <c r="C1074" t="e">
        <f t="shared" ca="1" si="66"/>
        <v>#N/A</v>
      </c>
      <c r="D1074" t="e">
        <f t="shared" ca="1" si="67"/>
        <v>#N/A</v>
      </c>
      <c r="E1074" t="e">
        <f t="shared" ca="1" si="68"/>
        <v>#N/A</v>
      </c>
      <c r="F1074" t="e">
        <f t="shared" ca="1" si="69"/>
        <v>#N/A</v>
      </c>
    </row>
    <row r="1075" spans="3:6" x14ac:dyDescent="0.25">
      <c r="C1075" t="e">
        <f t="shared" ca="1" si="66"/>
        <v>#N/A</v>
      </c>
      <c r="D1075" t="e">
        <f t="shared" ca="1" si="67"/>
        <v>#N/A</v>
      </c>
      <c r="E1075" t="e">
        <f t="shared" ca="1" si="68"/>
        <v>#N/A</v>
      </c>
      <c r="F1075" t="e">
        <f t="shared" ca="1" si="69"/>
        <v>#N/A</v>
      </c>
    </row>
    <row r="1076" spans="3:6" x14ac:dyDescent="0.25">
      <c r="C1076" t="e">
        <f t="shared" ca="1" si="66"/>
        <v>#N/A</v>
      </c>
      <c r="D1076" t="e">
        <f t="shared" ca="1" si="67"/>
        <v>#N/A</v>
      </c>
      <c r="E1076" t="e">
        <f t="shared" ca="1" si="68"/>
        <v>#N/A</v>
      </c>
      <c r="F1076" t="e">
        <f t="shared" ca="1" si="69"/>
        <v>#N/A</v>
      </c>
    </row>
    <row r="1077" spans="3:6" x14ac:dyDescent="0.25">
      <c r="C1077" t="e">
        <f t="shared" ca="1" si="66"/>
        <v>#N/A</v>
      </c>
      <c r="D1077" t="e">
        <f t="shared" ca="1" si="67"/>
        <v>#N/A</v>
      </c>
      <c r="E1077" t="e">
        <f t="shared" ca="1" si="68"/>
        <v>#N/A</v>
      </c>
      <c r="F1077" t="e">
        <f t="shared" ca="1" si="69"/>
        <v>#N/A</v>
      </c>
    </row>
    <row r="1078" spans="3:6" x14ac:dyDescent="0.25">
      <c r="C1078" t="e">
        <f t="shared" ca="1" si="66"/>
        <v>#N/A</v>
      </c>
      <c r="D1078" t="e">
        <f t="shared" ca="1" si="67"/>
        <v>#N/A</v>
      </c>
      <c r="E1078" t="e">
        <f t="shared" ca="1" si="68"/>
        <v>#N/A</v>
      </c>
      <c r="F1078" t="e">
        <f t="shared" ca="1" si="69"/>
        <v>#N/A</v>
      </c>
    </row>
    <row r="1079" spans="3:6" x14ac:dyDescent="0.25">
      <c r="C1079" t="e">
        <f t="shared" ca="1" si="66"/>
        <v>#N/A</v>
      </c>
      <c r="D1079" t="e">
        <f t="shared" ca="1" si="67"/>
        <v>#N/A</v>
      </c>
      <c r="E1079" t="e">
        <f t="shared" ca="1" si="68"/>
        <v>#N/A</v>
      </c>
      <c r="F1079" t="e">
        <f t="shared" ca="1" si="69"/>
        <v>#N/A</v>
      </c>
    </row>
    <row r="1080" spans="3:6" x14ac:dyDescent="0.25">
      <c r="C1080" t="e">
        <f t="shared" ca="1" si="66"/>
        <v>#N/A</v>
      </c>
      <c r="D1080" t="e">
        <f t="shared" ca="1" si="67"/>
        <v>#N/A</v>
      </c>
      <c r="E1080" t="e">
        <f t="shared" ca="1" si="68"/>
        <v>#N/A</v>
      </c>
      <c r="F1080" t="e">
        <f t="shared" ca="1" si="69"/>
        <v>#N/A</v>
      </c>
    </row>
    <row r="1081" spans="3:6" x14ac:dyDescent="0.25">
      <c r="C1081" t="e">
        <f t="shared" ca="1" si="66"/>
        <v>#N/A</v>
      </c>
      <c r="D1081" t="e">
        <f t="shared" ca="1" si="67"/>
        <v>#N/A</v>
      </c>
      <c r="E1081" t="e">
        <f t="shared" ca="1" si="68"/>
        <v>#N/A</v>
      </c>
      <c r="F1081" t="e">
        <f t="shared" ca="1" si="69"/>
        <v>#N/A</v>
      </c>
    </row>
    <row r="1082" spans="3:6" x14ac:dyDescent="0.25">
      <c r="C1082" t="e">
        <f t="shared" ca="1" si="66"/>
        <v>#N/A</v>
      </c>
      <c r="D1082" t="e">
        <f t="shared" ca="1" si="67"/>
        <v>#N/A</v>
      </c>
      <c r="E1082" t="e">
        <f t="shared" ca="1" si="68"/>
        <v>#N/A</v>
      </c>
      <c r="F1082" t="e">
        <f t="shared" ca="1" si="69"/>
        <v>#N/A</v>
      </c>
    </row>
    <row r="1083" spans="3:6" x14ac:dyDescent="0.25">
      <c r="C1083" t="e">
        <f t="shared" ca="1" si="66"/>
        <v>#N/A</v>
      </c>
      <c r="D1083" t="e">
        <f t="shared" ca="1" si="67"/>
        <v>#N/A</v>
      </c>
      <c r="E1083" t="e">
        <f t="shared" ca="1" si="68"/>
        <v>#N/A</v>
      </c>
      <c r="F1083" t="e">
        <f t="shared" ca="1" si="69"/>
        <v>#N/A</v>
      </c>
    </row>
    <row r="1084" spans="3:6" x14ac:dyDescent="0.25">
      <c r="C1084" t="e">
        <f t="shared" ca="1" si="66"/>
        <v>#N/A</v>
      </c>
      <c r="D1084" t="e">
        <f t="shared" ca="1" si="67"/>
        <v>#N/A</v>
      </c>
      <c r="E1084" t="e">
        <f t="shared" ca="1" si="68"/>
        <v>#N/A</v>
      </c>
      <c r="F1084" t="e">
        <f t="shared" ca="1" si="69"/>
        <v>#N/A</v>
      </c>
    </row>
    <row r="1085" spans="3:6" x14ac:dyDescent="0.25">
      <c r="C1085" t="e">
        <f t="shared" ca="1" si="66"/>
        <v>#N/A</v>
      </c>
      <c r="D1085" t="e">
        <f t="shared" ca="1" si="67"/>
        <v>#N/A</v>
      </c>
      <c r="E1085" t="e">
        <f t="shared" ca="1" si="68"/>
        <v>#N/A</v>
      </c>
      <c r="F1085" t="e">
        <f t="shared" ca="1" si="69"/>
        <v>#N/A</v>
      </c>
    </row>
    <row r="1086" spans="3:6" x14ac:dyDescent="0.25">
      <c r="C1086" t="e">
        <f t="shared" ca="1" si="66"/>
        <v>#N/A</v>
      </c>
      <c r="D1086" t="e">
        <f t="shared" ca="1" si="67"/>
        <v>#N/A</v>
      </c>
      <c r="E1086" t="e">
        <f t="shared" ca="1" si="68"/>
        <v>#N/A</v>
      </c>
      <c r="F1086" t="e">
        <f t="shared" ca="1" si="69"/>
        <v>#N/A</v>
      </c>
    </row>
    <row r="1087" spans="3:6" x14ac:dyDescent="0.25">
      <c r="C1087" t="e">
        <f t="shared" ca="1" si="66"/>
        <v>#N/A</v>
      </c>
      <c r="D1087" t="e">
        <f t="shared" ca="1" si="67"/>
        <v>#N/A</v>
      </c>
      <c r="E1087" t="e">
        <f t="shared" ca="1" si="68"/>
        <v>#N/A</v>
      </c>
      <c r="F1087" t="e">
        <f t="shared" ca="1" si="69"/>
        <v>#N/A</v>
      </c>
    </row>
    <row r="1088" spans="3:6" x14ac:dyDescent="0.25">
      <c r="C1088" t="e">
        <f t="shared" ca="1" si="66"/>
        <v>#N/A</v>
      </c>
      <c r="D1088" t="e">
        <f t="shared" ca="1" si="67"/>
        <v>#N/A</v>
      </c>
      <c r="E1088" t="e">
        <f t="shared" ca="1" si="68"/>
        <v>#N/A</v>
      </c>
      <c r="F1088" t="e">
        <f t="shared" ca="1" si="69"/>
        <v>#N/A</v>
      </c>
    </row>
    <row r="1089" spans="3:6" x14ac:dyDescent="0.25">
      <c r="C1089" t="e">
        <f t="shared" ca="1" si="66"/>
        <v>#N/A</v>
      </c>
      <c r="D1089" t="e">
        <f t="shared" ca="1" si="67"/>
        <v>#N/A</v>
      </c>
      <c r="E1089" t="e">
        <f t="shared" ca="1" si="68"/>
        <v>#N/A</v>
      </c>
      <c r="F1089" t="e">
        <f t="shared" ca="1" si="69"/>
        <v>#N/A</v>
      </c>
    </row>
    <row r="1090" spans="3:6" x14ac:dyDescent="0.25">
      <c r="C1090" t="e">
        <f t="shared" ca="1" si="66"/>
        <v>#N/A</v>
      </c>
      <c r="D1090" t="e">
        <f t="shared" ca="1" si="67"/>
        <v>#N/A</v>
      </c>
      <c r="E1090" t="e">
        <f t="shared" ca="1" si="68"/>
        <v>#N/A</v>
      </c>
      <c r="F1090" t="e">
        <f t="shared" ca="1" si="69"/>
        <v>#N/A</v>
      </c>
    </row>
    <row r="1091" spans="3:6" x14ac:dyDescent="0.25">
      <c r="C1091" t="e">
        <f t="shared" ca="1" si="66"/>
        <v>#N/A</v>
      </c>
      <c r="D1091" t="e">
        <f t="shared" ca="1" si="67"/>
        <v>#N/A</v>
      </c>
      <c r="E1091" t="e">
        <f t="shared" ca="1" si="68"/>
        <v>#N/A</v>
      </c>
      <c r="F1091" t="e">
        <f t="shared" ca="1" si="69"/>
        <v>#N/A</v>
      </c>
    </row>
    <row r="1092" spans="3:6" x14ac:dyDescent="0.25">
      <c r="C1092" t="e">
        <f t="shared" ca="1" si="66"/>
        <v>#N/A</v>
      </c>
      <c r="D1092" t="e">
        <f t="shared" ca="1" si="67"/>
        <v>#N/A</v>
      </c>
      <c r="E1092" t="e">
        <f t="shared" ca="1" si="68"/>
        <v>#N/A</v>
      </c>
      <c r="F1092" t="e">
        <f t="shared" ca="1" si="69"/>
        <v>#N/A</v>
      </c>
    </row>
    <row r="1093" spans="3:6" x14ac:dyDescent="0.25">
      <c r="C1093" t="e">
        <f t="shared" ca="1" si="66"/>
        <v>#N/A</v>
      </c>
      <c r="D1093" t="e">
        <f t="shared" ca="1" si="67"/>
        <v>#N/A</v>
      </c>
      <c r="E1093" t="e">
        <f t="shared" ca="1" si="68"/>
        <v>#N/A</v>
      </c>
      <c r="F1093" t="e">
        <f t="shared" ca="1" si="69"/>
        <v>#N/A</v>
      </c>
    </row>
    <row r="1094" spans="3:6" x14ac:dyDescent="0.25">
      <c r="C1094" t="e">
        <f t="shared" ca="1" si="66"/>
        <v>#N/A</v>
      </c>
      <c r="D1094" t="e">
        <f t="shared" ca="1" si="67"/>
        <v>#N/A</v>
      </c>
      <c r="E1094" t="e">
        <f t="shared" ca="1" si="68"/>
        <v>#N/A</v>
      </c>
      <c r="F1094" t="e">
        <f t="shared" ca="1" si="69"/>
        <v>#N/A</v>
      </c>
    </row>
    <row r="1095" spans="3:6" x14ac:dyDescent="0.25">
      <c r="C1095" t="e">
        <f t="shared" ca="1" si="66"/>
        <v>#N/A</v>
      </c>
      <c r="D1095" t="e">
        <f t="shared" ca="1" si="67"/>
        <v>#N/A</v>
      </c>
      <c r="E1095" t="e">
        <f t="shared" ca="1" si="68"/>
        <v>#N/A</v>
      </c>
      <c r="F1095" t="e">
        <f t="shared" ca="1" si="69"/>
        <v>#N/A</v>
      </c>
    </row>
    <row r="1096" spans="3:6" x14ac:dyDescent="0.25">
      <c r="C1096" t="e">
        <f t="shared" ca="1" si="66"/>
        <v>#N/A</v>
      </c>
      <c r="D1096" t="e">
        <f t="shared" ca="1" si="67"/>
        <v>#N/A</v>
      </c>
      <c r="E1096" t="e">
        <f t="shared" ca="1" si="68"/>
        <v>#N/A</v>
      </c>
      <c r="F1096" t="e">
        <f t="shared" ca="1" si="69"/>
        <v>#N/A</v>
      </c>
    </row>
    <row r="1097" spans="3:6" x14ac:dyDescent="0.25">
      <c r="C1097" t="e">
        <f t="shared" ca="1" si="66"/>
        <v>#N/A</v>
      </c>
      <c r="D1097" t="e">
        <f t="shared" ca="1" si="67"/>
        <v>#N/A</v>
      </c>
      <c r="E1097" t="e">
        <f t="shared" ca="1" si="68"/>
        <v>#N/A</v>
      </c>
      <c r="F1097" t="e">
        <f t="shared" ca="1" si="69"/>
        <v>#N/A</v>
      </c>
    </row>
    <row r="1098" spans="3:6" x14ac:dyDescent="0.25">
      <c r="C1098" t="e">
        <f t="shared" ref="C1098:C1161" ca="1" si="70">$C$7</f>
        <v>#N/A</v>
      </c>
      <c r="D1098" t="e">
        <f t="shared" ref="D1098:D1161" ca="1" si="71">$D$7</f>
        <v>#N/A</v>
      </c>
      <c r="E1098" t="e">
        <f t="shared" ref="E1098:E1161" ca="1" si="72">IF($B1099="",C$8,"")</f>
        <v>#N/A</v>
      </c>
      <c r="F1098" t="e">
        <f t="shared" ref="F1098:F1161" ca="1" si="73">IF($B1099="",D$8,"")</f>
        <v>#N/A</v>
      </c>
    </row>
    <row r="1099" spans="3:6" x14ac:dyDescent="0.25">
      <c r="C1099" t="e">
        <f t="shared" ca="1" si="70"/>
        <v>#N/A</v>
      </c>
      <c r="D1099" t="e">
        <f t="shared" ca="1" si="71"/>
        <v>#N/A</v>
      </c>
      <c r="E1099" t="e">
        <f t="shared" ca="1" si="72"/>
        <v>#N/A</v>
      </c>
      <c r="F1099" t="e">
        <f t="shared" ca="1" si="73"/>
        <v>#N/A</v>
      </c>
    </row>
    <row r="1100" spans="3:6" x14ac:dyDescent="0.25">
      <c r="C1100" t="e">
        <f t="shared" ca="1" si="70"/>
        <v>#N/A</v>
      </c>
      <c r="D1100" t="e">
        <f t="shared" ca="1" si="71"/>
        <v>#N/A</v>
      </c>
      <c r="E1100" t="e">
        <f t="shared" ca="1" si="72"/>
        <v>#N/A</v>
      </c>
      <c r="F1100" t="e">
        <f t="shared" ca="1" si="73"/>
        <v>#N/A</v>
      </c>
    </row>
    <row r="1101" spans="3:6" x14ac:dyDescent="0.25">
      <c r="C1101" t="e">
        <f t="shared" ca="1" si="70"/>
        <v>#N/A</v>
      </c>
      <c r="D1101" t="e">
        <f t="shared" ca="1" si="71"/>
        <v>#N/A</v>
      </c>
      <c r="E1101" t="e">
        <f t="shared" ca="1" si="72"/>
        <v>#N/A</v>
      </c>
      <c r="F1101" t="e">
        <f t="shared" ca="1" si="73"/>
        <v>#N/A</v>
      </c>
    </row>
    <row r="1102" spans="3:6" x14ac:dyDescent="0.25">
      <c r="C1102" t="e">
        <f t="shared" ca="1" si="70"/>
        <v>#N/A</v>
      </c>
      <c r="D1102" t="e">
        <f t="shared" ca="1" si="71"/>
        <v>#N/A</v>
      </c>
      <c r="E1102" t="e">
        <f t="shared" ca="1" si="72"/>
        <v>#N/A</v>
      </c>
      <c r="F1102" t="e">
        <f t="shared" ca="1" si="73"/>
        <v>#N/A</v>
      </c>
    </row>
    <row r="1103" spans="3:6" x14ac:dyDescent="0.25">
      <c r="C1103" t="e">
        <f t="shared" ca="1" si="70"/>
        <v>#N/A</v>
      </c>
      <c r="D1103" t="e">
        <f t="shared" ca="1" si="71"/>
        <v>#N/A</v>
      </c>
      <c r="E1103" t="e">
        <f t="shared" ca="1" si="72"/>
        <v>#N/A</v>
      </c>
      <c r="F1103" t="e">
        <f t="shared" ca="1" si="73"/>
        <v>#N/A</v>
      </c>
    </row>
    <row r="1104" spans="3:6" x14ac:dyDescent="0.25">
      <c r="C1104" t="e">
        <f t="shared" ca="1" si="70"/>
        <v>#N/A</v>
      </c>
      <c r="D1104" t="e">
        <f t="shared" ca="1" si="71"/>
        <v>#N/A</v>
      </c>
      <c r="E1104" t="e">
        <f t="shared" ca="1" si="72"/>
        <v>#N/A</v>
      </c>
      <c r="F1104" t="e">
        <f t="shared" ca="1" si="73"/>
        <v>#N/A</v>
      </c>
    </row>
    <row r="1105" spans="3:6" x14ac:dyDescent="0.25">
      <c r="C1105" t="e">
        <f t="shared" ca="1" si="70"/>
        <v>#N/A</v>
      </c>
      <c r="D1105" t="e">
        <f t="shared" ca="1" si="71"/>
        <v>#N/A</v>
      </c>
      <c r="E1105" t="e">
        <f t="shared" ca="1" si="72"/>
        <v>#N/A</v>
      </c>
      <c r="F1105" t="e">
        <f t="shared" ca="1" si="73"/>
        <v>#N/A</v>
      </c>
    </row>
    <row r="1106" spans="3:6" x14ac:dyDescent="0.25">
      <c r="C1106" t="e">
        <f t="shared" ca="1" si="70"/>
        <v>#N/A</v>
      </c>
      <c r="D1106" t="e">
        <f t="shared" ca="1" si="71"/>
        <v>#N/A</v>
      </c>
      <c r="E1106" t="e">
        <f t="shared" ca="1" si="72"/>
        <v>#N/A</v>
      </c>
      <c r="F1106" t="e">
        <f t="shared" ca="1" si="73"/>
        <v>#N/A</v>
      </c>
    </row>
    <row r="1107" spans="3:6" x14ac:dyDescent="0.25">
      <c r="C1107" t="e">
        <f t="shared" ca="1" si="70"/>
        <v>#N/A</v>
      </c>
      <c r="D1107" t="e">
        <f t="shared" ca="1" si="71"/>
        <v>#N/A</v>
      </c>
      <c r="E1107" t="e">
        <f t="shared" ca="1" si="72"/>
        <v>#N/A</v>
      </c>
      <c r="F1107" t="e">
        <f t="shared" ca="1" si="73"/>
        <v>#N/A</v>
      </c>
    </row>
    <row r="1108" spans="3:6" x14ac:dyDescent="0.25">
      <c r="C1108" t="e">
        <f t="shared" ca="1" si="70"/>
        <v>#N/A</v>
      </c>
      <c r="D1108" t="e">
        <f t="shared" ca="1" si="71"/>
        <v>#N/A</v>
      </c>
      <c r="E1108" t="e">
        <f t="shared" ca="1" si="72"/>
        <v>#N/A</v>
      </c>
      <c r="F1108" t="e">
        <f t="shared" ca="1" si="73"/>
        <v>#N/A</v>
      </c>
    </row>
    <row r="1109" spans="3:6" x14ac:dyDescent="0.25">
      <c r="C1109" t="e">
        <f t="shared" ca="1" si="70"/>
        <v>#N/A</v>
      </c>
      <c r="D1109" t="e">
        <f t="shared" ca="1" si="71"/>
        <v>#N/A</v>
      </c>
      <c r="E1109" t="e">
        <f t="shared" ca="1" si="72"/>
        <v>#N/A</v>
      </c>
      <c r="F1109" t="e">
        <f t="shared" ca="1" si="73"/>
        <v>#N/A</v>
      </c>
    </row>
    <row r="1110" spans="3:6" x14ac:dyDescent="0.25">
      <c r="C1110" t="e">
        <f t="shared" ca="1" si="70"/>
        <v>#N/A</v>
      </c>
      <c r="D1110" t="e">
        <f t="shared" ca="1" si="71"/>
        <v>#N/A</v>
      </c>
      <c r="E1110" t="e">
        <f t="shared" ca="1" si="72"/>
        <v>#N/A</v>
      </c>
      <c r="F1110" t="e">
        <f t="shared" ca="1" si="73"/>
        <v>#N/A</v>
      </c>
    </row>
    <row r="1111" spans="3:6" x14ac:dyDescent="0.25">
      <c r="C1111" t="e">
        <f t="shared" ca="1" si="70"/>
        <v>#N/A</v>
      </c>
      <c r="D1111" t="e">
        <f t="shared" ca="1" si="71"/>
        <v>#N/A</v>
      </c>
      <c r="E1111" t="e">
        <f t="shared" ca="1" si="72"/>
        <v>#N/A</v>
      </c>
      <c r="F1111" t="e">
        <f t="shared" ca="1" si="73"/>
        <v>#N/A</v>
      </c>
    </row>
    <row r="1112" spans="3:6" x14ac:dyDescent="0.25">
      <c r="C1112" t="e">
        <f t="shared" ca="1" si="70"/>
        <v>#N/A</v>
      </c>
      <c r="D1112" t="e">
        <f t="shared" ca="1" si="71"/>
        <v>#N/A</v>
      </c>
      <c r="E1112" t="e">
        <f t="shared" ca="1" si="72"/>
        <v>#N/A</v>
      </c>
      <c r="F1112" t="e">
        <f t="shared" ca="1" si="73"/>
        <v>#N/A</v>
      </c>
    </row>
    <row r="1113" spans="3:6" x14ac:dyDescent="0.25">
      <c r="C1113" t="e">
        <f t="shared" ca="1" si="70"/>
        <v>#N/A</v>
      </c>
      <c r="D1113" t="e">
        <f t="shared" ca="1" si="71"/>
        <v>#N/A</v>
      </c>
      <c r="E1113" t="e">
        <f t="shared" ca="1" si="72"/>
        <v>#N/A</v>
      </c>
      <c r="F1113" t="e">
        <f t="shared" ca="1" si="73"/>
        <v>#N/A</v>
      </c>
    </row>
    <row r="1114" spans="3:6" x14ac:dyDescent="0.25">
      <c r="C1114" t="e">
        <f t="shared" ca="1" si="70"/>
        <v>#N/A</v>
      </c>
      <c r="D1114" t="e">
        <f t="shared" ca="1" si="71"/>
        <v>#N/A</v>
      </c>
      <c r="E1114" t="e">
        <f t="shared" ca="1" si="72"/>
        <v>#N/A</v>
      </c>
      <c r="F1114" t="e">
        <f t="shared" ca="1" si="73"/>
        <v>#N/A</v>
      </c>
    </row>
    <row r="1115" spans="3:6" x14ac:dyDescent="0.25">
      <c r="C1115" t="e">
        <f t="shared" ca="1" si="70"/>
        <v>#N/A</v>
      </c>
      <c r="D1115" t="e">
        <f t="shared" ca="1" si="71"/>
        <v>#N/A</v>
      </c>
      <c r="E1115" t="e">
        <f t="shared" ca="1" si="72"/>
        <v>#N/A</v>
      </c>
      <c r="F1115" t="e">
        <f t="shared" ca="1" si="73"/>
        <v>#N/A</v>
      </c>
    </row>
    <row r="1116" spans="3:6" x14ac:dyDescent="0.25">
      <c r="C1116" t="e">
        <f t="shared" ca="1" si="70"/>
        <v>#N/A</v>
      </c>
      <c r="D1116" t="e">
        <f t="shared" ca="1" si="71"/>
        <v>#N/A</v>
      </c>
      <c r="E1116" t="e">
        <f t="shared" ca="1" si="72"/>
        <v>#N/A</v>
      </c>
      <c r="F1116" t="e">
        <f t="shared" ca="1" si="73"/>
        <v>#N/A</v>
      </c>
    </row>
    <row r="1117" spans="3:6" x14ac:dyDescent="0.25">
      <c r="C1117" t="e">
        <f t="shared" ca="1" si="70"/>
        <v>#N/A</v>
      </c>
      <c r="D1117" t="e">
        <f t="shared" ca="1" si="71"/>
        <v>#N/A</v>
      </c>
      <c r="E1117" t="e">
        <f t="shared" ca="1" si="72"/>
        <v>#N/A</v>
      </c>
      <c r="F1117" t="e">
        <f t="shared" ca="1" si="73"/>
        <v>#N/A</v>
      </c>
    </row>
    <row r="1118" spans="3:6" x14ac:dyDescent="0.25">
      <c r="C1118" t="e">
        <f t="shared" ca="1" si="70"/>
        <v>#N/A</v>
      </c>
      <c r="D1118" t="e">
        <f t="shared" ca="1" si="71"/>
        <v>#N/A</v>
      </c>
      <c r="E1118" t="e">
        <f t="shared" ca="1" si="72"/>
        <v>#N/A</v>
      </c>
      <c r="F1118" t="e">
        <f t="shared" ca="1" si="73"/>
        <v>#N/A</v>
      </c>
    </row>
    <row r="1119" spans="3:6" x14ac:dyDescent="0.25">
      <c r="C1119" t="e">
        <f t="shared" ca="1" si="70"/>
        <v>#N/A</v>
      </c>
      <c r="D1119" t="e">
        <f t="shared" ca="1" si="71"/>
        <v>#N/A</v>
      </c>
      <c r="E1119" t="e">
        <f t="shared" ca="1" si="72"/>
        <v>#N/A</v>
      </c>
      <c r="F1119" t="e">
        <f t="shared" ca="1" si="73"/>
        <v>#N/A</v>
      </c>
    </row>
    <row r="1120" spans="3:6" x14ac:dyDescent="0.25">
      <c r="C1120" t="e">
        <f t="shared" ca="1" si="70"/>
        <v>#N/A</v>
      </c>
      <c r="D1120" t="e">
        <f t="shared" ca="1" si="71"/>
        <v>#N/A</v>
      </c>
      <c r="E1120" t="e">
        <f t="shared" ca="1" si="72"/>
        <v>#N/A</v>
      </c>
      <c r="F1120" t="e">
        <f t="shared" ca="1" si="73"/>
        <v>#N/A</v>
      </c>
    </row>
    <row r="1121" spans="3:6" x14ac:dyDescent="0.25">
      <c r="C1121" t="e">
        <f t="shared" ca="1" si="70"/>
        <v>#N/A</v>
      </c>
      <c r="D1121" t="e">
        <f t="shared" ca="1" si="71"/>
        <v>#N/A</v>
      </c>
      <c r="E1121" t="e">
        <f t="shared" ca="1" si="72"/>
        <v>#N/A</v>
      </c>
      <c r="F1121" t="e">
        <f t="shared" ca="1" si="73"/>
        <v>#N/A</v>
      </c>
    </row>
    <row r="1122" spans="3:6" x14ac:dyDescent="0.25">
      <c r="C1122" t="e">
        <f t="shared" ca="1" si="70"/>
        <v>#N/A</v>
      </c>
      <c r="D1122" t="e">
        <f t="shared" ca="1" si="71"/>
        <v>#N/A</v>
      </c>
      <c r="E1122" t="e">
        <f t="shared" ca="1" si="72"/>
        <v>#N/A</v>
      </c>
      <c r="F1122" t="e">
        <f t="shared" ca="1" si="73"/>
        <v>#N/A</v>
      </c>
    </row>
    <row r="1123" spans="3:6" x14ac:dyDescent="0.25">
      <c r="C1123" t="e">
        <f t="shared" ca="1" si="70"/>
        <v>#N/A</v>
      </c>
      <c r="D1123" t="e">
        <f t="shared" ca="1" si="71"/>
        <v>#N/A</v>
      </c>
      <c r="E1123" t="e">
        <f t="shared" ca="1" si="72"/>
        <v>#N/A</v>
      </c>
      <c r="F1123" t="e">
        <f t="shared" ca="1" si="73"/>
        <v>#N/A</v>
      </c>
    </row>
    <row r="1124" spans="3:6" x14ac:dyDescent="0.25">
      <c r="C1124" t="e">
        <f t="shared" ca="1" si="70"/>
        <v>#N/A</v>
      </c>
      <c r="D1124" t="e">
        <f t="shared" ca="1" si="71"/>
        <v>#N/A</v>
      </c>
      <c r="E1124" t="e">
        <f t="shared" ca="1" si="72"/>
        <v>#N/A</v>
      </c>
      <c r="F1124" t="e">
        <f t="shared" ca="1" si="73"/>
        <v>#N/A</v>
      </c>
    </row>
    <row r="1125" spans="3:6" x14ac:dyDescent="0.25">
      <c r="C1125" t="e">
        <f t="shared" ca="1" si="70"/>
        <v>#N/A</v>
      </c>
      <c r="D1125" t="e">
        <f t="shared" ca="1" si="71"/>
        <v>#N/A</v>
      </c>
      <c r="E1125" t="e">
        <f t="shared" ca="1" si="72"/>
        <v>#N/A</v>
      </c>
      <c r="F1125" t="e">
        <f t="shared" ca="1" si="73"/>
        <v>#N/A</v>
      </c>
    </row>
    <row r="1126" spans="3:6" x14ac:dyDescent="0.25">
      <c r="C1126" t="e">
        <f t="shared" ca="1" si="70"/>
        <v>#N/A</v>
      </c>
      <c r="D1126" t="e">
        <f t="shared" ca="1" si="71"/>
        <v>#N/A</v>
      </c>
      <c r="E1126" t="e">
        <f t="shared" ca="1" si="72"/>
        <v>#N/A</v>
      </c>
      <c r="F1126" t="e">
        <f t="shared" ca="1" si="73"/>
        <v>#N/A</v>
      </c>
    </row>
    <row r="1127" spans="3:6" x14ac:dyDescent="0.25">
      <c r="C1127" t="e">
        <f t="shared" ca="1" si="70"/>
        <v>#N/A</v>
      </c>
      <c r="D1127" t="e">
        <f t="shared" ca="1" si="71"/>
        <v>#N/A</v>
      </c>
      <c r="E1127" t="e">
        <f t="shared" ca="1" si="72"/>
        <v>#N/A</v>
      </c>
      <c r="F1127" t="e">
        <f t="shared" ca="1" si="73"/>
        <v>#N/A</v>
      </c>
    </row>
    <row r="1128" spans="3:6" x14ac:dyDescent="0.25">
      <c r="C1128" t="e">
        <f t="shared" ca="1" si="70"/>
        <v>#N/A</v>
      </c>
      <c r="D1128" t="e">
        <f t="shared" ca="1" si="71"/>
        <v>#N/A</v>
      </c>
      <c r="E1128" t="e">
        <f t="shared" ca="1" si="72"/>
        <v>#N/A</v>
      </c>
      <c r="F1128" t="e">
        <f t="shared" ca="1" si="73"/>
        <v>#N/A</v>
      </c>
    </row>
    <row r="1129" spans="3:6" x14ac:dyDescent="0.25">
      <c r="C1129" t="e">
        <f t="shared" ca="1" si="70"/>
        <v>#N/A</v>
      </c>
      <c r="D1129" t="e">
        <f t="shared" ca="1" si="71"/>
        <v>#N/A</v>
      </c>
      <c r="E1129" t="e">
        <f t="shared" ca="1" si="72"/>
        <v>#N/A</v>
      </c>
      <c r="F1129" t="e">
        <f t="shared" ca="1" si="73"/>
        <v>#N/A</v>
      </c>
    </row>
    <row r="1130" spans="3:6" x14ac:dyDescent="0.25">
      <c r="C1130" t="e">
        <f t="shared" ca="1" si="70"/>
        <v>#N/A</v>
      </c>
      <c r="D1130" t="e">
        <f t="shared" ca="1" si="71"/>
        <v>#N/A</v>
      </c>
      <c r="E1130" t="e">
        <f t="shared" ca="1" si="72"/>
        <v>#N/A</v>
      </c>
      <c r="F1130" t="e">
        <f t="shared" ca="1" si="73"/>
        <v>#N/A</v>
      </c>
    </row>
    <row r="1131" spans="3:6" x14ac:dyDescent="0.25">
      <c r="C1131" t="e">
        <f t="shared" ca="1" si="70"/>
        <v>#N/A</v>
      </c>
      <c r="D1131" t="e">
        <f t="shared" ca="1" si="71"/>
        <v>#N/A</v>
      </c>
      <c r="E1131" t="e">
        <f t="shared" ca="1" si="72"/>
        <v>#N/A</v>
      </c>
      <c r="F1131" t="e">
        <f t="shared" ca="1" si="73"/>
        <v>#N/A</v>
      </c>
    </row>
    <row r="1132" spans="3:6" x14ac:dyDescent="0.25">
      <c r="C1132" t="e">
        <f t="shared" ca="1" si="70"/>
        <v>#N/A</v>
      </c>
      <c r="D1132" t="e">
        <f t="shared" ca="1" si="71"/>
        <v>#N/A</v>
      </c>
      <c r="E1132" t="e">
        <f t="shared" ca="1" si="72"/>
        <v>#N/A</v>
      </c>
      <c r="F1132" t="e">
        <f t="shared" ca="1" si="73"/>
        <v>#N/A</v>
      </c>
    </row>
    <row r="1133" spans="3:6" x14ac:dyDescent="0.25">
      <c r="C1133" t="e">
        <f t="shared" ca="1" si="70"/>
        <v>#N/A</v>
      </c>
      <c r="D1133" t="e">
        <f t="shared" ca="1" si="71"/>
        <v>#N/A</v>
      </c>
      <c r="E1133" t="e">
        <f t="shared" ca="1" si="72"/>
        <v>#N/A</v>
      </c>
      <c r="F1133" t="e">
        <f t="shared" ca="1" si="73"/>
        <v>#N/A</v>
      </c>
    </row>
    <row r="1134" spans="3:6" x14ac:dyDescent="0.25">
      <c r="C1134" t="e">
        <f t="shared" ca="1" si="70"/>
        <v>#N/A</v>
      </c>
      <c r="D1134" t="e">
        <f t="shared" ca="1" si="71"/>
        <v>#N/A</v>
      </c>
      <c r="E1134" t="e">
        <f t="shared" ca="1" si="72"/>
        <v>#N/A</v>
      </c>
      <c r="F1134" t="e">
        <f t="shared" ca="1" si="73"/>
        <v>#N/A</v>
      </c>
    </row>
    <row r="1135" spans="3:6" x14ac:dyDescent="0.25">
      <c r="C1135" t="e">
        <f t="shared" ca="1" si="70"/>
        <v>#N/A</v>
      </c>
      <c r="D1135" t="e">
        <f t="shared" ca="1" si="71"/>
        <v>#N/A</v>
      </c>
      <c r="E1135" t="e">
        <f t="shared" ca="1" si="72"/>
        <v>#N/A</v>
      </c>
      <c r="F1135" t="e">
        <f t="shared" ca="1" si="73"/>
        <v>#N/A</v>
      </c>
    </row>
    <row r="1136" spans="3:6" x14ac:dyDescent="0.25">
      <c r="C1136" t="e">
        <f t="shared" ca="1" si="70"/>
        <v>#N/A</v>
      </c>
      <c r="D1136" t="e">
        <f t="shared" ca="1" si="71"/>
        <v>#N/A</v>
      </c>
      <c r="E1136" t="e">
        <f t="shared" ca="1" si="72"/>
        <v>#N/A</v>
      </c>
      <c r="F1136" t="e">
        <f t="shared" ca="1" si="73"/>
        <v>#N/A</v>
      </c>
    </row>
    <row r="1137" spans="3:6" x14ac:dyDescent="0.25">
      <c r="C1137" t="e">
        <f t="shared" ca="1" si="70"/>
        <v>#N/A</v>
      </c>
      <c r="D1137" t="e">
        <f t="shared" ca="1" si="71"/>
        <v>#N/A</v>
      </c>
      <c r="E1137" t="e">
        <f t="shared" ca="1" si="72"/>
        <v>#N/A</v>
      </c>
      <c r="F1137" t="e">
        <f t="shared" ca="1" si="73"/>
        <v>#N/A</v>
      </c>
    </row>
    <row r="1138" spans="3:6" x14ac:dyDescent="0.25">
      <c r="C1138" t="e">
        <f t="shared" ca="1" si="70"/>
        <v>#N/A</v>
      </c>
      <c r="D1138" t="e">
        <f t="shared" ca="1" si="71"/>
        <v>#N/A</v>
      </c>
      <c r="E1138" t="e">
        <f t="shared" ca="1" si="72"/>
        <v>#N/A</v>
      </c>
      <c r="F1138" t="e">
        <f t="shared" ca="1" si="73"/>
        <v>#N/A</v>
      </c>
    </row>
    <row r="1139" spans="3:6" x14ac:dyDescent="0.25">
      <c r="C1139" t="e">
        <f t="shared" ca="1" si="70"/>
        <v>#N/A</v>
      </c>
      <c r="D1139" t="e">
        <f t="shared" ca="1" si="71"/>
        <v>#N/A</v>
      </c>
      <c r="E1139" t="e">
        <f t="shared" ca="1" si="72"/>
        <v>#N/A</v>
      </c>
      <c r="F1139" t="e">
        <f t="shared" ca="1" si="73"/>
        <v>#N/A</v>
      </c>
    </row>
    <row r="1140" spans="3:6" x14ac:dyDescent="0.25">
      <c r="C1140" t="e">
        <f t="shared" ca="1" si="70"/>
        <v>#N/A</v>
      </c>
      <c r="D1140" t="e">
        <f t="shared" ca="1" si="71"/>
        <v>#N/A</v>
      </c>
      <c r="E1140" t="e">
        <f t="shared" ca="1" si="72"/>
        <v>#N/A</v>
      </c>
      <c r="F1140" t="e">
        <f t="shared" ca="1" si="73"/>
        <v>#N/A</v>
      </c>
    </row>
    <row r="1141" spans="3:6" x14ac:dyDescent="0.25">
      <c r="C1141" t="e">
        <f t="shared" ca="1" si="70"/>
        <v>#N/A</v>
      </c>
      <c r="D1141" t="e">
        <f t="shared" ca="1" si="71"/>
        <v>#N/A</v>
      </c>
      <c r="E1141" t="e">
        <f t="shared" ca="1" si="72"/>
        <v>#N/A</v>
      </c>
      <c r="F1141" t="e">
        <f t="shared" ca="1" si="73"/>
        <v>#N/A</v>
      </c>
    </row>
    <row r="1142" spans="3:6" x14ac:dyDescent="0.25">
      <c r="C1142" t="e">
        <f t="shared" ca="1" si="70"/>
        <v>#N/A</v>
      </c>
      <c r="D1142" t="e">
        <f t="shared" ca="1" si="71"/>
        <v>#N/A</v>
      </c>
      <c r="E1142" t="e">
        <f t="shared" ca="1" si="72"/>
        <v>#N/A</v>
      </c>
      <c r="F1142" t="e">
        <f t="shared" ca="1" si="73"/>
        <v>#N/A</v>
      </c>
    </row>
    <row r="1143" spans="3:6" x14ac:dyDescent="0.25">
      <c r="C1143" t="e">
        <f t="shared" ca="1" si="70"/>
        <v>#N/A</v>
      </c>
      <c r="D1143" t="e">
        <f t="shared" ca="1" si="71"/>
        <v>#N/A</v>
      </c>
      <c r="E1143" t="e">
        <f t="shared" ca="1" si="72"/>
        <v>#N/A</v>
      </c>
      <c r="F1143" t="e">
        <f t="shared" ca="1" si="73"/>
        <v>#N/A</v>
      </c>
    </row>
    <row r="1144" spans="3:6" x14ac:dyDescent="0.25">
      <c r="C1144" t="e">
        <f t="shared" ca="1" si="70"/>
        <v>#N/A</v>
      </c>
      <c r="D1144" t="e">
        <f t="shared" ca="1" si="71"/>
        <v>#N/A</v>
      </c>
      <c r="E1144" t="e">
        <f t="shared" ca="1" si="72"/>
        <v>#N/A</v>
      </c>
      <c r="F1144" t="e">
        <f t="shared" ca="1" si="73"/>
        <v>#N/A</v>
      </c>
    </row>
    <row r="1145" spans="3:6" x14ac:dyDescent="0.25">
      <c r="C1145" t="e">
        <f t="shared" ca="1" si="70"/>
        <v>#N/A</v>
      </c>
      <c r="D1145" t="e">
        <f t="shared" ca="1" si="71"/>
        <v>#N/A</v>
      </c>
      <c r="E1145" t="e">
        <f t="shared" ca="1" si="72"/>
        <v>#N/A</v>
      </c>
      <c r="F1145" t="e">
        <f t="shared" ca="1" si="73"/>
        <v>#N/A</v>
      </c>
    </row>
    <row r="1146" spans="3:6" x14ac:dyDescent="0.25">
      <c r="C1146" t="e">
        <f t="shared" ca="1" si="70"/>
        <v>#N/A</v>
      </c>
      <c r="D1146" t="e">
        <f t="shared" ca="1" si="71"/>
        <v>#N/A</v>
      </c>
      <c r="E1146" t="e">
        <f t="shared" ca="1" si="72"/>
        <v>#N/A</v>
      </c>
      <c r="F1146" t="e">
        <f t="shared" ca="1" si="73"/>
        <v>#N/A</v>
      </c>
    </row>
    <row r="1147" spans="3:6" x14ac:dyDescent="0.25">
      <c r="C1147" t="e">
        <f t="shared" ca="1" si="70"/>
        <v>#N/A</v>
      </c>
      <c r="D1147" t="e">
        <f t="shared" ca="1" si="71"/>
        <v>#N/A</v>
      </c>
      <c r="E1147" t="e">
        <f t="shared" ca="1" si="72"/>
        <v>#N/A</v>
      </c>
      <c r="F1147" t="e">
        <f t="shared" ca="1" si="73"/>
        <v>#N/A</v>
      </c>
    </row>
    <row r="1148" spans="3:6" x14ac:dyDescent="0.25">
      <c r="C1148" t="e">
        <f t="shared" ca="1" si="70"/>
        <v>#N/A</v>
      </c>
      <c r="D1148" t="e">
        <f t="shared" ca="1" si="71"/>
        <v>#N/A</v>
      </c>
      <c r="E1148" t="e">
        <f t="shared" ca="1" si="72"/>
        <v>#N/A</v>
      </c>
      <c r="F1148" t="e">
        <f t="shared" ca="1" si="73"/>
        <v>#N/A</v>
      </c>
    </row>
    <row r="1149" spans="3:6" x14ac:dyDescent="0.25">
      <c r="C1149" t="e">
        <f t="shared" ca="1" si="70"/>
        <v>#N/A</v>
      </c>
      <c r="D1149" t="e">
        <f t="shared" ca="1" si="71"/>
        <v>#N/A</v>
      </c>
      <c r="E1149" t="e">
        <f t="shared" ca="1" si="72"/>
        <v>#N/A</v>
      </c>
      <c r="F1149" t="e">
        <f t="shared" ca="1" si="73"/>
        <v>#N/A</v>
      </c>
    </row>
    <row r="1150" spans="3:6" x14ac:dyDescent="0.25">
      <c r="C1150" t="e">
        <f t="shared" ca="1" si="70"/>
        <v>#N/A</v>
      </c>
      <c r="D1150" t="e">
        <f t="shared" ca="1" si="71"/>
        <v>#N/A</v>
      </c>
      <c r="E1150" t="e">
        <f t="shared" ca="1" si="72"/>
        <v>#N/A</v>
      </c>
      <c r="F1150" t="e">
        <f t="shared" ca="1" si="73"/>
        <v>#N/A</v>
      </c>
    </row>
    <row r="1151" spans="3:6" x14ac:dyDescent="0.25">
      <c r="C1151" t="e">
        <f t="shared" ca="1" si="70"/>
        <v>#N/A</v>
      </c>
      <c r="D1151" t="e">
        <f t="shared" ca="1" si="71"/>
        <v>#N/A</v>
      </c>
      <c r="E1151" t="e">
        <f t="shared" ca="1" si="72"/>
        <v>#N/A</v>
      </c>
      <c r="F1151" t="e">
        <f t="shared" ca="1" si="73"/>
        <v>#N/A</v>
      </c>
    </row>
    <row r="1152" spans="3:6" x14ac:dyDescent="0.25">
      <c r="C1152" t="e">
        <f t="shared" ca="1" si="70"/>
        <v>#N/A</v>
      </c>
      <c r="D1152" t="e">
        <f t="shared" ca="1" si="71"/>
        <v>#N/A</v>
      </c>
      <c r="E1152" t="e">
        <f t="shared" ca="1" si="72"/>
        <v>#N/A</v>
      </c>
      <c r="F1152" t="e">
        <f t="shared" ca="1" si="73"/>
        <v>#N/A</v>
      </c>
    </row>
    <row r="1153" spans="3:6" x14ac:dyDescent="0.25">
      <c r="C1153" t="e">
        <f t="shared" ca="1" si="70"/>
        <v>#N/A</v>
      </c>
      <c r="D1153" t="e">
        <f t="shared" ca="1" si="71"/>
        <v>#N/A</v>
      </c>
      <c r="E1153" t="e">
        <f t="shared" ca="1" si="72"/>
        <v>#N/A</v>
      </c>
      <c r="F1153" t="e">
        <f t="shared" ca="1" si="73"/>
        <v>#N/A</v>
      </c>
    </row>
    <row r="1154" spans="3:6" x14ac:dyDescent="0.25">
      <c r="C1154" t="e">
        <f t="shared" ca="1" si="70"/>
        <v>#N/A</v>
      </c>
      <c r="D1154" t="e">
        <f t="shared" ca="1" si="71"/>
        <v>#N/A</v>
      </c>
      <c r="E1154" t="e">
        <f t="shared" ca="1" si="72"/>
        <v>#N/A</v>
      </c>
      <c r="F1154" t="e">
        <f t="shared" ca="1" si="73"/>
        <v>#N/A</v>
      </c>
    </row>
    <row r="1155" spans="3:6" x14ac:dyDescent="0.25">
      <c r="C1155" t="e">
        <f t="shared" ca="1" si="70"/>
        <v>#N/A</v>
      </c>
      <c r="D1155" t="e">
        <f t="shared" ca="1" si="71"/>
        <v>#N/A</v>
      </c>
      <c r="E1155" t="e">
        <f t="shared" ca="1" si="72"/>
        <v>#N/A</v>
      </c>
      <c r="F1155" t="e">
        <f t="shared" ca="1" si="73"/>
        <v>#N/A</v>
      </c>
    </row>
    <row r="1156" spans="3:6" x14ac:dyDescent="0.25">
      <c r="C1156" t="e">
        <f t="shared" ca="1" si="70"/>
        <v>#N/A</v>
      </c>
      <c r="D1156" t="e">
        <f t="shared" ca="1" si="71"/>
        <v>#N/A</v>
      </c>
      <c r="E1156" t="e">
        <f t="shared" ca="1" si="72"/>
        <v>#N/A</v>
      </c>
      <c r="F1156" t="e">
        <f t="shared" ca="1" si="73"/>
        <v>#N/A</v>
      </c>
    </row>
    <row r="1157" spans="3:6" x14ac:dyDescent="0.25">
      <c r="C1157" t="e">
        <f t="shared" ca="1" si="70"/>
        <v>#N/A</v>
      </c>
      <c r="D1157" t="e">
        <f t="shared" ca="1" si="71"/>
        <v>#N/A</v>
      </c>
      <c r="E1157" t="e">
        <f t="shared" ca="1" si="72"/>
        <v>#N/A</v>
      </c>
      <c r="F1157" t="e">
        <f t="shared" ca="1" si="73"/>
        <v>#N/A</v>
      </c>
    </row>
    <row r="1158" spans="3:6" x14ac:dyDescent="0.25">
      <c r="C1158" t="e">
        <f t="shared" ca="1" si="70"/>
        <v>#N/A</v>
      </c>
      <c r="D1158" t="e">
        <f t="shared" ca="1" si="71"/>
        <v>#N/A</v>
      </c>
      <c r="E1158" t="e">
        <f t="shared" ca="1" si="72"/>
        <v>#N/A</v>
      </c>
      <c r="F1158" t="e">
        <f t="shared" ca="1" si="73"/>
        <v>#N/A</v>
      </c>
    </row>
    <row r="1159" spans="3:6" x14ac:dyDescent="0.25">
      <c r="C1159" t="e">
        <f t="shared" ca="1" si="70"/>
        <v>#N/A</v>
      </c>
      <c r="D1159" t="e">
        <f t="shared" ca="1" si="71"/>
        <v>#N/A</v>
      </c>
      <c r="E1159" t="e">
        <f t="shared" ca="1" si="72"/>
        <v>#N/A</v>
      </c>
      <c r="F1159" t="e">
        <f t="shared" ca="1" si="73"/>
        <v>#N/A</v>
      </c>
    </row>
    <row r="1160" spans="3:6" x14ac:dyDescent="0.25">
      <c r="C1160" t="e">
        <f t="shared" ca="1" si="70"/>
        <v>#N/A</v>
      </c>
      <c r="D1160" t="e">
        <f t="shared" ca="1" si="71"/>
        <v>#N/A</v>
      </c>
      <c r="E1160" t="e">
        <f t="shared" ca="1" si="72"/>
        <v>#N/A</v>
      </c>
      <c r="F1160" t="e">
        <f t="shared" ca="1" si="73"/>
        <v>#N/A</v>
      </c>
    </row>
    <row r="1161" spans="3:6" x14ac:dyDescent="0.25">
      <c r="C1161" t="e">
        <f t="shared" ca="1" si="70"/>
        <v>#N/A</v>
      </c>
      <c r="D1161" t="e">
        <f t="shared" ca="1" si="71"/>
        <v>#N/A</v>
      </c>
      <c r="E1161" t="e">
        <f t="shared" ca="1" si="72"/>
        <v>#N/A</v>
      </c>
      <c r="F1161" t="e">
        <f t="shared" ca="1" si="73"/>
        <v>#N/A</v>
      </c>
    </row>
    <row r="1162" spans="3:6" x14ac:dyDescent="0.25">
      <c r="C1162" t="e">
        <f t="shared" ref="C1162:C1225" ca="1" si="74">$C$7</f>
        <v>#N/A</v>
      </c>
      <c r="D1162" t="e">
        <f t="shared" ref="D1162:D1225" ca="1" si="75">$D$7</f>
        <v>#N/A</v>
      </c>
      <c r="E1162" t="e">
        <f t="shared" ref="E1162:E1225" ca="1" si="76">IF($B1163="",C$8,"")</f>
        <v>#N/A</v>
      </c>
      <c r="F1162" t="e">
        <f t="shared" ref="F1162:F1225" ca="1" si="77">IF($B1163="",D$8,"")</f>
        <v>#N/A</v>
      </c>
    </row>
    <row r="1163" spans="3:6" x14ac:dyDescent="0.25">
      <c r="C1163" t="e">
        <f t="shared" ca="1" si="74"/>
        <v>#N/A</v>
      </c>
      <c r="D1163" t="e">
        <f t="shared" ca="1" si="75"/>
        <v>#N/A</v>
      </c>
      <c r="E1163" t="e">
        <f t="shared" ca="1" si="76"/>
        <v>#N/A</v>
      </c>
      <c r="F1163" t="e">
        <f t="shared" ca="1" si="77"/>
        <v>#N/A</v>
      </c>
    </row>
    <row r="1164" spans="3:6" x14ac:dyDescent="0.25">
      <c r="C1164" t="e">
        <f t="shared" ca="1" si="74"/>
        <v>#N/A</v>
      </c>
      <c r="D1164" t="e">
        <f t="shared" ca="1" si="75"/>
        <v>#N/A</v>
      </c>
      <c r="E1164" t="e">
        <f t="shared" ca="1" si="76"/>
        <v>#N/A</v>
      </c>
      <c r="F1164" t="e">
        <f t="shared" ca="1" si="77"/>
        <v>#N/A</v>
      </c>
    </row>
    <row r="1165" spans="3:6" x14ac:dyDescent="0.25">
      <c r="C1165" t="e">
        <f t="shared" ca="1" si="74"/>
        <v>#N/A</v>
      </c>
      <c r="D1165" t="e">
        <f t="shared" ca="1" si="75"/>
        <v>#N/A</v>
      </c>
      <c r="E1165" t="e">
        <f t="shared" ca="1" si="76"/>
        <v>#N/A</v>
      </c>
      <c r="F1165" t="e">
        <f t="shared" ca="1" si="77"/>
        <v>#N/A</v>
      </c>
    </row>
    <row r="1166" spans="3:6" x14ac:dyDescent="0.25">
      <c r="C1166" t="e">
        <f t="shared" ca="1" si="74"/>
        <v>#N/A</v>
      </c>
      <c r="D1166" t="e">
        <f t="shared" ca="1" si="75"/>
        <v>#N/A</v>
      </c>
      <c r="E1166" t="e">
        <f t="shared" ca="1" si="76"/>
        <v>#N/A</v>
      </c>
      <c r="F1166" t="e">
        <f t="shared" ca="1" si="77"/>
        <v>#N/A</v>
      </c>
    </row>
    <row r="1167" spans="3:6" x14ac:dyDescent="0.25">
      <c r="C1167" t="e">
        <f t="shared" ca="1" si="74"/>
        <v>#N/A</v>
      </c>
      <c r="D1167" t="e">
        <f t="shared" ca="1" si="75"/>
        <v>#N/A</v>
      </c>
      <c r="E1167" t="e">
        <f t="shared" ca="1" si="76"/>
        <v>#N/A</v>
      </c>
      <c r="F1167" t="e">
        <f t="shared" ca="1" si="77"/>
        <v>#N/A</v>
      </c>
    </row>
    <row r="1168" spans="3:6" x14ac:dyDescent="0.25">
      <c r="C1168" t="e">
        <f t="shared" ca="1" si="74"/>
        <v>#N/A</v>
      </c>
      <c r="D1168" t="e">
        <f t="shared" ca="1" si="75"/>
        <v>#N/A</v>
      </c>
      <c r="E1168" t="e">
        <f t="shared" ca="1" si="76"/>
        <v>#N/A</v>
      </c>
      <c r="F1168" t="e">
        <f t="shared" ca="1" si="77"/>
        <v>#N/A</v>
      </c>
    </row>
    <row r="1169" spans="3:6" x14ac:dyDescent="0.25">
      <c r="C1169" t="e">
        <f t="shared" ca="1" si="74"/>
        <v>#N/A</v>
      </c>
      <c r="D1169" t="e">
        <f t="shared" ca="1" si="75"/>
        <v>#N/A</v>
      </c>
      <c r="E1169" t="e">
        <f t="shared" ca="1" si="76"/>
        <v>#N/A</v>
      </c>
      <c r="F1169" t="e">
        <f t="shared" ca="1" si="77"/>
        <v>#N/A</v>
      </c>
    </row>
    <row r="1170" spans="3:6" x14ac:dyDescent="0.25">
      <c r="C1170" t="e">
        <f t="shared" ca="1" si="74"/>
        <v>#N/A</v>
      </c>
      <c r="D1170" t="e">
        <f t="shared" ca="1" si="75"/>
        <v>#N/A</v>
      </c>
      <c r="E1170" t="e">
        <f t="shared" ca="1" si="76"/>
        <v>#N/A</v>
      </c>
      <c r="F1170" t="e">
        <f t="shared" ca="1" si="77"/>
        <v>#N/A</v>
      </c>
    </row>
    <row r="1171" spans="3:6" x14ac:dyDescent="0.25">
      <c r="C1171" t="e">
        <f t="shared" ca="1" si="74"/>
        <v>#N/A</v>
      </c>
      <c r="D1171" t="e">
        <f t="shared" ca="1" si="75"/>
        <v>#N/A</v>
      </c>
      <c r="E1171" t="e">
        <f t="shared" ca="1" si="76"/>
        <v>#N/A</v>
      </c>
      <c r="F1171" t="e">
        <f t="shared" ca="1" si="77"/>
        <v>#N/A</v>
      </c>
    </row>
    <row r="1172" spans="3:6" x14ac:dyDescent="0.25">
      <c r="C1172" t="e">
        <f t="shared" ca="1" si="74"/>
        <v>#N/A</v>
      </c>
      <c r="D1172" t="e">
        <f t="shared" ca="1" si="75"/>
        <v>#N/A</v>
      </c>
      <c r="E1172" t="e">
        <f t="shared" ca="1" si="76"/>
        <v>#N/A</v>
      </c>
      <c r="F1172" t="e">
        <f t="shared" ca="1" si="77"/>
        <v>#N/A</v>
      </c>
    </row>
    <row r="1173" spans="3:6" x14ac:dyDescent="0.25">
      <c r="C1173" t="e">
        <f t="shared" ca="1" si="74"/>
        <v>#N/A</v>
      </c>
      <c r="D1173" t="e">
        <f t="shared" ca="1" si="75"/>
        <v>#N/A</v>
      </c>
      <c r="E1173" t="e">
        <f t="shared" ca="1" si="76"/>
        <v>#N/A</v>
      </c>
      <c r="F1173" t="e">
        <f t="shared" ca="1" si="77"/>
        <v>#N/A</v>
      </c>
    </row>
    <row r="1174" spans="3:6" x14ac:dyDescent="0.25">
      <c r="C1174" t="e">
        <f t="shared" ca="1" si="74"/>
        <v>#N/A</v>
      </c>
      <c r="D1174" t="e">
        <f t="shared" ca="1" si="75"/>
        <v>#N/A</v>
      </c>
      <c r="E1174" t="e">
        <f t="shared" ca="1" si="76"/>
        <v>#N/A</v>
      </c>
      <c r="F1174" t="e">
        <f t="shared" ca="1" si="77"/>
        <v>#N/A</v>
      </c>
    </row>
    <row r="1175" spans="3:6" x14ac:dyDescent="0.25">
      <c r="C1175" t="e">
        <f t="shared" ca="1" si="74"/>
        <v>#N/A</v>
      </c>
      <c r="D1175" t="e">
        <f t="shared" ca="1" si="75"/>
        <v>#N/A</v>
      </c>
      <c r="E1175" t="e">
        <f t="shared" ca="1" si="76"/>
        <v>#N/A</v>
      </c>
      <c r="F1175" t="e">
        <f t="shared" ca="1" si="77"/>
        <v>#N/A</v>
      </c>
    </row>
    <row r="1176" spans="3:6" x14ac:dyDescent="0.25">
      <c r="C1176" t="e">
        <f t="shared" ca="1" si="74"/>
        <v>#N/A</v>
      </c>
      <c r="D1176" t="e">
        <f t="shared" ca="1" si="75"/>
        <v>#N/A</v>
      </c>
      <c r="E1176" t="e">
        <f t="shared" ca="1" si="76"/>
        <v>#N/A</v>
      </c>
      <c r="F1176" t="e">
        <f t="shared" ca="1" si="77"/>
        <v>#N/A</v>
      </c>
    </row>
    <row r="1177" spans="3:6" x14ac:dyDescent="0.25">
      <c r="C1177" t="e">
        <f t="shared" ca="1" si="74"/>
        <v>#N/A</v>
      </c>
      <c r="D1177" t="e">
        <f t="shared" ca="1" si="75"/>
        <v>#N/A</v>
      </c>
      <c r="E1177" t="e">
        <f t="shared" ca="1" si="76"/>
        <v>#N/A</v>
      </c>
      <c r="F1177" t="e">
        <f t="shared" ca="1" si="77"/>
        <v>#N/A</v>
      </c>
    </row>
    <row r="1178" spans="3:6" x14ac:dyDescent="0.25">
      <c r="C1178" t="e">
        <f t="shared" ca="1" si="74"/>
        <v>#N/A</v>
      </c>
      <c r="D1178" t="e">
        <f t="shared" ca="1" si="75"/>
        <v>#N/A</v>
      </c>
      <c r="E1178" t="e">
        <f t="shared" ca="1" si="76"/>
        <v>#N/A</v>
      </c>
      <c r="F1178" t="e">
        <f t="shared" ca="1" si="77"/>
        <v>#N/A</v>
      </c>
    </row>
    <row r="1179" spans="3:6" x14ac:dyDescent="0.25">
      <c r="C1179" t="e">
        <f t="shared" ca="1" si="74"/>
        <v>#N/A</v>
      </c>
      <c r="D1179" t="e">
        <f t="shared" ca="1" si="75"/>
        <v>#N/A</v>
      </c>
      <c r="E1179" t="e">
        <f t="shared" ca="1" si="76"/>
        <v>#N/A</v>
      </c>
      <c r="F1179" t="e">
        <f t="shared" ca="1" si="77"/>
        <v>#N/A</v>
      </c>
    </row>
    <row r="1180" spans="3:6" x14ac:dyDescent="0.25">
      <c r="C1180" t="e">
        <f t="shared" ca="1" si="74"/>
        <v>#N/A</v>
      </c>
      <c r="D1180" t="e">
        <f t="shared" ca="1" si="75"/>
        <v>#N/A</v>
      </c>
      <c r="E1180" t="e">
        <f t="shared" ca="1" si="76"/>
        <v>#N/A</v>
      </c>
      <c r="F1180" t="e">
        <f t="shared" ca="1" si="77"/>
        <v>#N/A</v>
      </c>
    </row>
    <row r="1181" spans="3:6" x14ac:dyDescent="0.25">
      <c r="C1181" t="e">
        <f t="shared" ca="1" si="74"/>
        <v>#N/A</v>
      </c>
      <c r="D1181" t="e">
        <f t="shared" ca="1" si="75"/>
        <v>#N/A</v>
      </c>
      <c r="E1181" t="e">
        <f t="shared" ca="1" si="76"/>
        <v>#N/A</v>
      </c>
      <c r="F1181" t="e">
        <f t="shared" ca="1" si="77"/>
        <v>#N/A</v>
      </c>
    </row>
    <row r="1182" spans="3:6" x14ac:dyDescent="0.25">
      <c r="C1182" t="e">
        <f t="shared" ca="1" si="74"/>
        <v>#N/A</v>
      </c>
      <c r="D1182" t="e">
        <f t="shared" ca="1" si="75"/>
        <v>#N/A</v>
      </c>
      <c r="E1182" t="e">
        <f t="shared" ca="1" si="76"/>
        <v>#N/A</v>
      </c>
      <c r="F1182" t="e">
        <f t="shared" ca="1" si="77"/>
        <v>#N/A</v>
      </c>
    </row>
    <row r="1183" spans="3:6" x14ac:dyDescent="0.25">
      <c r="C1183" t="e">
        <f t="shared" ca="1" si="74"/>
        <v>#N/A</v>
      </c>
      <c r="D1183" t="e">
        <f t="shared" ca="1" si="75"/>
        <v>#N/A</v>
      </c>
      <c r="E1183" t="e">
        <f t="shared" ca="1" si="76"/>
        <v>#N/A</v>
      </c>
      <c r="F1183" t="e">
        <f t="shared" ca="1" si="77"/>
        <v>#N/A</v>
      </c>
    </row>
    <row r="1184" spans="3:6" x14ac:dyDescent="0.25">
      <c r="C1184" t="e">
        <f t="shared" ca="1" si="74"/>
        <v>#N/A</v>
      </c>
      <c r="D1184" t="e">
        <f t="shared" ca="1" si="75"/>
        <v>#N/A</v>
      </c>
      <c r="E1184" t="e">
        <f t="shared" ca="1" si="76"/>
        <v>#N/A</v>
      </c>
      <c r="F1184" t="e">
        <f t="shared" ca="1" si="77"/>
        <v>#N/A</v>
      </c>
    </row>
    <row r="1185" spans="3:6" x14ac:dyDescent="0.25">
      <c r="C1185" t="e">
        <f t="shared" ca="1" si="74"/>
        <v>#N/A</v>
      </c>
      <c r="D1185" t="e">
        <f t="shared" ca="1" si="75"/>
        <v>#N/A</v>
      </c>
      <c r="E1185" t="e">
        <f t="shared" ca="1" si="76"/>
        <v>#N/A</v>
      </c>
      <c r="F1185" t="e">
        <f t="shared" ca="1" si="77"/>
        <v>#N/A</v>
      </c>
    </row>
    <row r="1186" spans="3:6" x14ac:dyDescent="0.25">
      <c r="C1186" t="e">
        <f t="shared" ca="1" si="74"/>
        <v>#N/A</v>
      </c>
      <c r="D1186" t="e">
        <f t="shared" ca="1" si="75"/>
        <v>#N/A</v>
      </c>
      <c r="E1186" t="e">
        <f t="shared" ca="1" si="76"/>
        <v>#N/A</v>
      </c>
      <c r="F1186" t="e">
        <f t="shared" ca="1" si="77"/>
        <v>#N/A</v>
      </c>
    </row>
    <row r="1187" spans="3:6" x14ac:dyDescent="0.25">
      <c r="C1187" t="e">
        <f t="shared" ca="1" si="74"/>
        <v>#N/A</v>
      </c>
      <c r="D1187" t="e">
        <f t="shared" ca="1" si="75"/>
        <v>#N/A</v>
      </c>
      <c r="E1187" t="e">
        <f t="shared" ca="1" si="76"/>
        <v>#N/A</v>
      </c>
      <c r="F1187" t="e">
        <f t="shared" ca="1" si="77"/>
        <v>#N/A</v>
      </c>
    </row>
    <row r="1188" spans="3:6" x14ac:dyDescent="0.25">
      <c r="C1188" t="e">
        <f t="shared" ca="1" si="74"/>
        <v>#N/A</v>
      </c>
      <c r="D1188" t="e">
        <f t="shared" ca="1" si="75"/>
        <v>#N/A</v>
      </c>
      <c r="E1188" t="e">
        <f t="shared" ca="1" si="76"/>
        <v>#N/A</v>
      </c>
      <c r="F1188" t="e">
        <f t="shared" ca="1" si="77"/>
        <v>#N/A</v>
      </c>
    </row>
    <row r="1189" spans="3:6" x14ac:dyDescent="0.25">
      <c r="C1189" t="e">
        <f t="shared" ca="1" si="74"/>
        <v>#N/A</v>
      </c>
      <c r="D1189" t="e">
        <f t="shared" ca="1" si="75"/>
        <v>#N/A</v>
      </c>
      <c r="E1189" t="e">
        <f t="shared" ca="1" si="76"/>
        <v>#N/A</v>
      </c>
      <c r="F1189" t="e">
        <f t="shared" ca="1" si="77"/>
        <v>#N/A</v>
      </c>
    </row>
    <row r="1190" spans="3:6" x14ac:dyDescent="0.25">
      <c r="C1190" t="e">
        <f t="shared" ca="1" si="74"/>
        <v>#N/A</v>
      </c>
      <c r="D1190" t="e">
        <f t="shared" ca="1" si="75"/>
        <v>#N/A</v>
      </c>
      <c r="E1190" t="e">
        <f t="shared" ca="1" si="76"/>
        <v>#N/A</v>
      </c>
      <c r="F1190" t="e">
        <f t="shared" ca="1" si="77"/>
        <v>#N/A</v>
      </c>
    </row>
    <row r="1191" spans="3:6" x14ac:dyDescent="0.25">
      <c r="C1191" t="e">
        <f t="shared" ca="1" si="74"/>
        <v>#N/A</v>
      </c>
      <c r="D1191" t="e">
        <f t="shared" ca="1" si="75"/>
        <v>#N/A</v>
      </c>
      <c r="E1191" t="e">
        <f t="shared" ca="1" si="76"/>
        <v>#N/A</v>
      </c>
      <c r="F1191" t="e">
        <f t="shared" ca="1" si="77"/>
        <v>#N/A</v>
      </c>
    </row>
    <row r="1192" spans="3:6" x14ac:dyDescent="0.25">
      <c r="C1192" t="e">
        <f t="shared" ca="1" si="74"/>
        <v>#N/A</v>
      </c>
      <c r="D1192" t="e">
        <f t="shared" ca="1" si="75"/>
        <v>#N/A</v>
      </c>
      <c r="E1192" t="e">
        <f t="shared" ca="1" si="76"/>
        <v>#N/A</v>
      </c>
      <c r="F1192" t="e">
        <f t="shared" ca="1" si="77"/>
        <v>#N/A</v>
      </c>
    </row>
    <row r="1193" spans="3:6" x14ac:dyDescent="0.25">
      <c r="C1193" t="e">
        <f t="shared" ca="1" si="74"/>
        <v>#N/A</v>
      </c>
      <c r="D1193" t="e">
        <f t="shared" ca="1" si="75"/>
        <v>#N/A</v>
      </c>
      <c r="E1193" t="e">
        <f t="shared" ca="1" si="76"/>
        <v>#N/A</v>
      </c>
      <c r="F1193" t="e">
        <f t="shared" ca="1" si="77"/>
        <v>#N/A</v>
      </c>
    </row>
    <row r="1194" spans="3:6" x14ac:dyDescent="0.25">
      <c r="C1194" t="e">
        <f t="shared" ca="1" si="74"/>
        <v>#N/A</v>
      </c>
      <c r="D1194" t="e">
        <f t="shared" ca="1" si="75"/>
        <v>#N/A</v>
      </c>
      <c r="E1194" t="e">
        <f t="shared" ca="1" si="76"/>
        <v>#N/A</v>
      </c>
      <c r="F1194" t="e">
        <f t="shared" ca="1" si="77"/>
        <v>#N/A</v>
      </c>
    </row>
    <row r="1195" spans="3:6" x14ac:dyDescent="0.25">
      <c r="C1195" t="e">
        <f t="shared" ca="1" si="74"/>
        <v>#N/A</v>
      </c>
      <c r="D1195" t="e">
        <f t="shared" ca="1" si="75"/>
        <v>#N/A</v>
      </c>
      <c r="E1195" t="e">
        <f t="shared" ca="1" si="76"/>
        <v>#N/A</v>
      </c>
      <c r="F1195" t="e">
        <f t="shared" ca="1" si="77"/>
        <v>#N/A</v>
      </c>
    </row>
    <row r="1196" spans="3:6" x14ac:dyDescent="0.25">
      <c r="C1196" t="e">
        <f t="shared" ca="1" si="74"/>
        <v>#N/A</v>
      </c>
      <c r="D1196" t="e">
        <f t="shared" ca="1" si="75"/>
        <v>#N/A</v>
      </c>
      <c r="E1196" t="e">
        <f t="shared" ca="1" si="76"/>
        <v>#N/A</v>
      </c>
      <c r="F1196" t="e">
        <f t="shared" ca="1" si="77"/>
        <v>#N/A</v>
      </c>
    </row>
    <row r="1197" spans="3:6" x14ac:dyDescent="0.25">
      <c r="C1197" t="e">
        <f t="shared" ca="1" si="74"/>
        <v>#N/A</v>
      </c>
      <c r="D1197" t="e">
        <f t="shared" ca="1" si="75"/>
        <v>#N/A</v>
      </c>
      <c r="E1197" t="e">
        <f t="shared" ca="1" si="76"/>
        <v>#N/A</v>
      </c>
      <c r="F1197" t="e">
        <f t="shared" ca="1" si="77"/>
        <v>#N/A</v>
      </c>
    </row>
    <row r="1198" spans="3:6" x14ac:dyDescent="0.25">
      <c r="C1198" t="e">
        <f t="shared" ca="1" si="74"/>
        <v>#N/A</v>
      </c>
      <c r="D1198" t="e">
        <f t="shared" ca="1" si="75"/>
        <v>#N/A</v>
      </c>
      <c r="E1198" t="e">
        <f t="shared" ca="1" si="76"/>
        <v>#N/A</v>
      </c>
      <c r="F1198" t="e">
        <f t="shared" ca="1" si="77"/>
        <v>#N/A</v>
      </c>
    </row>
    <row r="1199" spans="3:6" x14ac:dyDescent="0.25">
      <c r="C1199" t="e">
        <f t="shared" ca="1" si="74"/>
        <v>#N/A</v>
      </c>
      <c r="D1199" t="e">
        <f t="shared" ca="1" si="75"/>
        <v>#N/A</v>
      </c>
      <c r="E1199" t="e">
        <f t="shared" ca="1" si="76"/>
        <v>#N/A</v>
      </c>
      <c r="F1199" t="e">
        <f t="shared" ca="1" si="77"/>
        <v>#N/A</v>
      </c>
    </row>
    <row r="1200" spans="3:6" x14ac:dyDescent="0.25">
      <c r="C1200" t="e">
        <f t="shared" ca="1" si="74"/>
        <v>#N/A</v>
      </c>
      <c r="D1200" t="e">
        <f t="shared" ca="1" si="75"/>
        <v>#N/A</v>
      </c>
      <c r="E1200" t="e">
        <f t="shared" ca="1" si="76"/>
        <v>#N/A</v>
      </c>
      <c r="F1200" t="e">
        <f t="shared" ca="1" si="77"/>
        <v>#N/A</v>
      </c>
    </row>
    <row r="1201" spans="3:6" x14ac:dyDescent="0.25">
      <c r="C1201" t="e">
        <f t="shared" ca="1" si="74"/>
        <v>#N/A</v>
      </c>
      <c r="D1201" t="e">
        <f t="shared" ca="1" si="75"/>
        <v>#N/A</v>
      </c>
      <c r="E1201" t="e">
        <f t="shared" ca="1" si="76"/>
        <v>#N/A</v>
      </c>
      <c r="F1201" t="e">
        <f t="shared" ca="1" si="77"/>
        <v>#N/A</v>
      </c>
    </row>
    <row r="1202" spans="3:6" x14ac:dyDescent="0.25">
      <c r="C1202" t="e">
        <f t="shared" ca="1" si="74"/>
        <v>#N/A</v>
      </c>
      <c r="D1202" t="e">
        <f t="shared" ca="1" si="75"/>
        <v>#N/A</v>
      </c>
      <c r="E1202" t="e">
        <f t="shared" ca="1" si="76"/>
        <v>#N/A</v>
      </c>
      <c r="F1202" t="e">
        <f t="shared" ca="1" si="77"/>
        <v>#N/A</v>
      </c>
    </row>
    <row r="1203" spans="3:6" x14ac:dyDescent="0.25">
      <c r="C1203" t="e">
        <f t="shared" ca="1" si="74"/>
        <v>#N/A</v>
      </c>
      <c r="D1203" t="e">
        <f t="shared" ca="1" si="75"/>
        <v>#N/A</v>
      </c>
      <c r="E1203" t="e">
        <f t="shared" ca="1" si="76"/>
        <v>#N/A</v>
      </c>
      <c r="F1203" t="e">
        <f t="shared" ca="1" si="77"/>
        <v>#N/A</v>
      </c>
    </row>
    <row r="1204" spans="3:6" x14ac:dyDescent="0.25">
      <c r="C1204" t="e">
        <f t="shared" ca="1" si="74"/>
        <v>#N/A</v>
      </c>
      <c r="D1204" t="e">
        <f t="shared" ca="1" si="75"/>
        <v>#N/A</v>
      </c>
      <c r="E1204" t="e">
        <f t="shared" ca="1" si="76"/>
        <v>#N/A</v>
      </c>
      <c r="F1204" t="e">
        <f t="shared" ca="1" si="77"/>
        <v>#N/A</v>
      </c>
    </row>
    <row r="1205" spans="3:6" x14ac:dyDescent="0.25">
      <c r="C1205" t="e">
        <f t="shared" ca="1" si="74"/>
        <v>#N/A</v>
      </c>
      <c r="D1205" t="e">
        <f t="shared" ca="1" si="75"/>
        <v>#N/A</v>
      </c>
      <c r="E1205" t="e">
        <f t="shared" ca="1" si="76"/>
        <v>#N/A</v>
      </c>
      <c r="F1205" t="e">
        <f t="shared" ca="1" si="77"/>
        <v>#N/A</v>
      </c>
    </row>
    <row r="1206" spans="3:6" x14ac:dyDescent="0.25">
      <c r="C1206" t="e">
        <f t="shared" ca="1" si="74"/>
        <v>#N/A</v>
      </c>
      <c r="D1206" t="e">
        <f t="shared" ca="1" si="75"/>
        <v>#N/A</v>
      </c>
      <c r="E1206" t="e">
        <f t="shared" ca="1" si="76"/>
        <v>#N/A</v>
      </c>
      <c r="F1206" t="e">
        <f t="shared" ca="1" si="77"/>
        <v>#N/A</v>
      </c>
    </row>
    <row r="1207" spans="3:6" x14ac:dyDescent="0.25">
      <c r="C1207" t="e">
        <f t="shared" ca="1" si="74"/>
        <v>#N/A</v>
      </c>
      <c r="D1207" t="e">
        <f t="shared" ca="1" si="75"/>
        <v>#N/A</v>
      </c>
      <c r="E1207" t="e">
        <f t="shared" ca="1" si="76"/>
        <v>#N/A</v>
      </c>
      <c r="F1207" t="e">
        <f t="shared" ca="1" si="77"/>
        <v>#N/A</v>
      </c>
    </row>
    <row r="1208" spans="3:6" x14ac:dyDescent="0.25">
      <c r="C1208" t="e">
        <f t="shared" ca="1" si="74"/>
        <v>#N/A</v>
      </c>
      <c r="D1208" t="e">
        <f t="shared" ca="1" si="75"/>
        <v>#N/A</v>
      </c>
      <c r="E1208" t="e">
        <f t="shared" ca="1" si="76"/>
        <v>#N/A</v>
      </c>
      <c r="F1208" t="e">
        <f t="shared" ca="1" si="77"/>
        <v>#N/A</v>
      </c>
    </row>
    <row r="1209" spans="3:6" x14ac:dyDescent="0.25">
      <c r="C1209" t="e">
        <f t="shared" ca="1" si="74"/>
        <v>#N/A</v>
      </c>
      <c r="D1209" t="e">
        <f t="shared" ca="1" si="75"/>
        <v>#N/A</v>
      </c>
      <c r="E1209" t="e">
        <f t="shared" ca="1" si="76"/>
        <v>#N/A</v>
      </c>
      <c r="F1209" t="e">
        <f t="shared" ca="1" si="77"/>
        <v>#N/A</v>
      </c>
    </row>
    <row r="1210" spans="3:6" x14ac:dyDescent="0.25">
      <c r="C1210" t="e">
        <f t="shared" ca="1" si="74"/>
        <v>#N/A</v>
      </c>
      <c r="D1210" t="e">
        <f t="shared" ca="1" si="75"/>
        <v>#N/A</v>
      </c>
      <c r="E1210" t="e">
        <f t="shared" ca="1" si="76"/>
        <v>#N/A</v>
      </c>
      <c r="F1210" t="e">
        <f t="shared" ca="1" si="77"/>
        <v>#N/A</v>
      </c>
    </row>
    <row r="1211" spans="3:6" x14ac:dyDescent="0.25">
      <c r="C1211" t="e">
        <f t="shared" ca="1" si="74"/>
        <v>#N/A</v>
      </c>
      <c r="D1211" t="e">
        <f t="shared" ca="1" si="75"/>
        <v>#N/A</v>
      </c>
      <c r="E1211" t="e">
        <f t="shared" ca="1" si="76"/>
        <v>#N/A</v>
      </c>
      <c r="F1211" t="e">
        <f t="shared" ca="1" si="77"/>
        <v>#N/A</v>
      </c>
    </row>
    <row r="1212" spans="3:6" x14ac:dyDescent="0.25">
      <c r="C1212" t="e">
        <f t="shared" ca="1" si="74"/>
        <v>#N/A</v>
      </c>
      <c r="D1212" t="e">
        <f t="shared" ca="1" si="75"/>
        <v>#N/A</v>
      </c>
      <c r="E1212" t="e">
        <f t="shared" ca="1" si="76"/>
        <v>#N/A</v>
      </c>
      <c r="F1212" t="e">
        <f t="shared" ca="1" si="77"/>
        <v>#N/A</v>
      </c>
    </row>
    <row r="1213" spans="3:6" x14ac:dyDescent="0.25">
      <c r="C1213" t="e">
        <f t="shared" ca="1" si="74"/>
        <v>#N/A</v>
      </c>
      <c r="D1213" t="e">
        <f t="shared" ca="1" si="75"/>
        <v>#N/A</v>
      </c>
      <c r="E1213" t="e">
        <f t="shared" ca="1" si="76"/>
        <v>#N/A</v>
      </c>
      <c r="F1213" t="e">
        <f t="shared" ca="1" si="77"/>
        <v>#N/A</v>
      </c>
    </row>
    <row r="1214" spans="3:6" x14ac:dyDescent="0.25">
      <c r="C1214" t="e">
        <f t="shared" ca="1" si="74"/>
        <v>#N/A</v>
      </c>
      <c r="D1214" t="e">
        <f t="shared" ca="1" si="75"/>
        <v>#N/A</v>
      </c>
      <c r="E1214" t="e">
        <f t="shared" ca="1" si="76"/>
        <v>#N/A</v>
      </c>
      <c r="F1214" t="e">
        <f t="shared" ca="1" si="77"/>
        <v>#N/A</v>
      </c>
    </row>
    <row r="1215" spans="3:6" x14ac:dyDescent="0.25">
      <c r="C1215" t="e">
        <f t="shared" ca="1" si="74"/>
        <v>#N/A</v>
      </c>
      <c r="D1215" t="e">
        <f t="shared" ca="1" si="75"/>
        <v>#N/A</v>
      </c>
      <c r="E1215" t="e">
        <f t="shared" ca="1" si="76"/>
        <v>#N/A</v>
      </c>
      <c r="F1215" t="e">
        <f t="shared" ca="1" si="77"/>
        <v>#N/A</v>
      </c>
    </row>
    <row r="1216" spans="3:6" x14ac:dyDescent="0.25">
      <c r="C1216" t="e">
        <f t="shared" ca="1" si="74"/>
        <v>#N/A</v>
      </c>
      <c r="D1216" t="e">
        <f t="shared" ca="1" si="75"/>
        <v>#N/A</v>
      </c>
      <c r="E1216" t="e">
        <f t="shared" ca="1" si="76"/>
        <v>#N/A</v>
      </c>
      <c r="F1216" t="e">
        <f t="shared" ca="1" si="77"/>
        <v>#N/A</v>
      </c>
    </row>
    <row r="1217" spans="3:6" x14ac:dyDescent="0.25">
      <c r="C1217" t="e">
        <f t="shared" ca="1" si="74"/>
        <v>#N/A</v>
      </c>
      <c r="D1217" t="e">
        <f t="shared" ca="1" si="75"/>
        <v>#N/A</v>
      </c>
      <c r="E1217" t="e">
        <f t="shared" ca="1" si="76"/>
        <v>#N/A</v>
      </c>
      <c r="F1217" t="e">
        <f t="shared" ca="1" si="77"/>
        <v>#N/A</v>
      </c>
    </row>
    <row r="1218" spans="3:6" x14ac:dyDescent="0.25">
      <c r="C1218" t="e">
        <f t="shared" ca="1" si="74"/>
        <v>#N/A</v>
      </c>
      <c r="D1218" t="e">
        <f t="shared" ca="1" si="75"/>
        <v>#N/A</v>
      </c>
      <c r="E1218" t="e">
        <f t="shared" ca="1" si="76"/>
        <v>#N/A</v>
      </c>
      <c r="F1218" t="e">
        <f t="shared" ca="1" si="77"/>
        <v>#N/A</v>
      </c>
    </row>
    <row r="1219" spans="3:6" x14ac:dyDescent="0.25">
      <c r="C1219" t="e">
        <f t="shared" ca="1" si="74"/>
        <v>#N/A</v>
      </c>
      <c r="D1219" t="e">
        <f t="shared" ca="1" si="75"/>
        <v>#N/A</v>
      </c>
      <c r="E1219" t="e">
        <f t="shared" ca="1" si="76"/>
        <v>#N/A</v>
      </c>
      <c r="F1219" t="e">
        <f t="shared" ca="1" si="77"/>
        <v>#N/A</v>
      </c>
    </row>
    <row r="1220" spans="3:6" x14ac:dyDescent="0.25">
      <c r="C1220" t="e">
        <f t="shared" ca="1" si="74"/>
        <v>#N/A</v>
      </c>
      <c r="D1220" t="e">
        <f t="shared" ca="1" si="75"/>
        <v>#N/A</v>
      </c>
      <c r="E1220" t="e">
        <f t="shared" ca="1" si="76"/>
        <v>#N/A</v>
      </c>
      <c r="F1220" t="e">
        <f t="shared" ca="1" si="77"/>
        <v>#N/A</v>
      </c>
    </row>
    <row r="1221" spans="3:6" x14ac:dyDescent="0.25">
      <c r="C1221" t="e">
        <f t="shared" ca="1" si="74"/>
        <v>#N/A</v>
      </c>
      <c r="D1221" t="e">
        <f t="shared" ca="1" si="75"/>
        <v>#N/A</v>
      </c>
      <c r="E1221" t="e">
        <f t="shared" ca="1" si="76"/>
        <v>#N/A</v>
      </c>
      <c r="F1221" t="e">
        <f t="shared" ca="1" si="77"/>
        <v>#N/A</v>
      </c>
    </row>
    <row r="1222" spans="3:6" x14ac:dyDescent="0.25">
      <c r="C1222" t="e">
        <f t="shared" ca="1" si="74"/>
        <v>#N/A</v>
      </c>
      <c r="D1222" t="e">
        <f t="shared" ca="1" si="75"/>
        <v>#N/A</v>
      </c>
      <c r="E1222" t="e">
        <f t="shared" ca="1" si="76"/>
        <v>#N/A</v>
      </c>
      <c r="F1222" t="e">
        <f t="shared" ca="1" si="77"/>
        <v>#N/A</v>
      </c>
    </row>
    <row r="1223" spans="3:6" x14ac:dyDescent="0.25">
      <c r="C1223" t="e">
        <f t="shared" ca="1" si="74"/>
        <v>#N/A</v>
      </c>
      <c r="D1223" t="e">
        <f t="shared" ca="1" si="75"/>
        <v>#N/A</v>
      </c>
      <c r="E1223" t="e">
        <f t="shared" ca="1" si="76"/>
        <v>#N/A</v>
      </c>
      <c r="F1223" t="e">
        <f t="shared" ca="1" si="77"/>
        <v>#N/A</v>
      </c>
    </row>
    <row r="1224" spans="3:6" x14ac:dyDescent="0.25">
      <c r="C1224" t="e">
        <f t="shared" ca="1" si="74"/>
        <v>#N/A</v>
      </c>
      <c r="D1224" t="e">
        <f t="shared" ca="1" si="75"/>
        <v>#N/A</v>
      </c>
      <c r="E1224" t="e">
        <f t="shared" ca="1" si="76"/>
        <v>#N/A</v>
      </c>
      <c r="F1224" t="e">
        <f t="shared" ca="1" si="77"/>
        <v>#N/A</v>
      </c>
    </row>
    <row r="1225" spans="3:6" x14ac:dyDescent="0.25">
      <c r="C1225" t="e">
        <f t="shared" ca="1" si="74"/>
        <v>#N/A</v>
      </c>
      <c r="D1225" t="e">
        <f t="shared" ca="1" si="75"/>
        <v>#N/A</v>
      </c>
      <c r="E1225" t="e">
        <f t="shared" ca="1" si="76"/>
        <v>#N/A</v>
      </c>
      <c r="F1225" t="e">
        <f t="shared" ca="1" si="77"/>
        <v>#N/A</v>
      </c>
    </row>
    <row r="1226" spans="3:6" x14ac:dyDescent="0.25">
      <c r="C1226" t="e">
        <f t="shared" ref="C1226:C1289" ca="1" si="78">$C$7</f>
        <v>#N/A</v>
      </c>
      <c r="D1226" t="e">
        <f t="shared" ref="D1226:D1289" ca="1" si="79">$D$7</f>
        <v>#N/A</v>
      </c>
      <c r="E1226" t="e">
        <f t="shared" ref="E1226:E1289" ca="1" si="80">IF($B1227="",C$8,"")</f>
        <v>#N/A</v>
      </c>
      <c r="F1226" t="e">
        <f t="shared" ref="F1226:F1289" ca="1" si="81">IF($B1227="",D$8,"")</f>
        <v>#N/A</v>
      </c>
    </row>
    <row r="1227" spans="3:6" x14ac:dyDescent="0.25">
      <c r="C1227" t="e">
        <f t="shared" ca="1" si="78"/>
        <v>#N/A</v>
      </c>
      <c r="D1227" t="e">
        <f t="shared" ca="1" si="79"/>
        <v>#N/A</v>
      </c>
      <c r="E1227" t="e">
        <f t="shared" ca="1" si="80"/>
        <v>#N/A</v>
      </c>
      <c r="F1227" t="e">
        <f t="shared" ca="1" si="81"/>
        <v>#N/A</v>
      </c>
    </row>
    <row r="1228" spans="3:6" x14ac:dyDescent="0.25">
      <c r="C1228" t="e">
        <f t="shared" ca="1" si="78"/>
        <v>#N/A</v>
      </c>
      <c r="D1228" t="e">
        <f t="shared" ca="1" si="79"/>
        <v>#N/A</v>
      </c>
      <c r="E1228" t="e">
        <f t="shared" ca="1" si="80"/>
        <v>#N/A</v>
      </c>
      <c r="F1228" t="e">
        <f t="shared" ca="1" si="81"/>
        <v>#N/A</v>
      </c>
    </row>
    <row r="1229" spans="3:6" x14ac:dyDescent="0.25">
      <c r="C1229" t="e">
        <f t="shared" ca="1" si="78"/>
        <v>#N/A</v>
      </c>
      <c r="D1229" t="e">
        <f t="shared" ca="1" si="79"/>
        <v>#N/A</v>
      </c>
      <c r="E1229" t="e">
        <f t="shared" ca="1" si="80"/>
        <v>#N/A</v>
      </c>
      <c r="F1229" t="e">
        <f t="shared" ca="1" si="81"/>
        <v>#N/A</v>
      </c>
    </row>
    <row r="1230" spans="3:6" x14ac:dyDescent="0.25">
      <c r="C1230" t="e">
        <f t="shared" ca="1" si="78"/>
        <v>#N/A</v>
      </c>
      <c r="D1230" t="e">
        <f t="shared" ca="1" si="79"/>
        <v>#N/A</v>
      </c>
      <c r="E1230" t="e">
        <f t="shared" ca="1" si="80"/>
        <v>#N/A</v>
      </c>
      <c r="F1230" t="e">
        <f t="shared" ca="1" si="81"/>
        <v>#N/A</v>
      </c>
    </row>
    <row r="1231" spans="3:6" x14ac:dyDescent="0.25">
      <c r="C1231" t="e">
        <f t="shared" ca="1" si="78"/>
        <v>#N/A</v>
      </c>
      <c r="D1231" t="e">
        <f t="shared" ca="1" si="79"/>
        <v>#N/A</v>
      </c>
      <c r="E1231" t="e">
        <f t="shared" ca="1" si="80"/>
        <v>#N/A</v>
      </c>
      <c r="F1231" t="e">
        <f t="shared" ca="1" si="81"/>
        <v>#N/A</v>
      </c>
    </row>
    <row r="1232" spans="3:6" x14ac:dyDescent="0.25">
      <c r="C1232" t="e">
        <f t="shared" ca="1" si="78"/>
        <v>#N/A</v>
      </c>
      <c r="D1232" t="e">
        <f t="shared" ca="1" si="79"/>
        <v>#N/A</v>
      </c>
      <c r="E1232" t="e">
        <f t="shared" ca="1" si="80"/>
        <v>#N/A</v>
      </c>
      <c r="F1232" t="e">
        <f t="shared" ca="1" si="81"/>
        <v>#N/A</v>
      </c>
    </row>
    <row r="1233" spans="3:6" x14ac:dyDescent="0.25">
      <c r="C1233" t="e">
        <f t="shared" ca="1" si="78"/>
        <v>#N/A</v>
      </c>
      <c r="D1233" t="e">
        <f t="shared" ca="1" si="79"/>
        <v>#N/A</v>
      </c>
      <c r="E1233" t="e">
        <f t="shared" ca="1" si="80"/>
        <v>#N/A</v>
      </c>
      <c r="F1233" t="e">
        <f t="shared" ca="1" si="81"/>
        <v>#N/A</v>
      </c>
    </row>
    <row r="1234" spans="3:6" x14ac:dyDescent="0.25">
      <c r="C1234" t="e">
        <f t="shared" ca="1" si="78"/>
        <v>#N/A</v>
      </c>
      <c r="D1234" t="e">
        <f t="shared" ca="1" si="79"/>
        <v>#N/A</v>
      </c>
      <c r="E1234" t="e">
        <f t="shared" ca="1" si="80"/>
        <v>#N/A</v>
      </c>
      <c r="F1234" t="e">
        <f t="shared" ca="1" si="81"/>
        <v>#N/A</v>
      </c>
    </row>
    <row r="1235" spans="3:6" x14ac:dyDescent="0.25">
      <c r="C1235" t="e">
        <f t="shared" ca="1" si="78"/>
        <v>#N/A</v>
      </c>
      <c r="D1235" t="e">
        <f t="shared" ca="1" si="79"/>
        <v>#N/A</v>
      </c>
      <c r="E1235" t="e">
        <f t="shared" ca="1" si="80"/>
        <v>#N/A</v>
      </c>
      <c r="F1235" t="e">
        <f t="shared" ca="1" si="81"/>
        <v>#N/A</v>
      </c>
    </row>
    <row r="1236" spans="3:6" x14ac:dyDescent="0.25">
      <c r="C1236" t="e">
        <f t="shared" ca="1" si="78"/>
        <v>#N/A</v>
      </c>
      <c r="D1236" t="e">
        <f t="shared" ca="1" si="79"/>
        <v>#N/A</v>
      </c>
      <c r="E1236" t="e">
        <f t="shared" ca="1" si="80"/>
        <v>#N/A</v>
      </c>
      <c r="F1236" t="e">
        <f t="shared" ca="1" si="81"/>
        <v>#N/A</v>
      </c>
    </row>
    <row r="1237" spans="3:6" x14ac:dyDescent="0.25">
      <c r="C1237" t="e">
        <f t="shared" ca="1" si="78"/>
        <v>#N/A</v>
      </c>
      <c r="D1237" t="e">
        <f t="shared" ca="1" si="79"/>
        <v>#N/A</v>
      </c>
      <c r="E1237" t="e">
        <f t="shared" ca="1" si="80"/>
        <v>#N/A</v>
      </c>
      <c r="F1237" t="e">
        <f t="shared" ca="1" si="81"/>
        <v>#N/A</v>
      </c>
    </row>
    <row r="1238" spans="3:6" x14ac:dyDescent="0.25">
      <c r="C1238" t="e">
        <f t="shared" ca="1" si="78"/>
        <v>#N/A</v>
      </c>
      <c r="D1238" t="e">
        <f t="shared" ca="1" si="79"/>
        <v>#N/A</v>
      </c>
      <c r="E1238" t="e">
        <f t="shared" ca="1" si="80"/>
        <v>#N/A</v>
      </c>
      <c r="F1238" t="e">
        <f t="shared" ca="1" si="81"/>
        <v>#N/A</v>
      </c>
    </row>
    <row r="1239" spans="3:6" x14ac:dyDescent="0.25">
      <c r="C1239" t="e">
        <f t="shared" ca="1" si="78"/>
        <v>#N/A</v>
      </c>
      <c r="D1239" t="e">
        <f t="shared" ca="1" si="79"/>
        <v>#N/A</v>
      </c>
      <c r="E1239" t="e">
        <f t="shared" ca="1" si="80"/>
        <v>#N/A</v>
      </c>
      <c r="F1239" t="e">
        <f t="shared" ca="1" si="81"/>
        <v>#N/A</v>
      </c>
    </row>
    <row r="1240" spans="3:6" x14ac:dyDescent="0.25">
      <c r="C1240" t="e">
        <f t="shared" ca="1" si="78"/>
        <v>#N/A</v>
      </c>
      <c r="D1240" t="e">
        <f t="shared" ca="1" si="79"/>
        <v>#N/A</v>
      </c>
      <c r="E1240" t="e">
        <f t="shared" ca="1" si="80"/>
        <v>#N/A</v>
      </c>
      <c r="F1240" t="e">
        <f t="shared" ca="1" si="81"/>
        <v>#N/A</v>
      </c>
    </row>
    <row r="1241" spans="3:6" x14ac:dyDescent="0.25">
      <c r="C1241" t="e">
        <f t="shared" ca="1" si="78"/>
        <v>#N/A</v>
      </c>
      <c r="D1241" t="e">
        <f t="shared" ca="1" si="79"/>
        <v>#N/A</v>
      </c>
      <c r="E1241" t="e">
        <f t="shared" ca="1" si="80"/>
        <v>#N/A</v>
      </c>
      <c r="F1241" t="e">
        <f t="shared" ca="1" si="81"/>
        <v>#N/A</v>
      </c>
    </row>
    <row r="1242" spans="3:6" x14ac:dyDescent="0.25">
      <c r="C1242" t="e">
        <f t="shared" ca="1" si="78"/>
        <v>#N/A</v>
      </c>
      <c r="D1242" t="e">
        <f t="shared" ca="1" si="79"/>
        <v>#N/A</v>
      </c>
      <c r="E1242" t="e">
        <f t="shared" ca="1" si="80"/>
        <v>#N/A</v>
      </c>
      <c r="F1242" t="e">
        <f t="shared" ca="1" si="81"/>
        <v>#N/A</v>
      </c>
    </row>
    <row r="1243" spans="3:6" x14ac:dyDescent="0.25">
      <c r="C1243" t="e">
        <f t="shared" ca="1" si="78"/>
        <v>#N/A</v>
      </c>
      <c r="D1243" t="e">
        <f t="shared" ca="1" si="79"/>
        <v>#N/A</v>
      </c>
      <c r="E1243" t="e">
        <f t="shared" ca="1" si="80"/>
        <v>#N/A</v>
      </c>
      <c r="F1243" t="e">
        <f t="shared" ca="1" si="81"/>
        <v>#N/A</v>
      </c>
    </row>
    <row r="1244" spans="3:6" x14ac:dyDescent="0.25">
      <c r="C1244" t="e">
        <f t="shared" ca="1" si="78"/>
        <v>#N/A</v>
      </c>
      <c r="D1244" t="e">
        <f t="shared" ca="1" si="79"/>
        <v>#N/A</v>
      </c>
      <c r="E1244" t="e">
        <f t="shared" ca="1" si="80"/>
        <v>#N/A</v>
      </c>
      <c r="F1244" t="e">
        <f t="shared" ca="1" si="81"/>
        <v>#N/A</v>
      </c>
    </row>
    <row r="1245" spans="3:6" x14ac:dyDescent="0.25">
      <c r="C1245" t="e">
        <f t="shared" ca="1" si="78"/>
        <v>#N/A</v>
      </c>
      <c r="D1245" t="e">
        <f t="shared" ca="1" si="79"/>
        <v>#N/A</v>
      </c>
      <c r="E1245" t="e">
        <f t="shared" ca="1" si="80"/>
        <v>#N/A</v>
      </c>
      <c r="F1245" t="e">
        <f t="shared" ca="1" si="81"/>
        <v>#N/A</v>
      </c>
    </row>
    <row r="1246" spans="3:6" x14ac:dyDescent="0.25">
      <c r="C1246" t="e">
        <f t="shared" ca="1" si="78"/>
        <v>#N/A</v>
      </c>
      <c r="D1246" t="e">
        <f t="shared" ca="1" si="79"/>
        <v>#N/A</v>
      </c>
      <c r="E1246" t="e">
        <f t="shared" ca="1" si="80"/>
        <v>#N/A</v>
      </c>
      <c r="F1246" t="e">
        <f t="shared" ca="1" si="81"/>
        <v>#N/A</v>
      </c>
    </row>
    <row r="1247" spans="3:6" x14ac:dyDescent="0.25">
      <c r="C1247" t="e">
        <f t="shared" ca="1" si="78"/>
        <v>#N/A</v>
      </c>
      <c r="D1247" t="e">
        <f t="shared" ca="1" si="79"/>
        <v>#N/A</v>
      </c>
      <c r="E1247" t="e">
        <f t="shared" ca="1" si="80"/>
        <v>#N/A</v>
      </c>
      <c r="F1247" t="e">
        <f t="shared" ca="1" si="81"/>
        <v>#N/A</v>
      </c>
    </row>
    <row r="1248" spans="3:6" x14ac:dyDescent="0.25">
      <c r="C1248" t="e">
        <f t="shared" ca="1" si="78"/>
        <v>#N/A</v>
      </c>
      <c r="D1248" t="e">
        <f t="shared" ca="1" si="79"/>
        <v>#N/A</v>
      </c>
      <c r="E1248" t="e">
        <f t="shared" ca="1" si="80"/>
        <v>#N/A</v>
      </c>
      <c r="F1248" t="e">
        <f t="shared" ca="1" si="81"/>
        <v>#N/A</v>
      </c>
    </row>
    <row r="1249" spans="3:6" x14ac:dyDescent="0.25">
      <c r="C1249" t="e">
        <f t="shared" ca="1" si="78"/>
        <v>#N/A</v>
      </c>
      <c r="D1249" t="e">
        <f t="shared" ca="1" si="79"/>
        <v>#N/A</v>
      </c>
      <c r="E1249" t="e">
        <f t="shared" ca="1" si="80"/>
        <v>#N/A</v>
      </c>
      <c r="F1249" t="e">
        <f t="shared" ca="1" si="81"/>
        <v>#N/A</v>
      </c>
    </row>
    <row r="1250" spans="3:6" x14ac:dyDescent="0.25">
      <c r="C1250" t="e">
        <f t="shared" ca="1" si="78"/>
        <v>#N/A</v>
      </c>
      <c r="D1250" t="e">
        <f t="shared" ca="1" si="79"/>
        <v>#N/A</v>
      </c>
      <c r="E1250" t="e">
        <f t="shared" ca="1" si="80"/>
        <v>#N/A</v>
      </c>
      <c r="F1250" t="e">
        <f t="shared" ca="1" si="81"/>
        <v>#N/A</v>
      </c>
    </row>
    <row r="1251" spans="3:6" x14ac:dyDescent="0.25">
      <c r="C1251" t="e">
        <f t="shared" ca="1" si="78"/>
        <v>#N/A</v>
      </c>
      <c r="D1251" t="e">
        <f t="shared" ca="1" si="79"/>
        <v>#N/A</v>
      </c>
      <c r="E1251" t="e">
        <f t="shared" ca="1" si="80"/>
        <v>#N/A</v>
      </c>
      <c r="F1251" t="e">
        <f t="shared" ca="1" si="81"/>
        <v>#N/A</v>
      </c>
    </row>
    <row r="1252" spans="3:6" x14ac:dyDescent="0.25">
      <c r="C1252" t="e">
        <f t="shared" ca="1" si="78"/>
        <v>#N/A</v>
      </c>
      <c r="D1252" t="e">
        <f t="shared" ca="1" si="79"/>
        <v>#N/A</v>
      </c>
      <c r="E1252" t="e">
        <f t="shared" ca="1" si="80"/>
        <v>#N/A</v>
      </c>
      <c r="F1252" t="e">
        <f t="shared" ca="1" si="81"/>
        <v>#N/A</v>
      </c>
    </row>
    <row r="1253" spans="3:6" x14ac:dyDescent="0.25">
      <c r="C1253" t="e">
        <f t="shared" ca="1" si="78"/>
        <v>#N/A</v>
      </c>
      <c r="D1253" t="e">
        <f t="shared" ca="1" si="79"/>
        <v>#N/A</v>
      </c>
      <c r="E1253" t="e">
        <f t="shared" ca="1" si="80"/>
        <v>#N/A</v>
      </c>
      <c r="F1253" t="e">
        <f t="shared" ca="1" si="81"/>
        <v>#N/A</v>
      </c>
    </row>
    <row r="1254" spans="3:6" x14ac:dyDescent="0.25">
      <c r="C1254" t="e">
        <f t="shared" ca="1" si="78"/>
        <v>#N/A</v>
      </c>
      <c r="D1254" t="e">
        <f t="shared" ca="1" si="79"/>
        <v>#N/A</v>
      </c>
      <c r="E1254" t="e">
        <f t="shared" ca="1" si="80"/>
        <v>#N/A</v>
      </c>
      <c r="F1254" t="e">
        <f t="shared" ca="1" si="81"/>
        <v>#N/A</v>
      </c>
    </row>
    <row r="1255" spans="3:6" x14ac:dyDescent="0.25">
      <c r="C1255" t="e">
        <f t="shared" ca="1" si="78"/>
        <v>#N/A</v>
      </c>
      <c r="D1255" t="e">
        <f t="shared" ca="1" si="79"/>
        <v>#N/A</v>
      </c>
      <c r="E1255" t="e">
        <f t="shared" ca="1" si="80"/>
        <v>#N/A</v>
      </c>
      <c r="F1255" t="e">
        <f t="shared" ca="1" si="81"/>
        <v>#N/A</v>
      </c>
    </row>
    <row r="1256" spans="3:6" x14ac:dyDescent="0.25">
      <c r="C1256" t="e">
        <f t="shared" ca="1" si="78"/>
        <v>#N/A</v>
      </c>
      <c r="D1256" t="e">
        <f t="shared" ca="1" si="79"/>
        <v>#N/A</v>
      </c>
      <c r="E1256" t="e">
        <f t="shared" ca="1" si="80"/>
        <v>#N/A</v>
      </c>
      <c r="F1256" t="e">
        <f t="shared" ca="1" si="81"/>
        <v>#N/A</v>
      </c>
    </row>
    <row r="1257" spans="3:6" x14ac:dyDescent="0.25">
      <c r="C1257" t="e">
        <f t="shared" ca="1" si="78"/>
        <v>#N/A</v>
      </c>
      <c r="D1257" t="e">
        <f t="shared" ca="1" si="79"/>
        <v>#N/A</v>
      </c>
      <c r="E1257" t="e">
        <f t="shared" ca="1" si="80"/>
        <v>#N/A</v>
      </c>
      <c r="F1257" t="e">
        <f t="shared" ca="1" si="81"/>
        <v>#N/A</v>
      </c>
    </row>
    <row r="1258" spans="3:6" x14ac:dyDescent="0.25">
      <c r="C1258" t="e">
        <f t="shared" ca="1" si="78"/>
        <v>#N/A</v>
      </c>
      <c r="D1258" t="e">
        <f t="shared" ca="1" si="79"/>
        <v>#N/A</v>
      </c>
      <c r="E1258" t="e">
        <f t="shared" ca="1" si="80"/>
        <v>#N/A</v>
      </c>
      <c r="F1258" t="e">
        <f t="shared" ca="1" si="81"/>
        <v>#N/A</v>
      </c>
    </row>
    <row r="1259" spans="3:6" x14ac:dyDescent="0.25">
      <c r="C1259" t="e">
        <f t="shared" ca="1" si="78"/>
        <v>#N/A</v>
      </c>
      <c r="D1259" t="e">
        <f t="shared" ca="1" si="79"/>
        <v>#N/A</v>
      </c>
      <c r="E1259" t="e">
        <f t="shared" ca="1" si="80"/>
        <v>#N/A</v>
      </c>
      <c r="F1259" t="e">
        <f t="shared" ca="1" si="81"/>
        <v>#N/A</v>
      </c>
    </row>
    <row r="1260" spans="3:6" x14ac:dyDescent="0.25">
      <c r="C1260" t="e">
        <f t="shared" ca="1" si="78"/>
        <v>#N/A</v>
      </c>
      <c r="D1260" t="e">
        <f t="shared" ca="1" si="79"/>
        <v>#N/A</v>
      </c>
      <c r="E1260" t="e">
        <f t="shared" ca="1" si="80"/>
        <v>#N/A</v>
      </c>
      <c r="F1260" t="e">
        <f t="shared" ca="1" si="81"/>
        <v>#N/A</v>
      </c>
    </row>
    <row r="1261" spans="3:6" x14ac:dyDescent="0.25">
      <c r="C1261" t="e">
        <f t="shared" ca="1" si="78"/>
        <v>#N/A</v>
      </c>
      <c r="D1261" t="e">
        <f t="shared" ca="1" si="79"/>
        <v>#N/A</v>
      </c>
      <c r="E1261" t="e">
        <f t="shared" ca="1" si="80"/>
        <v>#N/A</v>
      </c>
      <c r="F1261" t="e">
        <f t="shared" ca="1" si="81"/>
        <v>#N/A</v>
      </c>
    </row>
    <row r="1262" spans="3:6" x14ac:dyDescent="0.25">
      <c r="C1262" t="e">
        <f t="shared" ca="1" si="78"/>
        <v>#N/A</v>
      </c>
      <c r="D1262" t="e">
        <f t="shared" ca="1" si="79"/>
        <v>#N/A</v>
      </c>
      <c r="E1262" t="e">
        <f t="shared" ca="1" si="80"/>
        <v>#N/A</v>
      </c>
      <c r="F1262" t="e">
        <f t="shared" ca="1" si="81"/>
        <v>#N/A</v>
      </c>
    </row>
    <row r="1263" spans="3:6" x14ac:dyDescent="0.25">
      <c r="C1263" t="e">
        <f t="shared" ca="1" si="78"/>
        <v>#N/A</v>
      </c>
      <c r="D1263" t="e">
        <f t="shared" ca="1" si="79"/>
        <v>#N/A</v>
      </c>
      <c r="E1263" t="e">
        <f t="shared" ca="1" si="80"/>
        <v>#N/A</v>
      </c>
      <c r="F1263" t="e">
        <f t="shared" ca="1" si="81"/>
        <v>#N/A</v>
      </c>
    </row>
    <row r="1264" spans="3:6" x14ac:dyDescent="0.25">
      <c r="C1264" t="e">
        <f t="shared" ca="1" si="78"/>
        <v>#N/A</v>
      </c>
      <c r="D1264" t="e">
        <f t="shared" ca="1" si="79"/>
        <v>#N/A</v>
      </c>
      <c r="E1264" t="e">
        <f t="shared" ca="1" si="80"/>
        <v>#N/A</v>
      </c>
      <c r="F1264" t="e">
        <f t="shared" ca="1" si="81"/>
        <v>#N/A</v>
      </c>
    </row>
    <row r="1265" spans="3:6" x14ac:dyDescent="0.25">
      <c r="C1265" t="e">
        <f t="shared" ca="1" si="78"/>
        <v>#N/A</v>
      </c>
      <c r="D1265" t="e">
        <f t="shared" ca="1" si="79"/>
        <v>#N/A</v>
      </c>
      <c r="E1265" t="e">
        <f t="shared" ca="1" si="80"/>
        <v>#N/A</v>
      </c>
      <c r="F1265" t="e">
        <f t="shared" ca="1" si="81"/>
        <v>#N/A</v>
      </c>
    </row>
    <row r="1266" spans="3:6" x14ac:dyDescent="0.25">
      <c r="C1266" t="e">
        <f t="shared" ca="1" si="78"/>
        <v>#N/A</v>
      </c>
      <c r="D1266" t="e">
        <f t="shared" ca="1" si="79"/>
        <v>#N/A</v>
      </c>
      <c r="E1266" t="e">
        <f t="shared" ca="1" si="80"/>
        <v>#N/A</v>
      </c>
      <c r="F1266" t="e">
        <f t="shared" ca="1" si="81"/>
        <v>#N/A</v>
      </c>
    </row>
    <row r="1267" spans="3:6" x14ac:dyDescent="0.25">
      <c r="C1267" t="e">
        <f t="shared" ca="1" si="78"/>
        <v>#N/A</v>
      </c>
      <c r="D1267" t="e">
        <f t="shared" ca="1" si="79"/>
        <v>#N/A</v>
      </c>
      <c r="E1267" t="e">
        <f t="shared" ca="1" si="80"/>
        <v>#N/A</v>
      </c>
      <c r="F1267" t="e">
        <f t="shared" ca="1" si="81"/>
        <v>#N/A</v>
      </c>
    </row>
    <row r="1268" spans="3:6" x14ac:dyDescent="0.25">
      <c r="C1268" t="e">
        <f t="shared" ca="1" si="78"/>
        <v>#N/A</v>
      </c>
      <c r="D1268" t="e">
        <f t="shared" ca="1" si="79"/>
        <v>#N/A</v>
      </c>
      <c r="E1268" t="e">
        <f t="shared" ca="1" si="80"/>
        <v>#N/A</v>
      </c>
      <c r="F1268" t="e">
        <f t="shared" ca="1" si="81"/>
        <v>#N/A</v>
      </c>
    </row>
    <row r="1269" spans="3:6" x14ac:dyDescent="0.25">
      <c r="C1269" t="e">
        <f t="shared" ca="1" si="78"/>
        <v>#N/A</v>
      </c>
      <c r="D1269" t="e">
        <f t="shared" ca="1" si="79"/>
        <v>#N/A</v>
      </c>
      <c r="E1269" t="e">
        <f t="shared" ca="1" si="80"/>
        <v>#N/A</v>
      </c>
      <c r="F1269" t="e">
        <f t="shared" ca="1" si="81"/>
        <v>#N/A</v>
      </c>
    </row>
    <row r="1270" spans="3:6" x14ac:dyDescent="0.25">
      <c r="C1270" t="e">
        <f t="shared" ca="1" si="78"/>
        <v>#N/A</v>
      </c>
      <c r="D1270" t="e">
        <f t="shared" ca="1" si="79"/>
        <v>#N/A</v>
      </c>
      <c r="E1270" t="e">
        <f t="shared" ca="1" si="80"/>
        <v>#N/A</v>
      </c>
      <c r="F1270" t="e">
        <f t="shared" ca="1" si="81"/>
        <v>#N/A</v>
      </c>
    </row>
    <row r="1271" spans="3:6" x14ac:dyDescent="0.25">
      <c r="C1271" t="e">
        <f t="shared" ca="1" si="78"/>
        <v>#N/A</v>
      </c>
      <c r="D1271" t="e">
        <f t="shared" ca="1" si="79"/>
        <v>#N/A</v>
      </c>
      <c r="E1271" t="e">
        <f t="shared" ca="1" si="80"/>
        <v>#N/A</v>
      </c>
      <c r="F1271" t="e">
        <f t="shared" ca="1" si="81"/>
        <v>#N/A</v>
      </c>
    </row>
    <row r="1272" spans="3:6" x14ac:dyDescent="0.25">
      <c r="C1272" t="e">
        <f t="shared" ca="1" si="78"/>
        <v>#N/A</v>
      </c>
      <c r="D1272" t="e">
        <f t="shared" ca="1" si="79"/>
        <v>#N/A</v>
      </c>
      <c r="E1272" t="e">
        <f t="shared" ca="1" si="80"/>
        <v>#N/A</v>
      </c>
      <c r="F1272" t="e">
        <f t="shared" ca="1" si="81"/>
        <v>#N/A</v>
      </c>
    </row>
    <row r="1273" spans="3:6" x14ac:dyDescent="0.25">
      <c r="C1273" t="e">
        <f t="shared" ca="1" si="78"/>
        <v>#N/A</v>
      </c>
      <c r="D1273" t="e">
        <f t="shared" ca="1" si="79"/>
        <v>#N/A</v>
      </c>
      <c r="E1273" t="e">
        <f t="shared" ca="1" si="80"/>
        <v>#N/A</v>
      </c>
      <c r="F1273" t="e">
        <f t="shared" ca="1" si="81"/>
        <v>#N/A</v>
      </c>
    </row>
    <row r="1274" spans="3:6" x14ac:dyDescent="0.25">
      <c r="C1274" t="e">
        <f t="shared" ca="1" si="78"/>
        <v>#N/A</v>
      </c>
      <c r="D1274" t="e">
        <f t="shared" ca="1" si="79"/>
        <v>#N/A</v>
      </c>
      <c r="E1274" t="e">
        <f t="shared" ca="1" si="80"/>
        <v>#N/A</v>
      </c>
      <c r="F1274" t="e">
        <f t="shared" ca="1" si="81"/>
        <v>#N/A</v>
      </c>
    </row>
    <row r="1275" spans="3:6" x14ac:dyDescent="0.25">
      <c r="C1275" t="e">
        <f t="shared" ca="1" si="78"/>
        <v>#N/A</v>
      </c>
      <c r="D1275" t="e">
        <f t="shared" ca="1" si="79"/>
        <v>#N/A</v>
      </c>
      <c r="E1275" t="e">
        <f t="shared" ca="1" si="80"/>
        <v>#N/A</v>
      </c>
      <c r="F1275" t="e">
        <f t="shared" ca="1" si="81"/>
        <v>#N/A</v>
      </c>
    </row>
    <row r="1276" spans="3:6" x14ac:dyDescent="0.25">
      <c r="C1276" t="e">
        <f t="shared" ca="1" si="78"/>
        <v>#N/A</v>
      </c>
      <c r="D1276" t="e">
        <f t="shared" ca="1" si="79"/>
        <v>#N/A</v>
      </c>
      <c r="E1276" t="e">
        <f t="shared" ca="1" si="80"/>
        <v>#N/A</v>
      </c>
      <c r="F1276" t="e">
        <f t="shared" ca="1" si="81"/>
        <v>#N/A</v>
      </c>
    </row>
    <row r="1277" spans="3:6" x14ac:dyDescent="0.25">
      <c r="C1277" t="e">
        <f t="shared" ca="1" si="78"/>
        <v>#N/A</v>
      </c>
      <c r="D1277" t="e">
        <f t="shared" ca="1" si="79"/>
        <v>#N/A</v>
      </c>
      <c r="E1277" t="e">
        <f t="shared" ca="1" si="80"/>
        <v>#N/A</v>
      </c>
      <c r="F1277" t="e">
        <f t="shared" ca="1" si="81"/>
        <v>#N/A</v>
      </c>
    </row>
    <row r="1278" spans="3:6" x14ac:dyDescent="0.25">
      <c r="C1278" t="e">
        <f t="shared" ca="1" si="78"/>
        <v>#N/A</v>
      </c>
      <c r="D1278" t="e">
        <f t="shared" ca="1" si="79"/>
        <v>#N/A</v>
      </c>
      <c r="E1278" t="e">
        <f t="shared" ca="1" si="80"/>
        <v>#N/A</v>
      </c>
      <c r="F1278" t="e">
        <f t="shared" ca="1" si="81"/>
        <v>#N/A</v>
      </c>
    </row>
    <row r="1279" spans="3:6" x14ac:dyDescent="0.25">
      <c r="C1279" t="e">
        <f t="shared" ca="1" si="78"/>
        <v>#N/A</v>
      </c>
      <c r="D1279" t="e">
        <f t="shared" ca="1" si="79"/>
        <v>#N/A</v>
      </c>
      <c r="E1279" t="e">
        <f t="shared" ca="1" si="80"/>
        <v>#N/A</v>
      </c>
      <c r="F1279" t="e">
        <f t="shared" ca="1" si="81"/>
        <v>#N/A</v>
      </c>
    </row>
    <row r="1280" spans="3:6" x14ac:dyDescent="0.25">
      <c r="C1280" t="e">
        <f t="shared" ca="1" si="78"/>
        <v>#N/A</v>
      </c>
      <c r="D1280" t="e">
        <f t="shared" ca="1" si="79"/>
        <v>#N/A</v>
      </c>
      <c r="E1280" t="e">
        <f t="shared" ca="1" si="80"/>
        <v>#N/A</v>
      </c>
      <c r="F1280" t="e">
        <f t="shared" ca="1" si="81"/>
        <v>#N/A</v>
      </c>
    </row>
    <row r="1281" spans="3:6" x14ac:dyDescent="0.25">
      <c r="C1281" t="e">
        <f t="shared" ca="1" si="78"/>
        <v>#N/A</v>
      </c>
      <c r="D1281" t="e">
        <f t="shared" ca="1" si="79"/>
        <v>#N/A</v>
      </c>
      <c r="E1281" t="e">
        <f t="shared" ca="1" si="80"/>
        <v>#N/A</v>
      </c>
      <c r="F1281" t="e">
        <f t="shared" ca="1" si="81"/>
        <v>#N/A</v>
      </c>
    </row>
    <row r="1282" spans="3:6" x14ac:dyDescent="0.25">
      <c r="C1282" t="e">
        <f t="shared" ca="1" si="78"/>
        <v>#N/A</v>
      </c>
      <c r="D1282" t="e">
        <f t="shared" ca="1" si="79"/>
        <v>#N/A</v>
      </c>
      <c r="E1282" t="e">
        <f t="shared" ca="1" si="80"/>
        <v>#N/A</v>
      </c>
      <c r="F1282" t="e">
        <f t="shared" ca="1" si="81"/>
        <v>#N/A</v>
      </c>
    </row>
    <row r="1283" spans="3:6" x14ac:dyDescent="0.25">
      <c r="C1283" t="e">
        <f t="shared" ca="1" si="78"/>
        <v>#N/A</v>
      </c>
      <c r="D1283" t="e">
        <f t="shared" ca="1" si="79"/>
        <v>#N/A</v>
      </c>
      <c r="E1283" t="e">
        <f t="shared" ca="1" si="80"/>
        <v>#N/A</v>
      </c>
      <c r="F1283" t="e">
        <f t="shared" ca="1" si="81"/>
        <v>#N/A</v>
      </c>
    </row>
    <row r="1284" spans="3:6" x14ac:dyDescent="0.25">
      <c r="C1284" t="e">
        <f t="shared" ca="1" si="78"/>
        <v>#N/A</v>
      </c>
      <c r="D1284" t="e">
        <f t="shared" ca="1" si="79"/>
        <v>#N/A</v>
      </c>
      <c r="E1284" t="e">
        <f t="shared" ca="1" si="80"/>
        <v>#N/A</v>
      </c>
      <c r="F1284" t="e">
        <f t="shared" ca="1" si="81"/>
        <v>#N/A</v>
      </c>
    </row>
    <row r="1285" spans="3:6" x14ac:dyDescent="0.25">
      <c r="C1285" t="e">
        <f t="shared" ca="1" si="78"/>
        <v>#N/A</v>
      </c>
      <c r="D1285" t="e">
        <f t="shared" ca="1" si="79"/>
        <v>#N/A</v>
      </c>
      <c r="E1285" t="e">
        <f t="shared" ca="1" si="80"/>
        <v>#N/A</v>
      </c>
      <c r="F1285" t="e">
        <f t="shared" ca="1" si="81"/>
        <v>#N/A</v>
      </c>
    </row>
    <row r="1286" spans="3:6" x14ac:dyDescent="0.25">
      <c r="C1286" t="e">
        <f t="shared" ca="1" si="78"/>
        <v>#N/A</v>
      </c>
      <c r="D1286" t="e">
        <f t="shared" ca="1" si="79"/>
        <v>#N/A</v>
      </c>
      <c r="E1286" t="e">
        <f t="shared" ca="1" si="80"/>
        <v>#N/A</v>
      </c>
      <c r="F1286" t="e">
        <f t="shared" ca="1" si="81"/>
        <v>#N/A</v>
      </c>
    </row>
    <row r="1287" spans="3:6" x14ac:dyDescent="0.25">
      <c r="C1287" t="e">
        <f t="shared" ca="1" si="78"/>
        <v>#N/A</v>
      </c>
      <c r="D1287" t="e">
        <f t="shared" ca="1" si="79"/>
        <v>#N/A</v>
      </c>
      <c r="E1287" t="e">
        <f t="shared" ca="1" si="80"/>
        <v>#N/A</v>
      </c>
      <c r="F1287" t="e">
        <f t="shared" ca="1" si="81"/>
        <v>#N/A</v>
      </c>
    </row>
    <row r="1288" spans="3:6" x14ac:dyDescent="0.25">
      <c r="C1288" t="e">
        <f t="shared" ca="1" si="78"/>
        <v>#N/A</v>
      </c>
      <c r="D1288" t="e">
        <f t="shared" ca="1" si="79"/>
        <v>#N/A</v>
      </c>
      <c r="E1288" t="e">
        <f t="shared" ca="1" si="80"/>
        <v>#N/A</v>
      </c>
      <c r="F1288" t="e">
        <f t="shared" ca="1" si="81"/>
        <v>#N/A</v>
      </c>
    </row>
    <row r="1289" spans="3:6" x14ac:dyDescent="0.25">
      <c r="C1289" t="e">
        <f t="shared" ca="1" si="78"/>
        <v>#N/A</v>
      </c>
      <c r="D1289" t="e">
        <f t="shared" ca="1" si="79"/>
        <v>#N/A</v>
      </c>
      <c r="E1289" t="e">
        <f t="shared" ca="1" si="80"/>
        <v>#N/A</v>
      </c>
      <c r="F1289" t="e">
        <f t="shared" ca="1" si="81"/>
        <v>#N/A</v>
      </c>
    </row>
    <row r="1290" spans="3:6" x14ac:dyDescent="0.25">
      <c r="C1290" t="e">
        <f t="shared" ref="C1290:C1353" ca="1" si="82">$C$7</f>
        <v>#N/A</v>
      </c>
      <c r="D1290" t="e">
        <f t="shared" ref="D1290:D1353" ca="1" si="83">$D$7</f>
        <v>#N/A</v>
      </c>
      <c r="E1290" t="e">
        <f t="shared" ref="E1290:E1353" ca="1" si="84">IF($B1291="",C$8,"")</f>
        <v>#N/A</v>
      </c>
      <c r="F1290" t="e">
        <f t="shared" ref="F1290:F1353" ca="1" si="85">IF($B1291="",D$8,"")</f>
        <v>#N/A</v>
      </c>
    </row>
    <row r="1291" spans="3:6" x14ac:dyDescent="0.25">
      <c r="C1291" t="e">
        <f t="shared" ca="1" si="82"/>
        <v>#N/A</v>
      </c>
      <c r="D1291" t="e">
        <f t="shared" ca="1" si="83"/>
        <v>#N/A</v>
      </c>
      <c r="E1291" t="e">
        <f t="shared" ca="1" si="84"/>
        <v>#N/A</v>
      </c>
      <c r="F1291" t="e">
        <f t="shared" ca="1" si="85"/>
        <v>#N/A</v>
      </c>
    </row>
    <row r="1292" spans="3:6" x14ac:dyDescent="0.25">
      <c r="C1292" t="e">
        <f t="shared" ca="1" si="82"/>
        <v>#N/A</v>
      </c>
      <c r="D1292" t="e">
        <f t="shared" ca="1" si="83"/>
        <v>#N/A</v>
      </c>
      <c r="E1292" t="e">
        <f t="shared" ca="1" si="84"/>
        <v>#N/A</v>
      </c>
      <c r="F1292" t="e">
        <f t="shared" ca="1" si="85"/>
        <v>#N/A</v>
      </c>
    </row>
    <row r="1293" spans="3:6" x14ac:dyDescent="0.25">
      <c r="C1293" t="e">
        <f t="shared" ca="1" si="82"/>
        <v>#N/A</v>
      </c>
      <c r="D1293" t="e">
        <f t="shared" ca="1" si="83"/>
        <v>#N/A</v>
      </c>
      <c r="E1293" t="e">
        <f t="shared" ca="1" si="84"/>
        <v>#N/A</v>
      </c>
      <c r="F1293" t="e">
        <f t="shared" ca="1" si="85"/>
        <v>#N/A</v>
      </c>
    </row>
    <row r="1294" spans="3:6" x14ac:dyDescent="0.25">
      <c r="C1294" t="e">
        <f t="shared" ca="1" si="82"/>
        <v>#N/A</v>
      </c>
      <c r="D1294" t="e">
        <f t="shared" ca="1" si="83"/>
        <v>#N/A</v>
      </c>
      <c r="E1294" t="e">
        <f t="shared" ca="1" si="84"/>
        <v>#N/A</v>
      </c>
      <c r="F1294" t="e">
        <f t="shared" ca="1" si="85"/>
        <v>#N/A</v>
      </c>
    </row>
    <row r="1295" spans="3:6" x14ac:dyDescent="0.25">
      <c r="C1295" t="e">
        <f t="shared" ca="1" si="82"/>
        <v>#N/A</v>
      </c>
      <c r="D1295" t="e">
        <f t="shared" ca="1" si="83"/>
        <v>#N/A</v>
      </c>
      <c r="E1295" t="e">
        <f t="shared" ca="1" si="84"/>
        <v>#N/A</v>
      </c>
      <c r="F1295" t="e">
        <f t="shared" ca="1" si="85"/>
        <v>#N/A</v>
      </c>
    </row>
    <row r="1296" spans="3:6" x14ac:dyDescent="0.25">
      <c r="C1296" t="e">
        <f t="shared" ca="1" si="82"/>
        <v>#N/A</v>
      </c>
      <c r="D1296" t="e">
        <f t="shared" ca="1" si="83"/>
        <v>#N/A</v>
      </c>
      <c r="E1296" t="e">
        <f t="shared" ca="1" si="84"/>
        <v>#N/A</v>
      </c>
      <c r="F1296" t="e">
        <f t="shared" ca="1" si="85"/>
        <v>#N/A</v>
      </c>
    </row>
    <row r="1297" spans="3:6" x14ac:dyDescent="0.25">
      <c r="C1297" t="e">
        <f t="shared" ca="1" si="82"/>
        <v>#N/A</v>
      </c>
      <c r="D1297" t="e">
        <f t="shared" ca="1" si="83"/>
        <v>#N/A</v>
      </c>
      <c r="E1297" t="e">
        <f t="shared" ca="1" si="84"/>
        <v>#N/A</v>
      </c>
      <c r="F1297" t="e">
        <f t="shared" ca="1" si="85"/>
        <v>#N/A</v>
      </c>
    </row>
    <row r="1298" spans="3:6" x14ac:dyDescent="0.25">
      <c r="C1298" t="e">
        <f t="shared" ca="1" si="82"/>
        <v>#N/A</v>
      </c>
      <c r="D1298" t="e">
        <f t="shared" ca="1" si="83"/>
        <v>#N/A</v>
      </c>
      <c r="E1298" t="e">
        <f t="shared" ca="1" si="84"/>
        <v>#N/A</v>
      </c>
      <c r="F1298" t="e">
        <f t="shared" ca="1" si="85"/>
        <v>#N/A</v>
      </c>
    </row>
    <row r="1299" spans="3:6" x14ac:dyDescent="0.25">
      <c r="C1299" t="e">
        <f t="shared" ca="1" si="82"/>
        <v>#N/A</v>
      </c>
      <c r="D1299" t="e">
        <f t="shared" ca="1" si="83"/>
        <v>#N/A</v>
      </c>
      <c r="E1299" t="e">
        <f t="shared" ca="1" si="84"/>
        <v>#N/A</v>
      </c>
      <c r="F1299" t="e">
        <f t="shared" ca="1" si="85"/>
        <v>#N/A</v>
      </c>
    </row>
    <row r="1300" spans="3:6" x14ac:dyDescent="0.25">
      <c r="C1300" t="e">
        <f t="shared" ca="1" si="82"/>
        <v>#N/A</v>
      </c>
      <c r="D1300" t="e">
        <f t="shared" ca="1" si="83"/>
        <v>#N/A</v>
      </c>
      <c r="E1300" t="e">
        <f t="shared" ca="1" si="84"/>
        <v>#N/A</v>
      </c>
      <c r="F1300" t="e">
        <f t="shared" ca="1" si="85"/>
        <v>#N/A</v>
      </c>
    </row>
    <row r="1301" spans="3:6" x14ac:dyDescent="0.25">
      <c r="C1301" t="e">
        <f t="shared" ca="1" si="82"/>
        <v>#N/A</v>
      </c>
      <c r="D1301" t="e">
        <f t="shared" ca="1" si="83"/>
        <v>#N/A</v>
      </c>
      <c r="E1301" t="e">
        <f t="shared" ca="1" si="84"/>
        <v>#N/A</v>
      </c>
      <c r="F1301" t="e">
        <f t="shared" ca="1" si="85"/>
        <v>#N/A</v>
      </c>
    </row>
    <row r="1302" spans="3:6" x14ac:dyDescent="0.25">
      <c r="C1302" t="e">
        <f t="shared" ca="1" si="82"/>
        <v>#N/A</v>
      </c>
      <c r="D1302" t="e">
        <f t="shared" ca="1" si="83"/>
        <v>#N/A</v>
      </c>
      <c r="E1302" t="e">
        <f t="shared" ca="1" si="84"/>
        <v>#N/A</v>
      </c>
      <c r="F1302" t="e">
        <f t="shared" ca="1" si="85"/>
        <v>#N/A</v>
      </c>
    </row>
    <row r="1303" spans="3:6" x14ac:dyDescent="0.25">
      <c r="C1303" t="e">
        <f t="shared" ca="1" si="82"/>
        <v>#N/A</v>
      </c>
      <c r="D1303" t="e">
        <f t="shared" ca="1" si="83"/>
        <v>#N/A</v>
      </c>
      <c r="E1303" t="e">
        <f t="shared" ca="1" si="84"/>
        <v>#N/A</v>
      </c>
      <c r="F1303" t="e">
        <f t="shared" ca="1" si="85"/>
        <v>#N/A</v>
      </c>
    </row>
    <row r="1304" spans="3:6" x14ac:dyDescent="0.25">
      <c r="C1304" t="e">
        <f t="shared" ca="1" si="82"/>
        <v>#N/A</v>
      </c>
      <c r="D1304" t="e">
        <f t="shared" ca="1" si="83"/>
        <v>#N/A</v>
      </c>
      <c r="E1304" t="e">
        <f t="shared" ca="1" si="84"/>
        <v>#N/A</v>
      </c>
      <c r="F1304" t="e">
        <f t="shared" ca="1" si="85"/>
        <v>#N/A</v>
      </c>
    </row>
    <row r="1305" spans="3:6" x14ac:dyDescent="0.25">
      <c r="C1305" t="e">
        <f t="shared" ca="1" si="82"/>
        <v>#N/A</v>
      </c>
      <c r="D1305" t="e">
        <f t="shared" ca="1" si="83"/>
        <v>#N/A</v>
      </c>
      <c r="E1305" t="e">
        <f t="shared" ca="1" si="84"/>
        <v>#N/A</v>
      </c>
      <c r="F1305" t="e">
        <f t="shared" ca="1" si="85"/>
        <v>#N/A</v>
      </c>
    </row>
    <row r="1306" spans="3:6" x14ac:dyDescent="0.25">
      <c r="C1306" t="e">
        <f t="shared" ca="1" si="82"/>
        <v>#N/A</v>
      </c>
      <c r="D1306" t="e">
        <f t="shared" ca="1" si="83"/>
        <v>#N/A</v>
      </c>
      <c r="E1306" t="e">
        <f t="shared" ca="1" si="84"/>
        <v>#N/A</v>
      </c>
      <c r="F1306" t="e">
        <f t="shared" ca="1" si="85"/>
        <v>#N/A</v>
      </c>
    </row>
    <row r="1307" spans="3:6" x14ac:dyDescent="0.25">
      <c r="C1307" t="e">
        <f t="shared" ca="1" si="82"/>
        <v>#N/A</v>
      </c>
      <c r="D1307" t="e">
        <f t="shared" ca="1" si="83"/>
        <v>#N/A</v>
      </c>
      <c r="E1307" t="e">
        <f t="shared" ca="1" si="84"/>
        <v>#N/A</v>
      </c>
      <c r="F1307" t="e">
        <f t="shared" ca="1" si="85"/>
        <v>#N/A</v>
      </c>
    </row>
    <row r="1308" spans="3:6" x14ac:dyDescent="0.25">
      <c r="C1308" t="e">
        <f t="shared" ca="1" si="82"/>
        <v>#N/A</v>
      </c>
      <c r="D1308" t="e">
        <f t="shared" ca="1" si="83"/>
        <v>#N/A</v>
      </c>
      <c r="E1308" t="e">
        <f t="shared" ca="1" si="84"/>
        <v>#N/A</v>
      </c>
      <c r="F1308" t="e">
        <f t="shared" ca="1" si="85"/>
        <v>#N/A</v>
      </c>
    </row>
    <row r="1309" spans="3:6" x14ac:dyDescent="0.25">
      <c r="C1309" t="e">
        <f t="shared" ca="1" si="82"/>
        <v>#N/A</v>
      </c>
      <c r="D1309" t="e">
        <f t="shared" ca="1" si="83"/>
        <v>#N/A</v>
      </c>
      <c r="E1309" t="e">
        <f t="shared" ca="1" si="84"/>
        <v>#N/A</v>
      </c>
      <c r="F1309" t="e">
        <f t="shared" ca="1" si="85"/>
        <v>#N/A</v>
      </c>
    </row>
    <row r="1310" spans="3:6" x14ac:dyDescent="0.25">
      <c r="C1310" t="e">
        <f t="shared" ca="1" si="82"/>
        <v>#N/A</v>
      </c>
      <c r="D1310" t="e">
        <f t="shared" ca="1" si="83"/>
        <v>#N/A</v>
      </c>
      <c r="E1310" t="e">
        <f t="shared" ca="1" si="84"/>
        <v>#N/A</v>
      </c>
      <c r="F1310" t="e">
        <f t="shared" ca="1" si="85"/>
        <v>#N/A</v>
      </c>
    </row>
    <row r="1311" spans="3:6" x14ac:dyDescent="0.25">
      <c r="C1311" t="e">
        <f t="shared" ca="1" si="82"/>
        <v>#N/A</v>
      </c>
      <c r="D1311" t="e">
        <f t="shared" ca="1" si="83"/>
        <v>#N/A</v>
      </c>
      <c r="E1311" t="e">
        <f t="shared" ca="1" si="84"/>
        <v>#N/A</v>
      </c>
      <c r="F1311" t="e">
        <f t="shared" ca="1" si="85"/>
        <v>#N/A</v>
      </c>
    </row>
    <row r="1312" spans="3:6" x14ac:dyDescent="0.25">
      <c r="C1312" t="e">
        <f t="shared" ca="1" si="82"/>
        <v>#N/A</v>
      </c>
      <c r="D1312" t="e">
        <f t="shared" ca="1" si="83"/>
        <v>#N/A</v>
      </c>
      <c r="E1312" t="e">
        <f t="shared" ca="1" si="84"/>
        <v>#N/A</v>
      </c>
      <c r="F1312" t="e">
        <f t="shared" ca="1" si="85"/>
        <v>#N/A</v>
      </c>
    </row>
    <row r="1313" spans="3:6" x14ac:dyDescent="0.25">
      <c r="C1313" t="e">
        <f t="shared" ca="1" si="82"/>
        <v>#N/A</v>
      </c>
      <c r="D1313" t="e">
        <f t="shared" ca="1" si="83"/>
        <v>#N/A</v>
      </c>
      <c r="E1313" t="e">
        <f t="shared" ca="1" si="84"/>
        <v>#N/A</v>
      </c>
      <c r="F1313" t="e">
        <f t="shared" ca="1" si="85"/>
        <v>#N/A</v>
      </c>
    </row>
    <row r="1314" spans="3:6" x14ac:dyDescent="0.25">
      <c r="C1314" t="e">
        <f t="shared" ca="1" si="82"/>
        <v>#N/A</v>
      </c>
      <c r="D1314" t="e">
        <f t="shared" ca="1" si="83"/>
        <v>#N/A</v>
      </c>
      <c r="E1314" t="e">
        <f t="shared" ca="1" si="84"/>
        <v>#N/A</v>
      </c>
      <c r="F1314" t="e">
        <f t="shared" ca="1" si="85"/>
        <v>#N/A</v>
      </c>
    </row>
    <row r="1315" spans="3:6" x14ac:dyDescent="0.25">
      <c r="C1315" t="e">
        <f t="shared" ca="1" si="82"/>
        <v>#N/A</v>
      </c>
      <c r="D1315" t="e">
        <f t="shared" ca="1" si="83"/>
        <v>#N/A</v>
      </c>
      <c r="E1315" t="e">
        <f t="shared" ca="1" si="84"/>
        <v>#N/A</v>
      </c>
      <c r="F1315" t="e">
        <f t="shared" ca="1" si="85"/>
        <v>#N/A</v>
      </c>
    </row>
    <row r="1316" spans="3:6" x14ac:dyDescent="0.25">
      <c r="C1316" t="e">
        <f t="shared" ca="1" si="82"/>
        <v>#N/A</v>
      </c>
      <c r="D1316" t="e">
        <f t="shared" ca="1" si="83"/>
        <v>#N/A</v>
      </c>
      <c r="E1316" t="e">
        <f t="shared" ca="1" si="84"/>
        <v>#N/A</v>
      </c>
      <c r="F1316" t="e">
        <f t="shared" ca="1" si="85"/>
        <v>#N/A</v>
      </c>
    </row>
    <row r="1317" spans="3:6" x14ac:dyDescent="0.25">
      <c r="C1317" t="e">
        <f t="shared" ca="1" si="82"/>
        <v>#N/A</v>
      </c>
      <c r="D1317" t="e">
        <f t="shared" ca="1" si="83"/>
        <v>#N/A</v>
      </c>
      <c r="E1317" t="e">
        <f t="shared" ca="1" si="84"/>
        <v>#N/A</v>
      </c>
      <c r="F1317" t="e">
        <f t="shared" ca="1" si="85"/>
        <v>#N/A</v>
      </c>
    </row>
    <row r="1318" spans="3:6" x14ac:dyDescent="0.25">
      <c r="C1318" t="e">
        <f t="shared" ca="1" si="82"/>
        <v>#N/A</v>
      </c>
      <c r="D1318" t="e">
        <f t="shared" ca="1" si="83"/>
        <v>#N/A</v>
      </c>
      <c r="E1318" t="e">
        <f t="shared" ca="1" si="84"/>
        <v>#N/A</v>
      </c>
      <c r="F1318" t="e">
        <f t="shared" ca="1" si="85"/>
        <v>#N/A</v>
      </c>
    </row>
    <row r="1319" spans="3:6" x14ac:dyDescent="0.25">
      <c r="C1319" t="e">
        <f t="shared" ca="1" si="82"/>
        <v>#N/A</v>
      </c>
      <c r="D1319" t="e">
        <f t="shared" ca="1" si="83"/>
        <v>#N/A</v>
      </c>
      <c r="E1319" t="e">
        <f t="shared" ca="1" si="84"/>
        <v>#N/A</v>
      </c>
      <c r="F1319" t="e">
        <f t="shared" ca="1" si="85"/>
        <v>#N/A</v>
      </c>
    </row>
    <row r="1320" spans="3:6" x14ac:dyDescent="0.25">
      <c r="C1320" t="e">
        <f t="shared" ca="1" si="82"/>
        <v>#N/A</v>
      </c>
      <c r="D1320" t="e">
        <f t="shared" ca="1" si="83"/>
        <v>#N/A</v>
      </c>
      <c r="E1320" t="e">
        <f t="shared" ca="1" si="84"/>
        <v>#N/A</v>
      </c>
      <c r="F1320" t="e">
        <f t="shared" ca="1" si="85"/>
        <v>#N/A</v>
      </c>
    </row>
    <row r="1321" spans="3:6" x14ac:dyDescent="0.25">
      <c r="C1321" t="e">
        <f t="shared" ca="1" si="82"/>
        <v>#N/A</v>
      </c>
      <c r="D1321" t="e">
        <f t="shared" ca="1" si="83"/>
        <v>#N/A</v>
      </c>
      <c r="E1321" t="e">
        <f t="shared" ca="1" si="84"/>
        <v>#N/A</v>
      </c>
      <c r="F1321" t="e">
        <f t="shared" ca="1" si="85"/>
        <v>#N/A</v>
      </c>
    </row>
    <row r="1322" spans="3:6" x14ac:dyDescent="0.25">
      <c r="C1322" t="e">
        <f t="shared" ca="1" si="82"/>
        <v>#N/A</v>
      </c>
      <c r="D1322" t="e">
        <f t="shared" ca="1" si="83"/>
        <v>#N/A</v>
      </c>
      <c r="E1322" t="e">
        <f t="shared" ca="1" si="84"/>
        <v>#N/A</v>
      </c>
      <c r="F1322" t="e">
        <f t="shared" ca="1" si="85"/>
        <v>#N/A</v>
      </c>
    </row>
    <row r="1323" spans="3:6" x14ac:dyDescent="0.25">
      <c r="C1323" t="e">
        <f t="shared" ca="1" si="82"/>
        <v>#N/A</v>
      </c>
      <c r="D1323" t="e">
        <f t="shared" ca="1" si="83"/>
        <v>#N/A</v>
      </c>
      <c r="E1323" t="e">
        <f t="shared" ca="1" si="84"/>
        <v>#N/A</v>
      </c>
      <c r="F1323" t="e">
        <f t="shared" ca="1" si="85"/>
        <v>#N/A</v>
      </c>
    </row>
    <row r="1324" spans="3:6" x14ac:dyDescent="0.25">
      <c r="C1324" t="e">
        <f t="shared" ca="1" si="82"/>
        <v>#N/A</v>
      </c>
      <c r="D1324" t="e">
        <f t="shared" ca="1" si="83"/>
        <v>#N/A</v>
      </c>
      <c r="E1324" t="e">
        <f t="shared" ca="1" si="84"/>
        <v>#N/A</v>
      </c>
      <c r="F1324" t="e">
        <f t="shared" ca="1" si="85"/>
        <v>#N/A</v>
      </c>
    </row>
    <row r="1325" spans="3:6" x14ac:dyDescent="0.25">
      <c r="C1325" t="e">
        <f t="shared" ca="1" si="82"/>
        <v>#N/A</v>
      </c>
      <c r="D1325" t="e">
        <f t="shared" ca="1" si="83"/>
        <v>#N/A</v>
      </c>
      <c r="E1325" t="e">
        <f t="shared" ca="1" si="84"/>
        <v>#N/A</v>
      </c>
      <c r="F1325" t="e">
        <f t="shared" ca="1" si="85"/>
        <v>#N/A</v>
      </c>
    </row>
    <row r="1326" spans="3:6" x14ac:dyDescent="0.25">
      <c r="C1326" t="e">
        <f t="shared" ca="1" si="82"/>
        <v>#N/A</v>
      </c>
      <c r="D1326" t="e">
        <f t="shared" ca="1" si="83"/>
        <v>#N/A</v>
      </c>
      <c r="E1326" t="e">
        <f t="shared" ca="1" si="84"/>
        <v>#N/A</v>
      </c>
      <c r="F1326" t="e">
        <f t="shared" ca="1" si="85"/>
        <v>#N/A</v>
      </c>
    </row>
    <row r="1327" spans="3:6" x14ac:dyDescent="0.25">
      <c r="C1327" t="e">
        <f t="shared" ca="1" si="82"/>
        <v>#N/A</v>
      </c>
      <c r="D1327" t="e">
        <f t="shared" ca="1" si="83"/>
        <v>#N/A</v>
      </c>
      <c r="E1327" t="e">
        <f t="shared" ca="1" si="84"/>
        <v>#N/A</v>
      </c>
      <c r="F1327" t="e">
        <f t="shared" ca="1" si="85"/>
        <v>#N/A</v>
      </c>
    </row>
    <row r="1328" spans="3:6" x14ac:dyDescent="0.25">
      <c r="C1328" t="e">
        <f t="shared" ca="1" si="82"/>
        <v>#N/A</v>
      </c>
      <c r="D1328" t="e">
        <f t="shared" ca="1" si="83"/>
        <v>#N/A</v>
      </c>
      <c r="E1328" t="e">
        <f t="shared" ca="1" si="84"/>
        <v>#N/A</v>
      </c>
      <c r="F1328" t="e">
        <f t="shared" ca="1" si="85"/>
        <v>#N/A</v>
      </c>
    </row>
    <row r="1329" spans="3:6" x14ac:dyDescent="0.25">
      <c r="C1329" t="e">
        <f t="shared" ca="1" si="82"/>
        <v>#N/A</v>
      </c>
      <c r="D1329" t="e">
        <f t="shared" ca="1" si="83"/>
        <v>#N/A</v>
      </c>
      <c r="E1329" t="e">
        <f t="shared" ca="1" si="84"/>
        <v>#N/A</v>
      </c>
      <c r="F1329" t="e">
        <f t="shared" ca="1" si="85"/>
        <v>#N/A</v>
      </c>
    </row>
    <row r="1330" spans="3:6" x14ac:dyDescent="0.25">
      <c r="C1330" t="e">
        <f t="shared" ca="1" si="82"/>
        <v>#N/A</v>
      </c>
      <c r="D1330" t="e">
        <f t="shared" ca="1" si="83"/>
        <v>#N/A</v>
      </c>
      <c r="E1330" t="e">
        <f t="shared" ca="1" si="84"/>
        <v>#N/A</v>
      </c>
      <c r="F1330" t="e">
        <f t="shared" ca="1" si="85"/>
        <v>#N/A</v>
      </c>
    </row>
    <row r="1331" spans="3:6" x14ac:dyDescent="0.25">
      <c r="C1331" t="e">
        <f t="shared" ca="1" si="82"/>
        <v>#N/A</v>
      </c>
      <c r="D1331" t="e">
        <f t="shared" ca="1" si="83"/>
        <v>#N/A</v>
      </c>
      <c r="E1331" t="e">
        <f t="shared" ca="1" si="84"/>
        <v>#N/A</v>
      </c>
      <c r="F1331" t="e">
        <f t="shared" ca="1" si="85"/>
        <v>#N/A</v>
      </c>
    </row>
    <row r="1332" spans="3:6" x14ac:dyDescent="0.25">
      <c r="C1332" t="e">
        <f t="shared" ca="1" si="82"/>
        <v>#N/A</v>
      </c>
      <c r="D1332" t="e">
        <f t="shared" ca="1" si="83"/>
        <v>#N/A</v>
      </c>
      <c r="E1332" t="e">
        <f t="shared" ca="1" si="84"/>
        <v>#N/A</v>
      </c>
      <c r="F1332" t="e">
        <f t="shared" ca="1" si="85"/>
        <v>#N/A</v>
      </c>
    </row>
    <row r="1333" spans="3:6" x14ac:dyDescent="0.25">
      <c r="C1333" t="e">
        <f t="shared" ca="1" si="82"/>
        <v>#N/A</v>
      </c>
      <c r="D1333" t="e">
        <f t="shared" ca="1" si="83"/>
        <v>#N/A</v>
      </c>
      <c r="E1333" t="e">
        <f t="shared" ca="1" si="84"/>
        <v>#N/A</v>
      </c>
      <c r="F1333" t="e">
        <f t="shared" ca="1" si="85"/>
        <v>#N/A</v>
      </c>
    </row>
    <row r="1334" spans="3:6" x14ac:dyDescent="0.25">
      <c r="C1334" t="e">
        <f t="shared" ca="1" si="82"/>
        <v>#N/A</v>
      </c>
      <c r="D1334" t="e">
        <f t="shared" ca="1" si="83"/>
        <v>#N/A</v>
      </c>
      <c r="E1334" t="e">
        <f t="shared" ca="1" si="84"/>
        <v>#N/A</v>
      </c>
      <c r="F1334" t="e">
        <f t="shared" ca="1" si="85"/>
        <v>#N/A</v>
      </c>
    </row>
    <row r="1335" spans="3:6" x14ac:dyDescent="0.25">
      <c r="C1335" t="e">
        <f t="shared" ca="1" si="82"/>
        <v>#N/A</v>
      </c>
      <c r="D1335" t="e">
        <f t="shared" ca="1" si="83"/>
        <v>#N/A</v>
      </c>
      <c r="E1335" t="e">
        <f t="shared" ca="1" si="84"/>
        <v>#N/A</v>
      </c>
      <c r="F1335" t="e">
        <f t="shared" ca="1" si="85"/>
        <v>#N/A</v>
      </c>
    </row>
    <row r="1336" spans="3:6" x14ac:dyDescent="0.25">
      <c r="C1336" t="e">
        <f t="shared" ca="1" si="82"/>
        <v>#N/A</v>
      </c>
      <c r="D1336" t="e">
        <f t="shared" ca="1" si="83"/>
        <v>#N/A</v>
      </c>
      <c r="E1336" t="e">
        <f t="shared" ca="1" si="84"/>
        <v>#N/A</v>
      </c>
      <c r="F1336" t="e">
        <f t="shared" ca="1" si="85"/>
        <v>#N/A</v>
      </c>
    </row>
    <row r="1337" spans="3:6" x14ac:dyDescent="0.25">
      <c r="C1337" t="e">
        <f t="shared" ca="1" si="82"/>
        <v>#N/A</v>
      </c>
      <c r="D1337" t="e">
        <f t="shared" ca="1" si="83"/>
        <v>#N/A</v>
      </c>
      <c r="E1337" t="e">
        <f t="shared" ca="1" si="84"/>
        <v>#N/A</v>
      </c>
      <c r="F1337" t="e">
        <f t="shared" ca="1" si="85"/>
        <v>#N/A</v>
      </c>
    </row>
    <row r="1338" spans="3:6" x14ac:dyDescent="0.25">
      <c r="C1338" t="e">
        <f t="shared" ca="1" si="82"/>
        <v>#N/A</v>
      </c>
      <c r="D1338" t="e">
        <f t="shared" ca="1" si="83"/>
        <v>#N/A</v>
      </c>
      <c r="E1338" t="e">
        <f t="shared" ca="1" si="84"/>
        <v>#N/A</v>
      </c>
      <c r="F1338" t="e">
        <f t="shared" ca="1" si="85"/>
        <v>#N/A</v>
      </c>
    </row>
    <row r="1339" spans="3:6" x14ac:dyDescent="0.25">
      <c r="C1339" t="e">
        <f t="shared" ca="1" si="82"/>
        <v>#N/A</v>
      </c>
      <c r="D1339" t="e">
        <f t="shared" ca="1" si="83"/>
        <v>#N/A</v>
      </c>
      <c r="E1339" t="e">
        <f t="shared" ca="1" si="84"/>
        <v>#N/A</v>
      </c>
      <c r="F1339" t="e">
        <f t="shared" ca="1" si="85"/>
        <v>#N/A</v>
      </c>
    </row>
    <row r="1340" spans="3:6" x14ac:dyDescent="0.25">
      <c r="C1340" t="e">
        <f t="shared" ca="1" si="82"/>
        <v>#N/A</v>
      </c>
      <c r="D1340" t="e">
        <f t="shared" ca="1" si="83"/>
        <v>#N/A</v>
      </c>
      <c r="E1340" t="e">
        <f t="shared" ca="1" si="84"/>
        <v>#N/A</v>
      </c>
      <c r="F1340" t="e">
        <f t="shared" ca="1" si="85"/>
        <v>#N/A</v>
      </c>
    </row>
    <row r="1341" spans="3:6" x14ac:dyDescent="0.25">
      <c r="C1341" t="e">
        <f t="shared" ca="1" si="82"/>
        <v>#N/A</v>
      </c>
      <c r="D1341" t="e">
        <f t="shared" ca="1" si="83"/>
        <v>#N/A</v>
      </c>
      <c r="E1341" t="e">
        <f t="shared" ca="1" si="84"/>
        <v>#N/A</v>
      </c>
      <c r="F1341" t="e">
        <f t="shared" ca="1" si="85"/>
        <v>#N/A</v>
      </c>
    </row>
    <row r="1342" spans="3:6" x14ac:dyDescent="0.25">
      <c r="C1342" t="e">
        <f t="shared" ca="1" si="82"/>
        <v>#N/A</v>
      </c>
      <c r="D1342" t="e">
        <f t="shared" ca="1" si="83"/>
        <v>#N/A</v>
      </c>
      <c r="E1342" t="e">
        <f t="shared" ca="1" si="84"/>
        <v>#N/A</v>
      </c>
      <c r="F1342" t="e">
        <f t="shared" ca="1" si="85"/>
        <v>#N/A</v>
      </c>
    </row>
    <row r="1343" spans="3:6" x14ac:dyDescent="0.25">
      <c r="C1343" t="e">
        <f t="shared" ca="1" si="82"/>
        <v>#N/A</v>
      </c>
      <c r="D1343" t="e">
        <f t="shared" ca="1" si="83"/>
        <v>#N/A</v>
      </c>
      <c r="E1343" t="e">
        <f t="shared" ca="1" si="84"/>
        <v>#N/A</v>
      </c>
      <c r="F1343" t="e">
        <f t="shared" ca="1" si="85"/>
        <v>#N/A</v>
      </c>
    </row>
    <row r="1344" spans="3:6" x14ac:dyDescent="0.25">
      <c r="C1344" t="e">
        <f t="shared" ca="1" si="82"/>
        <v>#N/A</v>
      </c>
      <c r="D1344" t="e">
        <f t="shared" ca="1" si="83"/>
        <v>#N/A</v>
      </c>
      <c r="E1344" t="e">
        <f t="shared" ca="1" si="84"/>
        <v>#N/A</v>
      </c>
      <c r="F1344" t="e">
        <f t="shared" ca="1" si="85"/>
        <v>#N/A</v>
      </c>
    </row>
    <row r="1345" spans="3:6" x14ac:dyDescent="0.25">
      <c r="C1345" t="e">
        <f t="shared" ca="1" si="82"/>
        <v>#N/A</v>
      </c>
      <c r="D1345" t="e">
        <f t="shared" ca="1" si="83"/>
        <v>#N/A</v>
      </c>
      <c r="E1345" t="e">
        <f t="shared" ca="1" si="84"/>
        <v>#N/A</v>
      </c>
      <c r="F1345" t="e">
        <f t="shared" ca="1" si="85"/>
        <v>#N/A</v>
      </c>
    </row>
    <row r="1346" spans="3:6" x14ac:dyDescent="0.25">
      <c r="C1346" t="e">
        <f t="shared" ca="1" si="82"/>
        <v>#N/A</v>
      </c>
      <c r="D1346" t="e">
        <f t="shared" ca="1" si="83"/>
        <v>#N/A</v>
      </c>
      <c r="E1346" t="e">
        <f t="shared" ca="1" si="84"/>
        <v>#N/A</v>
      </c>
      <c r="F1346" t="e">
        <f t="shared" ca="1" si="85"/>
        <v>#N/A</v>
      </c>
    </row>
    <row r="1347" spans="3:6" x14ac:dyDescent="0.25">
      <c r="C1347" t="e">
        <f t="shared" ca="1" si="82"/>
        <v>#N/A</v>
      </c>
      <c r="D1347" t="e">
        <f t="shared" ca="1" si="83"/>
        <v>#N/A</v>
      </c>
      <c r="E1347" t="e">
        <f t="shared" ca="1" si="84"/>
        <v>#N/A</v>
      </c>
      <c r="F1347" t="e">
        <f t="shared" ca="1" si="85"/>
        <v>#N/A</v>
      </c>
    </row>
    <row r="1348" spans="3:6" x14ac:dyDescent="0.25">
      <c r="C1348" t="e">
        <f t="shared" ca="1" si="82"/>
        <v>#N/A</v>
      </c>
      <c r="D1348" t="e">
        <f t="shared" ca="1" si="83"/>
        <v>#N/A</v>
      </c>
      <c r="E1348" t="e">
        <f t="shared" ca="1" si="84"/>
        <v>#N/A</v>
      </c>
      <c r="F1348" t="e">
        <f t="shared" ca="1" si="85"/>
        <v>#N/A</v>
      </c>
    </row>
    <row r="1349" spans="3:6" x14ac:dyDescent="0.25">
      <c r="C1349" t="e">
        <f t="shared" ca="1" si="82"/>
        <v>#N/A</v>
      </c>
      <c r="D1349" t="e">
        <f t="shared" ca="1" si="83"/>
        <v>#N/A</v>
      </c>
      <c r="E1349" t="e">
        <f t="shared" ca="1" si="84"/>
        <v>#N/A</v>
      </c>
      <c r="F1349" t="e">
        <f t="shared" ca="1" si="85"/>
        <v>#N/A</v>
      </c>
    </row>
    <row r="1350" spans="3:6" x14ac:dyDescent="0.25">
      <c r="C1350" t="e">
        <f t="shared" ca="1" si="82"/>
        <v>#N/A</v>
      </c>
      <c r="D1350" t="e">
        <f t="shared" ca="1" si="83"/>
        <v>#N/A</v>
      </c>
      <c r="E1350" t="e">
        <f t="shared" ca="1" si="84"/>
        <v>#N/A</v>
      </c>
      <c r="F1350" t="e">
        <f t="shared" ca="1" si="85"/>
        <v>#N/A</v>
      </c>
    </row>
    <row r="1351" spans="3:6" x14ac:dyDescent="0.25">
      <c r="C1351" t="e">
        <f t="shared" ca="1" si="82"/>
        <v>#N/A</v>
      </c>
      <c r="D1351" t="e">
        <f t="shared" ca="1" si="83"/>
        <v>#N/A</v>
      </c>
      <c r="E1351" t="e">
        <f t="shared" ca="1" si="84"/>
        <v>#N/A</v>
      </c>
      <c r="F1351" t="e">
        <f t="shared" ca="1" si="85"/>
        <v>#N/A</v>
      </c>
    </row>
    <row r="1352" spans="3:6" x14ac:dyDescent="0.25">
      <c r="C1352" t="e">
        <f t="shared" ca="1" si="82"/>
        <v>#N/A</v>
      </c>
      <c r="D1352" t="e">
        <f t="shared" ca="1" si="83"/>
        <v>#N/A</v>
      </c>
      <c r="E1352" t="e">
        <f t="shared" ca="1" si="84"/>
        <v>#N/A</v>
      </c>
      <c r="F1352" t="e">
        <f t="shared" ca="1" si="85"/>
        <v>#N/A</v>
      </c>
    </row>
    <row r="1353" spans="3:6" x14ac:dyDescent="0.25">
      <c r="C1353" t="e">
        <f t="shared" ca="1" si="82"/>
        <v>#N/A</v>
      </c>
      <c r="D1353" t="e">
        <f t="shared" ca="1" si="83"/>
        <v>#N/A</v>
      </c>
      <c r="E1353" t="e">
        <f t="shared" ca="1" si="84"/>
        <v>#N/A</v>
      </c>
      <c r="F1353" t="e">
        <f t="shared" ca="1" si="85"/>
        <v>#N/A</v>
      </c>
    </row>
    <row r="1354" spans="3:6" x14ac:dyDescent="0.25">
      <c r="C1354" t="e">
        <f t="shared" ref="C1354:C1408" ca="1" si="86">$C$7</f>
        <v>#N/A</v>
      </c>
      <c r="D1354" t="e">
        <f t="shared" ref="D1354:D1408" ca="1" si="87">$D$7</f>
        <v>#N/A</v>
      </c>
      <c r="E1354" t="e">
        <f t="shared" ref="E1354:E1408" ca="1" si="88">IF($B1355="",C$8,"")</f>
        <v>#N/A</v>
      </c>
      <c r="F1354" t="e">
        <f t="shared" ref="F1354:F1408" ca="1" si="89">IF($B1355="",D$8,"")</f>
        <v>#N/A</v>
      </c>
    </row>
    <row r="1355" spans="3:6" x14ac:dyDescent="0.25">
      <c r="C1355" t="e">
        <f t="shared" ca="1" si="86"/>
        <v>#N/A</v>
      </c>
      <c r="D1355" t="e">
        <f t="shared" ca="1" si="87"/>
        <v>#N/A</v>
      </c>
      <c r="E1355" t="e">
        <f t="shared" ca="1" si="88"/>
        <v>#N/A</v>
      </c>
      <c r="F1355" t="e">
        <f t="shared" ca="1" si="89"/>
        <v>#N/A</v>
      </c>
    </row>
    <row r="1356" spans="3:6" x14ac:dyDescent="0.25">
      <c r="C1356" t="e">
        <f t="shared" ca="1" si="86"/>
        <v>#N/A</v>
      </c>
      <c r="D1356" t="e">
        <f t="shared" ca="1" si="87"/>
        <v>#N/A</v>
      </c>
      <c r="E1356" t="e">
        <f t="shared" ca="1" si="88"/>
        <v>#N/A</v>
      </c>
      <c r="F1356" t="e">
        <f t="shared" ca="1" si="89"/>
        <v>#N/A</v>
      </c>
    </row>
    <row r="1357" spans="3:6" x14ac:dyDescent="0.25">
      <c r="C1357" t="e">
        <f t="shared" ca="1" si="86"/>
        <v>#N/A</v>
      </c>
      <c r="D1357" t="e">
        <f t="shared" ca="1" si="87"/>
        <v>#N/A</v>
      </c>
      <c r="E1357" t="e">
        <f t="shared" ca="1" si="88"/>
        <v>#N/A</v>
      </c>
      <c r="F1357" t="e">
        <f t="shared" ca="1" si="89"/>
        <v>#N/A</v>
      </c>
    </row>
    <row r="1358" spans="3:6" x14ac:dyDescent="0.25">
      <c r="C1358" t="e">
        <f t="shared" ca="1" si="86"/>
        <v>#N/A</v>
      </c>
      <c r="D1358" t="e">
        <f t="shared" ca="1" si="87"/>
        <v>#N/A</v>
      </c>
      <c r="E1358" t="e">
        <f t="shared" ca="1" si="88"/>
        <v>#N/A</v>
      </c>
      <c r="F1358" t="e">
        <f t="shared" ca="1" si="89"/>
        <v>#N/A</v>
      </c>
    </row>
    <row r="1359" spans="3:6" x14ac:dyDescent="0.25">
      <c r="C1359" t="e">
        <f t="shared" ca="1" si="86"/>
        <v>#N/A</v>
      </c>
      <c r="D1359" t="e">
        <f t="shared" ca="1" si="87"/>
        <v>#N/A</v>
      </c>
      <c r="E1359" t="e">
        <f t="shared" ca="1" si="88"/>
        <v>#N/A</v>
      </c>
      <c r="F1359" t="e">
        <f t="shared" ca="1" si="89"/>
        <v>#N/A</v>
      </c>
    </row>
    <row r="1360" spans="3:6" x14ac:dyDescent="0.25">
      <c r="C1360" t="e">
        <f t="shared" ca="1" si="86"/>
        <v>#N/A</v>
      </c>
      <c r="D1360" t="e">
        <f t="shared" ca="1" si="87"/>
        <v>#N/A</v>
      </c>
      <c r="E1360" t="e">
        <f t="shared" ca="1" si="88"/>
        <v>#N/A</v>
      </c>
      <c r="F1360" t="e">
        <f t="shared" ca="1" si="89"/>
        <v>#N/A</v>
      </c>
    </row>
    <row r="1361" spans="3:6" x14ac:dyDescent="0.25">
      <c r="C1361" t="e">
        <f t="shared" ca="1" si="86"/>
        <v>#N/A</v>
      </c>
      <c r="D1361" t="e">
        <f t="shared" ca="1" si="87"/>
        <v>#N/A</v>
      </c>
      <c r="E1361" t="e">
        <f t="shared" ca="1" si="88"/>
        <v>#N/A</v>
      </c>
      <c r="F1361" t="e">
        <f t="shared" ca="1" si="89"/>
        <v>#N/A</v>
      </c>
    </row>
    <row r="1362" spans="3:6" x14ac:dyDescent="0.25">
      <c r="C1362" t="e">
        <f t="shared" ca="1" si="86"/>
        <v>#N/A</v>
      </c>
      <c r="D1362" t="e">
        <f t="shared" ca="1" si="87"/>
        <v>#N/A</v>
      </c>
      <c r="E1362" t="e">
        <f t="shared" ca="1" si="88"/>
        <v>#N/A</v>
      </c>
      <c r="F1362" t="e">
        <f t="shared" ca="1" si="89"/>
        <v>#N/A</v>
      </c>
    </row>
    <row r="1363" spans="3:6" x14ac:dyDescent="0.25">
      <c r="C1363" t="e">
        <f t="shared" ca="1" si="86"/>
        <v>#N/A</v>
      </c>
      <c r="D1363" t="e">
        <f t="shared" ca="1" si="87"/>
        <v>#N/A</v>
      </c>
      <c r="E1363" t="e">
        <f t="shared" ca="1" si="88"/>
        <v>#N/A</v>
      </c>
      <c r="F1363" t="e">
        <f t="shared" ca="1" si="89"/>
        <v>#N/A</v>
      </c>
    </row>
    <row r="1364" spans="3:6" x14ac:dyDescent="0.25">
      <c r="C1364" t="e">
        <f t="shared" ca="1" si="86"/>
        <v>#N/A</v>
      </c>
      <c r="D1364" t="e">
        <f t="shared" ca="1" si="87"/>
        <v>#N/A</v>
      </c>
      <c r="E1364" t="e">
        <f t="shared" ca="1" si="88"/>
        <v>#N/A</v>
      </c>
      <c r="F1364" t="e">
        <f t="shared" ca="1" si="89"/>
        <v>#N/A</v>
      </c>
    </row>
    <row r="1365" spans="3:6" x14ac:dyDescent="0.25">
      <c r="C1365" t="e">
        <f t="shared" ca="1" si="86"/>
        <v>#N/A</v>
      </c>
      <c r="D1365" t="e">
        <f t="shared" ca="1" si="87"/>
        <v>#N/A</v>
      </c>
      <c r="E1365" t="e">
        <f t="shared" ca="1" si="88"/>
        <v>#N/A</v>
      </c>
      <c r="F1365" t="e">
        <f t="shared" ca="1" si="89"/>
        <v>#N/A</v>
      </c>
    </row>
    <row r="1366" spans="3:6" x14ac:dyDescent="0.25">
      <c r="C1366" t="e">
        <f t="shared" ca="1" si="86"/>
        <v>#N/A</v>
      </c>
      <c r="D1366" t="e">
        <f t="shared" ca="1" si="87"/>
        <v>#N/A</v>
      </c>
      <c r="E1366" t="e">
        <f t="shared" ca="1" si="88"/>
        <v>#N/A</v>
      </c>
      <c r="F1366" t="e">
        <f t="shared" ca="1" si="89"/>
        <v>#N/A</v>
      </c>
    </row>
    <row r="1367" spans="3:6" x14ac:dyDescent="0.25">
      <c r="C1367" t="e">
        <f t="shared" ca="1" si="86"/>
        <v>#N/A</v>
      </c>
      <c r="D1367" t="e">
        <f t="shared" ca="1" si="87"/>
        <v>#N/A</v>
      </c>
      <c r="E1367" t="e">
        <f t="shared" ca="1" si="88"/>
        <v>#N/A</v>
      </c>
      <c r="F1367" t="e">
        <f t="shared" ca="1" si="89"/>
        <v>#N/A</v>
      </c>
    </row>
    <row r="1368" spans="3:6" x14ac:dyDescent="0.25">
      <c r="C1368" t="e">
        <f t="shared" ca="1" si="86"/>
        <v>#N/A</v>
      </c>
      <c r="D1368" t="e">
        <f t="shared" ca="1" si="87"/>
        <v>#N/A</v>
      </c>
      <c r="E1368" t="e">
        <f t="shared" ca="1" si="88"/>
        <v>#N/A</v>
      </c>
      <c r="F1368" t="e">
        <f t="shared" ca="1" si="89"/>
        <v>#N/A</v>
      </c>
    </row>
    <row r="1369" spans="3:6" x14ac:dyDescent="0.25">
      <c r="C1369" t="e">
        <f t="shared" ca="1" si="86"/>
        <v>#N/A</v>
      </c>
      <c r="D1369" t="e">
        <f t="shared" ca="1" si="87"/>
        <v>#N/A</v>
      </c>
      <c r="E1369" t="e">
        <f t="shared" ca="1" si="88"/>
        <v>#N/A</v>
      </c>
      <c r="F1369" t="e">
        <f t="shared" ca="1" si="89"/>
        <v>#N/A</v>
      </c>
    </row>
    <row r="1370" spans="3:6" x14ac:dyDescent="0.25">
      <c r="C1370" t="e">
        <f t="shared" ca="1" si="86"/>
        <v>#N/A</v>
      </c>
      <c r="D1370" t="e">
        <f t="shared" ca="1" si="87"/>
        <v>#N/A</v>
      </c>
      <c r="E1370" t="e">
        <f t="shared" ca="1" si="88"/>
        <v>#N/A</v>
      </c>
      <c r="F1370" t="e">
        <f t="shared" ca="1" si="89"/>
        <v>#N/A</v>
      </c>
    </row>
    <row r="1371" spans="3:6" x14ac:dyDescent="0.25">
      <c r="C1371" t="e">
        <f t="shared" ca="1" si="86"/>
        <v>#N/A</v>
      </c>
      <c r="D1371" t="e">
        <f t="shared" ca="1" si="87"/>
        <v>#N/A</v>
      </c>
      <c r="E1371" t="e">
        <f t="shared" ca="1" si="88"/>
        <v>#N/A</v>
      </c>
      <c r="F1371" t="e">
        <f t="shared" ca="1" si="89"/>
        <v>#N/A</v>
      </c>
    </row>
    <row r="1372" spans="3:6" x14ac:dyDescent="0.25">
      <c r="C1372" t="e">
        <f t="shared" ca="1" si="86"/>
        <v>#N/A</v>
      </c>
      <c r="D1372" t="e">
        <f t="shared" ca="1" si="87"/>
        <v>#N/A</v>
      </c>
      <c r="E1372" t="e">
        <f t="shared" ca="1" si="88"/>
        <v>#N/A</v>
      </c>
      <c r="F1372" t="e">
        <f t="shared" ca="1" si="89"/>
        <v>#N/A</v>
      </c>
    </row>
    <row r="1373" spans="3:6" x14ac:dyDescent="0.25">
      <c r="C1373" t="e">
        <f t="shared" ca="1" si="86"/>
        <v>#N/A</v>
      </c>
      <c r="D1373" t="e">
        <f t="shared" ca="1" si="87"/>
        <v>#N/A</v>
      </c>
      <c r="E1373" t="e">
        <f t="shared" ca="1" si="88"/>
        <v>#N/A</v>
      </c>
      <c r="F1373" t="e">
        <f t="shared" ca="1" si="89"/>
        <v>#N/A</v>
      </c>
    </row>
    <row r="1374" spans="3:6" x14ac:dyDescent="0.25">
      <c r="C1374" t="e">
        <f t="shared" ca="1" si="86"/>
        <v>#N/A</v>
      </c>
      <c r="D1374" t="e">
        <f t="shared" ca="1" si="87"/>
        <v>#N/A</v>
      </c>
      <c r="E1374" t="e">
        <f t="shared" ca="1" si="88"/>
        <v>#N/A</v>
      </c>
      <c r="F1374" t="e">
        <f t="shared" ca="1" si="89"/>
        <v>#N/A</v>
      </c>
    </row>
    <row r="1375" spans="3:6" x14ac:dyDescent="0.25">
      <c r="C1375" t="e">
        <f t="shared" ca="1" si="86"/>
        <v>#N/A</v>
      </c>
      <c r="D1375" t="e">
        <f t="shared" ca="1" si="87"/>
        <v>#N/A</v>
      </c>
      <c r="E1375" t="e">
        <f t="shared" ca="1" si="88"/>
        <v>#N/A</v>
      </c>
      <c r="F1375" t="e">
        <f t="shared" ca="1" si="89"/>
        <v>#N/A</v>
      </c>
    </row>
    <row r="1376" spans="3:6" x14ac:dyDescent="0.25">
      <c r="C1376" t="e">
        <f t="shared" ca="1" si="86"/>
        <v>#N/A</v>
      </c>
      <c r="D1376" t="e">
        <f t="shared" ca="1" si="87"/>
        <v>#N/A</v>
      </c>
      <c r="E1376" t="e">
        <f t="shared" ca="1" si="88"/>
        <v>#N/A</v>
      </c>
      <c r="F1376" t="e">
        <f t="shared" ca="1" si="89"/>
        <v>#N/A</v>
      </c>
    </row>
    <row r="1377" spans="3:6" x14ac:dyDescent="0.25">
      <c r="C1377" t="e">
        <f t="shared" ca="1" si="86"/>
        <v>#N/A</v>
      </c>
      <c r="D1377" t="e">
        <f t="shared" ca="1" si="87"/>
        <v>#N/A</v>
      </c>
      <c r="E1377" t="e">
        <f t="shared" ca="1" si="88"/>
        <v>#N/A</v>
      </c>
      <c r="F1377" t="e">
        <f t="shared" ca="1" si="89"/>
        <v>#N/A</v>
      </c>
    </row>
    <row r="1378" spans="3:6" x14ac:dyDescent="0.25">
      <c r="C1378" t="e">
        <f t="shared" ca="1" si="86"/>
        <v>#N/A</v>
      </c>
      <c r="D1378" t="e">
        <f t="shared" ca="1" si="87"/>
        <v>#N/A</v>
      </c>
      <c r="E1378" t="e">
        <f t="shared" ca="1" si="88"/>
        <v>#N/A</v>
      </c>
      <c r="F1378" t="e">
        <f t="shared" ca="1" si="89"/>
        <v>#N/A</v>
      </c>
    </row>
    <row r="1379" spans="3:6" x14ac:dyDescent="0.25">
      <c r="C1379" t="e">
        <f t="shared" ca="1" si="86"/>
        <v>#N/A</v>
      </c>
      <c r="D1379" t="e">
        <f t="shared" ca="1" si="87"/>
        <v>#N/A</v>
      </c>
      <c r="E1379" t="e">
        <f t="shared" ca="1" si="88"/>
        <v>#N/A</v>
      </c>
      <c r="F1379" t="e">
        <f t="shared" ca="1" si="89"/>
        <v>#N/A</v>
      </c>
    </row>
    <row r="1380" spans="3:6" x14ac:dyDescent="0.25">
      <c r="C1380" t="e">
        <f t="shared" ca="1" si="86"/>
        <v>#N/A</v>
      </c>
      <c r="D1380" t="e">
        <f t="shared" ca="1" si="87"/>
        <v>#N/A</v>
      </c>
      <c r="E1380" t="e">
        <f t="shared" ca="1" si="88"/>
        <v>#N/A</v>
      </c>
      <c r="F1380" t="e">
        <f t="shared" ca="1" si="89"/>
        <v>#N/A</v>
      </c>
    </row>
    <row r="1381" spans="3:6" x14ac:dyDescent="0.25">
      <c r="C1381" t="e">
        <f t="shared" ca="1" si="86"/>
        <v>#N/A</v>
      </c>
      <c r="D1381" t="e">
        <f t="shared" ca="1" si="87"/>
        <v>#N/A</v>
      </c>
      <c r="E1381" t="e">
        <f t="shared" ca="1" si="88"/>
        <v>#N/A</v>
      </c>
      <c r="F1381" t="e">
        <f t="shared" ca="1" si="89"/>
        <v>#N/A</v>
      </c>
    </row>
    <row r="1382" spans="3:6" x14ac:dyDescent="0.25">
      <c r="C1382" t="e">
        <f t="shared" ca="1" si="86"/>
        <v>#N/A</v>
      </c>
      <c r="D1382" t="e">
        <f t="shared" ca="1" si="87"/>
        <v>#N/A</v>
      </c>
      <c r="E1382" t="e">
        <f t="shared" ca="1" si="88"/>
        <v>#N/A</v>
      </c>
      <c r="F1382" t="e">
        <f t="shared" ca="1" si="89"/>
        <v>#N/A</v>
      </c>
    </row>
    <row r="1383" spans="3:6" x14ac:dyDescent="0.25">
      <c r="C1383" t="e">
        <f t="shared" ca="1" si="86"/>
        <v>#N/A</v>
      </c>
      <c r="D1383" t="e">
        <f t="shared" ca="1" si="87"/>
        <v>#N/A</v>
      </c>
      <c r="E1383" t="e">
        <f t="shared" ca="1" si="88"/>
        <v>#N/A</v>
      </c>
      <c r="F1383" t="e">
        <f t="shared" ca="1" si="89"/>
        <v>#N/A</v>
      </c>
    </row>
    <row r="1384" spans="3:6" x14ac:dyDescent="0.25">
      <c r="C1384" t="e">
        <f t="shared" ca="1" si="86"/>
        <v>#N/A</v>
      </c>
      <c r="D1384" t="e">
        <f t="shared" ca="1" si="87"/>
        <v>#N/A</v>
      </c>
      <c r="E1384" t="e">
        <f t="shared" ca="1" si="88"/>
        <v>#N/A</v>
      </c>
      <c r="F1384" t="e">
        <f t="shared" ca="1" si="89"/>
        <v>#N/A</v>
      </c>
    </row>
    <row r="1385" spans="3:6" x14ac:dyDescent="0.25">
      <c r="C1385" t="e">
        <f t="shared" ca="1" si="86"/>
        <v>#N/A</v>
      </c>
      <c r="D1385" t="e">
        <f t="shared" ca="1" si="87"/>
        <v>#N/A</v>
      </c>
      <c r="E1385" t="e">
        <f t="shared" ca="1" si="88"/>
        <v>#N/A</v>
      </c>
      <c r="F1385" t="e">
        <f t="shared" ca="1" si="89"/>
        <v>#N/A</v>
      </c>
    </row>
    <row r="1386" spans="3:6" x14ac:dyDescent="0.25">
      <c r="C1386" t="e">
        <f t="shared" ca="1" si="86"/>
        <v>#N/A</v>
      </c>
      <c r="D1386" t="e">
        <f t="shared" ca="1" si="87"/>
        <v>#N/A</v>
      </c>
      <c r="E1386" t="e">
        <f t="shared" ca="1" si="88"/>
        <v>#N/A</v>
      </c>
      <c r="F1386" t="e">
        <f t="shared" ca="1" si="89"/>
        <v>#N/A</v>
      </c>
    </row>
    <row r="1387" spans="3:6" x14ac:dyDescent="0.25">
      <c r="C1387" t="e">
        <f t="shared" ca="1" si="86"/>
        <v>#N/A</v>
      </c>
      <c r="D1387" t="e">
        <f t="shared" ca="1" si="87"/>
        <v>#N/A</v>
      </c>
      <c r="E1387" t="e">
        <f t="shared" ca="1" si="88"/>
        <v>#N/A</v>
      </c>
      <c r="F1387" t="e">
        <f t="shared" ca="1" si="89"/>
        <v>#N/A</v>
      </c>
    </row>
    <row r="1388" spans="3:6" x14ac:dyDescent="0.25">
      <c r="C1388" t="e">
        <f t="shared" ca="1" si="86"/>
        <v>#N/A</v>
      </c>
      <c r="D1388" t="e">
        <f t="shared" ca="1" si="87"/>
        <v>#N/A</v>
      </c>
      <c r="E1388" t="e">
        <f t="shared" ca="1" si="88"/>
        <v>#N/A</v>
      </c>
      <c r="F1388" t="e">
        <f t="shared" ca="1" si="89"/>
        <v>#N/A</v>
      </c>
    </row>
    <row r="1389" spans="3:6" x14ac:dyDescent="0.25">
      <c r="C1389" t="e">
        <f t="shared" ca="1" si="86"/>
        <v>#N/A</v>
      </c>
      <c r="D1389" t="e">
        <f t="shared" ca="1" si="87"/>
        <v>#N/A</v>
      </c>
      <c r="E1389" t="e">
        <f t="shared" ca="1" si="88"/>
        <v>#N/A</v>
      </c>
      <c r="F1389" t="e">
        <f t="shared" ca="1" si="89"/>
        <v>#N/A</v>
      </c>
    </row>
    <row r="1390" spans="3:6" x14ac:dyDescent="0.25">
      <c r="C1390" t="e">
        <f t="shared" ca="1" si="86"/>
        <v>#N/A</v>
      </c>
      <c r="D1390" t="e">
        <f t="shared" ca="1" si="87"/>
        <v>#N/A</v>
      </c>
      <c r="E1390" t="e">
        <f t="shared" ca="1" si="88"/>
        <v>#N/A</v>
      </c>
      <c r="F1390" t="e">
        <f t="shared" ca="1" si="89"/>
        <v>#N/A</v>
      </c>
    </row>
    <row r="1391" spans="3:6" x14ac:dyDescent="0.25">
      <c r="C1391" t="e">
        <f t="shared" ca="1" si="86"/>
        <v>#N/A</v>
      </c>
      <c r="D1391" t="e">
        <f t="shared" ca="1" si="87"/>
        <v>#N/A</v>
      </c>
      <c r="E1391" t="e">
        <f t="shared" ca="1" si="88"/>
        <v>#N/A</v>
      </c>
      <c r="F1391" t="e">
        <f t="shared" ca="1" si="89"/>
        <v>#N/A</v>
      </c>
    </row>
    <row r="1392" spans="3:6" x14ac:dyDescent="0.25">
      <c r="C1392" t="e">
        <f t="shared" ca="1" si="86"/>
        <v>#N/A</v>
      </c>
      <c r="D1392" t="e">
        <f t="shared" ca="1" si="87"/>
        <v>#N/A</v>
      </c>
      <c r="E1392" t="e">
        <f t="shared" ca="1" si="88"/>
        <v>#N/A</v>
      </c>
      <c r="F1392" t="e">
        <f t="shared" ca="1" si="89"/>
        <v>#N/A</v>
      </c>
    </row>
    <row r="1393" spans="3:6" x14ac:dyDescent="0.25">
      <c r="C1393" t="e">
        <f t="shared" ca="1" si="86"/>
        <v>#N/A</v>
      </c>
      <c r="D1393" t="e">
        <f t="shared" ca="1" si="87"/>
        <v>#N/A</v>
      </c>
      <c r="E1393" t="e">
        <f t="shared" ca="1" si="88"/>
        <v>#N/A</v>
      </c>
      <c r="F1393" t="e">
        <f t="shared" ca="1" si="89"/>
        <v>#N/A</v>
      </c>
    </row>
    <row r="1394" spans="3:6" x14ac:dyDescent="0.25">
      <c r="C1394" t="e">
        <f t="shared" ca="1" si="86"/>
        <v>#N/A</v>
      </c>
      <c r="D1394" t="e">
        <f t="shared" ca="1" si="87"/>
        <v>#N/A</v>
      </c>
      <c r="E1394" t="e">
        <f t="shared" ca="1" si="88"/>
        <v>#N/A</v>
      </c>
      <c r="F1394" t="e">
        <f t="shared" ca="1" si="89"/>
        <v>#N/A</v>
      </c>
    </row>
    <row r="1395" spans="3:6" x14ac:dyDescent="0.25">
      <c r="C1395" t="e">
        <f t="shared" ca="1" si="86"/>
        <v>#N/A</v>
      </c>
      <c r="D1395" t="e">
        <f t="shared" ca="1" si="87"/>
        <v>#N/A</v>
      </c>
      <c r="E1395" t="e">
        <f t="shared" ca="1" si="88"/>
        <v>#N/A</v>
      </c>
      <c r="F1395" t="e">
        <f t="shared" ca="1" si="89"/>
        <v>#N/A</v>
      </c>
    </row>
    <row r="1396" spans="3:6" x14ac:dyDescent="0.25">
      <c r="C1396" t="e">
        <f t="shared" ca="1" si="86"/>
        <v>#N/A</v>
      </c>
      <c r="D1396" t="e">
        <f t="shared" ca="1" si="87"/>
        <v>#N/A</v>
      </c>
      <c r="E1396" t="e">
        <f t="shared" ca="1" si="88"/>
        <v>#N/A</v>
      </c>
      <c r="F1396" t="e">
        <f t="shared" ca="1" si="89"/>
        <v>#N/A</v>
      </c>
    </row>
    <row r="1397" spans="3:6" x14ac:dyDescent="0.25">
      <c r="C1397" t="e">
        <f t="shared" ca="1" si="86"/>
        <v>#N/A</v>
      </c>
      <c r="D1397" t="e">
        <f t="shared" ca="1" si="87"/>
        <v>#N/A</v>
      </c>
      <c r="E1397" t="e">
        <f t="shared" ca="1" si="88"/>
        <v>#N/A</v>
      </c>
      <c r="F1397" t="e">
        <f t="shared" ca="1" si="89"/>
        <v>#N/A</v>
      </c>
    </row>
    <row r="1398" spans="3:6" x14ac:dyDescent="0.25">
      <c r="C1398" t="e">
        <f t="shared" ca="1" si="86"/>
        <v>#N/A</v>
      </c>
      <c r="D1398" t="e">
        <f t="shared" ca="1" si="87"/>
        <v>#N/A</v>
      </c>
      <c r="E1398" t="e">
        <f t="shared" ca="1" si="88"/>
        <v>#N/A</v>
      </c>
      <c r="F1398" t="e">
        <f t="shared" ca="1" si="89"/>
        <v>#N/A</v>
      </c>
    </row>
    <row r="1399" spans="3:6" x14ac:dyDescent="0.25">
      <c r="C1399" t="e">
        <f t="shared" ca="1" si="86"/>
        <v>#N/A</v>
      </c>
      <c r="D1399" t="e">
        <f t="shared" ca="1" si="87"/>
        <v>#N/A</v>
      </c>
      <c r="E1399" t="e">
        <f t="shared" ca="1" si="88"/>
        <v>#N/A</v>
      </c>
      <c r="F1399" t="e">
        <f t="shared" ca="1" si="89"/>
        <v>#N/A</v>
      </c>
    </row>
    <row r="1400" spans="3:6" x14ac:dyDescent="0.25">
      <c r="C1400" t="e">
        <f t="shared" ca="1" si="86"/>
        <v>#N/A</v>
      </c>
      <c r="D1400" t="e">
        <f t="shared" ca="1" si="87"/>
        <v>#N/A</v>
      </c>
      <c r="E1400" t="e">
        <f t="shared" ca="1" si="88"/>
        <v>#N/A</v>
      </c>
      <c r="F1400" t="e">
        <f t="shared" ca="1" si="89"/>
        <v>#N/A</v>
      </c>
    </row>
    <row r="1401" spans="3:6" x14ac:dyDescent="0.25">
      <c r="C1401" t="e">
        <f t="shared" ca="1" si="86"/>
        <v>#N/A</v>
      </c>
      <c r="D1401" t="e">
        <f t="shared" ca="1" si="87"/>
        <v>#N/A</v>
      </c>
      <c r="E1401" t="e">
        <f t="shared" ca="1" si="88"/>
        <v>#N/A</v>
      </c>
      <c r="F1401" t="e">
        <f t="shared" ca="1" si="89"/>
        <v>#N/A</v>
      </c>
    </row>
    <row r="1402" spans="3:6" x14ac:dyDescent="0.25">
      <c r="C1402" t="e">
        <f t="shared" ca="1" si="86"/>
        <v>#N/A</v>
      </c>
      <c r="D1402" t="e">
        <f t="shared" ca="1" si="87"/>
        <v>#N/A</v>
      </c>
      <c r="E1402" t="e">
        <f t="shared" ca="1" si="88"/>
        <v>#N/A</v>
      </c>
      <c r="F1402" t="e">
        <f t="shared" ca="1" si="89"/>
        <v>#N/A</v>
      </c>
    </row>
    <row r="1403" spans="3:6" x14ac:dyDescent="0.25">
      <c r="C1403" t="e">
        <f t="shared" ca="1" si="86"/>
        <v>#N/A</v>
      </c>
      <c r="D1403" t="e">
        <f t="shared" ca="1" si="87"/>
        <v>#N/A</v>
      </c>
      <c r="E1403" t="e">
        <f t="shared" ca="1" si="88"/>
        <v>#N/A</v>
      </c>
      <c r="F1403" t="e">
        <f t="shared" ca="1" si="89"/>
        <v>#N/A</v>
      </c>
    </row>
    <row r="1404" spans="3:6" x14ac:dyDescent="0.25">
      <c r="C1404" t="e">
        <f t="shared" ca="1" si="86"/>
        <v>#N/A</v>
      </c>
      <c r="D1404" t="e">
        <f t="shared" ca="1" si="87"/>
        <v>#N/A</v>
      </c>
      <c r="E1404" t="e">
        <f t="shared" ca="1" si="88"/>
        <v>#N/A</v>
      </c>
      <c r="F1404" t="e">
        <f t="shared" ca="1" si="89"/>
        <v>#N/A</v>
      </c>
    </row>
    <row r="1405" spans="3:6" x14ac:dyDescent="0.25">
      <c r="C1405" t="e">
        <f t="shared" ca="1" si="86"/>
        <v>#N/A</v>
      </c>
      <c r="D1405" t="e">
        <f t="shared" ca="1" si="87"/>
        <v>#N/A</v>
      </c>
      <c r="E1405" t="e">
        <f t="shared" ca="1" si="88"/>
        <v>#N/A</v>
      </c>
      <c r="F1405" t="e">
        <f t="shared" ca="1" si="89"/>
        <v>#N/A</v>
      </c>
    </row>
    <row r="1406" spans="3:6" x14ac:dyDescent="0.25">
      <c r="C1406" t="e">
        <f t="shared" ca="1" si="86"/>
        <v>#N/A</v>
      </c>
      <c r="D1406" t="e">
        <f t="shared" ca="1" si="87"/>
        <v>#N/A</v>
      </c>
      <c r="E1406" t="e">
        <f t="shared" ca="1" si="88"/>
        <v>#N/A</v>
      </c>
      <c r="F1406" t="e">
        <f t="shared" ca="1" si="89"/>
        <v>#N/A</v>
      </c>
    </row>
    <row r="1407" spans="3:6" x14ac:dyDescent="0.25">
      <c r="C1407" t="e">
        <f t="shared" ca="1" si="86"/>
        <v>#N/A</v>
      </c>
      <c r="D1407" t="e">
        <f t="shared" ca="1" si="87"/>
        <v>#N/A</v>
      </c>
      <c r="E1407" t="e">
        <f t="shared" ca="1" si="88"/>
        <v>#N/A</v>
      </c>
      <c r="F1407" t="e">
        <f t="shared" ca="1" si="89"/>
        <v>#N/A</v>
      </c>
    </row>
    <row r="1408" spans="3:6" x14ac:dyDescent="0.25">
      <c r="C1408" t="e">
        <f t="shared" ca="1" si="86"/>
        <v>#N/A</v>
      </c>
      <c r="D1408" t="e">
        <f t="shared" ca="1" si="87"/>
        <v>#N/A</v>
      </c>
      <c r="E1408" t="e">
        <f t="shared" ca="1" si="88"/>
        <v>#N/A</v>
      </c>
      <c r="F1408" t="e">
        <f t="shared" ca="1" si="89"/>
        <v>#N/A</v>
      </c>
    </row>
  </sheetData>
  <sheetProtection algorithmName="SHA-512" hashValue="crKZKw43kAkaBQiGxrMFFLwT6QLHwRPtqhy513fHQkMpQ/52gVnH7dvAmbQitvvW8Ppk3AMz9UdjHB9KOm7TtQ==" saltValue="Zn+dDHr3z4CnaaUWiFUPbg==" spinCount="100000" sheet="1" objects="1" scenarios="1" sort="0" autoFilter="0" pivotTables="0"/>
  <protectedRanges>
    <protectedRange sqref="G1:T31" name="ReadRangeGraph"/>
  </protectedRanges>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7</vt:i4>
      </vt:variant>
    </vt:vector>
  </HeadingPairs>
  <TitlesOfParts>
    <vt:vector size="10" baseType="lpstr">
      <vt:lpstr>Table</vt:lpstr>
      <vt:lpstr>Statistics</vt:lpstr>
      <vt:lpstr>Graph</vt:lpstr>
      <vt:lpstr>rngApproaches</vt:lpstr>
      <vt:lpstr>rngBasicInfo</vt:lpstr>
      <vt:lpstr>rngCountInterval</vt:lpstr>
      <vt:lpstr>rngGPS</vt:lpstr>
      <vt:lpstr>rngMovements</vt:lpstr>
      <vt:lpstr>rngQueueLimits</vt:lpstr>
      <vt:lpstr>rngSurveyPeriods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2023-09-18T22:48:08Z</dcterms:modified>
</cp:coreProperties>
</file>