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0070A01F-DB24-4412-94AF-CC52A3691E4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L98" i="6"/>
  <c r="Q98" i="6" s="1"/>
  <c r="L185" i="6"/>
  <c r="Q185" i="6" s="1"/>
  <c r="L102" i="6"/>
  <c r="Q102" i="6" s="1"/>
  <c r="L104" i="6"/>
  <c r="L269" i="6"/>
  <c r="L132" i="6"/>
  <c r="L35" i="6"/>
  <c r="L282" i="6"/>
  <c r="L230" i="6"/>
  <c r="Q230" i="6" s="1"/>
  <c r="L94" i="6"/>
  <c r="L297" i="6"/>
  <c r="Q297" i="6" s="1"/>
  <c r="L233" i="6"/>
  <c r="L169" i="6"/>
  <c r="Q169" i="6" s="1"/>
  <c r="L105" i="6"/>
  <c r="Q105" i="6" s="1"/>
  <c r="L41" i="6"/>
  <c r="Q41" i="6" s="1"/>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282" i="6"/>
  <c r="Q226" i="6"/>
  <c r="Q202" i="6"/>
  <c r="Q162" i="6"/>
  <c r="Q106" i="6"/>
  <c r="Q90" i="6"/>
  <c r="Q50" i="6"/>
  <c r="Q280" i="6"/>
  <c r="Q268" i="6"/>
  <c r="Q177" i="6"/>
  <c r="Q88" i="6"/>
  <c r="Q110" i="6"/>
  <c r="Q71" i="6"/>
  <c r="Q300" i="6"/>
  <c r="Q190" i="6"/>
  <c r="Q73" i="6"/>
  <c r="Q302" i="6"/>
  <c r="Q238" i="6"/>
  <c r="Q199" i="6"/>
  <c r="Q96" i="6"/>
  <c r="Q57" i="6"/>
  <c r="Q287" i="6"/>
  <c r="Q248" i="6"/>
  <c r="Q303" i="6"/>
  <c r="Q278" i="6"/>
  <c r="Q239" i="6"/>
  <c r="Q225" i="6"/>
  <c r="Q200" i="6"/>
  <c r="Q175" i="6"/>
  <c r="Q150" i="6"/>
  <c r="Q111" i="6"/>
  <c r="Q86" i="6"/>
  <c r="Q224" i="6"/>
  <c r="Q46" i="6"/>
  <c r="Q272" i="6"/>
  <c r="Q244" i="6"/>
  <c r="Q81" i="6"/>
  <c r="Q233" i="6"/>
  <c r="Q132" i="6"/>
  <c r="Q286" i="6"/>
  <c r="Q94" i="6"/>
  <c r="Q118" i="6"/>
  <c r="Q246" i="6"/>
  <c r="Q192"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726" i="4"/>
  <c r="I346" i="4"/>
  <c r="I426" i="4"/>
  <c r="I506" i="4"/>
  <c r="I586" i="4"/>
  <c r="I666" i="4"/>
  <c r="I746" i="4"/>
  <c r="I366" i="4"/>
  <c r="I446" i="4"/>
  <c r="I526" i="4"/>
  <c r="I606" i="4"/>
  <c r="I686" i="4"/>
  <c r="I766" i="4"/>
  <c r="I386" i="4"/>
  <c r="I466" i="4"/>
  <c r="I546" i="4"/>
  <c r="I626" i="4"/>
  <c r="I706" i="4"/>
  <c r="I18" i="4"/>
  <c r="I98" i="4"/>
  <c r="I178" i="4"/>
  <c r="I258" i="4"/>
  <c r="I338" i="4"/>
  <c r="I38" i="4"/>
  <c r="I118" i="4"/>
  <c r="I198" i="4"/>
  <c r="I278" i="4"/>
  <c r="I58" i="4"/>
  <c r="I138" i="4"/>
  <c r="I218" i="4"/>
  <c r="I298" i="4"/>
  <c r="I78" i="4"/>
  <c r="I158" i="4"/>
  <c r="I238" i="4"/>
  <c r="I318" i="4"/>
  <c r="I358" i="4"/>
  <c r="I438" i="4"/>
  <c r="I518" i="4"/>
  <c r="I598" i="4"/>
  <c r="I678" i="4"/>
  <c r="I758" i="4"/>
  <c r="I378" i="4"/>
  <c r="I458" i="4"/>
  <c r="I538" i="4"/>
  <c r="I618" i="4"/>
  <c r="I698" i="4"/>
  <c r="I778" i="4"/>
  <c r="I398" i="4"/>
  <c r="I478" i="4"/>
  <c r="I558" i="4"/>
  <c r="I638" i="4"/>
  <c r="I718" i="4"/>
  <c r="I418" i="4"/>
  <c r="I498" i="4"/>
  <c r="I578" i="4"/>
  <c r="I658" i="4"/>
  <c r="I738" i="4"/>
  <c r="I63" i="4"/>
  <c r="I143" i="4"/>
  <c r="I223" i="4"/>
  <c r="I303" i="4"/>
  <c r="I3" i="4"/>
  <c r="I83" i="4"/>
  <c r="I163" i="4"/>
  <c r="I243" i="4"/>
  <c r="I23" i="4"/>
  <c r="I103" i="4"/>
  <c r="I183" i="4"/>
  <c r="I263" i="4"/>
  <c r="I43" i="4"/>
  <c r="I123" i="4"/>
  <c r="I203" i="4"/>
  <c r="I403" i="4"/>
  <c r="I483" i="4"/>
  <c r="I563" i="4"/>
  <c r="I283" i="4"/>
  <c r="I703" i="4"/>
  <c r="I323" i="4"/>
  <c r="I343" i="4"/>
  <c r="I423" i="4"/>
  <c r="I503" i="4"/>
  <c r="I583" i="4"/>
  <c r="I643" i="4"/>
  <c r="I743" i="4"/>
  <c r="I363" i="4"/>
  <c r="I443" i="4"/>
  <c r="I523" i="4"/>
  <c r="I603" i="4"/>
  <c r="I723" i="4"/>
  <c r="I683" i="4"/>
  <c r="I383" i="4"/>
  <c r="I463" i="4"/>
  <c r="I543" i="4"/>
  <c r="I623" i="4"/>
  <c r="I663" i="4"/>
  <c r="I763" i="4"/>
  <c r="I5" i="4"/>
  <c r="I85" i="4"/>
  <c r="I165" i="4"/>
  <c r="I245" i="4"/>
  <c r="I385" i="4"/>
  <c r="I25" i="4"/>
  <c r="I105" i="4"/>
  <c r="I185" i="4"/>
  <c r="I265" i="4"/>
  <c r="I285" i="4"/>
  <c r="I405" i="4"/>
  <c r="I45" i="4"/>
  <c r="I125" i="4"/>
  <c r="I205" i="4"/>
  <c r="I325" i="4"/>
  <c r="I345" i="4"/>
  <c r="I65" i="4"/>
  <c r="I145" i="4"/>
  <c r="I225" i="4"/>
  <c r="I365" i="4"/>
  <c r="I445" i="4"/>
  <c r="I425" i="4"/>
  <c r="I545" i="4"/>
  <c r="I705" i="4"/>
  <c r="I565" i="4"/>
  <c r="I585" i="4"/>
  <c r="I645" i="4"/>
  <c r="I725" i="4"/>
  <c r="I525" i="4"/>
  <c r="I465" i="4"/>
  <c r="I625" i="4"/>
  <c r="I665" i="4"/>
  <c r="I745" i="4"/>
  <c r="I605" i="4"/>
  <c r="I305" i="4"/>
  <c r="I505" i="4"/>
  <c r="I685" i="4"/>
  <c r="I765" i="4"/>
  <c r="I485" i="4"/>
  <c r="I53" i="4"/>
  <c r="I133" i="4"/>
  <c r="I213" i="4"/>
  <c r="I353" i="4"/>
  <c r="I433" i="4"/>
  <c r="I73" i="4"/>
  <c r="I153" i="4"/>
  <c r="I233" i="4"/>
  <c r="I373" i="4"/>
  <c r="I13" i="4"/>
  <c r="I93" i="4"/>
  <c r="I173" i="4"/>
  <c r="I253" i="4"/>
  <c r="I293" i="4"/>
  <c r="I393" i="4"/>
  <c r="I33" i="4"/>
  <c r="I113" i="4"/>
  <c r="I193" i="4"/>
  <c r="I413" i="4"/>
  <c r="I313" i="4"/>
  <c r="I513" i="4"/>
  <c r="I673" i="4"/>
  <c r="I753" i="4"/>
  <c r="I573" i="4"/>
  <c r="I553" i="4"/>
  <c r="I693" i="4"/>
  <c r="I773" i="4"/>
  <c r="I593" i="4"/>
  <c r="I713" i="4"/>
  <c r="I533" i="4"/>
  <c r="I453" i="4"/>
  <c r="I273" i="4"/>
  <c r="I333" i="4"/>
  <c r="I473" i="4"/>
  <c r="I633" i="4"/>
  <c r="I653" i="4"/>
  <c r="I733" i="4"/>
  <c r="I493" i="4"/>
  <c r="I613" i="4"/>
  <c r="I50" i="4"/>
  <c r="I130" i="4"/>
  <c r="I210" i="4"/>
  <c r="I290" i="4"/>
  <c r="I70" i="4"/>
  <c r="I150" i="4"/>
  <c r="I230" i="4"/>
  <c r="I310" i="4"/>
  <c r="I10" i="4"/>
  <c r="I90" i="4"/>
  <c r="I170" i="4"/>
  <c r="I250" i="4"/>
  <c r="I330" i="4"/>
  <c r="I30" i="4"/>
  <c r="I110" i="4"/>
  <c r="I190" i="4"/>
  <c r="I270" i="4"/>
  <c r="I390" i="4"/>
  <c r="I470" i="4"/>
  <c r="I550" i="4"/>
  <c r="I630" i="4"/>
  <c r="I710" i="4"/>
  <c r="I410" i="4"/>
  <c r="I490" i="4"/>
  <c r="I570" i="4"/>
  <c r="I650" i="4"/>
  <c r="I730" i="4"/>
  <c r="I350" i="4"/>
  <c r="I430" i="4"/>
  <c r="I510" i="4"/>
  <c r="I590" i="4"/>
  <c r="I670" i="4"/>
  <c r="I750" i="4"/>
  <c r="I370" i="4"/>
  <c r="I450" i="4"/>
  <c r="I530" i="4"/>
  <c r="I610" i="4"/>
  <c r="I690" i="4"/>
  <c r="I770" i="4"/>
  <c r="I47" i="4"/>
  <c r="I127" i="4"/>
  <c r="I207" i="4"/>
  <c r="I67" i="4"/>
  <c r="I147" i="4"/>
  <c r="I227" i="4"/>
  <c r="I7" i="4"/>
  <c r="I87" i="4"/>
  <c r="I167" i="4"/>
  <c r="I247" i="4"/>
  <c r="I27" i="4"/>
  <c r="I107" i="4"/>
  <c r="I187" i="4"/>
  <c r="I267" i="4"/>
  <c r="I387" i="4"/>
  <c r="I467" i="4"/>
  <c r="I547" i="4"/>
  <c r="I627" i="4"/>
  <c r="I667" i="4"/>
  <c r="I767" i="4"/>
  <c r="I407" i="4"/>
  <c r="I487" i="4"/>
  <c r="I567" i="4"/>
  <c r="I307" i="4"/>
  <c r="I647" i="4"/>
  <c r="I747" i="4"/>
  <c r="I287" i="4"/>
  <c r="I327" i="4"/>
  <c r="I347" i="4"/>
  <c r="I427" i="4"/>
  <c r="I507" i="4"/>
  <c r="I587" i="4"/>
  <c r="I687" i="4"/>
  <c r="I367" i="4"/>
  <c r="I447" i="4"/>
  <c r="I527" i="4"/>
  <c r="I607" i="4"/>
  <c r="I727" i="4"/>
  <c r="I707" i="4"/>
  <c r="I40" i="4"/>
  <c r="I120" i="4"/>
  <c r="I200" i="4"/>
  <c r="I280" i="4"/>
  <c r="I60" i="4"/>
  <c r="I140" i="4"/>
  <c r="I220" i="4"/>
  <c r="I300" i="4"/>
  <c r="I80" i="4"/>
  <c r="I160" i="4"/>
  <c r="I240" i="4"/>
  <c r="I320" i="4"/>
  <c r="I20" i="4"/>
  <c r="I100" i="4"/>
  <c r="I180" i="4"/>
  <c r="I260" i="4"/>
  <c r="I480" i="4"/>
  <c r="I600" i="4"/>
  <c r="I620" i="4"/>
  <c r="I560" i="4"/>
  <c r="I700" i="4"/>
  <c r="I760" i="4"/>
  <c r="I500" i="4"/>
  <c r="I520" i="4"/>
  <c r="I640" i="4"/>
  <c r="I780" i="4"/>
  <c r="I400" i="4"/>
  <c r="I680" i="4"/>
  <c r="I340" i="4"/>
  <c r="I380" i="4"/>
  <c r="I360" i="4"/>
  <c r="I540" i="4"/>
  <c r="I460" i="4"/>
  <c r="I720" i="4"/>
  <c r="I660" i="4"/>
  <c r="I420" i="4"/>
  <c r="I440" i="4"/>
  <c r="I580" i="4"/>
  <c r="I740" i="4"/>
  <c r="I2" i="4"/>
  <c r="I82" i="4"/>
  <c r="I162" i="4"/>
  <c r="I242" i="4"/>
  <c r="I322" i="4"/>
  <c r="I22" i="4"/>
  <c r="I102" i="4"/>
  <c r="I182" i="4"/>
  <c r="I262" i="4"/>
  <c r="I42" i="4"/>
  <c r="I122" i="4"/>
  <c r="I202" i="4"/>
  <c r="I282" i="4"/>
  <c r="I62" i="4"/>
  <c r="I142" i="4"/>
  <c r="I222" i="4"/>
  <c r="I302" i="4"/>
  <c r="I342" i="4"/>
  <c r="I422" i="4"/>
  <c r="I502" i="4"/>
  <c r="I582" i="4"/>
  <c r="I662" i="4"/>
  <c r="I742" i="4"/>
  <c r="I362" i="4"/>
  <c r="I442" i="4"/>
  <c r="I522" i="4"/>
  <c r="I602" i="4"/>
  <c r="I682" i="4"/>
  <c r="I762" i="4"/>
  <c r="I382" i="4"/>
  <c r="I462" i="4"/>
  <c r="I542" i="4"/>
  <c r="I622" i="4"/>
  <c r="I702" i="4"/>
  <c r="I402" i="4"/>
  <c r="I482" i="4"/>
  <c r="I562" i="4"/>
  <c r="I642" i="4"/>
  <c r="I722" i="4"/>
  <c r="I34" i="4"/>
  <c r="I114" i="4"/>
  <c r="I194" i="4"/>
  <c r="I274" i="4"/>
  <c r="I54" i="4"/>
  <c r="I134" i="4"/>
  <c r="I214" i="4"/>
  <c r="I294" i="4"/>
  <c r="I74" i="4"/>
  <c r="I154" i="4"/>
  <c r="I234" i="4"/>
  <c r="I314" i="4"/>
  <c r="I14" i="4"/>
  <c r="I94" i="4"/>
  <c r="I174" i="4"/>
  <c r="I254" i="4"/>
  <c r="I334" i="4"/>
  <c r="I374" i="4"/>
  <c r="I454" i="4"/>
  <c r="I534" i="4"/>
  <c r="I614" i="4"/>
  <c r="I694" i="4"/>
  <c r="I774" i="4"/>
  <c r="I394" i="4"/>
  <c r="I474" i="4"/>
  <c r="I554" i="4"/>
  <c r="I634" i="4"/>
  <c r="I714" i="4"/>
  <c r="I414" i="4"/>
  <c r="I494" i="4"/>
  <c r="I574" i="4"/>
  <c r="I654" i="4"/>
  <c r="I734" i="4"/>
  <c r="I354" i="4"/>
  <c r="I434" i="4"/>
  <c r="I514" i="4"/>
  <c r="I594" i="4"/>
  <c r="I674" i="4"/>
  <c r="I754" i="4"/>
  <c r="I31" i="4"/>
  <c r="I111" i="4"/>
  <c r="I191" i="4"/>
  <c r="I271" i="4"/>
  <c r="I51" i="4"/>
  <c r="I131" i="4"/>
  <c r="I211" i="4"/>
  <c r="I71" i="4"/>
  <c r="I151" i="4"/>
  <c r="I231" i="4"/>
  <c r="I11" i="4"/>
  <c r="I91" i="4"/>
  <c r="I171" i="4"/>
  <c r="I251" i="4"/>
  <c r="I331" i="4"/>
  <c r="I311" i="4"/>
  <c r="I371" i="4"/>
  <c r="I451" i="4"/>
  <c r="I531" i="4"/>
  <c r="I611" i="4"/>
  <c r="I671" i="4"/>
  <c r="I771" i="4"/>
  <c r="I391" i="4"/>
  <c r="I471" i="4"/>
  <c r="I551" i="4"/>
  <c r="I631" i="4"/>
  <c r="I711" i="4"/>
  <c r="I411" i="4"/>
  <c r="I491" i="4"/>
  <c r="I571" i="4"/>
  <c r="I651" i="4"/>
  <c r="I751" i="4"/>
  <c r="I351" i="4"/>
  <c r="I431" i="4"/>
  <c r="I511" i="4"/>
  <c r="I591" i="4"/>
  <c r="I731" i="4"/>
  <c r="I291" i="4"/>
  <c r="I691" i="4"/>
  <c r="I8" i="4"/>
  <c r="I88" i="4"/>
  <c r="I168" i="4"/>
  <c r="I248" i="4"/>
  <c r="I28" i="4"/>
  <c r="I108" i="4"/>
  <c r="I188" i="4"/>
  <c r="I268" i="4"/>
  <c r="I48" i="4"/>
  <c r="I128" i="4"/>
  <c r="I208" i="4"/>
  <c r="I288" i="4"/>
  <c r="I68" i="4"/>
  <c r="I148" i="4"/>
  <c r="I228" i="4"/>
  <c r="I308" i="4"/>
  <c r="I368" i="4"/>
  <c r="I528" i="4"/>
  <c r="I648" i="4"/>
  <c r="I748" i="4"/>
  <c r="I588" i="4"/>
  <c r="I608" i="4"/>
  <c r="I688" i="4"/>
  <c r="I448" i="4"/>
  <c r="I488" i="4"/>
  <c r="I728" i="4"/>
  <c r="I388" i="4"/>
  <c r="I348" i="4"/>
  <c r="I408" i="4"/>
  <c r="I468" i="4"/>
  <c r="I628" i="4"/>
  <c r="I428" i="4"/>
  <c r="I708" i="4"/>
  <c r="I328" i="4"/>
  <c r="I508" i="4"/>
  <c r="I768" i="4"/>
  <c r="I668" i="4"/>
  <c r="I548" i="4"/>
  <c r="I568" i="4"/>
  <c r="I24" i="4"/>
  <c r="I104" i="4"/>
  <c r="I184" i="4"/>
  <c r="I264" i="4"/>
  <c r="I44" i="4"/>
  <c r="I124" i="4"/>
  <c r="I204" i="4"/>
  <c r="I284" i="4"/>
  <c r="I64" i="4"/>
  <c r="I144" i="4"/>
  <c r="I224" i="4"/>
  <c r="I304" i="4"/>
  <c r="I4" i="4"/>
  <c r="I84" i="4"/>
  <c r="I164" i="4"/>
  <c r="I244" i="4"/>
  <c r="I324" i="4"/>
  <c r="I444" i="4"/>
  <c r="I684" i="4"/>
  <c r="I524" i="4"/>
  <c r="I624" i="4"/>
  <c r="I764" i="4"/>
  <c r="I384" i="4"/>
  <c r="I664" i="4"/>
  <c r="I344" i="4"/>
  <c r="I564" i="4"/>
  <c r="I704" i="4"/>
  <c r="I644" i="4"/>
  <c r="I464" i="4"/>
  <c r="I584" i="4"/>
  <c r="I744" i="4"/>
  <c r="I404" i="4"/>
  <c r="I424" i="4"/>
  <c r="I604" i="4"/>
  <c r="I544" i="4"/>
  <c r="I724" i="4"/>
  <c r="I504" i="4"/>
  <c r="I484" i="4"/>
  <c r="I364" i="4"/>
  <c r="I72" i="4"/>
  <c r="I152" i="4"/>
  <c r="I232" i="4"/>
  <c r="I312" i="4"/>
  <c r="I332" i="4"/>
  <c r="I12" i="4"/>
  <c r="I92" i="4"/>
  <c r="I172" i="4"/>
  <c r="I252" i="4"/>
  <c r="I32" i="4"/>
  <c r="I112" i="4"/>
  <c r="I192" i="4"/>
  <c r="I272" i="4"/>
  <c r="I52" i="4"/>
  <c r="I132" i="4"/>
  <c r="I212" i="4"/>
  <c r="I292" i="4"/>
  <c r="I432" i="4"/>
  <c r="I712" i="4"/>
  <c r="I372" i="4"/>
  <c r="I392" i="4"/>
  <c r="I492" i="4"/>
  <c r="I752" i="4"/>
  <c r="I452" i="4"/>
  <c r="I512" i="4"/>
  <c r="I632" i="4"/>
  <c r="I532" i="4"/>
  <c r="I552" i="4"/>
  <c r="I652" i="4"/>
  <c r="I572" i="4"/>
  <c r="I772" i="4"/>
  <c r="I352" i="4"/>
  <c r="I472" i="4"/>
  <c r="I692" i="4"/>
  <c r="I412" i="4"/>
  <c r="I732" i="4"/>
  <c r="I612" i="4"/>
  <c r="I672" i="4"/>
  <c r="I592" i="4"/>
  <c r="I15" i="4"/>
  <c r="I95" i="4"/>
  <c r="I175" i="4"/>
  <c r="I255" i="4"/>
  <c r="I35" i="4"/>
  <c r="I115" i="4"/>
  <c r="I195" i="4"/>
  <c r="I55" i="4"/>
  <c r="I135" i="4"/>
  <c r="I215" i="4"/>
  <c r="I75" i="4"/>
  <c r="I155" i="4"/>
  <c r="I235" i="4"/>
  <c r="I355" i="4"/>
  <c r="I435" i="4"/>
  <c r="I515" i="4"/>
  <c r="I595" i="4"/>
  <c r="I275" i="4"/>
  <c r="I775" i="4"/>
  <c r="I735" i="4"/>
  <c r="I375" i="4"/>
  <c r="I455" i="4"/>
  <c r="I535" i="4"/>
  <c r="I615" i="4"/>
  <c r="I315" i="4"/>
  <c r="I715" i="4"/>
  <c r="I675" i="4"/>
  <c r="I395" i="4"/>
  <c r="I475" i="4"/>
  <c r="I555" i="4"/>
  <c r="I635" i="4"/>
  <c r="I335" i="4"/>
  <c r="I655" i="4"/>
  <c r="I755" i="4"/>
  <c r="I295" i="4"/>
  <c r="I415" i="4"/>
  <c r="I495" i="4"/>
  <c r="I575" i="4"/>
  <c r="I695" i="4"/>
  <c r="I69" i="4"/>
  <c r="I149" i="4"/>
  <c r="I229" i="4"/>
  <c r="I309" i="4"/>
  <c r="I369" i="4"/>
  <c r="I449" i="4"/>
  <c r="I9" i="4"/>
  <c r="I89" i="4"/>
  <c r="I169" i="4"/>
  <c r="I249" i="4"/>
  <c r="I389" i="4"/>
  <c r="I29" i="4"/>
  <c r="I109" i="4"/>
  <c r="I189" i="4"/>
  <c r="I269" i="4"/>
  <c r="I409" i="4"/>
  <c r="I49" i="4"/>
  <c r="I129" i="4"/>
  <c r="I209" i="4"/>
  <c r="I349" i="4"/>
  <c r="I429" i="4"/>
  <c r="I609" i="4"/>
  <c r="I689" i="4"/>
  <c r="I769" i="4"/>
  <c r="I509" i="4"/>
  <c r="I629" i="4"/>
  <c r="I289" i="4"/>
  <c r="I489" i="4"/>
  <c r="I709" i="4"/>
  <c r="I469" i="4"/>
  <c r="I589" i="4"/>
  <c r="I529" i="4"/>
  <c r="I649" i="4"/>
  <c r="I729" i="4"/>
  <c r="I329" i="4"/>
  <c r="I569" i="4"/>
  <c r="I669" i="4"/>
  <c r="I749" i="4"/>
  <c r="I549" i="4"/>
  <c r="I21" i="4"/>
  <c r="I101" i="4"/>
  <c r="I181" i="4"/>
  <c r="I261" i="4"/>
  <c r="I401" i="4"/>
  <c r="I41" i="4"/>
  <c r="I121" i="4"/>
  <c r="I201" i="4"/>
  <c r="I341" i="4"/>
  <c r="I421" i="4"/>
  <c r="I61" i="4"/>
  <c r="I141" i="4"/>
  <c r="I221" i="4"/>
  <c r="I361" i="4"/>
  <c r="I81" i="4"/>
  <c r="I161" i="4"/>
  <c r="I241" i="4"/>
  <c r="I301" i="4"/>
  <c r="I381" i="4"/>
  <c r="I461" i="4"/>
  <c r="I281" i="4"/>
  <c r="I481" i="4"/>
  <c r="I641" i="4"/>
  <c r="I721" i="4"/>
  <c r="I501" i="4"/>
  <c r="I321" i="4"/>
  <c r="I521" i="4"/>
  <c r="I661" i="4"/>
  <c r="I741" i="4"/>
  <c r="I581" i="4"/>
  <c r="I441" i="4"/>
  <c r="I561" i="4"/>
  <c r="I681" i="4"/>
  <c r="I761" i="4"/>
  <c r="I541" i="4"/>
  <c r="I601" i="4"/>
  <c r="I701" i="4"/>
  <c r="I781" i="4"/>
  <c r="I621" i="4"/>
  <c r="I37" i="4"/>
  <c r="I117" i="4"/>
  <c r="I197" i="4"/>
  <c r="I277" i="4"/>
  <c r="I417" i="4"/>
  <c r="I57" i="4"/>
  <c r="I137" i="4"/>
  <c r="I217" i="4"/>
  <c r="I317" i="4"/>
  <c r="I357" i="4"/>
  <c r="I77" i="4"/>
  <c r="I157" i="4"/>
  <c r="I237" i="4"/>
  <c r="I377" i="4"/>
  <c r="I17" i="4"/>
  <c r="I97" i="4"/>
  <c r="I177" i="4"/>
  <c r="I257" i="4"/>
  <c r="I397" i="4"/>
  <c r="I457" i="4"/>
  <c r="I577" i="4"/>
  <c r="I657" i="4"/>
  <c r="I737" i="4"/>
  <c r="I637" i="4"/>
  <c r="I437" i="4"/>
  <c r="I617" i="4"/>
  <c r="I677" i="4"/>
  <c r="I757" i="4"/>
  <c r="I517" i="4"/>
  <c r="I297" i="4"/>
  <c r="I497" i="4"/>
  <c r="I697" i="4"/>
  <c r="I777" i="4"/>
  <c r="I477" i="4"/>
  <c r="I597" i="4"/>
  <c r="I337" i="4"/>
  <c r="I537" i="4"/>
  <c r="I717" i="4"/>
  <c r="I557" i="4"/>
  <c r="I56" i="4"/>
  <c r="I136" i="4"/>
  <c r="I216" i="4"/>
  <c r="I296" i="4"/>
  <c r="I336" i="4"/>
  <c r="I76" i="4"/>
  <c r="I156" i="4"/>
  <c r="I236" i="4"/>
  <c r="I316" i="4"/>
  <c r="I16" i="4"/>
  <c r="I96" i="4"/>
  <c r="I176" i="4"/>
  <c r="I256" i="4"/>
  <c r="I36" i="4"/>
  <c r="I116" i="4"/>
  <c r="I196" i="4"/>
  <c r="I276" i="4"/>
  <c r="I436" i="4"/>
  <c r="I456" i="4"/>
  <c r="I556" i="4"/>
  <c r="I396" i="4"/>
  <c r="I696" i="4"/>
  <c r="I596" i="4"/>
  <c r="I756" i="4"/>
  <c r="I496" i="4"/>
  <c r="I716" i="4"/>
  <c r="I776" i="4"/>
  <c r="I476" i="4"/>
  <c r="I636" i="4"/>
  <c r="I656" i="4"/>
  <c r="I536" i="4"/>
  <c r="I416" i="4"/>
  <c r="I616" i="4"/>
  <c r="I356" i="4"/>
  <c r="I576" i="4"/>
  <c r="I376" i="4"/>
  <c r="I516" i="4"/>
  <c r="I736" i="4"/>
  <c r="I676" i="4"/>
  <c r="I79" i="4"/>
  <c r="I159" i="4"/>
  <c r="I239" i="4"/>
  <c r="I19" i="4"/>
  <c r="I99" i="4"/>
  <c r="I179" i="4"/>
  <c r="I259" i="4"/>
  <c r="I39" i="4"/>
  <c r="I119" i="4"/>
  <c r="I199" i="4"/>
  <c r="I59" i="4"/>
  <c r="I139" i="4"/>
  <c r="I219" i="4"/>
  <c r="I339" i="4"/>
  <c r="I419" i="4"/>
  <c r="I499" i="4"/>
  <c r="I579" i="4"/>
  <c r="I299" i="4"/>
  <c r="I739" i="4"/>
  <c r="I699" i="4"/>
  <c r="I279" i="4"/>
  <c r="I319" i="4"/>
  <c r="I359" i="4"/>
  <c r="I439" i="4"/>
  <c r="I519" i="4"/>
  <c r="I599" i="4"/>
  <c r="I679" i="4"/>
  <c r="I779" i="4"/>
  <c r="I379" i="4"/>
  <c r="I459" i="4"/>
  <c r="I539" i="4"/>
  <c r="I619" i="4"/>
  <c r="I719" i="4"/>
  <c r="I399" i="4"/>
  <c r="I479" i="4"/>
  <c r="I559" i="4"/>
  <c r="I639" i="4"/>
  <c r="I659" i="4"/>
  <c r="I7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<sst xmlns="http://schemas.openxmlformats.org/spreadsheetml/2006/main" count="9070" uniqueCount="184">
  <si>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</si>
  <si>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</si>
  <si>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</si>
  <si>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</si>
  <si>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</si>
  <si>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</si>
  <si>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</si>
  <si>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</si>
  <si>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</si>
  <si>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</si>
  <si>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</si>
  <si>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</si>
  <si>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</si>
  <si>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</si>
  <si>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</si>
  <si>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</si>
  <si>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</si>
  <si>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</si>
  <si>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</si>
  <si>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</si>
  <si>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</si>
  <si>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</si>
  <si>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</si>
  <si>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</si>
  <si>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</si>
  <si>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</si>
  <si>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</si>
  <si>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</si>
  <si>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</si>
  <si>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</si>
  <si>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</si>
  <si>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</si>
  <si>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</si>
  <si>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</si>
  <si>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</si>
  <si>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</si>
  <si>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</si>
  <si>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</si>
  <si>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</si>
  <si>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</si>
  <si>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</si>
  <si>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</si>
  <si>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</si>
  <si>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</si>
  <si>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</si>
  <si>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</si>
  <si>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</si>
  <si>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</si>
  <si>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</si>
  <si>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</si>
  <si>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</si>
  <si>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</si>
  <si>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</si>
  <si>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</si>
  <si>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</si>
  <si>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</si>
  <si>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</si>
  <si>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</si>
  <si>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</si>
  <si>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</si>
  <si>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</si>
  <si>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</si>
  <si>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</si>
  <si>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</si>
  <si>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</si>
  <si>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</si>
  <si>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</si>
  <si>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</si>
  <si>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</si>
  <si>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</si>
  <si>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</si>
  <si>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</si>
  <si>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</si>
  <si>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</si>
  <si>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</si>
  <si>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</si>
  <si>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</si>
  <si>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</si>
  <si>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</si>
  <si>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</si>
  <si>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</si>
  <si>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</si>
  <si>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</si>
  <si>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</si>
  <si>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</si>
  <si>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</si>
  <si>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</si>
  <si>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</si>
  <si>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</si>
  <si>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</si>
  <si>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</si>
  <si>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</si>
  <si>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Brougham Street_Selwyn Street_Intersection</t>
  </si>
  <si>
    <t>Selwyn Street North</t>
  </si>
  <si>
    <t>Brougham Street East</t>
  </si>
  <si>
    <t>Selwyn Street South</t>
  </si>
  <si>
    <t>Brougham Street West</t>
  </si>
  <si>
    <t>U-Turn</t>
  </si>
  <si>
    <t>Left into Brougham Street East</t>
  </si>
  <si>
    <t>Thru to Selwyn Street South</t>
  </si>
  <si>
    <t>Right into Brougham Street West</t>
  </si>
  <si>
    <t>Left into Selwyn Street South</t>
  </si>
  <si>
    <t>Thru to Brougham Street West</t>
  </si>
  <si>
    <t>Right into Selwyn Street North</t>
  </si>
  <si>
    <t>Left into Brougham Street West</t>
  </si>
  <si>
    <t>Thru to Selwyn Street North</t>
  </si>
  <si>
    <t>Right into Brougham Street East</t>
  </si>
  <si>
    <t>Left into Selwyn Street North</t>
  </si>
  <si>
    <t>Thru to Brougham Street East</t>
  </si>
  <si>
    <t>Right into Selwyn Street South</t>
  </si>
  <si>
    <t>Selwyn Street North Total</t>
  </si>
  <si>
    <t>Brougham Street East Total</t>
  </si>
  <si>
    <t>Selwyn Street South Total</t>
  </si>
  <si>
    <t>Brougham Street West Total</t>
  </si>
  <si>
    <t>Left into Brougham Street East Total</t>
  </si>
  <si>
    <t>Thru to Selwyn Street South Total</t>
  </si>
  <si>
    <t>Right into Brougham Street West Total</t>
  </si>
  <si>
    <t>Left into Selwyn Street South Total</t>
  </si>
  <si>
    <t>Thru to Brougham Street West Total</t>
  </si>
  <si>
    <t>Right into Selwyn Street North Total</t>
  </si>
  <si>
    <t>Left into Brougham Street West Total</t>
  </si>
  <si>
    <t>Thru to Selwyn Street North Total</t>
  </si>
  <si>
    <t>Right into Brougham Street East Total</t>
  </si>
  <si>
    <t>Left into Selwyn Street North Total</t>
  </si>
  <si>
    <t>Thru to Brougham Street East Total</t>
  </si>
  <si>
    <t>Right into Selwyn Street South Total</t>
  </si>
  <si>
    <t>U-Turn Total</t>
  </si>
  <si>
    <t>INT Total</t>
  </si>
  <si>
    <t>Brougham Street_Selwyn Street_Intersection      Fine      26/07/2023</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</si>
  <si>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</si>
  <si>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</si>
  <si>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</si>
  <si>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</si>
  <si>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</si>
  <si>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</si>
  <si>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</si>
  <si>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</si>
  <si>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</si>
  <si>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</si>
  <si>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</si>
  <si>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</si>
  <si>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</si>
  <si>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</si>
  <si>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</si>
  <si>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</si>
  <si>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</si>
  <si>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</si>
  <si>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</si>
  <si>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</si>
  <si>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</si>
  <si>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</si>
  <si>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</si>
  <si>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</si>
  <si>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</si>
  <si>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</si>
  <si>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</si>
  <si>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</si>
  <si>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</si>
  <si>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</si>
  <si>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</si>
  <si>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</si>
  <si>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</si>
  <si>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</si>
  <si>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</si>
  <si>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</si>
  <si>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</si>
  <si>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</si>
  <si>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</si>
  <si>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Brougham St Eastbound</t>
  </si>
  <si>
    <t>Selwyn St Northbound</t>
  </si>
  <si>
    <t>Brougham St Westbound</t>
  </si>
  <si>
    <t>Selwyn St Southbound</t>
  </si>
  <si>
    <t>Lights</t>
  </si>
  <si>
    <t>Classification</t>
  </si>
  <si>
    <t>Road</t>
  </si>
  <si>
    <t>Type</t>
  </si>
  <si>
    <t>Project</t>
  </si>
  <si>
    <t>Site Code</t>
  </si>
  <si>
    <t>07/26/2023</t>
  </si>
  <si>
    <t>Start Date</t>
  </si>
  <si>
    <t>CCC I2425 Brougham St - Selwyn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</si>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</sst>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596FEA6-186C-464B-BA30-6E996DCD467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[I2425_Brougham Street_Selwyn Street_Intersection_26-07-2023.xlsx]Graphs!pvtGraphApproach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529</c:v>
                </c:pt>
                <c:pt idx="1">
                  <c:v>537</c:v>
                </c:pt>
                <c:pt idx="2">
                  <c:v>486</c:v>
                </c:pt>
                <c:pt idx="3">
                  <c:v>493</c:v>
                </c:pt>
                <c:pt idx="4">
                  <c:v>473</c:v>
                </c:pt>
                <c:pt idx="5">
                  <c:v>432</c:v>
                </c:pt>
                <c:pt idx="6">
                  <c:v>437</c:v>
                </c:pt>
                <c:pt idx="7">
                  <c:v>506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465</c:v>
                </c:pt>
                <c:pt idx="1">
                  <c:v>467</c:v>
                </c:pt>
                <c:pt idx="2">
                  <c:v>466</c:v>
                </c:pt>
                <c:pt idx="3">
                  <c:v>441</c:v>
                </c:pt>
                <c:pt idx="4">
                  <c:v>439</c:v>
                </c:pt>
                <c:pt idx="5">
                  <c:v>413</c:v>
                </c:pt>
                <c:pt idx="6">
                  <c:v>429</c:v>
                </c:pt>
                <c:pt idx="7">
                  <c:v>407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70</c:v>
                </c:pt>
                <c:pt idx="2">
                  <c:v>64</c:v>
                </c:pt>
                <c:pt idx="3">
                  <c:v>69</c:v>
                </c:pt>
                <c:pt idx="4">
                  <c:v>56</c:v>
                </c:pt>
                <c:pt idx="5">
                  <c:v>91</c:v>
                </c:pt>
                <c:pt idx="6">
                  <c:v>96</c:v>
                </c:pt>
                <c:pt idx="7">
                  <c:v>80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108</c:v>
                </c:pt>
                <c:pt idx="2">
                  <c:v>127</c:v>
                </c:pt>
                <c:pt idx="3">
                  <c:v>175</c:v>
                </c:pt>
                <c:pt idx="4">
                  <c:v>160</c:v>
                </c:pt>
                <c:pt idx="5">
                  <c:v>150</c:v>
                </c:pt>
                <c:pt idx="6">
                  <c:v>145</c:v>
                </c:pt>
                <c:pt idx="7">
                  <c:v>150</c:v>
                </c:pt>
              </c:numCache>
            </c:numRef>
          </c:val>
          <c:smooth val="0"/>
          <c:extLst>
            <c:ext xmlns:c16="http://schemas.microsoft.com/office/drawing/2014/chart" uri="{C3380CC4-5D6E-409C-BE32-E72D297353CC}">
              <c16:uniqueId val="{00000000-647C-4D28-8E41-8FC755DB81B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[I2425_Brougham Street_Selwyn Street_Intersection_26-07-2023.xlsx]Graphs!pvtGraphExit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Brougham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457</c:v>
                </c:pt>
                <c:pt idx="1">
                  <c:v>457</c:v>
                </c:pt>
                <c:pt idx="2">
                  <c:v>473</c:v>
                </c:pt>
                <c:pt idx="3">
                  <c:v>474</c:v>
                </c:pt>
                <c:pt idx="4">
                  <c:v>463</c:v>
                </c:pt>
                <c:pt idx="5">
                  <c:v>429</c:v>
                </c:pt>
                <c:pt idx="6">
                  <c:v>438</c:v>
                </c:pt>
                <c:pt idx="7">
                  <c:v>422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Brougham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566</c:v>
                </c:pt>
                <c:pt idx="1">
                  <c:v>570</c:v>
                </c:pt>
                <c:pt idx="2">
                  <c:v>510</c:v>
                </c:pt>
                <c:pt idx="3">
                  <c:v>515</c:v>
                </c:pt>
                <c:pt idx="4">
                  <c:v>489</c:v>
                </c:pt>
                <c:pt idx="5">
                  <c:v>442</c:v>
                </c:pt>
                <c:pt idx="6">
                  <c:v>447</c:v>
                </c:pt>
                <c:pt idx="7">
                  <c:v>513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110</c:v>
                </c:pt>
                <c:pt idx="2">
                  <c:v>122</c:v>
                </c:pt>
                <c:pt idx="3">
                  <c:v>147</c:v>
                </c:pt>
                <c:pt idx="4">
                  <c:v>125</c:v>
                </c:pt>
                <c:pt idx="5">
                  <c:v>145</c:v>
                </c:pt>
                <c:pt idx="6">
                  <c:v>138</c:v>
                </c:pt>
                <c:pt idx="7">
                  <c:v>137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45</c:v>
                </c:pt>
                <c:pt idx="2">
                  <c:v>38</c:v>
                </c:pt>
                <c:pt idx="3">
                  <c:v>42</c:v>
                </c:pt>
                <c:pt idx="4">
                  <c:v>51</c:v>
                </c:pt>
                <c:pt idx="5">
                  <c:v>70</c:v>
                </c:pt>
                <c:pt idx="6">
                  <c:v>84</c:v>
                </c:pt>
                <c:pt idx="7">
                  <c:v>71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[I2425_Brougham Street_Selwyn Street_Intersection_26-07-2023.xlsx]GraphData!PivotTable2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1169</c:v>
                </c:pt>
                <c:pt idx="1">
                  <c:v>1182</c:v>
                </c:pt>
                <c:pt idx="2">
                  <c:v>1143</c:v>
                </c:pt>
                <c:pt idx="3">
                  <c:v>1178</c:v>
                </c:pt>
                <c:pt idx="4">
                  <c:v>1128</c:v>
                </c:pt>
                <c:pt idx="5">
                  <c:v>1086</c:v>
                </c:pt>
                <c:pt idx="6">
                  <c:v>1107</c:v>
                </c:pt>
                <c:pt idx="7">
                  <c:v>1143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[I2425_Brougham Street_Selwyn Street_Intersection_26-07-2023.xlsx]PeakCalc!pvtPeak2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1169</c:v>
                </c:pt>
                <c:pt idx="1">
                  <c:v>1182</c:v>
                </c:pt>
                <c:pt idx="2">
                  <c:v>1143</c:v>
                </c:pt>
                <c:pt idx="3">
                  <c:v>1178</c:v>
                </c:pt>
                <c:pt idx="4">
                  <c:v>1128</c:v>
                </c:pt>
                <c:pt idx="5">
                  <c:v>1086</c:v>
                </c:pt>
                <c:pt idx="6">
                  <c:v>1107</c:v>
                </c:pt>
                <c:pt idx="7">
                  <c:v>1143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1169</c:v>
                </c:pt>
                <c:pt idx="1">
                  <c:v>1182</c:v>
                </c:pt>
                <c:pt idx="2">
                  <c:v>1143</c:v>
                </c:pt>
                <c:pt idx="3">
                  <c:v>1178</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192667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6.481437847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01"/>
    </cacheField>
    <cacheField name="Peak" numFmtId="0">
      <sharedItems containsSemiMixedTypes="0" containsString="0" containsNumber="1" containsInteger="1" minValue="0" maxValue="12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6.481529629629" createdVersion="5" refreshedVersion="8" minRefreshableVersion="3" recordCount="780" xr:uid="{00000000-000A-0000-FFFF-FFFF01000000}">
  <cacheSource type="worksheet">
    <worksheetSource name="tblPivotData"/>
  </cacheSource>
  <cacheFields count="9">
    <cacheField name="Approach" numFmtId="0">
      <sharedItems count="7">
        <s v="Selwyn Street North"/>
        <s v="Brougham Street East"/>
        <s v="Selwyn Street South"/>
        <s v="Brougham Street West"/>
        <s v="Great south Rd (North)" u="1"/>
        <s v="Great south Rd (South)" u="1"/>
        <s v="Grange Rd" u="1"/>
      </sharedItems>
    </cacheField>
    <cacheField name="Movement" numFmtId="0">
      <sharedItems count="21">
        <s v="Left into Brougham Street East"/>
        <s v="Thru to Selwyn Street South"/>
        <s v="Right into Brougham Street West"/>
        <s v="Left into Selwyn Street South"/>
        <s v="Thru to Brougham Street West"/>
        <s v="Right into Selwyn Street North"/>
        <s v="Left into Brougham Street West"/>
        <s v="Thru to Selwyn Street North"/>
        <s v="Right into Brougham Street East"/>
        <s v="Left into Selwyn Street North"/>
        <s v="Thru to Brougham Street East"/>
        <s v="Right into Selwyn Street South"/>
        <s v="U-Turn"/>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ougham Street East"/>
        <s v="Selwyn Street South"/>
        <s v="Brougham Street West"/>
        <s v="Selwyn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4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69"/>
    <n v="1169"/>
  </r>
  <r>
    <x v="0"/>
    <x v="1"/>
    <n v="1182"/>
    <n v="1182"/>
  </r>
  <r>
    <x v="0"/>
    <x v="2"/>
    <n v="1143"/>
    <n v="1143"/>
  </r>
  <r>
    <x v="0"/>
    <x v="3"/>
    <n v="1178"/>
    <n v="1178"/>
  </r>
  <r>
    <x v="0"/>
    <x v="4"/>
    <n v="1128"/>
    <n v="0"/>
  </r>
  <r>
    <x v="0"/>
    <x v="5"/>
    <n v="1086"/>
    <n v="0"/>
  </r>
  <r>
    <x v="0"/>
    <x v="6"/>
    <n v="1107"/>
    <n v="0"/>
  </r>
  <r>
    <x v="0"/>
    <x v="7"/>
    <n v="1143"/>
    <n v="0"/>
  </r>
  <r>
    <x v="1"/>
    <x v="8"/>
    <n v="1003"/>
    <n v="1003"/>
  </r>
  <r>
    <x v="1"/>
    <x v="9"/>
    <n v="987"/>
    <n v="987"/>
  </r>
  <r>
    <x v="1"/>
    <x v="10"/>
    <n v="1003"/>
    <n v="1003"/>
  </r>
  <r>
    <x v="1"/>
    <x v="11"/>
    <n v="974"/>
    <n v="974"/>
  </r>
  <r>
    <x v="2"/>
    <x v="12"/>
    <n v="1150"/>
    <n v="0"/>
  </r>
  <r>
    <x v="2"/>
    <x v="13"/>
    <n v="1045"/>
    <n v="0"/>
  </r>
  <r>
    <x v="2"/>
    <x v="14"/>
    <n v="1189"/>
    <n v="1189"/>
  </r>
  <r>
    <x v="2"/>
    <x v="15"/>
    <n v="1186"/>
    <n v="1186"/>
  </r>
  <r>
    <x v="2"/>
    <x v="16"/>
    <n v="1182"/>
    <n v="1182"/>
  </r>
  <r>
    <x v="2"/>
    <x v="17"/>
    <n v="1201"/>
    <n v="1201"/>
  </r>
  <r>
    <x v="2"/>
    <x v="18"/>
    <n v="1157"/>
    <n v="0"/>
  </r>
  <r>
    <x v="2"/>
    <x v="19"/>
    <n v="109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9"/>
    <x v="0"/>
    <x v="0"/>
  </r>
  <r>
    <x v="0"/>
    <x v="0"/>
    <x v="0"/>
    <x v="0"/>
    <x v="0"/>
    <x v="1"/>
    <n v="11"/>
    <x v="1"/>
    <x v="0"/>
  </r>
  <r>
    <x v="0"/>
    <x v="0"/>
    <x v="0"/>
    <x v="0"/>
    <x v="0"/>
    <x v="2"/>
    <n v="18"/>
    <x v="2"/>
    <x v="0"/>
  </r>
  <r>
    <x v="0"/>
    <x v="0"/>
    <x v="0"/>
    <x v="0"/>
    <x v="0"/>
    <x v="3"/>
    <n v="14"/>
    <x v="3"/>
    <x v="0"/>
  </r>
  <r>
    <x v="0"/>
    <x v="0"/>
    <x v="0"/>
    <x v="0"/>
    <x v="0"/>
    <x v="4"/>
    <n v="5"/>
    <x v="4"/>
    <x v="1"/>
  </r>
  <r>
    <x v="0"/>
    <x v="0"/>
    <x v="0"/>
    <x v="0"/>
    <x v="0"/>
    <x v="5"/>
    <n v="15"/>
    <x v="5"/>
    <x v="1"/>
  </r>
  <r>
    <x v="0"/>
    <x v="0"/>
    <x v="0"/>
    <x v="0"/>
    <x v="0"/>
    <x v="6"/>
    <n v="12"/>
    <x v="6"/>
    <x v="1"/>
  </r>
  <r>
    <x v="0"/>
    <x v="0"/>
    <x v="0"/>
    <x v="0"/>
    <x v="0"/>
    <x v="7"/>
    <n v="9"/>
    <x v="7"/>
    <x v="1"/>
  </r>
  <r>
    <x v="0"/>
    <x v="0"/>
    <x v="0"/>
    <x v="0"/>
    <x v="1"/>
    <x v="8"/>
    <n v="14"/>
    <x v="8"/>
    <x v="0"/>
  </r>
  <r>
    <x v="0"/>
    <x v="0"/>
    <x v="0"/>
    <x v="0"/>
    <x v="1"/>
    <x v="9"/>
    <n v="18"/>
    <x v="9"/>
    <x v="0"/>
  </r>
  <r>
    <x v="0"/>
    <x v="0"/>
    <x v="0"/>
    <x v="0"/>
    <x v="1"/>
    <x v="10"/>
    <n v="18"/>
    <x v="10"/>
    <x v="0"/>
  </r>
  <r>
    <x v="0"/>
    <x v="0"/>
    <x v="0"/>
    <x v="0"/>
    <x v="1"/>
    <x v="11"/>
    <n v="18"/>
    <x v="11"/>
    <x v="0"/>
  </r>
  <r>
    <x v="0"/>
    <x v="0"/>
    <x v="0"/>
    <x v="0"/>
    <x v="2"/>
    <x v="12"/>
    <n v="8"/>
    <x v="12"/>
    <x v="1"/>
  </r>
  <r>
    <x v="0"/>
    <x v="0"/>
    <x v="0"/>
    <x v="0"/>
    <x v="2"/>
    <x v="13"/>
    <n v="11"/>
    <x v="13"/>
    <x v="1"/>
  </r>
  <r>
    <x v="0"/>
    <x v="0"/>
    <x v="0"/>
    <x v="0"/>
    <x v="2"/>
    <x v="14"/>
    <n v="5"/>
    <x v="14"/>
    <x v="0"/>
  </r>
  <r>
    <x v="0"/>
    <x v="0"/>
    <x v="0"/>
    <x v="0"/>
    <x v="2"/>
    <x v="15"/>
    <n v="10"/>
    <x v="15"/>
    <x v="0"/>
  </r>
  <r>
    <x v="0"/>
    <x v="0"/>
    <x v="0"/>
    <x v="0"/>
    <x v="2"/>
    <x v="16"/>
    <n v="4"/>
    <x v="16"/>
    <x v="0"/>
  </r>
  <r>
    <x v="0"/>
    <x v="0"/>
    <x v="0"/>
    <x v="0"/>
    <x v="2"/>
    <x v="17"/>
    <n v="8"/>
    <x v="17"/>
    <x v="0"/>
  </r>
  <r>
    <x v="0"/>
    <x v="0"/>
    <x v="0"/>
    <x v="0"/>
    <x v="2"/>
    <x v="18"/>
    <n v="6"/>
    <x v="18"/>
    <x v="1"/>
  </r>
  <r>
    <x v="0"/>
    <x v="0"/>
    <x v="0"/>
    <x v="0"/>
    <x v="2"/>
    <x v="19"/>
    <n v="4"/>
    <x v="19"/>
    <x v="1"/>
  </r>
  <r>
    <x v="0"/>
    <x v="0"/>
    <x v="0"/>
    <x v="1"/>
    <x v="0"/>
    <x v="0"/>
    <n v="1"/>
    <x v="0"/>
    <x v="0"/>
  </r>
  <r>
    <x v="0"/>
    <x v="0"/>
    <x v="0"/>
    <x v="1"/>
    <x v="0"/>
    <x v="1"/>
    <n v="0"/>
    <x v="1"/>
    <x v="0"/>
  </r>
  <r>
    <x v="0"/>
    <x v="0"/>
    <x v="0"/>
    <x v="1"/>
    <x v="0"/>
    <x v="2"/>
    <n v="1"/>
    <x v="2"/>
    <x v="0"/>
  </r>
  <r>
    <x v="0"/>
    <x v="0"/>
    <x v="0"/>
    <x v="1"/>
    <x v="0"/>
    <x v="3"/>
    <n v="2"/>
    <x v="3"/>
    <x v="0"/>
  </r>
  <r>
    <x v="0"/>
    <x v="0"/>
    <x v="0"/>
    <x v="1"/>
    <x v="0"/>
    <x v="4"/>
    <n v="1"/>
    <x v="4"/>
    <x v="1"/>
  </r>
  <r>
    <x v="0"/>
    <x v="0"/>
    <x v="0"/>
    <x v="1"/>
    <x v="0"/>
    <x v="5"/>
    <n v="0"/>
    <x v="5"/>
    <x v="1"/>
  </r>
  <r>
    <x v="0"/>
    <x v="0"/>
    <x v="0"/>
    <x v="1"/>
    <x v="0"/>
    <x v="6"/>
    <n v="3"/>
    <x v="6"/>
    <x v="1"/>
  </r>
  <r>
    <x v="0"/>
    <x v="0"/>
    <x v="0"/>
    <x v="1"/>
    <x v="0"/>
    <x v="7"/>
    <n v="2"/>
    <x v="7"/>
    <x v="1"/>
  </r>
  <r>
    <x v="0"/>
    <x v="0"/>
    <x v="0"/>
    <x v="1"/>
    <x v="1"/>
    <x v="8"/>
    <n v="0"/>
    <x v="8"/>
    <x v="0"/>
  </r>
  <r>
    <x v="0"/>
    <x v="0"/>
    <x v="0"/>
    <x v="1"/>
    <x v="1"/>
    <x v="9"/>
    <n v="0"/>
    <x v="9"/>
    <x v="0"/>
  </r>
  <r>
    <x v="0"/>
    <x v="0"/>
    <x v="0"/>
    <x v="1"/>
    <x v="1"/>
    <x v="10"/>
    <n v="1"/>
    <x v="10"/>
    <x v="0"/>
  </r>
  <r>
    <x v="0"/>
    <x v="0"/>
    <x v="0"/>
    <x v="1"/>
    <x v="1"/>
    <x v="11"/>
    <n v="0"/>
    <x v="11"/>
    <x v="0"/>
  </r>
  <r>
    <x v="0"/>
    <x v="0"/>
    <x v="0"/>
    <x v="1"/>
    <x v="2"/>
    <x v="12"/>
    <n v="0"/>
    <x v="12"/>
    <x v="1"/>
  </r>
  <r>
    <x v="0"/>
    <x v="0"/>
    <x v="0"/>
    <x v="1"/>
    <x v="2"/>
    <x v="13"/>
    <n v="0"/>
    <x v="13"/>
    <x v="1"/>
  </r>
  <r>
    <x v="0"/>
    <x v="0"/>
    <x v="0"/>
    <x v="1"/>
    <x v="2"/>
    <x v="14"/>
    <n v="0"/>
    <x v="14"/>
    <x v="0"/>
  </r>
  <r>
    <x v="0"/>
    <x v="0"/>
    <x v="0"/>
    <x v="1"/>
    <x v="2"/>
    <x v="15"/>
    <n v="0"/>
    <x v="15"/>
    <x v="0"/>
  </r>
  <r>
    <x v="0"/>
    <x v="0"/>
    <x v="0"/>
    <x v="1"/>
    <x v="2"/>
    <x v="16"/>
    <n v="0"/>
    <x v="16"/>
    <x v="0"/>
  </r>
  <r>
    <x v="0"/>
    <x v="0"/>
    <x v="0"/>
    <x v="1"/>
    <x v="2"/>
    <x v="17"/>
    <n v="0"/>
    <x v="17"/>
    <x v="0"/>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0"/>
  </r>
  <r>
    <x v="0"/>
    <x v="0"/>
    <x v="0"/>
    <x v="2"/>
    <x v="2"/>
    <x v="15"/>
    <n v="0"/>
    <x v="15"/>
    <x v="0"/>
  </r>
  <r>
    <x v="0"/>
    <x v="0"/>
    <x v="0"/>
    <x v="2"/>
    <x v="2"/>
    <x v="16"/>
    <n v="0"/>
    <x v="16"/>
    <x v="0"/>
  </r>
  <r>
    <x v="0"/>
    <x v="0"/>
    <x v="0"/>
    <x v="2"/>
    <x v="2"/>
    <x v="17"/>
    <n v="0"/>
    <x v="17"/>
    <x v="0"/>
  </r>
  <r>
    <x v="0"/>
    <x v="0"/>
    <x v="0"/>
    <x v="2"/>
    <x v="2"/>
    <x v="18"/>
    <n v="0"/>
    <x v="18"/>
    <x v="1"/>
  </r>
  <r>
    <x v="0"/>
    <x v="0"/>
    <x v="0"/>
    <x v="2"/>
    <x v="2"/>
    <x v="19"/>
    <n v="0"/>
    <x v="19"/>
    <x v="1"/>
  </r>
  <r>
    <x v="0"/>
    <x v="1"/>
    <x v="1"/>
    <x v="0"/>
    <x v="0"/>
    <x v="0"/>
    <n v="24"/>
    <x v="0"/>
    <x v="0"/>
  </r>
  <r>
    <x v="0"/>
    <x v="1"/>
    <x v="1"/>
    <x v="0"/>
    <x v="0"/>
    <x v="1"/>
    <n v="26"/>
    <x v="1"/>
    <x v="0"/>
  </r>
  <r>
    <x v="0"/>
    <x v="1"/>
    <x v="1"/>
    <x v="0"/>
    <x v="0"/>
    <x v="2"/>
    <n v="21"/>
    <x v="2"/>
    <x v="0"/>
  </r>
  <r>
    <x v="0"/>
    <x v="1"/>
    <x v="1"/>
    <x v="0"/>
    <x v="0"/>
    <x v="3"/>
    <n v="31"/>
    <x v="3"/>
    <x v="0"/>
  </r>
  <r>
    <x v="0"/>
    <x v="1"/>
    <x v="1"/>
    <x v="0"/>
    <x v="0"/>
    <x v="4"/>
    <n v="32"/>
    <x v="4"/>
    <x v="1"/>
  </r>
  <r>
    <x v="0"/>
    <x v="1"/>
    <x v="1"/>
    <x v="0"/>
    <x v="0"/>
    <x v="5"/>
    <n v="55"/>
    <x v="5"/>
    <x v="1"/>
  </r>
  <r>
    <x v="0"/>
    <x v="1"/>
    <x v="1"/>
    <x v="0"/>
    <x v="0"/>
    <x v="6"/>
    <n v="63"/>
    <x v="6"/>
    <x v="1"/>
  </r>
  <r>
    <x v="0"/>
    <x v="1"/>
    <x v="1"/>
    <x v="0"/>
    <x v="0"/>
    <x v="7"/>
    <n v="50"/>
    <x v="7"/>
    <x v="1"/>
  </r>
  <r>
    <x v="0"/>
    <x v="1"/>
    <x v="1"/>
    <x v="0"/>
    <x v="1"/>
    <x v="8"/>
    <n v="39"/>
    <x v="8"/>
    <x v="0"/>
  </r>
  <r>
    <x v="0"/>
    <x v="1"/>
    <x v="1"/>
    <x v="0"/>
    <x v="1"/>
    <x v="9"/>
    <n v="43"/>
    <x v="9"/>
    <x v="0"/>
  </r>
  <r>
    <x v="0"/>
    <x v="1"/>
    <x v="1"/>
    <x v="0"/>
    <x v="1"/>
    <x v="10"/>
    <n v="47"/>
    <x v="10"/>
    <x v="0"/>
  </r>
  <r>
    <x v="0"/>
    <x v="1"/>
    <x v="1"/>
    <x v="0"/>
    <x v="1"/>
    <x v="11"/>
    <n v="39"/>
    <x v="11"/>
    <x v="0"/>
  </r>
  <r>
    <x v="0"/>
    <x v="1"/>
    <x v="1"/>
    <x v="0"/>
    <x v="2"/>
    <x v="12"/>
    <n v="88"/>
    <x v="12"/>
    <x v="1"/>
  </r>
  <r>
    <x v="0"/>
    <x v="1"/>
    <x v="1"/>
    <x v="0"/>
    <x v="2"/>
    <x v="13"/>
    <n v="67"/>
    <x v="13"/>
    <x v="1"/>
  </r>
  <r>
    <x v="0"/>
    <x v="1"/>
    <x v="1"/>
    <x v="0"/>
    <x v="2"/>
    <x v="14"/>
    <n v="84"/>
    <x v="14"/>
    <x v="0"/>
  </r>
  <r>
    <x v="0"/>
    <x v="1"/>
    <x v="1"/>
    <x v="0"/>
    <x v="2"/>
    <x v="15"/>
    <n v="100"/>
    <x v="15"/>
    <x v="0"/>
  </r>
  <r>
    <x v="0"/>
    <x v="1"/>
    <x v="1"/>
    <x v="0"/>
    <x v="2"/>
    <x v="16"/>
    <n v="89"/>
    <x v="16"/>
    <x v="0"/>
  </r>
  <r>
    <x v="0"/>
    <x v="1"/>
    <x v="1"/>
    <x v="0"/>
    <x v="2"/>
    <x v="17"/>
    <n v="101"/>
    <x v="17"/>
    <x v="0"/>
  </r>
  <r>
    <x v="0"/>
    <x v="1"/>
    <x v="1"/>
    <x v="0"/>
    <x v="2"/>
    <x v="18"/>
    <n v="94"/>
    <x v="18"/>
    <x v="1"/>
  </r>
  <r>
    <x v="0"/>
    <x v="1"/>
    <x v="1"/>
    <x v="0"/>
    <x v="2"/>
    <x v="19"/>
    <n v="87"/>
    <x v="19"/>
    <x v="1"/>
  </r>
  <r>
    <x v="0"/>
    <x v="1"/>
    <x v="1"/>
    <x v="1"/>
    <x v="0"/>
    <x v="0"/>
    <n v="3"/>
    <x v="0"/>
    <x v="0"/>
  </r>
  <r>
    <x v="0"/>
    <x v="1"/>
    <x v="1"/>
    <x v="1"/>
    <x v="0"/>
    <x v="1"/>
    <n v="2"/>
    <x v="1"/>
    <x v="0"/>
  </r>
  <r>
    <x v="0"/>
    <x v="1"/>
    <x v="1"/>
    <x v="1"/>
    <x v="0"/>
    <x v="2"/>
    <n v="1"/>
    <x v="2"/>
    <x v="0"/>
  </r>
  <r>
    <x v="0"/>
    <x v="1"/>
    <x v="1"/>
    <x v="1"/>
    <x v="0"/>
    <x v="3"/>
    <n v="0"/>
    <x v="3"/>
    <x v="0"/>
  </r>
  <r>
    <x v="0"/>
    <x v="1"/>
    <x v="1"/>
    <x v="1"/>
    <x v="0"/>
    <x v="4"/>
    <n v="3"/>
    <x v="4"/>
    <x v="1"/>
  </r>
  <r>
    <x v="0"/>
    <x v="1"/>
    <x v="1"/>
    <x v="1"/>
    <x v="0"/>
    <x v="5"/>
    <n v="2"/>
    <x v="5"/>
    <x v="1"/>
  </r>
  <r>
    <x v="0"/>
    <x v="1"/>
    <x v="1"/>
    <x v="1"/>
    <x v="0"/>
    <x v="6"/>
    <n v="3"/>
    <x v="6"/>
    <x v="1"/>
  </r>
  <r>
    <x v="0"/>
    <x v="1"/>
    <x v="1"/>
    <x v="1"/>
    <x v="0"/>
    <x v="7"/>
    <n v="4"/>
    <x v="7"/>
    <x v="1"/>
  </r>
  <r>
    <x v="0"/>
    <x v="1"/>
    <x v="1"/>
    <x v="1"/>
    <x v="1"/>
    <x v="8"/>
    <n v="2"/>
    <x v="8"/>
    <x v="0"/>
  </r>
  <r>
    <x v="0"/>
    <x v="1"/>
    <x v="1"/>
    <x v="1"/>
    <x v="1"/>
    <x v="9"/>
    <n v="1"/>
    <x v="9"/>
    <x v="0"/>
  </r>
  <r>
    <x v="0"/>
    <x v="1"/>
    <x v="1"/>
    <x v="1"/>
    <x v="1"/>
    <x v="10"/>
    <n v="1"/>
    <x v="10"/>
    <x v="0"/>
  </r>
  <r>
    <x v="0"/>
    <x v="1"/>
    <x v="1"/>
    <x v="1"/>
    <x v="1"/>
    <x v="11"/>
    <n v="0"/>
    <x v="11"/>
    <x v="0"/>
  </r>
  <r>
    <x v="0"/>
    <x v="1"/>
    <x v="1"/>
    <x v="1"/>
    <x v="2"/>
    <x v="12"/>
    <n v="0"/>
    <x v="12"/>
    <x v="1"/>
  </r>
  <r>
    <x v="0"/>
    <x v="1"/>
    <x v="1"/>
    <x v="1"/>
    <x v="2"/>
    <x v="13"/>
    <n v="2"/>
    <x v="13"/>
    <x v="1"/>
  </r>
  <r>
    <x v="0"/>
    <x v="1"/>
    <x v="1"/>
    <x v="1"/>
    <x v="2"/>
    <x v="14"/>
    <n v="1"/>
    <x v="14"/>
    <x v="0"/>
  </r>
  <r>
    <x v="0"/>
    <x v="1"/>
    <x v="1"/>
    <x v="1"/>
    <x v="2"/>
    <x v="15"/>
    <n v="1"/>
    <x v="15"/>
    <x v="0"/>
  </r>
  <r>
    <x v="0"/>
    <x v="1"/>
    <x v="1"/>
    <x v="1"/>
    <x v="2"/>
    <x v="16"/>
    <n v="3"/>
    <x v="16"/>
    <x v="0"/>
  </r>
  <r>
    <x v="0"/>
    <x v="1"/>
    <x v="1"/>
    <x v="1"/>
    <x v="2"/>
    <x v="17"/>
    <n v="1"/>
    <x v="17"/>
    <x v="0"/>
  </r>
  <r>
    <x v="0"/>
    <x v="1"/>
    <x v="1"/>
    <x v="1"/>
    <x v="2"/>
    <x v="18"/>
    <n v="1"/>
    <x v="18"/>
    <x v="1"/>
  </r>
  <r>
    <x v="0"/>
    <x v="1"/>
    <x v="1"/>
    <x v="1"/>
    <x v="2"/>
    <x v="19"/>
    <n v="1"/>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1"/>
    <x v="10"/>
    <x v="0"/>
  </r>
  <r>
    <x v="0"/>
    <x v="1"/>
    <x v="1"/>
    <x v="2"/>
    <x v="1"/>
    <x v="11"/>
    <n v="1"/>
    <x v="11"/>
    <x v="0"/>
  </r>
  <r>
    <x v="0"/>
    <x v="1"/>
    <x v="1"/>
    <x v="2"/>
    <x v="2"/>
    <x v="12"/>
    <n v="3"/>
    <x v="12"/>
    <x v="1"/>
  </r>
  <r>
    <x v="0"/>
    <x v="1"/>
    <x v="1"/>
    <x v="2"/>
    <x v="2"/>
    <x v="13"/>
    <n v="8"/>
    <x v="13"/>
    <x v="1"/>
  </r>
  <r>
    <x v="0"/>
    <x v="1"/>
    <x v="1"/>
    <x v="2"/>
    <x v="2"/>
    <x v="14"/>
    <n v="7"/>
    <x v="14"/>
    <x v="0"/>
  </r>
  <r>
    <x v="0"/>
    <x v="1"/>
    <x v="1"/>
    <x v="2"/>
    <x v="2"/>
    <x v="15"/>
    <n v="5"/>
    <x v="15"/>
    <x v="0"/>
  </r>
  <r>
    <x v="0"/>
    <x v="1"/>
    <x v="1"/>
    <x v="2"/>
    <x v="2"/>
    <x v="16"/>
    <n v="2"/>
    <x v="16"/>
    <x v="0"/>
  </r>
  <r>
    <x v="0"/>
    <x v="1"/>
    <x v="1"/>
    <x v="2"/>
    <x v="2"/>
    <x v="17"/>
    <n v="5"/>
    <x v="17"/>
    <x v="0"/>
  </r>
  <r>
    <x v="0"/>
    <x v="1"/>
    <x v="1"/>
    <x v="2"/>
    <x v="2"/>
    <x v="18"/>
    <n v="2"/>
    <x v="18"/>
    <x v="1"/>
  </r>
  <r>
    <x v="0"/>
    <x v="1"/>
    <x v="1"/>
    <x v="2"/>
    <x v="2"/>
    <x v="19"/>
    <n v="1"/>
    <x v="19"/>
    <x v="1"/>
  </r>
  <r>
    <x v="0"/>
    <x v="2"/>
    <x v="2"/>
    <x v="0"/>
    <x v="0"/>
    <x v="0"/>
    <n v="21"/>
    <x v="0"/>
    <x v="0"/>
  </r>
  <r>
    <x v="0"/>
    <x v="2"/>
    <x v="2"/>
    <x v="0"/>
    <x v="0"/>
    <x v="1"/>
    <n v="31"/>
    <x v="1"/>
    <x v="0"/>
  </r>
  <r>
    <x v="0"/>
    <x v="2"/>
    <x v="2"/>
    <x v="0"/>
    <x v="0"/>
    <x v="2"/>
    <n v="23"/>
    <x v="2"/>
    <x v="0"/>
  </r>
  <r>
    <x v="0"/>
    <x v="2"/>
    <x v="2"/>
    <x v="0"/>
    <x v="0"/>
    <x v="3"/>
    <n v="21"/>
    <x v="3"/>
    <x v="0"/>
  </r>
  <r>
    <x v="0"/>
    <x v="2"/>
    <x v="2"/>
    <x v="0"/>
    <x v="0"/>
    <x v="4"/>
    <n v="12"/>
    <x v="4"/>
    <x v="1"/>
  </r>
  <r>
    <x v="0"/>
    <x v="2"/>
    <x v="2"/>
    <x v="0"/>
    <x v="0"/>
    <x v="5"/>
    <n v="19"/>
    <x v="5"/>
    <x v="1"/>
  </r>
  <r>
    <x v="0"/>
    <x v="2"/>
    <x v="2"/>
    <x v="0"/>
    <x v="0"/>
    <x v="6"/>
    <n v="14"/>
    <x v="6"/>
    <x v="1"/>
  </r>
  <r>
    <x v="0"/>
    <x v="2"/>
    <x v="2"/>
    <x v="0"/>
    <x v="0"/>
    <x v="7"/>
    <n v="15"/>
    <x v="7"/>
    <x v="1"/>
  </r>
  <r>
    <x v="0"/>
    <x v="2"/>
    <x v="2"/>
    <x v="0"/>
    <x v="1"/>
    <x v="8"/>
    <n v="26"/>
    <x v="8"/>
    <x v="0"/>
  </r>
  <r>
    <x v="0"/>
    <x v="2"/>
    <x v="2"/>
    <x v="0"/>
    <x v="1"/>
    <x v="9"/>
    <n v="27"/>
    <x v="9"/>
    <x v="0"/>
  </r>
  <r>
    <x v="0"/>
    <x v="2"/>
    <x v="2"/>
    <x v="0"/>
    <x v="1"/>
    <x v="10"/>
    <n v="30"/>
    <x v="10"/>
    <x v="0"/>
  </r>
  <r>
    <x v="0"/>
    <x v="2"/>
    <x v="2"/>
    <x v="0"/>
    <x v="1"/>
    <x v="11"/>
    <n v="33"/>
    <x v="11"/>
    <x v="0"/>
  </r>
  <r>
    <x v="0"/>
    <x v="2"/>
    <x v="2"/>
    <x v="0"/>
    <x v="2"/>
    <x v="12"/>
    <n v="37"/>
    <x v="12"/>
    <x v="1"/>
  </r>
  <r>
    <x v="0"/>
    <x v="2"/>
    <x v="2"/>
    <x v="0"/>
    <x v="2"/>
    <x v="13"/>
    <n v="41"/>
    <x v="13"/>
    <x v="1"/>
  </r>
  <r>
    <x v="0"/>
    <x v="2"/>
    <x v="2"/>
    <x v="0"/>
    <x v="2"/>
    <x v="14"/>
    <n v="33"/>
    <x v="14"/>
    <x v="0"/>
  </r>
  <r>
    <x v="0"/>
    <x v="2"/>
    <x v="2"/>
    <x v="0"/>
    <x v="2"/>
    <x v="15"/>
    <n v="33"/>
    <x v="15"/>
    <x v="0"/>
  </r>
  <r>
    <x v="0"/>
    <x v="2"/>
    <x v="2"/>
    <x v="0"/>
    <x v="2"/>
    <x v="16"/>
    <n v="37"/>
    <x v="16"/>
    <x v="0"/>
  </r>
  <r>
    <x v="0"/>
    <x v="2"/>
    <x v="2"/>
    <x v="0"/>
    <x v="2"/>
    <x v="17"/>
    <n v="47"/>
    <x v="17"/>
    <x v="0"/>
  </r>
  <r>
    <x v="0"/>
    <x v="2"/>
    <x v="2"/>
    <x v="0"/>
    <x v="2"/>
    <x v="18"/>
    <n v="48"/>
    <x v="18"/>
    <x v="1"/>
  </r>
  <r>
    <x v="0"/>
    <x v="2"/>
    <x v="2"/>
    <x v="0"/>
    <x v="2"/>
    <x v="19"/>
    <n v="50"/>
    <x v="19"/>
    <x v="1"/>
  </r>
  <r>
    <x v="0"/>
    <x v="2"/>
    <x v="2"/>
    <x v="1"/>
    <x v="0"/>
    <x v="0"/>
    <n v="1"/>
    <x v="0"/>
    <x v="0"/>
  </r>
  <r>
    <x v="0"/>
    <x v="2"/>
    <x v="2"/>
    <x v="1"/>
    <x v="0"/>
    <x v="1"/>
    <n v="0"/>
    <x v="1"/>
    <x v="0"/>
  </r>
  <r>
    <x v="0"/>
    <x v="2"/>
    <x v="2"/>
    <x v="1"/>
    <x v="0"/>
    <x v="2"/>
    <n v="0"/>
    <x v="2"/>
    <x v="0"/>
  </r>
  <r>
    <x v="0"/>
    <x v="2"/>
    <x v="2"/>
    <x v="1"/>
    <x v="0"/>
    <x v="3"/>
    <n v="1"/>
    <x v="3"/>
    <x v="0"/>
  </r>
  <r>
    <x v="0"/>
    <x v="2"/>
    <x v="2"/>
    <x v="1"/>
    <x v="0"/>
    <x v="4"/>
    <n v="3"/>
    <x v="4"/>
    <x v="1"/>
  </r>
  <r>
    <x v="0"/>
    <x v="2"/>
    <x v="2"/>
    <x v="1"/>
    <x v="0"/>
    <x v="5"/>
    <n v="0"/>
    <x v="5"/>
    <x v="1"/>
  </r>
  <r>
    <x v="0"/>
    <x v="2"/>
    <x v="2"/>
    <x v="1"/>
    <x v="0"/>
    <x v="6"/>
    <n v="1"/>
    <x v="6"/>
    <x v="1"/>
  </r>
  <r>
    <x v="0"/>
    <x v="2"/>
    <x v="2"/>
    <x v="1"/>
    <x v="0"/>
    <x v="7"/>
    <n v="0"/>
    <x v="7"/>
    <x v="1"/>
  </r>
  <r>
    <x v="0"/>
    <x v="2"/>
    <x v="2"/>
    <x v="1"/>
    <x v="1"/>
    <x v="8"/>
    <n v="0"/>
    <x v="8"/>
    <x v="0"/>
  </r>
  <r>
    <x v="0"/>
    <x v="2"/>
    <x v="2"/>
    <x v="1"/>
    <x v="1"/>
    <x v="9"/>
    <n v="0"/>
    <x v="9"/>
    <x v="0"/>
  </r>
  <r>
    <x v="0"/>
    <x v="2"/>
    <x v="2"/>
    <x v="1"/>
    <x v="1"/>
    <x v="10"/>
    <n v="3"/>
    <x v="10"/>
    <x v="0"/>
  </r>
  <r>
    <x v="0"/>
    <x v="2"/>
    <x v="2"/>
    <x v="1"/>
    <x v="1"/>
    <x v="11"/>
    <n v="2"/>
    <x v="11"/>
    <x v="0"/>
  </r>
  <r>
    <x v="0"/>
    <x v="2"/>
    <x v="2"/>
    <x v="1"/>
    <x v="2"/>
    <x v="12"/>
    <n v="0"/>
    <x v="12"/>
    <x v="1"/>
  </r>
  <r>
    <x v="0"/>
    <x v="2"/>
    <x v="2"/>
    <x v="1"/>
    <x v="2"/>
    <x v="13"/>
    <n v="1"/>
    <x v="13"/>
    <x v="1"/>
  </r>
  <r>
    <x v="0"/>
    <x v="2"/>
    <x v="2"/>
    <x v="1"/>
    <x v="2"/>
    <x v="14"/>
    <n v="1"/>
    <x v="14"/>
    <x v="0"/>
  </r>
  <r>
    <x v="0"/>
    <x v="2"/>
    <x v="2"/>
    <x v="1"/>
    <x v="2"/>
    <x v="15"/>
    <n v="1"/>
    <x v="15"/>
    <x v="0"/>
  </r>
  <r>
    <x v="0"/>
    <x v="2"/>
    <x v="2"/>
    <x v="1"/>
    <x v="2"/>
    <x v="16"/>
    <n v="1"/>
    <x v="16"/>
    <x v="0"/>
  </r>
  <r>
    <x v="0"/>
    <x v="2"/>
    <x v="2"/>
    <x v="1"/>
    <x v="2"/>
    <x v="17"/>
    <n v="1"/>
    <x v="17"/>
    <x v="0"/>
  </r>
  <r>
    <x v="0"/>
    <x v="2"/>
    <x v="2"/>
    <x v="1"/>
    <x v="2"/>
    <x v="18"/>
    <n v="0"/>
    <x v="18"/>
    <x v="1"/>
  </r>
  <r>
    <x v="0"/>
    <x v="2"/>
    <x v="2"/>
    <x v="1"/>
    <x v="2"/>
    <x v="19"/>
    <n v="1"/>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1"/>
  </r>
  <r>
    <x v="0"/>
    <x v="2"/>
    <x v="2"/>
    <x v="2"/>
    <x v="2"/>
    <x v="14"/>
    <n v="0"/>
    <x v="14"/>
    <x v="0"/>
  </r>
  <r>
    <x v="0"/>
    <x v="2"/>
    <x v="2"/>
    <x v="2"/>
    <x v="2"/>
    <x v="15"/>
    <n v="0"/>
    <x v="15"/>
    <x v="0"/>
  </r>
  <r>
    <x v="0"/>
    <x v="2"/>
    <x v="2"/>
    <x v="2"/>
    <x v="2"/>
    <x v="16"/>
    <n v="0"/>
    <x v="16"/>
    <x v="0"/>
  </r>
  <r>
    <x v="0"/>
    <x v="2"/>
    <x v="2"/>
    <x v="2"/>
    <x v="2"/>
    <x v="17"/>
    <n v="0"/>
    <x v="17"/>
    <x v="0"/>
  </r>
  <r>
    <x v="0"/>
    <x v="2"/>
    <x v="2"/>
    <x v="2"/>
    <x v="2"/>
    <x v="18"/>
    <n v="0"/>
    <x v="18"/>
    <x v="1"/>
  </r>
  <r>
    <x v="0"/>
    <x v="2"/>
    <x v="2"/>
    <x v="2"/>
    <x v="2"/>
    <x v="19"/>
    <n v="0"/>
    <x v="19"/>
    <x v="1"/>
  </r>
  <r>
    <x v="1"/>
    <x v="3"/>
    <x v="1"/>
    <x v="0"/>
    <x v="0"/>
    <x v="0"/>
    <n v="2"/>
    <x v="0"/>
    <x v="0"/>
  </r>
  <r>
    <x v="1"/>
    <x v="3"/>
    <x v="1"/>
    <x v="0"/>
    <x v="0"/>
    <x v="1"/>
    <n v="9"/>
    <x v="1"/>
    <x v="0"/>
  </r>
  <r>
    <x v="1"/>
    <x v="3"/>
    <x v="1"/>
    <x v="0"/>
    <x v="0"/>
    <x v="2"/>
    <n v="9"/>
    <x v="2"/>
    <x v="0"/>
  </r>
  <r>
    <x v="1"/>
    <x v="3"/>
    <x v="1"/>
    <x v="0"/>
    <x v="0"/>
    <x v="3"/>
    <n v="7"/>
    <x v="3"/>
    <x v="0"/>
  </r>
  <r>
    <x v="1"/>
    <x v="3"/>
    <x v="1"/>
    <x v="0"/>
    <x v="0"/>
    <x v="4"/>
    <n v="7"/>
    <x v="4"/>
    <x v="1"/>
  </r>
  <r>
    <x v="1"/>
    <x v="3"/>
    <x v="1"/>
    <x v="0"/>
    <x v="0"/>
    <x v="5"/>
    <n v="10"/>
    <x v="5"/>
    <x v="1"/>
  </r>
  <r>
    <x v="1"/>
    <x v="3"/>
    <x v="1"/>
    <x v="0"/>
    <x v="0"/>
    <x v="6"/>
    <n v="10"/>
    <x v="6"/>
    <x v="1"/>
  </r>
  <r>
    <x v="1"/>
    <x v="3"/>
    <x v="1"/>
    <x v="0"/>
    <x v="0"/>
    <x v="7"/>
    <n v="9"/>
    <x v="7"/>
    <x v="1"/>
  </r>
  <r>
    <x v="1"/>
    <x v="3"/>
    <x v="1"/>
    <x v="0"/>
    <x v="1"/>
    <x v="8"/>
    <n v="36"/>
    <x v="8"/>
    <x v="0"/>
  </r>
  <r>
    <x v="1"/>
    <x v="3"/>
    <x v="1"/>
    <x v="0"/>
    <x v="1"/>
    <x v="9"/>
    <n v="23"/>
    <x v="9"/>
    <x v="0"/>
  </r>
  <r>
    <x v="1"/>
    <x v="3"/>
    <x v="1"/>
    <x v="0"/>
    <x v="1"/>
    <x v="10"/>
    <n v="19"/>
    <x v="10"/>
    <x v="0"/>
  </r>
  <r>
    <x v="1"/>
    <x v="3"/>
    <x v="1"/>
    <x v="0"/>
    <x v="1"/>
    <x v="11"/>
    <n v="12"/>
    <x v="11"/>
    <x v="0"/>
  </r>
  <r>
    <x v="1"/>
    <x v="3"/>
    <x v="1"/>
    <x v="0"/>
    <x v="2"/>
    <x v="12"/>
    <n v="9"/>
    <x v="12"/>
    <x v="1"/>
  </r>
  <r>
    <x v="1"/>
    <x v="3"/>
    <x v="1"/>
    <x v="0"/>
    <x v="2"/>
    <x v="13"/>
    <n v="0"/>
    <x v="13"/>
    <x v="1"/>
  </r>
  <r>
    <x v="1"/>
    <x v="3"/>
    <x v="1"/>
    <x v="0"/>
    <x v="2"/>
    <x v="14"/>
    <n v="6"/>
    <x v="14"/>
    <x v="0"/>
  </r>
  <r>
    <x v="1"/>
    <x v="3"/>
    <x v="1"/>
    <x v="0"/>
    <x v="2"/>
    <x v="15"/>
    <n v="4"/>
    <x v="15"/>
    <x v="0"/>
  </r>
  <r>
    <x v="1"/>
    <x v="3"/>
    <x v="1"/>
    <x v="0"/>
    <x v="2"/>
    <x v="16"/>
    <n v="13"/>
    <x v="16"/>
    <x v="0"/>
  </r>
  <r>
    <x v="1"/>
    <x v="3"/>
    <x v="1"/>
    <x v="0"/>
    <x v="2"/>
    <x v="17"/>
    <n v="8"/>
    <x v="17"/>
    <x v="0"/>
  </r>
  <r>
    <x v="1"/>
    <x v="3"/>
    <x v="1"/>
    <x v="0"/>
    <x v="2"/>
    <x v="18"/>
    <n v="16"/>
    <x v="18"/>
    <x v="1"/>
  </r>
  <r>
    <x v="1"/>
    <x v="3"/>
    <x v="1"/>
    <x v="0"/>
    <x v="2"/>
    <x v="19"/>
    <n v="15"/>
    <x v="19"/>
    <x v="1"/>
  </r>
  <r>
    <x v="1"/>
    <x v="3"/>
    <x v="1"/>
    <x v="1"/>
    <x v="0"/>
    <x v="0"/>
    <n v="3"/>
    <x v="0"/>
    <x v="0"/>
  </r>
  <r>
    <x v="1"/>
    <x v="3"/>
    <x v="1"/>
    <x v="1"/>
    <x v="0"/>
    <x v="1"/>
    <n v="0"/>
    <x v="1"/>
    <x v="0"/>
  </r>
  <r>
    <x v="1"/>
    <x v="3"/>
    <x v="1"/>
    <x v="1"/>
    <x v="0"/>
    <x v="2"/>
    <n v="1"/>
    <x v="2"/>
    <x v="0"/>
  </r>
  <r>
    <x v="1"/>
    <x v="3"/>
    <x v="1"/>
    <x v="1"/>
    <x v="0"/>
    <x v="3"/>
    <n v="0"/>
    <x v="3"/>
    <x v="0"/>
  </r>
  <r>
    <x v="1"/>
    <x v="3"/>
    <x v="1"/>
    <x v="1"/>
    <x v="0"/>
    <x v="4"/>
    <n v="3"/>
    <x v="4"/>
    <x v="1"/>
  </r>
  <r>
    <x v="1"/>
    <x v="3"/>
    <x v="1"/>
    <x v="1"/>
    <x v="0"/>
    <x v="5"/>
    <n v="0"/>
    <x v="5"/>
    <x v="1"/>
  </r>
  <r>
    <x v="1"/>
    <x v="3"/>
    <x v="1"/>
    <x v="1"/>
    <x v="0"/>
    <x v="6"/>
    <n v="0"/>
    <x v="6"/>
    <x v="1"/>
  </r>
  <r>
    <x v="1"/>
    <x v="3"/>
    <x v="1"/>
    <x v="1"/>
    <x v="0"/>
    <x v="7"/>
    <n v="4"/>
    <x v="7"/>
    <x v="1"/>
  </r>
  <r>
    <x v="1"/>
    <x v="3"/>
    <x v="1"/>
    <x v="1"/>
    <x v="1"/>
    <x v="8"/>
    <n v="1"/>
    <x v="8"/>
    <x v="0"/>
  </r>
  <r>
    <x v="1"/>
    <x v="3"/>
    <x v="1"/>
    <x v="1"/>
    <x v="1"/>
    <x v="9"/>
    <n v="0"/>
    <x v="9"/>
    <x v="0"/>
  </r>
  <r>
    <x v="1"/>
    <x v="3"/>
    <x v="1"/>
    <x v="1"/>
    <x v="1"/>
    <x v="10"/>
    <n v="1"/>
    <x v="10"/>
    <x v="0"/>
  </r>
  <r>
    <x v="1"/>
    <x v="3"/>
    <x v="1"/>
    <x v="1"/>
    <x v="1"/>
    <x v="11"/>
    <n v="3"/>
    <x v="11"/>
    <x v="0"/>
  </r>
  <r>
    <x v="1"/>
    <x v="3"/>
    <x v="1"/>
    <x v="1"/>
    <x v="2"/>
    <x v="12"/>
    <n v="1"/>
    <x v="12"/>
    <x v="1"/>
  </r>
  <r>
    <x v="1"/>
    <x v="3"/>
    <x v="1"/>
    <x v="1"/>
    <x v="2"/>
    <x v="13"/>
    <n v="0"/>
    <x v="13"/>
    <x v="1"/>
  </r>
  <r>
    <x v="1"/>
    <x v="3"/>
    <x v="1"/>
    <x v="1"/>
    <x v="2"/>
    <x v="14"/>
    <n v="0"/>
    <x v="14"/>
    <x v="0"/>
  </r>
  <r>
    <x v="1"/>
    <x v="3"/>
    <x v="1"/>
    <x v="1"/>
    <x v="2"/>
    <x v="15"/>
    <n v="1"/>
    <x v="15"/>
    <x v="0"/>
  </r>
  <r>
    <x v="1"/>
    <x v="3"/>
    <x v="1"/>
    <x v="1"/>
    <x v="2"/>
    <x v="16"/>
    <n v="0"/>
    <x v="16"/>
    <x v="0"/>
  </r>
  <r>
    <x v="1"/>
    <x v="3"/>
    <x v="1"/>
    <x v="1"/>
    <x v="2"/>
    <x v="17"/>
    <n v="1"/>
    <x v="17"/>
    <x v="0"/>
  </r>
  <r>
    <x v="1"/>
    <x v="3"/>
    <x v="1"/>
    <x v="1"/>
    <x v="2"/>
    <x v="18"/>
    <n v="0"/>
    <x v="18"/>
    <x v="1"/>
  </r>
  <r>
    <x v="1"/>
    <x v="3"/>
    <x v="1"/>
    <x v="1"/>
    <x v="2"/>
    <x v="19"/>
    <n v="1"/>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1"/>
  </r>
  <r>
    <x v="1"/>
    <x v="3"/>
    <x v="1"/>
    <x v="2"/>
    <x v="2"/>
    <x v="13"/>
    <n v="0"/>
    <x v="13"/>
    <x v="1"/>
  </r>
  <r>
    <x v="1"/>
    <x v="3"/>
    <x v="1"/>
    <x v="2"/>
    <x v="2"/>
    <x v="14"/>
    <n v="0"/>
    <x v="14"/>
    <x v="0"/>
  </r>
  <r>
    <x v="1"/>
    <x v="3"/>
    <x v="1"/>
    <x v="2"/>
    <x v="2"/>
    <x v="15"/>
    <n v="0"/>
    <x v="15"/>
    <x v="0"/>
  </r>
  <r>
    <x v="1"/>
    <x v="3"/>
    <x v="1"/>
    <x v="2"/>
    <x v="2"/>
    <x v="16"/>
    <n v="1"/>
    <x v="16"/>
    <x v="0"/>
  </r>
  <r>
    <x v="1"/>
    <x v="3"/>
    <x v="1"/>
    <x v="2"/>
    <x v="2"/>
    <x v="17"/>
    <n v="0"/>
    <x v="17"/>
    <x v="0"/>
  </r>
  <r>
    <x v="1"/>
    <x v="3"/>
    <x v="1"/>
    <x v="2"/>
    <x v="2"/>
    <x v="18"/>
    <n v="0"/>
    <x v="18"/>
    <x v="1"/>
  </r>
  <r>
    <x v="1"/>
    <x v="3"/>
    <x v="1"/>
    <x v="2"/>
    <x v="2"/>
    <x v="19"/>
    <n v="0"/>
    <x v="19"/>
    <x v="1"/>
  </r>
  <r>
    <x v="1"/>
    <x v="4"/>
    <x v="2"/>
    <x v="0"/>
    <x v="0"/>
    <x v="0"/>
    <n v="486"/>
    <x v="0"/>
    <x v="0"/>
  </r>
  <r>
    <x v="1"/>
    <x v="4"/>
    <x v="2"/>
    <x v="0"/>
    <x v="0"/>
    <x v="1"/>
    <n v="482"/>
    <x v="1"/>
    <x v="0"/>
  </r>
  <r>
    <x v="1"/>
    <x v="4"/>
    <x v="2"/>
    <x v="0"/>
    <x v="0"/>
    <x v="2"/>
    <n v="428"/>
    <x v="2"/>
    <x v="0"/>
  </r>
  <r>
    <x v="1"/>
    <x v="4"/>
    <x v="2"/>
    <x v="0"/>
    <x v="0"/>
    <x v="3"/>
    <n v="438"/>
    <x v="3"/>
    <x v="0"/>
  </r>
  <r>
    <x v="1"/>
    <x v="4"/>
    <x v="2"/>
    <x v="0"/>
    <x v="0"/>
    <x v="4"/>
    <n v="415"/>
    <x v="4"/>
    <x v="1"/>
  </r>
  <r>
    <x v="1"/>
    <x v="4"/>
    <x v="2"/>
    <x v="0"/>
    <x v="0"/>
    <x v="5"/>
    <n v="362"/>
    <x v="5"/>
    <x v="1"/>
  </r>
  <r>
    <x v="1"/>
    <x v="4"/>
    <x v="2"/>
    <x v="0"/>
    <x v="0"/>
    <x v="6"/>
    <n v="378"/>
    <x v="6"/>
    <x v="1"/>
  </r>
  <r>
    <x v="1"/>
    <x v="4"/>
    <x v="2"/>
    <x v="0"/>
    <x v="0"/>
    <x v="7"/>
    <n v="436"/>
    <x v="7"/>
    <x v="1"/>
  </r>
  <r>
    <x v="1"/>
    <x v="4"/>
    <x v="2"/>
    <x v="0"/>
    <x v="1"/>
    <x v="8"/>
    <n v="353"/>
    <x v="8"/>
    <x v="0"/>
  </r>
  <r>
    <x v="1"/>
    <x v="4"/>
    <x v="2"/>
    <x v="0"/>
    <x v="1"/>
    <x v="9"/>
    <n v="309"/>
    <x v="9"/>
    <x v="0"/>
  </r>
  <r>
    <x v="1"/>
    <x v="4"/>
    <x v="2"/>
    <x v="0"/>
    <x v="1"/>
    <x v="10"/>
    <n v="322"/>
    <x v="10"/>
    <x v="0"/>
  </r>
  <r>
    <x v="1"/>
    <x v="4"/>
    <x v="2"/>
    <x v="0"/>
    <x v="1"/>
    <x v="11"/>
    <n v="321"/>
    <x v="11"/>
    <x v="0"/>
  </r>
  <r>
    <x v="1"/>
    <x v="4"/>
    <x v="2"/>
    <x v="0"/>
    <x v="2"/>
    <x v="12"/>
    <n v="413"/>
    <x v="12"/>
    <x v="1"/>
  </r>
  <r>
    <x v="1"/>
    <x v="4"/>
    <x v="2"/>
    <x v="0"/>
    <x v="2"/>
    <x v="13"/>
    <n v="387"/>
    <x v="13"/>
    <x v="1"/>
  </r>
  <r>
    <x v="1"/>
    <x v="4"/>
    <x v="2"/>
    <x v="0"/>
    <x v="2"/>
    <x v="14"/>
    <n v="416"/>
    <x v="14"/>
    <x v="0"/>
  </r>
  <r>
    <x v="1"/>
    <x v="4"/>
    <x v="2"/>
    <x v="0"/>
    <x v="2"/>
    <x v="15"/>
    <n v="417"/>
    <x v="15"/>
    <x v="0"/>
  </r>
  <r>
    <x v="1"/>
    <x v="4"/>
    <x v="2"/>
    <x v="0"/>
    <x v="2"/>
    <x v="16"/>
    <n v="411"/>
    <x v="16"/>
    <x v="0"/>
  </r>
  <r>
    <x v="1"/>
    <x v="4"/>
    <x v="2"/>
    <x v="0"/>
    <x v="2"/>
    <x v="17"/>
    <n v="472"/>
    <x v="17"/>
    <x v="0"/>
  </r>
  <r>
    <x v="1"/>
    <x v="4"/>
    <x v="2"/>
    <x v="0"/>
    <x v="2"/>
    <x v="18"/>
    <n v="444"/>
    <x v="18"/>
    <x v="1"/>
  </r>
  <r>
    <x v="1"/>
    <x v="4"/>
    <x v="2"/>
    <x v="0"/>
    <x v="2"/>
    <x v="19"/>
    <n v="412"/>
    <x v="19"/>
    <x v="1"/>
  </r>
  <r>
    <x v="1"/>
    <x v="4"/>
    <x v="2"/>
    <x v="1"/>
    <x v="0"/>
    <x v="0"/>
    <n v="28"/>
    <x v="0"/>
    <x v="0"/>
  </r>
  <r>
    <x v="1"/>
    <x v="4"/>
    <x v="2"/>
    <x v="1"/>
    <x v="0"/>
    <x v="1"/>
    <n v="31"/>
    <x v="1"/>
    <x v="0"/>
  </r>
  <r>
    <x v="1"/>
    <x v="4"/>
    <x v="2"/>
    <x v="1"/>
    <x v="0"/>
    <x v="2"/>
    <n v="35"/>
    <x v="2"/>
    <x v="0"/>
  </r>
  <r>
    <x v="1"/>
    <x v="4"/>
    <x v="2"/>
    <x v="1"/>
    <x v="0"/>
    <x v="3"/>
    <n v="32"/>
    <x v="3"/>
    <x v="0"/>
  </r>
  <r>
    <x v="1"/>
    <x v="4"/>
    <x v="2"/>
    <x v="1"/>
    <x v="0"/>
    <x v="4"/>
    <n v="36"/>
    <x v="4"/>
    <x v="1"/>
  </r>
  <r>
    <x v="1"/>
    <x v="4"/>
    <x v="2"/>
    <x v="1"/>
    <x v="0"/>
    <x v="5"/>
    <n v="36"/>
    <x v="5"/>
    <x v="1"/>
  </r>
  <r>
    <x v="1"/>
    <x v="4"/>
    <x v="2"/>
    <x v="1"/>
    <x v="0"/>
    <x v="6"/>
    <n v="33"/>
    <x v="6"/>
    <x v="1"/>
  </r>
  <r>
    <x v="1"/>
    <x v="4"/>
    <x v="2"/>
    <x v="1"/>
    <x v="0"/>
    <x v="7"/>
    <n v="37"/>
    <x v="7"/>
    <x v="1"/>
  </r>
  <r>
    <x v="1"/>
    <x v="4"/>
    <x v="2"/>
    <x v="1"/>
    <x v="1"/>
    <x v="8"/>
    <n v="42"/>
    <x v="8"/>
    <x v="0"/>
  </r>
  <r>
    <x v="1"/>
    <x v="4"/>
    <x v="2"/>
    <x v="1"/>
    <x v="1"/>
    <x v="9"/>
    <n v="60"/>
    <x v="9"/>
    <x v="0"/>
  </r>
  <r>
    <x v="1"/>
    <x v="4"/>
    <x v="2"/>
    <x v="1"/>
    <x v="1"/>
    <x v="10"/>
    <n v="59"/>
    <x v="10"/>
    <x v="0"/>
  </r>
  <r>
    <x v="1"/>
    <x v="4"/>
    <x v="2"/>
    <x v="1"/>
    <x v="1"/>
    <x v="11"/>
    <n v="48"/>
    <x v="11"/>
    <x v="0"/>
  </r>
  <r>
    <x v="1"/>
    <x v="4"/>
    <x v="2"/>
    <x v="1"/>
    <x v="2"/>
    <x v="12"/>
    <n v="14"/>
    <x v="12"/>
    <x v="1"/>
  </r>
  <r>
    <x v="1"/>
    <x v="4"/>
    <x v="2"/>
    <x v="1"/>
    <x v="2"/>
    <x v="13"/>
    <n v="26"/>
    <x v="13"/>
    <x v="1"/>
  </r>
  <r>
    <x v="1"/>
    <x v="4"/>
    <x v="2"/>
    <x v="1"/>
    <x v="2"/>
    <x v="14"/>
    <n v="20"/>
    <x v="14"/>
    <x v="0"/>
  </r>
  <r>
    <x v="1"/>
    <x v="4"/>
    <x v="2"/>
    <x v="1"/>
    <x v="2"/>
    <x v="15"/>
    <n v="20"/>
    <x v="15"/>
    <x v="0"/>
  </r>
  <r>
    <x v="1"/>
    <x v="4"/>
    <x v="2"/>
    <x v="1"/>
    <x v="2"/>
    <x v="16"/>
    <n v="21"/>
    <x v="16"/>
    <x v="0"/>
  </r>
  <r>
    <x v="1"/>
    <x v="4"/>
    <x v="2"/>
    <x v="1"/>
    <x v="2"/>
    <x v="17"/>
    <n v="4"/>
    <x v="17"/>
    <x v="0"/>
  </r>
  <r>
    <x v="1"/>
    <x v="4"/>
    <x v="2"/>
    <x v="1"/>
    <x v="2"/>
    <x v="18"/>
    <n v="14"/>
    <x v="18"/>
    <x v="1"/>
  </r>
  <r>
    <x v="1"/>
    <x v="4"/>
    <x v="2"/>
    <x v="1"/>
    <x v="2"/>
    <x v="19"/>
    <n v="11"/>
    <x v="19"/>
    <x v="1"/>
  </r>
  <r>
    <x v="1"/>
    <x v="4"/>
    <x v="2"/>
    <x v="2"/>
    <x v="0"/>
    <x v="0"/>
    <n v="0"/>
    <x v="0"/>
    <x v="0"/>
  </r>
  <r>
    <x v="1"/>
    <x v="4"/>
    <x v="2"/>
    <x v="2"/>
    <x v="0"/>
    <x v="1"/>
    <n v="0"/>
    <x v="1"/>
    <x v="0"/>
  </r>
  <r>
    <x v="1"/>
    <x v="4"/>
    <x v="2"/>
    <x v="2"/>
    <x v="0"/>
    <x v="2"/>
    <n v="1"/>
    <x v="2"/>
    <x v="0"/>
  </r>
  <r>
    <x v="1"/>
    <x v="4"/>
    <x v="2"/>
    <x v="2"/>
    <x v="0"/>
    <x v="3"/>
    <n v="1"/>
    <x v="3"/>
    <x v="0"/>
  </r>
  <r>
    <x v="1"/>
    <x v="4"/>
    <x v="2"/>
    <x v="2"/>
    <x v="0"/>
    <x v="4"/>
    <n v="1"/>
    <x v="4"/>
    <x v="1"/>
  </r>
  <r>
    <x v="1"/>
    <x v="4"/>
    <x v="2"/>
    <x v="2"/>
    <x v="0"/>
    <x v="5"/>
    <n v="0"/>
    <x v="5"/>
    <x v="1"/>
  </r>
  <r>
    <x v="1"/>
    <x v="4"/>
    <x v="2"/>
    <x v="2"/>
    <x v="0"/>
    <x v="6"/>
    <n v="2"/>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1"/>
  </r>
  <r>
    <x v="1"/>
    <x v="4"/>
    <x v="2"/>
    <x v="2"/>
    <x v="2"/>
    <x v="13"/>
    <n v="0"/>
    <x v="13"/>
    <x v="1"/>
  </r>
  <r>
    <x v="1"/>
    <x v="4"/>
    <x v="2"/>
    <x v="2"/>
    <x v="2"/>
    <x v="14"/>
    <n v="0"/>
    <x v="14"/>
    <x v="0"/>
  </r>
  <r>
    <x v="1"/>
    <x v="4"/>
    <x v="2"/>
    <x v="2"/>
    <x v="2"/>
    <x v="15"/>
    <n v="0"/>
    <x v="15"/>
    <x v="0"/>
  </r>
  <r>
    <x v="1"/>
    <x v="4"/>
    <x v="2"/>
    <x v="2"/>
    <x v="2"/>
    <x v="16"/>
    <n v="0"/>
    <x v="16"/>
    <x v="0"/>
  </r>
  <r>
    <x v="1"/>
    <x v="4"/>
    <x v="2"/>
    <x v="2"/>
    <x v="2"/>
    <x v="17"/>
    <n v="1"/>
    <x v="17"/>
    <x v="0"/>
  </r>
  <r>
    <x v="1"/>
    <x v="4"/>
    <x v="2"/>
    <x v="2"/>
    <x v="2"/>
    <x v="18"/>
    <n v="0"/>
    <x v="18"/>
    <x v="1"/>
  </r>
  <r>
    <x v="1"/>
    <x v="4"/>
    <x v="2"/>
    <x v="2"/>
    <x v="2"/>
    <x v="19"/>
    <n v="1"/>
    <x v="19"/>
    <x v="1"/>
  </r>
  <r>
    <x v="1"/>
    <x v="5"/>
    <x v="3"/>
    <x v="0"/>
    <x v="0"/>
    <x v="0"/>
    <n v="9"/>
    <x v="0"/>
    <x v="0"/>
  </r>
  <r>
    <x v="1"/>
    <x v="5"/>
    <x v="3"/>
    <x v="0"/>
    <x v="0"/>
    <x v="1"/>
    <n v="14"/>
    <x v="1"/>
    <x v="0"/>
  </r>
  <r>
    <x v="1"/>
    <x v="5"/>
    <x v="3"/>
    <x v="0"/>
    <x v="0"/>
    <x v="2"/>
    <n v="11"/>
    <x v="2"/>
    <x v="0"/>
  </r>
  <r>
    <x v="1"/>
    <x v="5"/>
    <x v="3"/>
    <x v="0"/>
    <x v="0"/>
    <x v="3"/>
    <n v="14"/>
    <x v="3"/>
    <x v="0"/>
  </r>
  <r>
    <x v="1"/>
    <x v="5"/>
    <x v="3"/>
    <x v="0"/>
    <x v="0"/>
    <x v="4"/>
    <n v="11"/>
    <x v="4"/>
    <x v="1"/>
  </r>
  <r>
    <x v="1"/>
    <x v="5"/>
    <x v="3"/>
    <x v="0"/>
    <x v="0"/>
    <x v="5"/>
    <n v="22"/>
    <x v="5"/>
    <x v="1"/>
  </r>
  <r>
    <x v="1"/>
    <x v="5"/>
    <x v="3"/>
    <x v="0"/>
    <x v="0"/>
    <x v="6"/>
    <n v="14"/>
    <x v="6"/>
    <x v="1"/>
  </r>
  <r>
    <x v="1"/>
    <x v="5"/>
    <x v="3"/>
    <x v="0"/>
    <x v="0"/>
    <x v="7"/>
    <n v="19"/>
    <x v="7"/>
    <x v="1"/>
  </r>
  <r>
    <x v="1"/>
    <x v="5"/>
    <x v="3"/>
    <x v="0"/>
    <x v="1"/>
    <x v="8"/>
    <n v="22"/>
    <x v="8"/>
    <x v="0"/>
  </r>
  <r>
    <x v="1"/>
    <x v="5"/>
    <x v="3"/>
    <x v="0"/>
    <x v="1"/>
    <x v="9"/>
    <n v="10"/>
    <x v="9"/>
    <x v="0"/>
  </r>
  <r>
    <x v="1"/>
    <x v="5"/>
    <x v="3"/>
    <x v="0"/>
    <x v="1"/>
    <x v="10"/>
    <n v="13"/>
    <x v="10"/>
    <x v="0"/>
  </r>
  <r>
    <x v="1"/>
    <x v="5"/>
    <x v="3"/>
    <x v="0"/>
    <x v="1"/>
    <x v="11"/>
    <n v="22"/>
    <x v="11"/>
    <x v="0"/>
  </r>
  <r>
    <x v="1"/>
    <x v="5"/>
    <x v="3"/>
    <x v="0"/>
    <x v="2"/>
    <x v="12"/>
    <n v="6"/>
    <x v="12"/>
    <x v="1"/>
  </r>
  <r>
    <x v="1"/>
    <x v="5"/>
    <x v="3"/>
    <x v="0"/>
    <x v="2"/>
    <x v="13"/>
    <n v="7"/>
    <x v="13"/>
    <x v="1"/>
  </r>
  <r>
    <x v="1"/>
    <x v="5"/>
    <x v="3"/>
    <x v="0"/>
    <x v="2"/>
    <x v="14"/>
    <n v="8"/>
    <x v="14"/>
    <x v="0"/>
  </r>
  <r>
    <x v="1"/>
    <x v="5"/>
    <x v="3"/>
    <x v="0"/>
    <x v="2"/>
    <x v="15"/>
    <n v="5"/>
    <x v="15"/>
    <x v="0"/>
  </r>
  <r>
    <x v="1"/>
    <x v="5"/>
    <x v="3"/>
    <x v="0"/>
    <x v="2"/>
    <x v="16"/>
    <n v="7"/>
    <x v="16"/>
    <x v="0"/>
  </r>
  <r>
    <x v="1"/>
    <x v="5"/>
    <x v="3"/>
    <x v="0"/>
    <x v="2"/>
    <x v="17"/>
    <n v="8"/>
    <x v="17"/>
    <x v="0"/>
  </r>
  <r>
    <x v="1"/>
    <x v="5"/>
    <x v="3"/>
    <x v="0"/>
    <x v="2"/>
    <x v="18"/>
    <n v="7"/>
    <x v="18"/>
    <x v="1"/>
  </r>
  <r>
    <x v="1"/>
    <x v="5"/>
    <x v="3"/>
    <x v="0"/>
    <x v="2"/>
    <x v="19"/>
    <n v="7"/>
    <x v="19"/>
    <x v="1"/>
  </r>
  <r>
    <x v="1"/>
    <x v="5"/>
    <x v="3"/>
    <x v="1"/>
    <x v="0"/>
    <x v="0"/>
    <n v="1"/>
    <x v="0"/>
    <x v="0"/>
  </r>
  <r>
    <x v="1"/>
    <x v="5"/>
    <x v="3"/>
    <x v="1"/>
    <x v="0"/>
    <x v="1"/>
    <n v="1"/>
    <x v="1"/>
    <x v="0"/>
  </r>
  <r>
    <x v="1"/>
    <x v="5"/>
    <x v="3"/>
    <x v="1"/>
    <x v="0"/>
    <x v="2"/>
    <n v="1"/>
    <x v="2"/>
    <x v="0"/>
  </r>
  <r>
    <x v="1"/>
    <x v="5"/>
    <x v="3"/>
    <x v="1"/>
    <x v="0"/>
    <x v="3"/>
    <n v="1"/>
    <x v="3"/>
    <x v="0"/>
  </r>
  <r>
    <x v="1"/>
    <x v="5"/>
    <x v="3"/>
    <x v="1"/>
    <x v="0"/>
    <x v="4"/>
    <n v="0"/>
    <x v="4"/>
    <x v="1"/>
  </r>
  <r>
    <x v="1"/>
    <x v="5"/>
    <x v="3"/>
    <x v="1"/>
    <x v="0"/>
    <x v="5"/>
    <n v="2"/>
    <x v="5"/>
    <x v="1"/>
  </r>
  <r>
    <x v="1"/>
    <x v="5"/>
    <x v="3"/>
    <x v="1"/>
    <x v="0"/>
    <x v="6"/>
    <n v="0"/>
    <x v="6"/>
    <x v="1"/>
  </r>
  <r>
    <x v="1"/>
    <x v="5"/>
    <x v="3"/>
    <x v="1"/>
    <x v="0"/>
    <x v="7"/>
    <n v="1"/>
    <x v="7"/>
    <x v="1"/>
  </r>
  <r>
    <x v="1"/>
    <x v="5"/>
    <x v="3"/>
    <x v="1"/>
    <x v="1"/>
    <x v="8"/>
    <n v="0"/>
    <x v="8"/>
    <x v="0"/>
  </r>
  <r>
    <x v="1"/>
    <x v="5"/>
    <x v="3"/>
    <x v="1"/>
    <x v="1"/>
    <x v="9"/>
    <n v="1"/>
    <x v="9"/>
    <x v="0"/>
  </r>
  <r>
    <x v="1"/>
    <x v="5"/>
    <x v="3"/>
    <x v="1"/>
    <x v="1"/>
    <x v="10"/>
    <n v="2"/>
    <x v="10"/>
    <x v="0"/>
  </r>
  <r>
    <x v="1"/>
    <x v="5"/>
    <x v="3"/>
    <x v="1"/>
    <x v="1"/>
    <x v="11"/>
    <n v="0"/>
    <x v="11"/>
    <x v="0"/>
  </r>
  <r>
    <x v="1"/>
    <x v="5"/>
    <x v="3"/>
    <x v="1"/>
    <x v="2"/>
    <x v="12"/>
    <n v="0"/>
    <x v="12"/>
    <x v="1"/>
  </r>
  <r>
    <x v="1"/>
    <x v="5"/>
    <x v="3"/>
    <x v="1"/>
    <x v="2"/>
    <x v="13"/>
    <n v="0"/>
    <x v="13"/>
    <x v="1"/>
  </r>
  <r>
    <x v="1"/>
    <x v="5"/>
    <x v="3"/>
    <x v="1"/>
    <x v="2"/>
    <x v="14"/>
    <n v="1"/>
    <x v="14"/>
    <x v="0"/>
  </r>
  <r>
    <x v="1"/>
    <x v="5"/>
    <x v="3"/>
    <x v="1"/>
    <x v="2"/>
    <x v="15"/>
    <n v="0"/>
    <x v="15"/>
    <x v="0"/>
  </r>
  <r>
    <x v="1"/>
    <x v="5"/>
    <x v="3"/>
    <x v="1"/>
    <x v="2"/>
    <x v="16"/>
    <n v="0"/>
    <x v="16"/>
    <x v="0"/>
  </r>
  <r>
    <x v="1"/>
    <x v="5"/>
    <x v="3"/>
    <x v="1"/>
    <x v="2"/>
    <x v="17"/>
    <n v="0"/>
    <x v="17"/>
    <x v="0"/>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0"/>
    <x v="12"/>
    <x v="1"/>
  </r>
  <r>
    <x v="1"/>
    <x v="5"/>
    <x v="3"/>
    <x v="2"/>
    <x v="2"/>
    <x v="13"/>
    <n v="0"/>
    <x v="13"/>
    <x v="1"/>
  </r>
  <r>
    <x v="1"/>
    <x v="5"/>
    <x v="3"/>
    <x v="2"/>
    <x v="2"/>
    <x v="14"/>
    <n v="0"/>
    <x v="14"/>
    <x v="0"/>
  </r>
  <r>
    <x v="1"/>
    <x v="5"/>
    <x v="3"/>
    <x v="2"/>
    <x v="2"/>
    <x v="15"/>
    <n v="0"/>
    <x v="15"/>
    <x v="0"/>
  </r>
  <r>
    <x v="1"/>
    <x v="5"/>
    <x v="3"/>
    <x v="2"/>
    <x v="2"/>
    <x v="16"/>
    <n v="0"/>
    <x v="16"/>
    <x v="0"/>
  </r>
  <r>
    <x v="1"/>
    <x v="5"/>
    <x v="3"/>
    <x v="2"/>
    <x v="2"/>
    <x v="17"/>
    <n v="0"/>
    <x v="17"/>
    <x v="0"/>
  </r>
  <r>
    <x v="1"/>
    <x v="5"/>
    <x v="3"/>
    <x v="2"/>
    <x v="2"/>
    <x v="18"/>
    <n v="0"/>
    <x v="18"/>
    <x v="1"/>
  </r>
  <r>
    <x v="1"/>
    <x v="5"/>
    <x v="3"/>
    <x v="2"/>
    <x v="2"/>
    <x v="19"/>
    <n v="0"/>
    <x v="19"/>
    <x v="1"/>
  </r>
  <r>
    <x v="2"/>
    <x v="6"/>
    <x v="2"/>
    <x v="0"/>
    <x v="0"/>
    <x v="0"/>
    <n v="28"/>
    <x v="0"/>
    <x v="0"/>
  </r>
  <r>
    <x v="2"/>
    <x v="6"/>
    <x v="2"/>
    <x v="0"/>
    <x v="0"/>
    <x v="1"/>
    <n v="22"/>
    <x v="1"/>
    <x v="0"/>
  </r>
  <r>
    <x v="2"/>
    <x v="6"/>
    <x v="2"/>
    <x v="0"/>
    <x v="0"/>
    <x v="2"/>
    <n v="19"/>
    <x v="2"/>
    <x v="0"/>
  </r>
  <r>
    <x v="2"/>
    <x v="6"/>
    <x v="2"/>
    <x v="0"/>
    <x v="0"/>
    <x v="3"/>
    <n v="20"/>
    <x v="3"/>
    <x v="0"/>
  </r>
  <r>
    <x v="2"/>
    <x v="6"/>
    <x v="2"/>
    <x v="0"/>
    <x v="0"/>
    <x v="4"/>
    <n v="20"/>
    <x v="4"/>
    <x v="1"/>
  </r>
  <r>
    <x v="2"/>
    <x v="6"/>
    <x v="2"/>
    <x v="0"/>
    <x v="0"/>
    <x v="5"/>
    <n v="23"/>
    <x v="5"/>
    <x v="1"/>
  </r>
  <r>
    <x v="2"/>
    <x v="6"/>
    <x v="2"/>
    <x v="0"/>
    <x v="0"/>
    <x v="6"/>
    <n v="19"/>
    <x v="6"/>
    <x v="1"/>
  </r>
  <r>
    <x v="2"/>
    <x v="6"/>
    <x v="2"/>
    <x v="0"/>
    <x v="0"/>
    <x v="7"/>
    <n v="24"/>
    <x v="7"/>
    <x v="1"/>
  </r>
  <r>
    <x v="2"/>
    <x v="6"/>
    <x v="2"/>
    <x v="0"/>
    <x v="1"/>
    <x v="8"/>
    <n v="13"/>
    <x v="8"/>
    <x v="0"/>
  </r>
  <r>
    <x v="2"/>
    <x v="6"/>
    <x v="2"/>
    <x v="0"/>
    <x v="1"/>
    <x v="9"/>
    <n v="10"/>
    <x v="9"/>
    <x v="0"/>
  </r>
  <r>
    <x v="2"/>
    <x v="6"/>
    <x v="2"/>
    <x v="0"/>
    <x v="1"/>
    <x v="10"/>
    <n v="13"/>
    <x v="10"/>
    <x v="0"/>
  </r>
  <r>
    <x v="2"/>
    <x v="6"/>
    <x v="2"/>
    <x v="0"/>
    <x v="1"/>
    <x v="11"/>
    <n v="6"/>
    <x v="11"/>
    <x v="0"/>
  </r>
  <r>
    <x v="2"/>
    <x v="6"/>
    <x v="2"/>
    <x v="0"/>
    <x v="2"/>
    <x v="12"/>
    <n v="28"/>
    <x v="12"/>
    <x v="1"/>
  </r>
  <r>
    <x v="2"/>
    <x v="6"/>
    <x v="2"/>
    <x v="0"/>
    <x v="2"/>
    <x v="13"/>
    <n v="32"/>
    <x v="13"/>
    <x v="1"/>
  </r>
  <r>
    <x v="2"/>
    <x v="6"/>
    <x v="2"/>
    <x v="0"/>
    <x v="2"/>
    <x v="14"/>
    <n v="27"/>
    <x v="14"/>
    <x v="0"/>
  </r>
  <r>
    <x v="2"/>
    <x v="6"/>
    <x v="2"/>
    <x v="0"/>
    <x v="2"/>
    <x v="15"/>
    <n v="27"/>
    <x v="15"/>
    <x v="0"/>
  </r>
  <r>
    <x v="2"/>
    <x v="6"/>
    <x v="2"/>
    <x v="0"/>
    <x v="2"/>
    <x v="16"/>
    <n v="31"/>
    <x v="16"/>
    <x v="0"/>
  </r>
  <r>
    <x v="2"/>
    <x v="6"/>
    <x v="2"/>
    <x v="0"/>
    <x v="2"/>
    <x v="17"/>
    <n v="31"/>
    <x v="17"/>
    <x v="0"/>
  </r>
  <r>
    <x v="2"/>
    <x v="6"/>
    <x v="2"/>
    <x v="0"/>
    <x v="2"/>
    <x v="18"/>
    <n v="21"/>
    <x v="18"/>
    <x v="1"/>
  </r>
  <r>
    <x v="2"/>
    <x v="6"/>
    <x v="2"/>
    <x v="0"/>
    <x v="2"/>
    <x v="19"/>
    <n v="17"/>
    <x v="19"/>
    <x v="1"/>
  </r>
  <r>
    <x v="2"/>
    <x v="6"/>
    <x v="2"/>
    <x v="1"/>
    <x v="0"/>
    <x v="0"/>
    <n v="1"/>
    <x v="0"/>
    <x v="0"/>
  </r>
  <r>
    <x v="2"/>
    <x v="6"/>
    <x v="2"/>
    <x v="1"/>
    <x v="0"/>
    <x v="1"/>
    <n v="0"/>
    <x v="1"/>
    <x v="0"/>
  </r>
  <r>
    <x v="2"/>
    <x v="6"/>
    <x v="2"/>
    <x v="1"/>
    <x v="0"/>
    <x v="2"/>
    <n v="0"/>
    <x v="2"/>
    <x v="0"/>
  </r>
  <r>
    <x v="2"/>
    <x v="6"/>
    <x v="2"/>
    <x v="1"/>
    <x v="0"/>
    <x v="3"/>
    <n v="0"/>
    <x v="3"/>
    <x v="0"/>
  </r>
  <r>
    <x v="2"/>
    <x v="6"/>
    <x v="2"/>
    <x v="1"/>
    <x v="0"/>
    <x v="4"/>
    <n v="2"/>
    <x v="4"/>
    <x v="1"/>
  </r>
  <r>
    <x v="2"/>
    <x v="6"/>
    <x v="2"/>
    <x v="1"/>
    <x v="0"/>
    <x v="5"/>
    <n v="1"/>
    <x v="5"/>
    <x v="1"/>
  </r>
  <r>
    <x v="2"/>
    <x v="6"/>
    <x v="2"/>
    <x v="1"/>
    <x v="0"/>
    <x v="6"/>
    <n v="0"/>
    <x v="6"/>
    <x v="1"/>
  </r>
  <r>
    <x v="2"/>
    <x v="6"/>
    <x v="2"/>
    <x v="1"/>
    <x v="0"/>
    <x v="7"/>
    <n v="0"/>
    <x v="7"/>
    <x v="1"/>
  </r>
  <r>
    <x v="2"/>
    <x v="6"/>
    <x v="2"/>
    <x v="1"/>
    <x v="1"/>
    <x v="8"/>
    <n v="0"/>
    <x v="8"/>
    <x v="0"/>
  </r>
  <r>
    <x v="2"/>
    <x v="6"/>
    <x v="2"/>
    <x v="1"/>
    <x v="1"/>
    <x v="9"/>
    <n v="1"/>
    <x v="9"/>
    <x v="0"/>
  </r>
  <r>
    <x v="2"/>
    <x v="6"/>
    <x v="2"/>
    <x v="1"/>
    <x v="1"/>
    <x v="10"/>
    <n v="1"/>
    <x v="10"/>
    <x v="0"/>
  </r>
  <r>
    <x v="2"/>
    <x v="6"/>
    <x v="2"/>
    <x v="1"/>
    <x v="1"/>
    <x v="11"/>
    <n v="1"/>
    <x v="11"/>
    <x v="0"/>
  </r>
  <r>
    <x v="2"/>
    <x v="6"/>
    <x v="2"/>
    <x v="1"/>
    <x v="2"/>
    <x v="12"/>
    <n v="0"/>
    <x v="12"/>
    <x v="1"/>
  </r>
  <r>
    <x v="2"/>
    <x v="6"/>
    <x v="2"/>
    <x v="1"/>
    <x v="2"/>
    <x v="13"/>
    <n v="0"/>
    <x v="13"/>
    <x v="1"/>
  </r>
  <r>
    <x v="2"/>
    <x v="6"/>
    <x v="2"/>
    <x v="1"/>
    <x v="2"/>
    <x v="14"/>
    <n v="0"/>
    <x v="14"/>
    <x v="0"/>
  </r>
  <r>
    <x v="2"/>
    <x v="6"/>
    <x v="2"/>
    <x v="1"/>
    <x v="2"/>
    <x v="15"/>
    <n v="0"/>
    <x v="15"/>
    <x v="0"/>
  </r>
  <r>
    <x v="2"/>
    <x v="6"/>
    <x v="2"/>
    <x v="1"/>
    <x v="2"/>
    <x v="16"/>
    <n v="0"/>
    <x v="16"/>
    <x v="0"/>
  </r>
  <r>
    <x v="2"/>
    <x v="6"/>
    <x v="2"/>
    <x v="1"/>
    <x v="2"/>
    <x v="17"/>
    <n v="0"/>
    <x v="17"/>
    <x v="0"/>
  </r>
  <r>
    <x v="2"/>
    <x v="6"/>
    <x v="2"/>
    <x v="1"/>
    <x v="2"/>
    <x v="18"/>
    <n v="0"/>
    <x v="18"/>
    <x v="1"/>
  </r>
  <r>
    <x v="2"/>
    <x v="6"/>
    <x v="2"/>
    <x v="1"/>
    <x v="2"/>
    <x v="19"/>
    <n v="0"/>
    <x v="19"/>
    <x v="1"/>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1"/>
  </r>
  <r>
    <x v="2"/>
    <x v="6"/>
    <x v="2"/>
    <x v="2"/>
    <x v="2"/>
    <x v="13"/>
    <n v="0"/>
    <x v="13"/>
    <x v="1"/>
  </r>
  <r>
    <x v="2"/>
    <x v="6"/>
    <x v="2"/>
    <x v="2"/>
    <x v="2"/>
    <x v="14"/>
    <n v="0"/>
    <x v="14"/>
    <x v="0"/>
  </r>
  <r>
    <x v="2"/>
    <x v="6"/>
    <x v="2"/>
    <x v="2"/>
    <x v="2"/>
    <x v="15"/>
    <n v="0"/>
    <x v="15"/>
    <x v="0"/>
  </r>
  <r>
    <x v="2"/>
    <x v="6"/>
    <x v="2"/>
    <x v="2"/>
    <x v="2"/>
    <x v="16"/>
    <n v="0"/>
    <x v="16"/>
    <x v="0"/>
  </r>
  <r>
    <x v="2"/>
    <x v="6"/>
    <x v="2"/>
    <x v="2"/>
    <x v="2"/>
    <x v="17"/>
    <n v="0"/>
    <x v="17"/>
    <x v="0"/>
  </r>
  <r>
    <x v="2"/>
    <x v="6"/>
    <x v="2"/>
    <x v="2"/>
    <x v="2"/>
    <x v="18"/>
    <n v="0"/>
    <x v="18"/>
    <x v="1"/>
  </r>
  <r>
    <x v="2"/>
    <x v="6"/>
    <x v="2"/>
    <x v="2"/>
    <x v="2"/>
    <x v="19"/>
    <n v="0"/>
    <x v="19"/>
    <x v="1"/>
  </r>
  <r>
    <x v="2"/>
    <x v="7"/>
    <x v="3"/>
    <x v="0"/>
    <x v="0"/>
    <x v="0"/>
    <n v="63"/>
    <x v="0"/>
    <x v="0"/>
  </r>
  <r>
    <x v="2"/>
    <x v="7"/>
    <x v="3"/>
    <x v="0"/>
    <x v="0"/>
    <x v="1"/>
    <n v="64"/>
    <x v="1"/>
    <x v="0"/>
  </r>
  <r>
    <x v="2"/>
    <x v="7"/>
    <x v="3"/>
    <x v="0"/>
    <x v="0"/>
    <x v="2"/>
    <n v="70"/>
    <x v="2"/>
    <x v="0"/>
  </r>
  <r>
    <x v="2"/>
    <x v="7"/>
    <x v="3"/>
    <x v="0"/>
    <x v="0"/>
    <x v="3"/>
    <n v="94"/>
    <x v="3"/>
    <x v="0"/>
  </r>
  <r>
    <x v="2"/>
    <x v="7"/>
    <x v="3"/>
    <x v="0"/>
    <x v="0"/>
    <x v="4"/>
    <n v="89"/>
    <x v="4"/>
    <x v="1"/>
  </r>
  <r>
    <x v="2"/>
    <x v="7"/>
    <x v="3"/>
    <x v="0"/>
    <x v="0"/>
    <x v="5"/>
    <n v="89"/>
    <x v="5"/>
    <x v="1"/>
  </r>
  <r>
    <x v="2"/>
    <x v="7"/>
    <x v="3"/>
    <x v="0"/>
    <x v="0"/>
    <x v="6"/>
    <n v="96"/>
    <x v="6"/>
    <x v="1"/>
  </r>
  <r>
    <x v="2"/>
    <x v="7"/>
    <x v="3"/>
    <x v="0"/>
    <x v="0"/>
    <x v="7"/>
    <n v="87"/>
    <x v="7"/>
    <x v="1"/>
  </r>
  <r>
    <x v="2"/>
    <x v="7"/>
    <x v="3"/>
    <x v="0"/>
    <x v="1"/>
    <x v="8"/>
    <n v="39"/>
    <x v="8"/>
    <x v="0"/>
  </r>
  <r>
    <x v="2"/>
    <x v="7"/>
    <x v="3"/>
    <x v="0"/>
    <x v="1"/>
    <x v="9"/>
    <n v="46"/>
    <x v="9"/>
    <x v="0"/>
  </r>
  <r>
    <x v="2"/>
    <x v="7"/>
    <x v="3"/>
    <x v="0"/>
    <x v="1"/>
    <x v="10"/>
    <n v="44"/>
    <x v="10"/>
    <x v="0"/>
  </r>
  <r>
    <x v="2"/>
    <x v="7"/>
    <x v="3"/>
    <x v="0"/>
    <x v="1"/>
    <x v="11"/>
    <n v="41"/>
    <x v="11"/>
    <x v="0"/>
  </r>
  <r>
    <x v="2"/>
    <x v="7"/>
    <x v="3"/>
    <x v="0"/>
    <x v="2"/>
    <x v="12"/>
    <n v="54"/>
    <x v="12"/>
    <x v="1"/>
  </r>
  <r>
    <x v="2"/>
    <x v="7"/>
    <x v="3"/>
    <x v="0"/>
    <x v="2"/>
    <x v="13"/>
    <n v="44"/>
    <x v="13"/>
    <x v="1"/>
  </r>
  <r>
    <x v="2"/>
    <x v="7"/>
    <x v="3"/>
    <x v="0"/>
    <x v="2"/>
    <x v="14"/>
    <n v="54"/>
    <x v="14"/>
    <x v="0"/>
  </r>
  <r>
    <x v="2"/>
    <x v="7"/>
    <x v="3"/>
    <x v="0"/>
    <x v="2"/>
    <x v="15"/>
    <n v="68"/>
    <x v="15"/>
    <x v="0"/>
  </r>
  <r>
    <x v="2"/>
    <x v="7"/>
    <x v="3"/>
    <x v="0"/>
    <x v="2"/>
    <x v="16"/>
    <n v="60"/>
    <x v="16"/>
    <x v="0"/>
  </r>
  <r>
    <x v="2"/>
    <x v="7"/>
    <x v="3"/>
    <x v="0"/>
    <x v="2"/>
    <x v="17"/>
    <n v="37"/>
    <x v="17"/>
    <x v="0"/>
  </r>
  <r>
    <x v="2"/>
    <x v="7"/>
    <x v="3"/>
    <x v="0"/>
    <x v="2"/>
    <x v="18"/>
    <n v="40"/>
    <x v="18"/>
    <x v="1"/>
  </r>
  <r>
    <x v="2"/>
    <x v="7"/>
    <x v="3"/>
    <x v="0"/>
    <x v="2"/>
    <x v="19"/>
    <n v="47"/>
    <x v="19"/>
    <x v="1"/>
  </r>
  <r>
    <x v="2"/>
    <x v="7"/>
    <x v="3"/>
    <x v="1"/>
    <x v="0"/>
    <x v="0"/>
    <n v="1"/>
    <x v="0"/>
    <x v="0"/>
  </r>
  <r>
    <x v="2"/>
    <x v="7"/>
    <x v="3"/>
    <x v="1"/>
    <x v="0"/>
    <x v="1"/>
    <n v="0"/>
    <x v="1"/>
    <x v="0"/>
  </r>
  <r>
    <x v="2"/>
    <x v="7"/>
    <x v="3"/>
    <x v="1"/>
    <x v="0"/>
    <x v="2"/>
    <n v="1"/>
    <x v="2"/>
    <x v="0"/>
  </r>
  <r>
    <x v="2"/>
    <x v="7"/>
    <x v="3"/>
    <x v="1"/>
    <x v="0"/>
    <x v="3"/>
    <n v="2"/>
    <x v="3"/>
    <x v="0"/>
  </r>
  <r>
    <x v="2"/>
    <x v="7"/>
    <x v="3"/>
    <x v="1"/>
    <x v="0"/>
    <x v="4"/>
    <n v="1"/>
    <x v="4"/>
    <x v="1"/>
  </r>
  <r>
    <x v="2"/>
    <x v="7"/>
    <x v="3"/>
    <x v="1"/>
    <x v="0"/>
    <x v="5"/>
    <n v="1"/>
    <x v="5"/>
    <x v="1"/>
  </r>
  <r>
    <x v="2"/>
    <x v="7"/>
    <x v="3"/>
    <x v="1"/>
    <x v="0"/>
    <x v="6"/>
    <n v="1"/>
    <x v="6"/>
    <x v="1"/>
  </r>
  <r>
    <x v="2"/>
    <x v="7"/>
    <x v="3"/>
    <x v="1"/>
    <x v="0"/>
    <x v="7"/>
    <n v="2"/>
    <x v="7"/>
    <x v="1"/>
  </r>
  <r>
    <x v="2"/>
    <x v="7"/>
    <x v="3"/>
    <x v="1"/>
    <x v="1"/>
    <x v="8"/>
    <n v="2"/>
    <x v="8"/>
    <x v="0"/>
  </r>
  <r>
    <x v="2"/>
    <x v="7"/>
    <x v="3"/>
    <x v="1"/>
    <x v="1"/>
    <x v="9"/>
    <n v="1"/>
    <x v="9"/>
    <x v="0"/>
  </r>
  <r>
    <x v="2"/>
    <x v="7"/>
    <x v="3"/>
    <x v="1"/>
    <x v="1"/>
    <x v="10"/>
    <n v="5"/>
    <x v="10"/>
    <x v="0"/>
  </r>
  <r>
    <x v="2"/>
    <x v="7"/>
    <x v="3"/>
    <x v="1"/>
    <x v="1"/>
    <x v="11"/>
    <n v="1"/>
    <x v="11"/>
    <x v="0"/>
  </r>
  <r>
    <x v="2"/>
    <x v="7"/>
    <x v="3"/>
    <x v="1"/>
    <x v="2"/>
    <x v="12"/>
    <n v="1"/>
    <x v="12"/>
    <x v="1"/>
  </r>
  <r>
    <x v="2"/>
    <x v="7"/>
    <x v="3"/>
    <x v="1"/>
    <x v="2"/>
    <x v="13"/>
    <n v="0"/>
    <x v="13"/>
    <x v="1"/>
  </r>
  <r>
    <x v="2"/>
    <x v="7"/>
    <x v="3"/>
    <x v="1"/>
    <x v="2"/>
    <x v="14"/>
    <n v="1"/>
    <x v="14"/>
    <x v="0"/>
  </r>
  <r>
    <x v="2"/>
    <x v="7"/>
    <x v="3"/>
    <x v="1"/>
    <x v="2"/>
    <x v="15"/>
    <n v="1"/>
    <x v="15"/>
    <x v="0"/>
  </r>
  <r>
    <x v="2"/>
    <x v="7"/>
    <x v="3"/>
    <x v="1"/>
    <x v="2"/>
    <x v="16"/>
    <n v="0"/>
    <x v="16"/>
    <x v="0"/>
  </r>
  <r>
    <x v="2"/>
    <x v="7"/>
    <x v="3"/>
    <x v="1"/>
    <x v="2"/>
    <x v="17"/>
    <n v="2"/>
    <x v="17"/>
    <x v="0"/>
  </r>
  <r>
    <x v="2"/>
    <x v="7"/>
    <x v="3"/>
    <x v="1"/>
    <x v="2"/>
    <x v="18"/>
    <n v="1"/>
    <x v="18"/>
    <x v="1"/>
  </r>
  <r>
    <x v="2"/>
    <x v="7"/>
    <x v="3"/>
    <x v="1"/>
    <x v="2"/>
    <x v="19"/>
    <n v="0"/>
    <x v="19"/>
    <x v="1"/>
  </r>
  <r>
    <x v="2"/>
    <x v="7"/>
    <x v="3"/>
    <x v="2"/>
    <x v="0"/>
    <x v="0"/>
    <n v="0"/>
    <x v="0"/>
    <x v="0"/>
  </r>
  <r>
    <x v="2"/>
    <x v="7"/>
    <x v="3"/>
    <x v="2"/>
    <x v="0"/>
    <x v="1"/>
    <n v="0"/>
    <x v="1"/>
    <x v="0"/>
  </r>
  <r>
    <x v="2"/>
    <x v="7"/>
    <x v="3"/>
    <x v="2"/>
    <x v="0"/>
    <x v="2"/>
    <n v="5"/>
    <x v="2"/>
    <x v="0"/>
  </r>
  <r>
    <x v="2"/>
    <x v="7"/>
    <x v="3"/>
    <x v="2"/>
    <x v="0"/>
    <x v="3"/>
    <n v="7"/>
    <x v="3"/>
    <x v="0"/>
  </r>
  <r>
    <x v="2"/>
    <x v="7"/>
    <x v="3"/>
    <x v="2"/>
    <x v="0"/>
    <x v="4"/>
    <n v="3"/>
    <x v="4"/>
    <x v="1"/>
  </r>
  <r>
    <x v="2"/>
    <x v="7"/>
    <x v="3"/>
    <x v="2"/>
    <x v="0"/>
    <x v="5"/>
    <n v="6"/>
    <x v="5"/>
    <x v="1"/>
  </r>
  <r>
    <x v="2"/>
    <x v="7"/>
    <x v="3"/>
    <x v="2"/>
    <x v="0"/>
    <x v="6"/>
    <n v="3"/>
    <x v="6"/>
    <x v="1"/>
  </r>
  <r>
    <x v="2"/>
    <x v="7"/>
    <x v="3"/>
    <x v="2"/>
    <x v="0"/>
    <x v="7"/>
    <n v="2"/>
    <x v="7"/>
    <x v="1"/>
  </r>
  <r>
    <x v="2"/>
    <x v="7"/>
    <x v="3"/>
    <x v="2"/>
    <x v="1"/>
    <x v="8"/>
    <n v="0"/>
    <x v="8"/>
    <x v="0"/>
  </r>
  <r>
    <x v="2"/>
    <x v="7"/>
    <x v="3"/>
    <x v="2"/>
    <x v="1"/>
    <x v="9"/>
    <n v="2"/>
    <x v="9"/>
    <x v="0"/>
  </r>
  <r>
    <x v="2"/>
    <x v="7"/>
    <x v="3"/>
    <x v="2"/>
    <x v="1"/>
    <x v="10"/>
    <n v="0"/>
    <x v="10"/>
    <x v="0"/>
  </r>
  <r>
    <x v="2"/>
    <x v="7"/>
    <x v="3"/>
    <x v="2"/>
    <x v="1"/>
    <x v="11"/>
    <n v="1"/>
    <x v="11"/>
    <x v="0"/>
  </r>
  <r>
    <x v="2"/>
    <x v="7"/>
    <x v="3"/>
    <x v="2"/>
    <x v="2"/>
    <x v="12"/>
    <n v="0"/>
    <x v="12"/>
    <x v="1"/>
  </r>
  <r>
    <x v="2"/>
    <x v="7"/>
    <x v="3"/>
    <x v="2"/>
    <x v="2"/>
    <x v="13"/>
    <n v="0"/>
    <x v="13"/>
    <x v="1"/>
  </r>
  <r>
    <x v="2"/>
    <x v="7"/>
    <x v="3"/>
    <x v="2"/>
    <x v="2"/>
    <x v="14"/>
    <n v="0"/>
    <x v="14"/>
    <x v="0"/>
  </r>
  <r>
    <x v="2"/>
    <x v="7"/>
    <x v="3"/>
    <x v="2"/>
    <x v="2"/>
    <x v="15"/>
    <n v="0"/>
    <x v="15"/>
    <x v="0"/>
  </r>
  <r>
    <x v="2"/>
    <x v="7"/>
    <x v="3"/>
    <x v="2"/>
    <x v="2"/>
    <x v="16"/>
    <n v="0"/>
    <x v="16"/>
    <x v="0"/>
  </r>
  <r>
    <x v="2"/>
    <x v="7"/>
    <x v="3"/>
    <x v="2"/>
    <x v="2"/>
    <x v="17"/>
    <n v="0"/>
    <x v="17"/>
    <x v="0"/>
  </r>
  <r>
    <x v="2"/>
    <x v="7"/>
    <x v="3"/>
    <x v="2"/>
    <x v="2"/>
    <x v="18"/>
    <n v="0"/>
    <x v="18"/>
    <x v="1"/>
  </r>
  <r>
    <x v="2"/>
    <x v="7"/>
    <x v="3"/>
    <x v="2"/>
    <x v="2"/>
    <x v="19"/>
    <n v="0"/>
    <x v="19"/>
    <x v="1"/>
  </r>
  <r>
    <x v="2"/>
    <x v="8"/>
    <x v="0"/>
    <x v="0"/>
    <x v="0"/>
    <x v="0"/>
    <n v="22"/>
    <x v="0"/>
    <x v="0"/>
  </r>
  <r>
    <x v="2"/>
    <x v="8"/>
    <x v="0"/>
    <x v="0"/>
    <x v="0"/>
    <x v="1"/>
    <n v="22"/>
    <x v="1"/>
    <x v="0"/>
  </r>
  <r>
    <x v="2"/>
    <x v="8"/>
    <x v="0"/>
    <x v="0"/>
    <x v="0"/>
    <x v="2"/>
    <n v="30"/>
    <x v="2"/>
    <x v="0"/>
  </r>
  <r>
    <x v="2"/>
    <x v="8"/>
    <x v="0"/>
    <x v="0"/>
    <x v="0"/>
    <x v="3"/>
    <n v="50"/>
    <x v="3"/>
    <x v="0"/>
  </r>
  <r>
    <x v="2"/>
    <x v="8"/>
    <x v="0"/>
    <x v="0"/>
    <x v="0"/>
    <x v="4"/>
    <n v="45"/>
    <x v="4"/>
    <x v="1"/>
  </r>
  <r>
    <x v="2"/>
    <x v="8"/>
    <x v="0"/>
    <x v="0"/>
    <x v="0"/>
    <x v="5"/>
    <n v="29"/>
    <x v="5"/>
    <x v="1"/>
  </r>
  <r>
    <x v="2"/>
    <x v="8"/>
    <x v="0"/>
    <x v="0"/>
    <x v="0"/>
    <x v="6"/>
    <n v="24"/>
    <x v="6"/>
    <x v="1"/>
  </r>
  <r>
    <x v="2"/>
    <x v="8"/>
    <x v="0"/>
    <x v="0"/>
    <x v="0"/>
    <x v="7"/>
    <n v="34"/>
    <x v="7"/>
    <x v="1"/>
  </r>
  <r>
    <x v="2"/>
    <x v="8"/>
    <x v="0"/>
    <x v="0"/>
    <x v="1"/>
    <x v="8"/>
    <n v="28"/>
    <x v="8"/>
    <x v="0"/>
  </r>
  <r>
    <x v="2"/>
    <x v="8"/>
    <x v="0"/>
    <x v="0"/>
    <x v="1"/>
    <x v="9"/>
    <n v="23"/>
    <x v="9"/>
    <x v="0"/>
  </r>
  <r>
    <x v="2"/>
    <x v="8"/>
    <x v="0"/>
    <x v="0"/>
    <x v="1"/>
    <x v="10"/>
    <n v="22"/>
    <x v="10"/>
    <x v="0"/>
  </r>
  <r>
    <x v="2"/>
    <x v="8"/>
    <x v="0"/>
    <x v="0"/>
    <x v="1"/>
    <x v="11"/>
    <n v="16"/>
    <x v="11"/>
    <x v="0"/>
  </r>
  <r>
    <x v="2"/>
    <x v="8"/>
    <x v="0"/>
    <x v="0"/>
    <x v="2"/>
    <x v="12"/>
    <n v="15"/>
    <x v="12"/>
    <x v="1"/>
  </r>
  <r>
    <x v="2"/>
    <x v="8"/>
    <x v="0"/>
    <x v="0"/>
    <x v="2"/>
    <x v="13"/>
    <n v="24"/>
    <x v="13"/>
    <x v="1"/>
  </r>
  <r>
    <x v="2"/>
    <x v="8"/>
    <x v="0"/>
    <x v="0"/>
    <x v="2"/>
    <x v="14"/>
    <n v="18"/>
    <x v="14"/>
    <x v="0"/>
  </r>
  <r>
    <x v="2"/>
    <x v="8"/>
    <x v="0"/>
    <x v="0"/>
    <x v="2"/>
    <x v="15"/>
    <n v="16"/>
    <x v="15"/>
    <x v="0"/>
  </r>
  <r>
    <x v="2"/>
    <x v="8"/>
    <x v="0"/>
    <x v="0"/>
    <x v="2"/>
    <x v="16"/>
    <n v="14"/>
    <x v="16"/>
    <x v="0"/>
  </r>
  <r>
    <x v="2"/>
    <x v="8"/>
    <x v="0"/>
    <x v="0"/>
    <x v="2"/>
    <x v="17"/>
    <n v="11"/>
    <x v="17"/>
    <x v="0"/>
  </r>
  <r>
    <x v="2"/>
    <x v="8"/>
    <x v="0"/>
    <x v="0"/>
    <x v="2"/>
    <x v="18"/>
    <n v="14"/>
    <x v="18"/>
    <x v="1"/>
  </r>
  <r>
    <x v="2"/>
    <x v="8"/>
    <x v="0"/>
    <x v="0"/>
    <x v="2"/>
    <x v="19"/>
    <n v="11"/>
    <x v="19"/>
    <x v="1"/>
  </r>
  <r>
    <x v="2"/>
    <x v="8"/>
    <x v="0"/>
    <x v="1"/>
    <x v="0"/>
    <x v="0"/>
    <n v="1"/>
    <x v="0"/>
    <x v="0"/>
  </r>
  <r>
    <x v="2"/>
    <x v="8"/>
    <x v="0"/>
    <x v="1"/>
    <x v="0"/>
    <x v="1"/>
    <n v="0"/>
    <x v="1"/>
    <x v="0"/>
  </r>
  <r>
    <x v="2"/>
    <x v="8"/>
    <x v="0"/>
    <x v="1"/>
    <x v="0"/>
    <x v="2"/>
    <n v="1"/>
    <x v="2"/>
    <x v="0"/>
  </r>
  <r>
    <x v="2"/>
    <x v="8"/>
    <x v="0"/>
    <x v="1"/>
    <x v="0"/>
    <x v="3"/>
    <n v="2"/>
    <x v="3"/>
    <x v="0"/>
  </r>
  <r>
    <x v="2"/>
    <x v="8"/>
    <x v="0"/>
    <x v="1"/>
    <x v="0"/>
    <x v="4"/>
    <n v="0"/>
    <x v="4"/>
    <x v="1"/>
  </r>
  <r>
    <x v="2"/>
    <x v="8"/>
    <x v="0"/>
    <x v="1"/>
    <x v="0"/>
    <x v="5"/>
    <n v="1"/>
    <x v="5"/>
    <x v="1"/>
  </r>
  <r>
    <x v="2"/>
    <x v="8"/>
    <x v="0"/>
    <x v="1"/>
    <x v="0"/>
    <x v="6"/>
    <n v="2"/>
    <x v="6"/>
    <x v="1"/>
  </r>
  <r>
    <x v="2"/>
    <x v="8"/>
    <x v="0"/>
    <x v="1"/>
    <x v="0"/>
    <x v="7"/>
    <n v="1"/>
    <x v="7"/>
    <x v="1"/>
  </r>
  <r>
    <x v="2"/>
    <x v="8"/>
    <x v="0"/>
    <x v="1"/>
    <x v="1"/>
    <x v="8"/>
    <n v="1"/>
    <x v="8"/>
    <x v="0"/>
  </r>
  <r>
    <x v="2"/>
    <x v="8"/>
    <x v="0"/>
    <x v="1"/>
    <x v="1"/>
    <x v="9"/>
    <n v="2"/>
    <x v="9"/>
    <x v="0"/>
  </r>
  <r>
    <x v="2"/>
    <x v="8"/>
    <x v="0"/>
    <x v="1"/>
    <x v="1"/>
    <x v="10"/>
    <n v="1"/>
    <x v="10"/>
    <x v="0"/>
  </r>
  <r>
    <x v="2"/>
    <x v="8"/>
    <x v="0"/>
    <x v="1"/>
    <x v="1"/>
    <x v="11"/>
    <n v="0"/>
    <x v="11"/>
    <x v="0"/>
  </r>
  <r>
    <x v="2"/>
    <x v="8"/>
    <x v="0"/>
    <x v="1"/>
    <x v="2"/>
    <x v="12"/>
    <n v="1"/>
    <x v="12"/>
    <x v="1"/>
  </r>
  <r>
    <x v="2"/>
    <x v="8"/>
    <x v="0"/>
    <x v="1"/>
    <x v="2"/>
    <x v="13"/>
    <n v="0"/>
    <x v="13"/>
    <x v="1"/>
  </r>
  <r>
    <x v="2"/>
    <x v="8"/>
    <x v="0"/>
    <x v="1"/>
    <x v="2"/>
    <x v="14"/>
    <n v="2"/>
    <x v="14"/>
    <x v="0"/>
  </r>
  <r>
    <x v="2"/>
    <x v="8"/>
    <x v="0"/>
    <x v="1"/>
    <x v="2"/>
    <x v="15"/>
    <n v="0"/>
    <x v="15"/>
    <x v="0"/>
  </r>
  <r>
    <x v="2"/>
    <x v="8"/>
    <x v="0"/>
    <x v="1"/>
    <x v="2"/>
    <x v="16"/>
    <n v="2"/>
    <x v="16"/>
    <x v="0"/>
  </r>
  <r>
    <x v="2"/>
    <x v="8"/>
    <x v="0"/>
    <x v="1"/>
    <x v="2"/>
    <x v="17"/>
    <n v="0"/>
    <x v="17"/>
    <x v="0"/>
  </r>
  <r>
    <x v="2"/>
    <x v="8"/>
    <x v="0"/>
    <x v="1"/>
    <x v="2"/>
    <x v="18"/>
    <n v="1"/>
    <x v="18"/>
    <x v="1"/>
  </r>
  <r>
    <x v="2"/>
    <x v="8"/>
    <x v="0"/>
    <x v="1"/>
    <x v="2"/>
    <x v="19"/>
    <n v="1"/>
    <x v="19"/>
    <x v="1"/>
  </r>
  <r>
    <x v="2"/>
    <x v="8"/>
    <x v="0"/>
    <x v="2"/>
    <x v="0"/>
    <x v="0"/>
    <n v="0"/>
    <x v="0"/>
    <x v="0"/>
  </r>
  <r>
    <x v="2"/>
    <x v="8"/>
    <x v="0"/>
    <x v="2"/>
    <x v="0"/>
    <x v="1"/>
    <n v="0"/>
    <x v="1"/>
    <x v="0"/>
  </r>
  <r>
    <x v="2"/>
    <x v="8"/>
    <x v="0"/>
    <x v="2"/>
    <x v="0"/>
    <x v="2"/>
    <n v="1"/>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0"/>
    <x v="12"/>
    <x v="1"/>
  </r>
  <r>
    <x v="2"/>
    <x v="8"/>
    <x v="0"/>
    <x v="2"/>
    <x v="2"/>
    <x v="13"/>
    <n v="0"/>
    <x v="13"/>
    <x v="1"/>
  </r>
  <r>
    <x v="2"/>
    <x v="8"/>
    <x v="0"/>
    <x v="2"/>
    <x v="2"/>
    <x v="14"/>
    <n v="0"/>
    <x v="14"/>
    <x v="0"/>
  </r>
  <r>
    <x v="2"/>
    <x v="8"/>
    <x v="0"/>
    <x v="2"/>
    <x v="2"/>
    <x v="15"/>
    <n v="0"/>
    <x v="15"/>
    <x v="0"/>
  </r>
  <r>
    <x v="2"/>
    <x v="8"/>
    <x v="0"/>
    <x v="2"/>
    <x v="2"/>
    <x v="16"/>
    <n v="0"/>
    <x v="16"/>
    <x v="0"/>
  </r>
  <r>
    <x v="2"/>
    <x v="8"/>
    <x v="0"/>
    <x v="2"/>
    <x v="2"/>
    <x v="17"/>
    <n v="0"/>
    <x v="17"/>
    <x v="0"/>
  </r>
  <r>
    <x v="2"/>
    <x v="8"/>
    <x v="0"/>
    <x v="2"/>
    <x v="2"/>
    <x v="18"/>
    <n v="0"/>
    <x v="18"/>
    <x v="1"/>
  </r>
  <r>
    <x v="2"/>
    <x v="8"/>
    <x v="0"/>
    <x v="2"/>
    <x v="2"/>
    <x v="19"/>
    <n v="0"/>
    <x v="19"/>
    <x v="1"/>
  </r>
  <r>
    <x v="3"/>
    <x v="9"/>
    <x v="3"/>
    <x v="0"/>
    <x v="0"/>
    <x v="0"/>
    <n v="34"/>
    <x v="0"/>
    <x v="0"/>
  </r>
  <r>
    <x v="3"/>
    <x v="9"/>
    <x v="3"/>
    <x v="0"/>
    <x v="0"/>
    <x v="1"/>
    <n v="30"/>
    <x v="1"/>
    <x v="0"/>
  </r>
  <r>
    <x v="3"/>
    <x v="9"/>
    <x v="3"/>
    <x v="0"/>
    <x v="0"/>
    <x v="2"/>
    <n v="33"/>
    <x v="2"/>
    <x v="0"/>
  </r>
  <r>
    <x v="3"/>
    <x v="9"/>
    <x v="3"/>
    <x v="0"/>
    <x v="0"/>
    <x v="3"/>
    <n v="29"/>
    <x v="3"/>
    <x v="0"/>
  </r>
  <r>
    <x v="3"/>
    <x v="9"/>
    <x v="3"/>
    <x v="0"/>
    <x v="0"/>
    <x v="4"/>
    <n v="20"/>
    <x v="4"/>
    <x v="1"/>
  </r>
  <r>
    <x v="3"/>
    <x v="9"/>
    <x v="3"/>
    <x v="0"/>
    <x v="0"/>
    <x v="5"/>
    <n v="22"/>
    <x v="5"/>
    <x v="1"/>
  </r>
  <r>
    <x v="3"/>
    <x v="9"/>
    <x v="3"/>
    <x v="0"/>
    <x v="0"/>
    <x v="6"/>
    <n v="21"/>
    <x v="6"/>
    <x v="1"/>
  </r>
  <r>
    <x v="3"/>
    <x v="9"/>
    <x v="3"/>
    <x v="0"/>
    <x v="0"/>
    <x v="7"/>
    <n v="25"/>
    <x v="7"/>
    <x v="1"/>
  </r>
  <r>
    <x v="3"/>
    <x v="9"/>
    <x v="3"/>
    <x v="0"/>
    <x v="1"/>
    <x v="8"/>
    <n v="34"/>
    <x v="8"/>
    <x v="0"/>
  </r>
  <r>
    <x v="3"/>
    <x v="9"/>
    <x v="3"/>
    <x v="0"/>
    <x v="1"/>
    <x v="9"/>
    <n v="35"/>
    <x v="9"/>
    <x v="0"/>
  </r>
  <r>
    <x v="3"/>
    <x v="9"/>
    <x v="3"/>
    <x v="0"/>
    <x v="1"/>
    <x v="10"/>
    <n v="28"/>
    <x v="10"/>
    <x v="0"/>
  </r>
  <r>
    <x v="3"/>
    <x v="9"/>
    <x v="3"/>
    <x v="0"/>
    <x v="1"/>
    <x v="11"/>
    <n v="34"/>
    <x v="11"/>
    <x v="0"/>
  </r>
  <r>
    <x v="3"/>
    <x v="9"/>
    <x v="3"/>
    <x v="0"/>
    <x v="2"/>
    <x v="12"/>
    <n v="14"/>
    <x v="12"/>
    <x v="1"/>
  </r>
  <r>
    <x v="3"/>
    <x v="9"/>
    <x v="3"/>
    <x v="0"/>
    <x v="2"/>
    <x v="13"/>
    <n v="25"/>
    <x v="13"/>
    <x v="1"/>
  </r>
  <r>
    <x v="3"/>
    <x v="9"/>
    <x v="3"/>
    <x v="0"/>
    <x v="2"/>
    <x v="14"/>
    <n v="31"/>
    <x v="14"/>
    <x v="0"/>
  </r>
  <r>
    <x v="3"/>
    <x v="9"/>
    <x v="3"/>
    <x v="0"/>
    <x v="2"/>
    <x v="15"/>
    <n v="17"/>
    <x v="15"/>
    <x v="0"/>
  </r>
  <r>
    <x v="3"/>
    <x v="9"/>
    <x v="3"/>
    <x v="0"/>
    <x v="2"/>
    <x v="16"/>
    <n v="19"/>
    <x v="16"/>
    <x v="0"/>
  </r>
  <r>
    <x v="3"/>
    <x v="9"/>
    <x v="3"/>
    <x v="0"/>
    <x v="2"/>
    <x v="17"/>
    <n v="19"/>
    <x v="17"/>
    <x v="0"/>
  </r>
  <r>
    <x v="3"/>
    <x v="9"/>
    <x v="3"/>
    <x v="0"/>
    <x v="2"/>
    <x v="18"/>
    <n v="29"/>
    <x v="18"/>
    <x v="1"/>
  </r>
  <r>
    <x v="3"/>
    <x v="9"/>
    <x v="3"/>
    <x v="0"/>
    <x v="2"/>
    <x v="19"/>
    <n v="24"/>
    <x v="19"/>
    <x v="1"/>
  </r>
  <r>
    <x v="3"/>
    <x v="9"/>
    <x v="3"/>
    <x v="1"/>
    <x v="0"/>
    <x v="0"/>
    <n v="3"/>
    <x v="0"/>
    <x v="0"/>
  </r>
  <r>
    <x v="3"/>
    <x v="9"/>
    <x v="3"/>
    <x v="1"/>
    <x v="0"/>
    <x v="1"/>
    <n v="1"/>
    <x v="1"/>
    <x v="0"/>
  </r>
  <r>
    <x v="3"/>
    <x v="9"/>
    <x v="3"/>
    <x v="1"/>
    <x v="0"/>
    <x v="2"/>
    <n v="1"/>
    <x v="2"/>
    <x v="0"/>
  </r>
  <r>
    <x v="3"/>
    <x v="9"/>
    <x v="3"/>
    <x v="1"/>
    <x v="0"/>
    <x v="3"/>
    <n v="0"/>
    <x v="3"/>
    <x v="0"/>
  </r>
  <r>
    <x v="3"/>
    <x v="9"/>
    <x v="3"/>
    <x v="1"/>
    <x v="0"/>
    <x v="4"/>
    <n v="1"/>
    <x v="4"/>
    <x v="1"/>
  </r>
  <r>
    <x v="3"/>
    <x v="9"/>
    <x v="3"/>
    <x v="1"/>
    <x v="0"/>
    <x v="5"/>
    <n v="3"/>
    <x v="5"/>
    <x v="1"/>
  </r>
  <r>
    <x v="3"/>
    <x v="9"/>
    <x v="3"/>
    <x v="1"/>
    <x v="0"/>
    <x v="6"/>
    <n v="3"/>
    <x v="6"/>
    <x v="1"/>
  </r>
  <r>
    <x v="3"/>
    <x v="9"/>
    <x v="3"/>
    <x v="1"/>
    <x v="0"/>
    <x v="7"/>
    <n v="1"/>
    <x v="7"/>
    <x v="1"/>
  </r>
  <r>
    <x v="3"/>
    <x v="9"/>
    <x v="3"/>
    <x v="1"/>
    <x v="1"/>
    <x v="8"/>
    <n v="1"/>
    <x v="8"/>
    <x v="0"/>
  </r>
  <r>
    <x v="3"/>
    <x v="9"/>
    <x v="3"/>
    <x v="1"/>
    <x v="1"/>
    <x v="9"/>
    <n v="2"/>
    <x v="9"/>
    <x v="0"/>
  </r>
  <r>
    <x v="3"/>
    <x v="9"/>
    <x v="3"/>
    <x v="1"/>
    <x v="1"/>
    <x v="10"/>
    <n v="1"/>
    <x v="10"/>
    <x v="0"/>
  </r>
  <r>
    <x v="3"/>
    <x v="9"/>
    <x v="3"/>
    <x v="1"/>
    <x v="1"/>
    <x v="11"/>
    <n v="0"/>
    <x v="11"/>
    <x v="0"/>
  </r>
  <r>
    <x v="3"/>
    <x v="9"/>
    <x v="3"/>
    <x v="1"/>
    <x v="2"/>
    <x v="12"/>
    <n v="0"/>
    <x v="12"/>
    <x v="1"/>
  </r>
  <r>
    <x v="3"/>
    <x v="9"/>
    <x v="3"/>
    <x v="1"/>
    <x v="2"/>
    <x v="13"/>
    <n v="0"/>
    <x v="13"/>
    <x v="1"/>
  </r>
  <r>
    <x v="3"/>
    <x v="9"/>
    <x v="3"/>
    <x v="1"/>
    <x v="2"/>
    <x v="14"/>
    <n v="0"/>
    <x v="14"/>
    <x v="0"/>
  </r>
  <r>
    <x v="3"/>
    <x v="9"/>
    <x v="3"/>
    <x v="1"/>
    <x v="2"/>
    <x v="15"/>
    <n v="0"/>
    <x v="15"/>
    <x v="0"/>
  </r>
  <r>
    <x v="3"/>
    <x v="9"/>
    <x v="3"/>
    <x v="1"/>
    <x v="2"/>
    <x v="16"/>
    <n v="0"/>
    <x v="16"/>
    <x v="0"/>
  </r>
  <r>
    <x v="3"/>
    <x v="9"/>
    <x v="3"/>
    <x v="1"/>
    <x v="2"/>
    <x v="17"/>
    <n v="0"/>
    <x v="17"/>
    <x v="0"/>
  </r>
  <r>
    <x v="3"/>
    <x v="9"/>
    <x v="3"/>
    <x v="1"/>
    <x v="2"/>
    <x v="18"/>
    <n v="0"/>
    <x v="18"/>
    <x v="1"/>
  </r>
  <r>
    <x v="3"/>
    <x v="9"/>
    <x v="3"/>
    <x v="1"/>
    <x v="2"/>
    <x v="19"/>
    <n v="0"/>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1"/>
  </r>
  <r>
    <x v="3"/>
    <x v="9"/>
    <x v="3"/>
    <x v="2"/>
    <x v="2"/>
    <x v="13"/>
    <n v="0"/>
    <x v="13"/>
    <x v="1"/>
  </r>
  <r>
    <x v="3"/>
    <x v="9"/>
    <x v="3"/>
    <x v="2"/>
    <x v="2"/>
    <x v="14"/>
    <n v="0"/>
    <x v="14"/>
    <x v="0"/>
  </r>
  <r>
    <x v="3"/>
    <x v="9"/>
    <x v="3"/>
    <x v="2"/>
    <x v="2"/>
    <x v="15"/>
    <n v="0"/>
    <x v="15"/>
    <x v="0"/>
  </r>
  <r>
    <x v="3"/>
    <x v="9"/>
    <x v="3"/>
    <x v="2"/>
    <x v="2"/>
    <x v="16"/>
    <n v="0"/>
    <x v="16"/>
    <x v="0"/>
  </r>
  <r>
    <x v="3"/>
    <x v="9"/>
    <x v="3"/>
    <x v="2"/>
    <x v="2"/>
    <x v="17"/>
    <n v="0"/>
    <x v="17"/>
    <x v="0"/>
  </r>
  <r>
    <x v="3"/>
    <x v="9"/>
    <x v="3"/>
    <x v="2"/>
    <x v="2"/>
    <x v="18"/>
    <n v="0"/>
    <x v="18"/>
    <x v="1"/>
  </r>
  <r>
    <x v="3"/>
    <x v="9"/>
    <x v="3"/>
    <x v="2"/>
    <x v="2"/>
    <x v="19"/>
    <n v="0"/>
    <x v="19"/>
    <x v="1"/>
  </r>
  <r>
    <x v="3"/>
    <x v="10"/>
    <x v="0"/>
    <x v="0"/>
    <x v="0"/>
    <x v="0"/>
    <n v="395"/>
    <x v="0"/>
    <x v="0"/>
  </r>
  <r>
    <x v="3"/>
    <x v="10"/>
    <x v="0"/>
    <x v="0"/>
    <x v="0"/>
    <x v="1"/>
    <n v="410"/>
    <x v="1"/>
    <x v="0"/>
  </r>
  <r>
    <x v="3"/>
    <x v="10"/>
    <x v="0"/>
    <x v="0"/>
    <x v="0"/>
    <x v="2"/>
    <n v="391"/>
    <x v="2"/>
    <x v="0"/>
  </r>
  <r>
    <x v="3"/>
    <x v="10"/>
    <x v="0"/>
    <x v="0"/>
    <x v="0"/>
    <x v="3"/>
    <n v="373"/>
    <x v="3"/>
    <x v="0"/>
  </r>
  <r>
    <x v="3"/>
    <x v="10"/>
    <x v="0"/>
    <x v="0"/>
    <x v="0"/>
    <x v="4"/>
    <n v="377"/>
    <x v="4"/>
    <x v="1"/>
  </r>
  <r>
    <x v="3"/>
    <x v="10"/>
    <x v="0"/>
    <x v="0"/>
    <x v="0"/>
    <x v="5"/>
    <n v="358"/>
    <x v="5"/>
    <x v="1"/>
  </r>
  <r>
    <x v="3"/>
    <x v="10"/>
    <x v="0"/>
    <x v="0"/>
    <x v="0"/>
    <x v="6"/>
    <n v="353"/>
    <x v="6"/>
    <x v="1"/>
  </r>
  <r>
    <x v="3"/>
    <x v="10"/>
    <x v="0"/>
    <x v="0"/>
    <x v="0"/>
    <x v="7"/>
    <n v="324"/>
    <x v="7"/>
    <x v="1"/>
  </r>
  <r>
    <x v="3"/>
    <x v="10"/>
    <x v="0"/>
    <x v="0"/>
    <x v="1"/>
    <x v="8"/>
    <n v="288"/>
    <x v="8"/>
    <x v="0"/>
  </r>
  <r>
    <x v="3"/>
    <x v="10"/>
    <x v="0"/>
    <x v="0"/>
    <x v="1"/>
    <x v="9"/>
    <n v="317"/>
    <x v="9"/>
    <x v="0"/>
  </r>
  <r>
    <x v="3"/>
    <x v="10"/>
    <x v="0"/>
    <x v="0"/>
    <x v="1"/>
    <x v="10"/>
    <n v="314"/>
    <x v="10"/>
    <x v="0"/>
  </r>
  <r>
    <x v="3"/>
    <x v="10"/>
    <x v="0"/>
    <x v="0"/>
    <x v="1"/>
    <x v="11"/>
    <n v="306"/>
    <x v="11"/>
    <x v="0"/>
  </r>
  <r>
    <x v="3"/>
    <x v="10"/>
    <x v="0"/>
    <x v="0"/>
    <x v="2"/>
    <x v="12"/>
    <n v="411"/>
    <x v="12"/>
    <x v="1"/>
  </r>
  <r>
    <x v="3"/>
    <x v="10"/>
    <x v="0"/>
    <x v="0"/>
    <x v="2"/>
    <x v="13"/>
    <n v="342"/>
    <x v="13"/>
    <x v="1"/>
  </r>
  <r>
    <x v="3"/>
    <x v="10"/>
    <x v="0"/>
    <x v="0"/>
    <x v="2"/>
    <x v="14"/>
    <n v="438"/>
    <x v="14"/>
    <x v="0"/>
  </r>
  <r>
    <x v="3"/>
    <x v="10"/>
    <x v="0"/>
    <x v="0"/>
    <x v="2"/>
    <x v="15"/>
    <n v="426"/>
    <x v="15"/>
    <x v="0"/>
  </r>
  <r>
    <x v="3"/>
    <x v="10"/>
    <x v="0"/>
    <x v="0"/>
    <x v="2"/>
    <x v="16"/>
    <n v="451"/>
    <x v="16"/>
    <x v="0"/>
  </r>
  <r>
    <x v="3"/>
    <x v="10"/>
    <x v="0"/>
    <x v="0"/>
    <x v="2"/>
    <x v="17"/>
    <n v="417"/>
    <x v="17"/>
    <x v="0"/>
  </r>
  <r>
    <x v="3"/>
    <x v="10"/>
    <x v="0"/>
    <x v="0"/>
    <x v="2"/>
    <x v="18"/>
    <n v="395"/>
    <x v="18"/>
    <x v="1"/>
  </r>
  <r>
    <x v="3"/>
    <x v="10"/>
    <x v="0"/>
    <x v="0"/>
    <x v="2"/>
    <x v="19"/>
    <n v="384"/>
    <x v="19"/>
    <x v="1"/>
  </r>
  <r>
    <x v="3"/>
    <x v="10"/>
    <x v="0"/>
    <x v="1"/>
    <x v="0"/>
    <x v="0"/>
    <n v="28"/>
    <x v="0"/>
    <x v="0"/>
  </r>
  <r>
    <x v="3"/>
    <x v="10"/>
    <x v="0"/>
    <x v="1"/>
    <x v="0"/>
    <x v="1"/>
    <n v="13"/>
    <x v="1"/>
    <x v="0"/>
  </r>
  <r>
    <x v="3"/>
    <x v="10"/>
    <x v="0"/>
    <x v="1"/>
    <x v="0"/>
    <x v="2"/>
    <n v="31"/>
    <x v="2"/>
    <x v="0"/>
  </r>
  <r>
    <x v="3"/>
    <x v="10"/>
    <x v="0"/>
    <x v="1"/>
    <x v="0"/>
    <x v="3"/>
    <n v="33"/>
    <x v="3"/>
    <x v="0"/>
  </r>
  <r>
    <x v="3"/>
    <x v="10"/>
    <x v="0"/>
    <x v="1"/>
    <x v="0"/>
    <x v="4"/>
    <n v="35"/>
    <x v="4"/>
    <x v="1"/>
  </r>
  <r>
    <x v="3"/>
    <x v="10"/>
    <x v="0"/>
    <x v="1"/>
    <x v="0"/>
    <x v="5"/>
    <n v="26"/>
    <x v="5"/>
    <x v="1"/>
  </r>
  <r>
    <x v="3"/>
    <x v="10"/>
    <x v="0"/>
    <x v="1"/>
    <x v="0"/>
    <x v="6"/>
    <n v="44"/>
    <x v="6"/>
    <x v="1"/>
  </r>
  <r>
    <x v="3"/>
    <x v="10"/>
    <x v="0"/>
    <x v="1"/>
    <x v="0"/>
    <x v="7"/>
    <n v="52"/>
    <x v="7"/>
    <x v="1"/>
  </r>
  <r>
    <x v="3"/>
    <x v="10"/>
    <x v="0"/>
    <x v="1"/>
    <x v="1"/>
    <x v="8"/>
    <n v="47"/>
    <x v="8"/>
    <x v="0"/>
  </r>
  <r>
    <x v="3"/>
    <x v="10"/>
    <x v="0"/>
    <x v="1"/>
    <x v="1"/>
    <x v="9"/>
    <n v="45"/>
    <x v="9"/>
    <x v="0"/>
  </r>
  <r>
    <x v="3"/>
    <x v="10"/>
    <x v="0"/>
    <x v="1"/>
    <x v="1"/>
    <x v="10"/>
    <n v="45"/>
    <x v="10"/>
    <x v="0"/>
  </r>
  <r>
    <x v="3"/>
    <x v="10"/>
    <x v="0"/>
    <x v="1"/>
    <x v="1"/>
    <x v="11"/>
    <n v="52"/>
    <x v="11"/>
    <x v="0"/>
  </r>
  <r>
    <x v="3"/>
    <x v="10"/>
    <x v="0"/>
    <x v="1"/>
    <x v="2"/>
    <x v="12"/>
    <n v="28"/>
    <x v="12"/>
    <x v="1"/>
  </r>
  <r>
    <x v="3"/>
    <x v="10"/>
    <x v="0"/>
    <x v="1"/>
    <x v="2"/>
    <x v="13"/>
    <n v="13"/>
    <x v="13"/>
    <x v="1"/>
  </r>
  <r>
    <x v="3"/>
    <x v="10"/>
    <x v="0"/>
    <x v="1"/>
    <x v="2"/>
    <x v="14"/>
    <n v="14"/>
    <x v="14"/>
    <x v="0"/>
  </r>
  <r>
    <x v="3"/>
    <x v="10"/>
    <x v="0"/>
    <x v="1"/>
    <x v="2"/>
    <x v="15"/>
    <n v="13"/>
    <x v="15"/>
    <x v="0"/>
  </r>
  <r>
    <x v="3"/>
    <x v="10"/>
    <x v="0"/>
    <x v="1"/>
    <x v="2"/>
    <x v="16"/>
    <n v="6"/>
    <x v="16"/>
    <x v="0"/>
  </r>
  <r>
    <x v="3"/>
    <x v="10"/>
    <x v="0"/>
    <x v="1"/>
    <x v="2"/>
    <x v="17"/>
    <n v="8"/>
    <x v="17"/>
    <x v="0"/>
  </r>
  <r>
    <x v="3"/>
    <x v="10"/>
    <x v="0"/>
    <x v="1"/>
    <x v="2"/>
    <x v="18"/>
    <n v="12"/>
    <x v="18"/>
    <x v="1"/>
  </r>
  <r>
    <x v="3"/>
    <x v="10"/>
    <x v="0"/>
    <x v="1"/>
    <x v="2"/>
    <x v="19"/>
    <n v="5"/>
    <x v="19"/>
    <x v="1"/>
  </r>
  <r>
    <x v="3"/>
    <x v="10"/>
    <x v="0"/>
    <x v="2"/>
    <x v="0"/>
    <x v="0"/>
    <n v="1"/>
    <x v="0"/>
    <x v="0"/>
  </r>
  <r>
    <x v="3"/>
    <x v="10"/>
    <x v="0"/>
    <x v="2"/>
    <x v="0"/>
    <x v="1"/>
    <n v="1"/>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0"/>
    <x v="12"/>
    <x v="1"/>
  </r>
  <r>
    <x v="3"/>
    <x v="10"/>
    <x v="0"/>
    <x v="2"/>
    <x v="2"/>
    <x v="13"/>
    <n v="1"/>
    <x v="13"/>
    <x v="1"/>
  </r>
  <r>
    <x v="3"/>
    <x v="10"/>
    <x v="0"/>
    <x v="2"/>
    <x v="2"/>
    <x v="14"/>
    <n v="2"/>
    <x v="14"/>
    <x v="0"/>
  </r>
  <r>
    <x v="3"/>
    <x v="10"/>
    <x v="0"/>
    <x v="2"/>
    <x v="2"/>
    <x v="15"/>
    <n v="2"/>
    <x v="15"/>
    <x v="0"/>
  </r>
  <r>
    <x v="3"/>
    <x v="10"/>
    <x v="0"/>
    <x v="2"/>
    <x v="2"/>
    <x v="16"/>
    <n v="0"/>
    <x v="16"/>
    <x v="0"/>
  </r>
  <r>
    <x v="3"/>
    <x v="10"/>
    <x v="0"/>
    <x v="2"/>
    <x v="2"/>
    <x v="17"/>
    <n v="1"/>
    <x v="17"/>
    <x v="0"/>
  </r>
  <r>
    <x v="3"/>
    <x v="10"/>
    <x v="0"/>
    <x v="2"/>
    <x v="2"/>
    <x v="18"/>
    <n v="0"/>
    <x v="18"/>
    <x v="1"/>
  </r>
  <r>
    <x v="3"/>
    <x v="10"/>
    <x v="0"/>
    <x v="2"/>
    <x v="2"/>
    <x v="19"/>
    <n v="0"/>
    <x v="19"/>
    <x v="1"/>
  </r>
  <r>
    <x v="3"/>
    <x v="11"/>
    <x v="1"/>
    <x v="0"/>
    <x v="0"/>
    <x v="0"/>
    <n v="3"/>
    <x v="0"/>
    <x v="0"/>
  </r>
  <r>
    <x v="3"/>
    <x v="11"/>
    <x v="1"/>
    <x v="0"/>
    <x v="0"/>
    <x v="1"/>
    <n v="7"/>
    <x v="1"/>
    <x v="0"/>
  </r>
  <r>
    <x v="3"/>
    <x v="11"/>
    <x v="1"/>
    <x v="0"/>
    <x v="0"/>
    <x v="2"/>
    <n v="6"/>
    <x v="2"/>
    <x v="0"/>
  </r>
  <r>
    <x v="3"/>
    <x v="11"/>
    <x v="1"/>
    <x v="0"/>
    <x v="0"/>
    <x v="3"/>
    <n v="4"/>
    <x v="3"/>
    <x v="0"/>
  </r>
  <r>
    <x v="3"/>
    <x v="11"/>
    <x v="1"/>
    <x v="0"/>
    <x v="0"/>
    <x v="4"/>
    <n v="5"/>
    <x v="4"/>
    <x v="1"/>
  </r>
  <r>
    <x v="3"/>
    <x v="11"/>
    <x v="1"/>
    <x v="0"/>
    <x v="0"/>
    <x v="5"/>
    <n v="1"/>
    <x v="5"/>
    <x v="1"/>
  </r>
  <r>
    <x v="3"/>
    <x v="11"/>
    <x v="1"/>
    <x v="0"/>
    <x v="0"/>
    <x v="6"/>
    <n v="8"/>
    <x v="6"/>
    <x v="1"/>
  </r>
  <r>
    <x v="3"/>
    <x v="11"/>
    <x v="1"/>
    <x v="0"/>
    <x v="0"/>
    <x v="7"/>
    <n v="4"/>
    <x v="7"/>
    <x v="1"/>
  </r>
  <r>
    <x v="3"/>
    <x v="11"/>
    <x v="1"/>
    <x v="0"/>
    <x v="1"/>
    <x v="8"/>
    <n v="12"/>
    <x v="8"/>
    <x v="0"/>
  </r>
  <r>
    <x v="3"/>
    <x v="11"/>
    <x v="1"/>
    <x v="0"/>
    <x v="1"/>
    <x v="9"/>
    <n v="8"/>
    <x v="9"/>
    <x v="0"/>
  </r>
  <r>
    <x v="3"/>
    <x v="11"/>
    <x v="1"/>
    <x v="0"/>
    <x v="1"/>
    <x v="10"/>
    <n v="10"/>
    <x v="10"/>
    <x v="0"/>
  </r>
  <r>
    <x v="3"/>
    <x v="11"/>
    <x v="1"/>
    <x v="0"/>
    <x v="1"/>
    <x v="11"/>
    <n v="15"/>
    <x v="11"/>
    <x v="0"/>
  </r>
  <r>
    <x v="3"/>
    <x v="11"/>
    <x v="1"/>
    <x v="0"/>
    <x v="2"/>
    <x v="12"/>
    <n v="19"/>
    <x v="12"/>
    <x v="1"/>
  </r>
  <r>
    <x v="3"/>
    <x v="11"/>
    <x v="1"/>
    <x v="0"/>
    <x v="2"/>
    <x v="13"/>
    <n v="12"/>
    <x v="13"/>
    <x v="1"/>
  </r>
  <r>
    <x v="3"/>
    <x v="11"/>
    <x v="1"/>
    <x v="0"/>
    <x v="2"/>
    <x v="14"/>
    <n v="20"/>
    <x v="14"/>
    <x v="0"/>
  </r>
  <r>
    <x v="3"/>
    <x v="11"/>
    <x v="1"/>
    <x v="0"/>
    <x v="2"/>
    <x v="15"/>
    <n v="16"/>
    <x v="15"/>
    <x v="0"/>
  </r>
  <r>
    <x v="3"/>
    <x v="11"/>
    <x v="1"/>
    <x v="0"/>
    <x v="2"/>
    <x v="16"/>
    <n v="10"/>
    <x v="16"/>
    <x v="0"/>
  </r>
  <r>
    <x v="3"/>
    <x v="11"/>
    <x v="1"/>
    <x v="0"/>
    <x v="2"/>
    <x v="17"/>
    <n v="18"/>
    <x v="17"/>
    <x v="0"/>
  </r>
  <r>
    <x v="3"/>
    <x v="11"/>
    <x v="1"/>
    <x v="0"/>
    <x v="2"/>
    <x v="18"/>
    <n v="10"/>
    <x v="18"/>
    <x v="1"/>
  </r>
  <r>
    <x v="3"/>
    <x v="11"/>
    <x v="1"/>
    <x v="0"/>
    <x v="2"/>
    <x v="19"/>
    <n v="16"/>
    <x v="19"/>
    <x v="1"/>
  </r>
  <r>
    <x v="3"/>
    <x v="11"/>
    <x v="1"/>
    <x v="1"/>
    <x v="0"/>
    <x v="0"/>
    <n v="0"/>
    <x v="0"/>
    <x v="0"/>
  </r>
  <r>
    <x v="3"/>
    <x v="11"/>
    <x v="1"/>
    <x v="1"/>
    <x v="0"/>
    <x v="1"/>
    <n v="1"/>
    <x v="1"/>
    <x v="0"/>
  </r>
  <r>
    <x v="3"/>
    <x v="11"/>
    <x v="1"/>
    <x v="1"/>
    <x v="0"/>
    <x v="2"/>
    <n v="0"/>
    <x v="2"/>
    <x v="0"/>
  </r>
  <r>
    <x v="3"/>
    <x v="11"/>
    <x v="1"/>
    <x v="1"/>
    <x v="0"/>
    <x v="3"/>
    <n v="0"/>
    <x v="3"/>
    <x v="0"/>
  </r>
  <r>
    <x v="3"/>
    <x v="11"/>
    <x v="1"/>
    <x v="1"/>
    <x v="0"/>
    <x v="4"/>
    <n v="1"/>
    <x v="4"/>
    <x v="1"/>
  </r>
  <r>
    <x v="3"/>
    <x v="11"/>
    <x v="1"/>
    <x v="1"/>
    <x v="0"/>
    <x v="5"/>
    <n v="2"/>
    <x v="5"/>
    <x v="1"/>
  </r>
  <r>
    <x v="3"/>
    <x v="11"/>
    <x v="1"/>
    <x v="1"/>
    <x v="0"/>
    <x v="6"/>
    <n v="0"/>
    <x v="6"/>
    <x v="1"/>
  </r>
  <r>
    <x v="3"/>
    <x v="11"/>
    <x v="1"/>
    <x v="1"/>
    <x v="0"/>
    <x v="7"/>
    <n v="0"/>
    <x v="7"/>
    <x v="1"/>
  </r>
  <r>
    <x v="3"/>
    <x v="11"/>
    <x v="1"/>
    <x v="1"/>
    <x v="1"/>
    <x v="8"/>
    <n v="1"/>
    <x v="8"/>
    <x v="0"/>
  </r>
  <r>
    <x v="3"/>
    <x v="11"/>
    <x v="1"/>
    <x v="1"/>
    <x v="1"/>
    <x v="9"/>
    <n v="1"/>
    <x v="9"/>
    <x v="0"/>
  </r>
  <r>
    <x v="3"/>
    <x v="11"/>
    <x v="1"/>
    <x v="1"/>
    <x v="1"/>
    <x v="10"/>
    <n v="2"/>
    <x v="10"/>
    <x v="0"/>
  </r>
  <r>
    <x v="3"/>
    <x v="11"/>
    <x v="1"/>
    <x v="1"/>
    <x v="1"/>
    <x v="11"/>
    <n v="2"/>
    <x v="11"/>
    <x v="0"/>
  </r>
  <r>
    <x v="3"/>
    <x v="11"/>
    <x v="1"/>
    <x v="1"/>
    <x v="2"/>
    <x v="12"/>
    <n v="0"/>
    <x v="12"/>
    <x v="1"/>
  </r>
  <r>
    <x v="3"/>
    <x v="11"/>
    <x v="1"/>
    <x v="1"/>
    <x v="2"/>
    <x v="13"/>
    <n v="1"/>
    <x v="13"/>
    <x v="1"/>
  </r>
  <r>
    <x v="3"/>
    <x v="11"/>
    <x v="1"/>
    <x v="1"/>
    <x v="2"/>
    <x v="14"/>
    <n v="0"/>
    <x v="14"/>
    <x v="0"/>
  </r>
  <r>
    <x v="3"/>
    <x v="11"/>
    <x v="1"/>
    <x v="1"/>
    <x v="2"/>
    <x v="15"/>
    <n v="1"/>
    <x v="15"/>
    <x v="0"/>
  </r>
  <r>
    <x v="3"/>
    <x v="11"/>
    <x v="1"/>
    <x v="1"/>
    <x v="2"/>
    <x v="16"/>
    <n v="0"/>
    <x v="16"/>
    <x v="0"/>
  </r>
  <r>
    <x v="3"/>
    <x v="11"/>
    <x v="1"/>
    <x v="1"/>
    <x v="2"/>
    <x v="17"/>
    <n v="0"/>
    <x v="17"/>
    <x v="0"/>
  </r>
  <r>
    <x v="3"/>
    <x v="11"/>
    <x v="1"/>
    <x v="1"/>
    <x v="2"/>
    <x v="18"/>
    <n v="0"/>
    <x v="18"/>
    <x v="1"/>
  </r>
  <r>
    <x v="3"/>
    <x v="11"/>
    <x v="1"/>
    <x v="1"/>
    <x v="2"/>
    <x v="19"/>
    <n v="1"/>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2"/>
    <x v="12"/>
    <n v="0"/>
    <x v="12"/>
    <x v="1"/>
  </r>
  <r>
    <x v="3"/>
    <x v="11"/>
    <x v="1"/>
    <x v="2"/>
    <x v="2"/>
    <x v="13"/>
    <n v="0"/>
    <x v="13"/>
    <x v="1"/>
  </r>
  <r>
    <x v="3"/>
    <x v="11"/>
    <x v="1"/>
    <x v="2"/>
    <x v="2"/>
    <x v="14"/>
    <n v="0"/>
    <x v="14"/>
    <x v="0"/>
  </r>
  <r>
    <x v="3"/>
    <x v="11"/>
    <x v="1"/>
    <x v="2"/>
    <x v="2"/>
    <x v="15"/>
    <n v="0"/>
    <x v="15"/>
    <x v="0"/>
  </r>
  <r>
    <x v="3"/>
    <x v="11"/>
    <x v="1"/>
    <x v="2"/>
    <x v="2"/>
    <x v="16"/>
    <n v="0"/>
    <x v="16"/>
    <x v="0"/>
  </r>
  <r>
    <x v="3"/>
    <x v="11"/>
    <x v="1"/>
    <x v="2"/>
    <x v="2"/>
    <x v="17"/>
    <n v="0"/>
    <x v="17"/>
    <x v="0"/>
  </r>
  <r>
    <x v="3"/>
    <x v="11"/>
    <x v="1"/>
    <x v="2"/>
    <x v="2"/>
    <x v="18"/>
    <n v="0"/>
    <x v="18"/>
    <x v="1"/>
  </r>
  <r>
    <x v="3"/>
    <x v="11"/>
    <x v="1"/>
    <x v="2"/>
    <x v="2"/>
    <x v="19"/>
    <n v="0"/>
    <x v="19"/>
    <x v="1"/>
  </r>
  <r>
    <x v="3"/>
    <x v="12"/>
    <x v="2"/>
    <x v="0"/>
    <x v="0"/>
    <x v="0"/>
    <n v="1"/>
    <x v="0"/>
    <x v="0"/>
  </r>
  <r>
    <x v="3"/>
    <x v="12"/>
    <x v="2"/>
    <x v="0"/>
    <x v="0"/>
    <x v="1"/>
    <n v="4"/>
    <x v="1"/>
    <x v="0"/>
  </r>
  <r>
    <x v="3"/>
    <x v="12"/>
    <x v="2"/>
    <x v="0"/>
    <x v="0"/>
    <x v="2"/>
    <n v="4"/>
    <x v="2"/>
    <x v="0"/>
  </r>
  <r>
    <x v="3"/>
    <x v="12"/>
    <x v="2"/>
    <x v="0"/>
    <x v="0"/>
    <x v="3"/>
    <n v="2"/>
    <x v="3"/>
    <x v="0"/>
  </r>
  <r>
    <x v="3"/>
    <x v="12"/>
    <x v="2"/>
    <x v="0"/>
    <x v="0"/>
    <x v="4"/>
    <n v="0"/>
    <x v="4"/>
    <x v="1"/>
  </r>
  <r>
    <x v="3"/>
    <x v="12"/>
    <x v="2"/>
    <x v="0"/>
    <x v="0"/>
    <x v="5"/>
    <n v="1"/>
    <x v="5"/>
    <x v="1"/>
  </r>
  <r>
    <x v="3"/>
    <x v="12"/>
    <x v="2"/>
    <x v="0"/>
    <x v="0"/>
    <x v="6"/>
    <n v="0"/>
    <x v="6"/>
    <x v="1"/>
  </r>
  <r>
    <x v="3"/>
    <x v="12"/>
    <x v="2"/>
    <x v="0"/>
    <x v="0"/>
    <x v="7"/>
    <n v="1"/>
    <x v="7"/>
    <x v="1"/>
  </r>
  <r>
    <x v="3"/>
    <x v="12"/>
    <x v="2"/>
    <x v="0"/>
    <x v="1"/>
    <x v="8"/>
    <n v="2"/>
    <x v="8"/>
    <x v="0"/>
  </r>
  <r>
    <x v="3"/>
    <x v="12"/>
    <x v="2"/>
    <x v="0"/>
    <x v="1"/>
    <x v="9"/>
    <n v="2"/>
    <x v="9"/>
    <x v="0"/>
  </r>
  <r>
    <x v="3"/>
    <x v="12"/>
    <x v="2"/>
    <x v="0"/>
    <x v="1"/>
    <x v="10"/>
    <n v="0"/>
    <x v="10"/>
    <x v="0"/>
  </r>
  <r>
    <x v="3"/>
    <x v="12"/>
    <x v="2"/>
    <x v="0"/>
    <x v="1"/>
    <x v="11"/>
    <n v="0"/>
    <x v="11"/>
    <x v="0"/>
  </r>
  <r>
    <x v="3"/>
    <x v="12"/>
    <x v="2"/>
    <x v="0"/>
    <x v="2"/>
    <x v="12"/>
    <n v="0"/>
    <x v="12"/>
    <x v="1"/>
  </r>
  <r>
    <x v="3"/>
    <x v="12"/>
    <x v="2"/>
    <x v="0"/>
    <x v="2"/>
    <x v="13"/>
    <n v="1"/>
    <x v="13"/>
    <x v="1"/>
  </r>
  <r>
    <x v="3"/>
    <x v="12"/>
    <x v="2"/>
    <x v="0"/>
    <x v="2"/>
    <x v="14"/>
    <n v="0"/>
    <x v="14"/>
    <x v="0"/>
  </r>
  <r>
    <x v="3"/>
    <x v="12"/>
    <x v="2"/>
    <x v="0"/>
    <x v="2"/>
    <x v="15"/>
    <n v="2"/>
    <x v="15"/>
    <x v="0"/>
  </r>
  <r>
    <x v="3"/>
    <x v="12"/>
    <x v="2"/>
    <x v="0"/>
    <x v="2"/>
    <x v="16"/>
    <n v="0"/>
    <x v="16"/>
    <x v="0"/>
  </r>
  <r>
    <x v="3"/>
    <x v="12"/>
    <x v="2"/>
    <x v="0"/>
    <x v="2"/>
    <x v="17"/>
    <n v="0"/>
    <x v="17"/>
    <x v="0"/>
  </r>
  <r>
    <x v="3"/>
    <x v="12"/>
    <x v="2"/>
    <x v="0"/>
    <x v="2"/>
    <x v="18"/>
    <n v="2"/>
    <x v="18"/>
    <x v="1"/>
  </r>
  <r>
    <x v="3"/>
    <x v="12"/>
    <x v="2"/>
    <x v="0"/>
    <x v="2"/>
    <x v="19"/>
    <n v="1"/>
    <x v="19"/>
    <x v="1"/>
  </r>
  <r>
    <x v="3"/>
    <x v="12"/>
    <x v="2"/>
    <x v="1"/>
    <x v="0"/>
    <x v="0"/>
    <n v="0"/>
    <x v="0"/>
    <x v="0"/>
  </r>
  <r>
    <x v="3"/>
    <x v="12"/>
    <x v="2"/>
    <x v="1"/>
    <x v="0"/>
    <x v="1"/>
    <n v="0"/>
    <x v="1"/>
    <x v="0"/>
  </r>
  <r>
    <x v="3"/>
    <x v="12"/>
    <x v="2"/>
    <x v="1"/>
    <x v="0"/>
    <x v="2"/>
    <n v="0"/>
    <x v="2"/>
    <x v="0"/>
  </r>
  <r>
    <x v="3"/>
    <x v="12"/>
    <x v="2"/>
    <x v="1"/>
    <x v="0"/>
    <x v="3"/>
    <n v="0"/>
    <x v="3"/>
    <x v="0"/>
  </r>
  <r>
    <x v="3"/>
    <x v="12"/>
    <x v="2"/>
    <x v="1"/>
    <x v="0"/>
    <x v="4"/>
    <n v="0"/>
    <x v="4"/>
    <x v="1"/>
  </r>
  <r>
    <x v="3"/>
    <x v="12"/>
    <x v="2"/>
    <x v="1"/>
    <x v="0"/>
    <x v="5"/>
    <n v="0"/>
    <x v="5"/>
    <x v="1"/>
  </r>
  <r>
    <x v="3"/>
    <x v="12"/>
    <x v="2"/>
    <x v="1"/>
    <x v="0"/>
    <x v="6"/>
    <n v="0"/>
    <x v="6"/>
    <x v="1"/>
  </r>
  <r>
    <x v="3"/>
    <x v="12"/>
    <x v="2"/>
    <x v="1"/>
    <x v="0"/>
    <x v="7"/>
    <n v="0"/>
    <x v="7"/>
    <x v="1"/>
  </r>
  <r>
    <x v="3"/>
    <x v="12"/>
    <x v="2"/>
    <x v="1"/>
    <x v="1"/>
    <x v="8"/>
    <n v="0"/>
    <x v="8"/>
    <x v="0"/>
  </r>
  <r>
    <x v="3"/>
    <x v="12"/>
    <x v="2"/>
    <x v="1"/>
    <x v="1"/>
    <x v="9"/>
    <n v="0"/>
    <x v="9"/>
    <x v="0"/>
  </r>
  <r>
    <x v="3"/>
    <x v="12"/>
    <x v="2"/>
    <x v="1"/>
    <x v="1"/>
    <x v="10"/>
    <n v="0"/>
    <x v="10"/>
    <x v="0"/>
  </r>
  <r>
    <x v="3"/>
    <x v="12"/>
    <x v="2"/>
    <x v="1"/>
    <x v="1"/>
    <x v="11"/>
    <n v="0"/>
    <x v="11"/>
    <x v="0"/>
  </r>
  <r>
    <x v="3"/>
    <x v="12"/>
    <x v="2"/>
    <x v="1"/>
    <x v="2"/>
    <x v="12"/>
    <n v="0"/>
    <x v="12"/>
    <x v="1"/>
  </r>
  <r>
    <x v="3"/>
    <x v="12"/>
    <x v="2"/>
    <x v="1"/>
    <x v="2"/>
    <x v="13"/>
    <n v="0"/>
    <x v="13"/>
    <x v="1"/>
  </r>
  <r>
    <x v="3"/>
    <x v="12"/>
    <x v="2"/>
    <x v="1"/>
    <x v="2"/>
    <x v="14"/>
    <n v="0"/>
    <x v="14"/>
    <x v="0"/>
  </r>
  <r>
    <x v="3"/>
    <x v="12"/>
    <x v="2"/>
    <x v="1"/>
    <x v="2"/>
    <x v="15"/>
    <n v="0"/>
    <x v="15"/>
    <x v="0"/>
  </r>
  <r>
    <x v="3"/>
    <x v="12"/>
    <x v="2"/>
    <x v="1"/>
    <x v="2"/>
    <x v="16"/>
    <n v="0"/>
    <x v="16"/>
    <x v="0"/>
  </r>
  <r>
    <x v="3"/>
    <x v="12"/>
    <x v="2"/>
    <x v="1"/>
    <x v="2"/>
    <x v="17"/>
    <n v="0"/>
    <x v="17"/>
    <x v="0"/>
  </r>
  <r>
    <x v="3"/>
    <x v="12"/>
    <x v="2"/>
    <x v="1"/>
    <x v="2"/>
    <x v="18"/>
    <n v="0"/>
    <x v="18"/>
    <x v="1"/>
  </r>
  <r>
    <x v="3"/>
    <x v="12"/>
    <x v="2"/>
    <x v="1"/>
    <x v="2"/>
    <x v="19"/>
    <n v="0"/>
    <x v="19"/>
    <x v="1"/>
  </r>
  <r>
    <x v="3"/>
    <x v="12"/>
    <x v="2"/>
    <x v="2"/>
    <x v="0"/>
    <x v="0"/>
    <n v="0"/>
    <x v="0"/>
    <x v="0"/>
  </r>
  <r>
    <x v="3"/>
    <x v="12"/>
    <x v="2"/>
    <x v="2"/>
    <x v="0"/>
    <x v="1"/>
    <n v="0"/>
    <x v="1"/>
    <x v="0"/>
  </r>
  <r>
    <x v="3"/>
    <x v="12"/>
    <x v="2"/>
    <x v="2"/>
    <x v="0"/>
    <x v="2"/>
    <n v="0"/>
    <x v="2"/>
    <x v="0"/>
  </r>
  <r>
    <x v="3"/>
    <x v="12"/>
    <x v="2"/>
    <x v="2"/>
    <x v="0"/>
    <x v="3"/>
    <n v="0"/>
    <x v="3"/>
    <x v="0"/>
  </r>
  <r>
    <x v="3"/>
    <x v="12"/>
    <x v="2"/>
    <x v="2"/>
    <x v="0"/>
    <x v="4"/>
    <n v="0"/>
    <x v="4"/>
    <x v="1"/>
  </r>
  <r>
    <x v="3"/>
    <x v="12"/>
    <x v="2"/>
    <x v="2"/>
    <x v="0"/>
    <x v="5"/>
    <n v="0"/>
    <x v="5"/>
    <x v="1"/>
  </r>
  <r>
    <x v="3"/>
    <x v="12"/>
    <x v="2"/>
    <x v="2"/>
    <x v="0"/>
    <x v="6"/>
    <n v="0"/>
    <x v="6"/>
    <x v="1"/>
  </r>
  <r>
    <x v="3"/>
    <x v="12"/>
    <x v="2"/>
    <x v="2"/>
    <x v="0"/>
    <x v="7"/>
    <n v="0"/>
    <x v="7"/>
    <x v="1"/>
  </r>
  <r>
    <x v="3"/>
    <x v="12"/>
    <x v="2"/>
    <x v="2"/>
    <x v="1"/>
    <x v="8"/>
    <n v="0"/>
    <x v="8"/>
    <x v="0"/>
  </r>
  <r>
    <x v="3"/>
    <x v="12"/>
    <x v="2"/>
    <x v="2"/>
    <x v="1"/>
    <x v="9"/>
    <n v="0"/>
    <x v="9"/>
    <x v="0"/>
  </r>
  <r>
    <x v="3"/>
    <x v="12"/>
    <x v="2"/>
    <x v="2"/>
    <x v="1"/>
    <x v="10"/>
    <n v="0"/>
    <x v="10"/>
    <x v="0"/>
  </r>
  <r>
    <x v="3"/>
    <x v="12"/>
    <x v="2"/>
    <x v="2"/>
    <x v="1"/>
    <x v="11"/>
    <n v="0"/>
    <x v="11"/>
    <x v="0"/>
  </r>
  <r>
    <x v="3"/>
    <x v="12"/>
    <x v="2"/>
    <x v="2"/>
    <x v="2"/>
    <x v="12"/>
    <n v="0"/>
    <x v="12"/>
    <x v="1"/>
  </r>
  <r>
    <x v="3"/>
    <x v="12"/>
    <x v="2"/>
    <x v="2"/>
    <x v="2"/>
    <x v="13"/>
    <n v="0"/>
    <x v="13"/>
    <x v="1"/>
  </r>
  <r>
    <x v="3"/>
    <x v="12"/>
    <x v="2"/>
    <x v="2"/>
    <x v="2"/>
    <x v="14"/>
    <n v="0"/>
    <x v="14"/>
    <x v="0"/>
  </r>
  <r>
    <x v="3"/>
    <x v="12"/>
    <x v="2"/>
    <x v="2"/>
    <x v="2"/>
    <x v="15"/>
    <n v="0"/>
    <x v="15"/>
    <x v="0"/>
  </r>
  <r>
    <x v="3"/>
    <x v="12"/>
    <x v="2"/>
    <x v="2"/>
    <x v="2"/>
    <x v="16"/>
    <n v="0"/>
    <x v="16"/>
    <x v="0"/>
  </r>
  <r>
    <x v="3"/>
    <x v="12"/>
    <x v="2"/>
    <x v="2"/>
    <x v="2"/>
    <x v="17"/>
    <n v="0"/>
    <x v="17"/>
    <x v="0"/>
  </r>
  <r>
    <x v="3"/>
    <x v="12"/>
    <x v="2"/>
    <x v="2"/>
    <x v="2"/>
    <x v="18"/>
    <n v="0"/>
    <x v="18"/>
    <x v="1"/>
  </r>
  <r>
    <x v="3"/>
    <x v="12"/>
    <x v="2"/>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D47" sqref="D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97</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Selwyn Street North</v>
      </c>
      <c r="C4" s="1" t="str">
        <f>Input!C31</f>
        <v>Brougham Street East</v>
      </c>
      <c r="D4" s="1" t="str">
        <f>Input!C42</f>
        <v>Selwyn Street South</v>
      </c>
      <c r="E4" s="1" t="str">
        <f>Input!C53</f>
        <v>Brougham Street West</v>
      </c>
      <c r="F4" s="1">
        <f>Input!C64</f>
        <v>0</v>
      </c>
      <c r="G4" s="1">
        <f>Input!C75</f>
        <v>0</v>
      </c>
      <c r="H4" s="1">
        <f>Input!C86</f>
        <v>0</v>
      </c>
    </row>
    <row r="6" spans="2:8" x14ac:dyDescent="0.25">
      <c r="B6" t="s">
        <v>18</v>
      </c>
    </row>
    <row r="8" spans="2:8" x14ac:dyDescent="0.25">
      <c r="B8" s="1" t="str">
        <f>Input!C22</f>
        <v>Left into Brougham Street East</v>
      </c>
      <c r="C8" s="1" t="str">
        <f>Input!C33</f>
        <v>Left into Selwyn Street South</v>
      </c>
      <c r="D8" s="1" t="str">
        <f>Input!C44</f>
        <v>Left into Brougham Street West</v>
      </c>
      <c r="E8" s="1" t="str">
        <f>Input!C55</f>
        <v>Left into Selwyn Street North</v>
      </c>
      <c r="F8" s="1">
        <f>Input!C66</f>
        <v>0</v>
      </c>
      <c r="G8" s="1">
        <f>Input!C77</f>
        <v>0</v>
      </c>
      <c r="H8" s="1">
        <f>Input!C88</f>
        <v>0</v>
      </c>
    </row>
    <row r="9" spans="2:8" x14ac:dyDescent="0.25">
      <c r="B9" s="1" t="str">
        <f>Input!C23</f>
        <v>Thru to Selwyn Street South</v>
      </c>
      <c r="C9" s="1" t="str">
        <f>Input!C34</f>
        <v>Thru to Brougham Street West</v>
      </c>
      <c r="D9" s="1" t="str">
        <f>Input!C45</f>
        <v>Thru to Selwyn Street North</v>
      </c>
      <c r="E9" s="1" t="str">
        <f>Input!C56</f>
        <v>Thru to Brougham Street East</v>
      </c>
      <c r="F9" s="1">
        <f>Input!C67</f>
        <v>0</v>
      </c>
      <c r="G9" s="1">
        <f>Input!C78</f>
        <v>0</v>
      </c>
      <c r="H9" s="1">
        <f>Input!C89</f>
        <v>0</v>
      </c>
    </row>
    <row r="10" spans="2:8" x14ac:dyDescent="0.25">
      <c r="B10" s="1" t="str">
        <f>Input!C24</f>
        <v>Right into Brougham Street West</v>
      </c>
      <c r="C10" s="1" t="str">
        <f>Input!C35</f>
        <v>Right into Selwyn Street North</v>
      </c>
      <c r="D10" s="1" t="str">
        <f>Input!C46</f>
        <v>Right into Brougham Street East</v>
      </c>
      <c r="E10" s="1" t="str">
        <f>Input!C57</f>
        <v>Right into Selwyn Street South</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Brougham Street East</v>
      </c>
      <c r="C18" s="1" t="str">
        <f>Input!E33</f>
        <v>Selwyn Street South</v>
      </c>
      <c r="D18" s="1" t="str">
        <f>Input!E44</f>
        <v>Brougham Street West</v>
      </c>
      <c r="E18" s="1" t="str">
        <f>Input!E55</f>
        <v>Selwyn Street North</v>
      </c>
      <c r="F18" s="1">
        <f>Input!E66</f>
        <v>0</v>
      </c>
      <c r="G18" s="1">
        <f>Input!E77</f>
        <v>0</v>
      </c>
      <c r="H18" s="1">
        <f>Input!E88</f>
        <v>0</v>
      </c>
    </row>
    <row r="19" spans="2:8" x14ac:dyDescent="0.25">
      <c r="B19" s="1" t="str">
        <f>Input!E23</f>
        <v>Selwyn Street South</v>
      </c>
      <c r="C19" s="1" t="str">
        <f>Input!E34</f>
        <v>Brougham Street West</v>
      </c>
      <c r="D19" s="1" t="str">
        <f>Input!E45</f>
        <v>Selwyn Street North</v>
      </c>
      <c r="E19" s="1" t="str">
        <f>Input!E56</f>
        <v>Brougham Street East</v>
      </c>
      <c r="F19" s="1">
        <f>Input!E67</f>
        <v>0</v>
      </c>
      <c r="G19" s="1">
        <f>Input!E78</f>
        <v>0</v>
      </c>
      <c r="H19" s="1">
        <f>Input!E89</f>
        <v>0</v>
      </c>
    </row>
    <row r="20" spans="2:8" x14ac:dyDescent="0.25">
      <c r="B20" s="1" t="str">
        <f>Input!E24</f>
        <v>Brougham Street West</v>
      </c>
      <c r="C20" s="1" t="str">
        <f>Input!E35</f>
        <v>Selwyn Street North</v>
      </c>
      <c r="D20" s="1" t="str">
        <f>Input!E46</f>
        <v>Brougham Street East</v>
      </c>
      <c r="E20" s="1" t="str">
        <f>Input!E57</f>
        <v>Selwyn Street South</v>
      </c>
      <c r="F20" s="1">
        <f>Input!E68</f>
        <v>0</v>
      </c>
      <c r="G20" s="1">
        <f>Input!E79</f>
        <v>0</v>
      </c>
      <c r="H20" s="1">
        <f>Input!E90</f>
        <v>0</v>
      </c>
    </row>
    <row r="21" spans="2:8" x14ac:dyDescent="0.25">
      <c r="B21" s="1">
        <f>Input!E25</f>
        <v>0</v>
      </c>
      <c r="C21" s="1">
        <f>Input!E36</f>
        <v>0</v>
      </c>
      <c r="D21" s="1">
        <f>Input!E47</f>
        <v>0</v>
      </c>
      <c r="E21" s="1" t="str">
        <f>Input!E58</f>
        <v>Brougham Street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128</v>
      </c>
    </row>
    <row r="4" spans="1:41" ht="15.75" thickBot="1" x14ac:dyDescent="0.3"/>
    <row r="5" spans="1:41"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20"/>
      <c r="AM5" s="26"/>
      <c r="AN5" s="18"/>
      <c r="AO5" s="32"/>
    </row>
    <row r="6" spans="1:41" x14ac:dyDescent="0.25">
      <c r="C6" s="30" t="s">
        <v>98</v>
      </c>
      <c r="D6" s="19"/>
      <c r="E6" s="21"/>
      <c r="F6" s="27" t="s">
        <v>99</v>
      </c>
      <c r="G6" s="19"/>
      <c r="H6" s="21"/>
      <c r="I6" s="27" t="s">
        <v>100</v>
      </c>
      <c r="J6" s="19"/>
      <c r="K6" s="21"/>
      <c r="L6" s="30" t="s">
        <v>101</v>
      </c>
      <c r="M6" s="19"/>
      <c r="N6" s="21"/>
      <c r="O6" s="27" t="s">
        <v>102</v>
      </c>
      <c r="P6" s="19"/>
      <c r="Q6" s="21"/>
      <c r="R6" s="27" t="s">
        <v>103</v>
      </c>
      <c r="S6" s="19"/>
      <c r="T6" s="21"/>
      <c r="U6" s="30" t="s">
        <v>104</v>
      </c>
      <c r="V6" s="19"/>
      <c r="W6" s="21"/>
      <c r="X6" s="27" t="s">
        <v>105</v>
      </c>
      <c r="Y6" s="19"/>
      <c r="Z6" s="21"/>
      <c r="AA6" s="27" t="s">
        <v>106</v>
      </c>
      <c r="AB6" s="19"/>
      <c r="AC6" s="21"/>
      <c r="AD6" s="30" t="s">
        <v>107</v>
      </c>
      <c r="AE6" s="19"/>
      <c r="AF6" s="21"/>
      <c r="AG6" s="27" t="s">
        <v>108</v>
      </c>
      <c r="AH6" s="19"/>
      <c r="AI6" s="21"/>
      <c r="AJ6" s="27" t="s">
        <v>109</v>
      </c>
      <c r="AK6" s="19"/>
      <c r="AL6" s="21"/>
      <c r="AM6" s="27" t="s">
        <v>97</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4" t="s">
        <v>90</v>
      </c>
      <c r="AM7" s="45" t="s">
        <v>79</v>
      </c>
      <c r="AN7" s="43" t="s">
        <v>89</v>
      </c>
      <c r="AO7" s="46" t="s">
        <v>90</v>
      </c>
    </row>
    <row r="8" spans="1:41" x14ac:dyDescent="0.25">
      <c r="A8" s="2" t="s">
        <v>43</v>
      </c>
      <c r="B8" s="7">
        <v>0.29166666666666669</v>
      </c>
      <c r="C8" s="31">
        <v>9</v>
      </c>
      <c r="D8">
        <v>1</v>
      </c>
      <c r="E8">
        <v>0</v>
      </c>
      <c r="F8" s="28">
        <v>24</v>
      </c>
      <c r="G8">
        <v>3</v>
      </c>
      <c r="H8">
        <v>0</v>
      </c>
      <c r="I8" s="28">
        <v>21</v>
      </c>
      <c r="J8">
        <v>1</v>
      </c>
      <c r="K8">
        <v>0</v>
      </c>
      <c r="L8" s="31">
        <v>2</v>
      </c>
      <c r="M8">
        <v>3</v>
      </c>
      <c r="N8">
        <v>0</v>
      </c>
      <c r="O8" s="28">
        <v>486</v>
      </c>
      <c r="P8">
        <v>28</v>
      </c>
      <c r="Q8">
        <v>0</v>
      </c>
      <c r="R8" s="28">
        <v>9</v>
      </c>
      <c r="S8">
        <v>1</v>
      </c>
      <c r="T8">
        <v>0</v>
      </c>
      <c r="U8" s="31">
        <v>28</v>
      </c>
      <c r="V8">
        <v>1</v>
      </c>
      <c r="W8">
        <v>0</v>
      </c>
      <c r="X8" s="28">
        <v>63</v>
      </c>
      <c r="Y8">
        <v>1</v>
      </c>
      <c r="Z8">
        <v>0</v>
      </c>
      <c r="AA8" s="28">
        <v>22</v>
      </c>
      <c r="AB8">
        <v>1</v>
      </c>
      <c r="AC8">
        <v>0</v>
      </c>
      <c r="AD8" s="31">
        <v>34</v>
      </c>
      <c r="AE8">
        <v>3</v>
      </c>
      <c r="AF8">
        <v>0</v>
      </c>
      <c r="AG8" s="28">
        <v>395</v>
      </c>
      <c r="AH8">
        <v>28</v>
      </c>
      <c r="AI8">
        <v>1</v>
      </c>
      <c r="AJ8" s="28">
        <v>3</v>
      </c>
      <c r="AK8">
        <v>0</v>
      </c>
      <c r="AL8">
        <v>0</v>
      </c>
      <c r="AM8" s="28">
        <v>1</v>
      </c>
      <c r="AN8">
        <v>0</v>
      </c>
      <c r="AO8" s="34">
        <v>0</v>
      </c>
    </row>
    <row r="9" spans="1:41" x14ac:dyDescent="0.25">
      <c r="A9" s="2" t="s">
        <v>43</v>
      </c>
      <c r="B9" s="7">
        <v>0.30208333333333331</v>
      </c>
      <c r="C9" s="31">
        <v>11</v>
      </c>
      <c r="D9">
        <v>0</v>
      </c>
      <c r="E9">
        <v>0</v>
      </c>
      <c r="F9" s="28">
        <v>26</v>
      </c>
      <c r="G9">
        <v>2</v>
      </c>
      <c r="H9">
        <v>0</v>
      </c>
      <c r="I9" s="28">
        <v>31</v>
      </c>
      <c r="J9">
        <v>0</v>
      </c>
      <c r="K9">
        <v>0</v>
      </c>
      <c r="L9" s="31">
        <v>9</v>
      </c>
      <c r="M9">
        <v>0</v>
      </c>
      <c r="N9">
        <v>0</v>
      </c>
      <c r="O9" s="28">
        <v>482</v>
      </c>
      <c r="P9">
        <v>31</v>
      </c>
      <c r="Q9">
        <v>0</v>
      </c>
      <c r="R9" s="28">
        <v>14</v>
      </c>
      <c r="S9">
        <v>1</v>
      </c>
      <c r="T9">
        <v>0</v>
      </c>
      <c r="U9" s="31">
        <v>22</v>
      </c>
      <c r="V9">
        <v>0</v>
      </c>
      <c r="W9">
        <v>0</v>
      </c>
      <c r="X9" s="28">
        <v>64</v>
      </c>
      <c r="Y9">
        <v>0</v>
      </c>
      <c r="Z9">
        <v>0</v>
      </c>
      <c r="AA9" s="28">
        <v>22</v>
      </c>
      <c r="AB9">
        <v>0</v>
      </c>
      <c r="AC9">
        <v>0</v>
      </c>
      <c r="AD9" s="31">
        <v>30</v>
      </c>
      <c r="AE9">
        <v>1</v>
      </c>
      <c r="AF9">
        <v>0</v>
      </c>
      <c r="AG9" s="28">
        <v>410</v>
      </c>
      <c r="AH9">
        <v>13</v>
      </c>
      <c r="AI9">
        <v>1</v>
      </c>
      <c r="AJ9" s="28">
        <v>7</v>
      </c>
      <c r="AK9">
        <v>1</v>
      </c>
      <c r="AL9">
        <v>0</v>
      </c>
      <c r="AM9" s="28">
        <v>4</v>
      </c>
      <c r="AN9">
        <v>0</v>
      </c>
      <c r="AO9" s="34">
        <v>0</v>
      </c>
    </row>
    <row r="10" spans="1:41" x14ac:dyDescent="0.25">
      <c r="A10" s="2" t="s">
        <v>43</v>
      </c>
      <c r="B10" s="7">
        <v>0.3125</v>
      </c>
      <c r="C10" s="31">
        <v>18</v>
      </c>
      <c r="D10">
        <v>1</v>
      </c>
      <c r="E10">
        <v>0</v>
      </c>
      <c r="F10" s="28">
        <v>21</v>
      </c>
      <c r="G10">
        <v>1</v>
      </c>
      <c r="H10">
        <v>0</v>
      </c>
      <c r="I10" s="28">
        <v>23</v>
      </c>
      <c r="J10">
        <v>0</v>
      </c>
      <c r="K10">
        <v>0</v>
      </c>
      <c r="L10" s="31">
        <v>9</v>
      </c>
      <c r="M10">
        <v>1</v>
      </c>
      <c r="N10">
        <v>0</v>
      </c>
      <c r="O10" s="28">
        <v>428</v>
      </c>
      <c r="P10">
        <v>35</v>
      </c>
      <c r="Q10">
        <v>1</v>
      </c>
      <c r="R10" s="28">
        <v>11</v>
      </c>
      <c r="S10">
        <v>1</v>
      </c>
      <c r="T10">
        <v>0</v>
      </c>
      <c r="U10" s="31">
        <v>19</v>
      </c>
      <c r="V10">
        <v>0</v>
      </c>
      <c r="W10">
        <v>0</v>
      </c>
      <c r="X10" s="28">
        <v>70</v>
      </c>
      <c r="Y10">
        <v>1</v>
      </c>
      <c r="Z10">
        <v>5</v>
      </c>
      <c r="AA10" s="28">
        <v>30</v>
      </c>
      <c r="AB10">
        <v>1</v>
      </c>
      <c r="AC10">
        <v>1</v>
      </c>
      <c r="AD10" s="31">
        <v>33</v>
      </c>
      <c r="AE10">
        <v>1</v>
      </c>
      <c r="AF10">
        <v>0</v>
      </c>
      <c r="AG10" s="28">
        <v>391</v>
      </c>
      <c r="AH10">
        <v>31</v>
      </c>
      <c r="AI10">
        <v>0</v>
      </c>
      <c r="AJ10" s="28">
        <v>6</v>
      </c>
      <c r="AK10">
        <v>0</v>
      </c>
      <c r="AL10">
        <v>0</v>
      </c>
      <c r="AM10" s="28">
        <v>4</v>
      </c>
      <c r="AN10">
        <v>0</v>
      </c>
      <c r="AO10" s="34">
        <v>0</v>
      </c>
    </row>
    <row r="11" spans="1:41" x14ac:dyDescent="0.25">
      <c r="A11" s="2" t="s">
        <v>43</v>
      </c>
      <c r="B11" s="7">
        <v>0.32291666666666669</v>
      </c>
      <c r="C11" s="31">
        <v>14</v>
      </c>
      <c r="D11">
        <v>2</v>
      </c>
      <c r="E11">
        <v>0</v>
      </c>
      <c r="F11" s="28">
        <v>31</v>
      </c>
      <c r="G11">
        <v>0</v>
      </c>
      <c r="H11">
        <v>0</v>
      </c>
      <c r="I11" s="28">
        <v>21</v>
      </c>
      <c r="J11">
        <v>1</v>
      </c>
      <c r="K11">
        <v>0</v>
      </c>
      <c r="L11" s="31">
        <v>7</v>
      </c>
      <c r="M11">
        <v>0</v>
      </c>
      <c r="N11">
        <v>0</v>
      </c>
      <c r="O11" s="28">
        <v>438</v>
      </c>
      <c r="P11">
        <v>32</v>
      </c>
      <c r="Q11">
        <v>1</v>
      </c>
      <c r="R11" s="28">
        <v>14</v>
      </c>
      <c r="S11">
        <v>1</v>
      </c>
      <c r="T11">
        <v>0</v>
      </c>
      <c r="U11" s="31">
        <v>20</v>
      </c>
      <c r="V11">
        <v>0</v>
      </c>
      <c r="W11">
        <v>0</v>
      </c>
      <c r="X11" s="28">
        <v>94</v>
      </c>
      <c r="Y11">
        <v>2</v>
      </c>
      <c r="Z11">
        <v>7</v>
      </c>
      <c r="AA11" s="28">
        <v>50</v>
      </c>
      <c r="AB11">
        <v>2</v>
      </c>
      <c r="AC11">
        <v>0</v>
      </c>
      <c r="AD11" s="31">
        <v>29</v>
      </c>
      <c r="AE11">
        <v>0</v>
      </c>
      <c r="AF11">
        <v>0</v>
      </c>
      <c r="AG11" s="28">
        <v>373</v>
      </c>
      <c r="AH11">
        <v>33</v>
      </c>
      <c r="AI11">
        <v>0</v>
      </c>
      <c r="AJ11" s="28">
        <v>4</v>
      </c>
      <c r="AK11">
        <v>0</v>
      </c>
      <c r="AL11">
        <v>0</v>
      </c>
      <c r="AM11" s="28">
        <v>2</v>
      </c>
      <c r="AN11">
        <v>0</v>
      </c>
      <c r="AO11" s="34">
        <v>0</v>
      </c>
    </row>
    <row r="12" spans="1:41" x14ac:dyDescent="0.25">
      <c r="A12" s="2" t="s">
        <v>43</v>
      </c>
      <c r="B12" s="7">
        <v>0.33333333333333331</v>
      </c>
      <c r="C12" s="31">
        <v>5</v>
      </c>
      <c r="D12">
        <v>1</v>
      </c>
      <c r="E12">
        <v>0</v>
      </c>
      <c r="F12" s="28">
        <v>32</v>
      </c>
      <c r="G12">
        <v>3</v>
      </c>
      <c r="H12">
        <v>0</v>
      </c>
      <c r="I12" s="28">
        <v>12</v>
      </c>
      <c r="J12">
        <v>3</v>
      </c>
      <c r="K12">
        <v>0</v>
      </c>
      <c r="L12" s="31">
        <v>7</v>
      </c>
      <c r="M12">
        <v>3</v>
      </c>
      <c r="N12">
        <v>0</v>
      </c>
      <c r="O12" s="28">
        <v>415</v>
      </c>
      <c r="P12">
        <v>36</v>
      </c>
      <c r="Q12">
        <v>1</v>
      </c>
      <c r="R12" s="28">
        <v>11</v>
      </c>
      <c r="S12">
        <v>0</v>
      </c>
      <c r="T12">
        <v>0</v>
      </c>
      <c r="U12" s="31">
        <v>20</v>
      </c>
      <c r="V12">
        <v>2</v>
      </c>
      <c r="W12">
        <v>0</v>
      </c>
      <c r="X12" s="28">
        <v>89</v>
      </c>
      <c r="Y12">
        <v>1</v>
      </c>
      <c r="Z12">
        <v>3</v>
      </c>
      <c r="AA12" s="28">
        <v>45</v>
      </c>
      <c r="AB12">
        <v>0</v>
      </c>
      <c r="AC12">
        <v>0</v>
      </c>
      <c r="AD12" s="31">
        <v>20</v>
      </c>
      <c r="AE12">
        <v>1</v>
      </c>
      <c r="AF12">
        <v>0</v>
      </c>
      <c r="AG12" s="28">
        <v>377</v>
      </c>
      <c r="AH12">
        <v>35</v>
      </c>
      <c r="AI12">
        <v>0</v>
      </c>
      <c r="AJ12" s="28">
        <v>5</v>
      </c>
      <c r="AK12">
        <v>1</v>
      </c>
      <c r="AL12">
        <v>0</v>
      </c>
      <c r="AM12" s="28">
        <v>0</v>
      </c>
      <c r="AN12">
        <v>0</v>
      </c>
      <c r="AO12" s="34">
        <v>0</v>
      </c>
    </row>
    <row r="13" spans="1:41" x14ac:dyDescent="0.25">
      <c r="A13" s="2" t="s">
        <v>43</v>
      </c>
      <c r="B13" s="7">
        <v>0.34375</v>
      </c>
      <c r="C13" s="31">
        <v>15</v>
      </c>
      <c r="D13">
        <v>0</v>
      </c>
      <c r="E13">
        <v>0</v>
      </c>
      <c r="F13" s="28">
        <v>55</v>
      </c>
      <c r="G13">
        <v>2</v>
      </c>
      <c r="H13">
        <v>0</v>
      </c>
      <c r="I13" s="28">
        <v>19</v>
      </c>
      <c r="J13">
        <v>0</v>
      </c>
      <c r="K13">
        <v>0</v>
      </c>
      <c r="L13" s="31">
        <v>10</v>
      </c>
      <c r="M13">
        <v>0</v>
      </c>
      <c r="N13">
        <v>0</v>
      </c>
      <c r="O13" s="28">
        <v>362</v>
      </c>
      <c r="P13">
        <v>36</v>
      </c>
      <c r="Q13">
        <v>0</v>
      </c>
      <c r="R13" s="28">
        <v>22</v>
      </c>
      <c r="S13">
        <v>2</v>
      </c>
      <c r="T13">
        <v>0</v>
      </c>
      <c r="U13" s="31">
        <v>23</v>
      </c>
      <c r="V13">
        <v>1</v>
      </c>
      <c r="W13">
        <v>0</v>
      </c>
      <c r="X13" s="28">
        <v>89</v>
      </c>
      <c r="Y13">
        <v>1</v>
      </c>
      <c r="Z13">
        <v>6</v>
      </c>
      <c r="AA13" s="28">
        <v>29</v>
      </c>
      <c r="AB13">
        <v>1</v>
      </c>
      <c r="AC13">
        <v>0</v>
      </c>
      <c r="AD13" s="31">
        <v>22</v>
      </c>
      <c r="AE13">
        <v>3</v>
      </c>
      <c r="AF13">
        <v>0</v>
      </c>
      <c r="AG13" s="28">
        <v>358</v>
      </c>
      <c r="AH13">
        <v>26</v>
      </c>
      <c r="AI13">
        <v>0</v>
      </c>
      <c r="AJ13" s="28">
        <v>1</v>
      </c>
      <c r="AK13">
        <v>2</v>
      </c>
      <c r="AL13">
        <v>0</v>
      </c>
      <c r="AM13" s="28">
        <v>1</v>
      </c>
      <c r="AN13">
        <v>0</v>
      </c>
      <c r="AO13" s="34">
        <v>0</v>
      </c>
    </row>
    <row r="14" spans="1:41" x14ac:dyDescent="0.25">
      <c r="A14" s="2" t="s">
        <v>43</v>
      </c>
      <c r="B14" s="7">
        <v>0.35416666666666669</v>
      </c>
      <c r="C14" s="31">
        <v>12</v>
      </c>
      <c r="D14">
        <v>3</v>
      </c>
      <c r="E14">
        <v>0</v>
      </c>
      <c r="F14" s="28">
        <v>63</v>
      </c>
      <c r="G14">
        <v>3</v>
      </c>
      <c r="H14">
        <v>0</v>
      </c>
      <c r="I14" s="28">
        <v>14</v>
      </c>
      <c r="J14">
        <v>1</v>
      </c>
      <c r="K14">
        <v>0</v>
      </c>
      <c r="L14" s="31">
        <v>10</v>
      </c>
      <c r="M14">
        <v>0</v>
      </c>
      <c r="N14">
        <v>0</v>
      </c>
      <c r="O14" s="28">
        <v>378</v>
      </c>
      <c r="P14">
        <v>33</v>
      </c>
      <c r="Q14">
        <v>2</v>
      </c>
      <c r="R14" s="28">
        <v>14</v>
      </c>
      <c r="S14">
        <v>0</v>
      </c>
      <c r="T14">
        <v>0</v>
      </c>
      <c r="U14" s="31">
        <v>19</v>
      </c>
      <c r="V14">
        <v>0</v>
      </c>
      <c r="W14">
        <v>0</v>
      </c>
      <c r="X14" s="28">
        <v>96</v>
      </c>
      <c r="Y14">
        <v>1</v>
      </c>
      <c r="Z14">
        <v>3</v>
      </c>
      <c r="AA14" s="28">
        <v>24</v>
      </c>
      <c r="AB14">
        <v>2</v>
      </c>
      <c r="AC14">
        <v>0</v>
      </c>
      <c r="AD14" s="31">
        <v>21</v>
      </c>
      <c r="AE14">
        <v>3</v>
      </c>
      <c r="AF14">
        <v>0</v>
      </c>
      <c r="AG14" s="28">
        <v>353</v>
      </c>
      <c r="AH14">
        <v>44</v>
      </c>
      <c r="AI14">
        <v>0</v>
      </c>
      <c r="AJ14" s="28">
        <v>8</v>
      </c>
      <c r="AK14">
        <v>0</v>
      </c>
      <c r="AL14">
        <v>0</v>
      </c>
      <c r="AM14" s="28">
        <v>0</v>
      </c>
      <c r="AN14">
        <v>0</v>
      </c>
      <c r="AO14" s="34">
        <v>0</v>
      </c>
    </row>
    <row r="15" spans="1:41" ht="15.75" thickBot="1" x14ac:dyDescent="0.3">
      <c r="A15" s="2" t="s">
        <v>43</v>
      </c>
      <c r="B15" s="7">
        <v>0.36458333333333331</v>
      </c>
      <c r="C15" s="31">
        <v>9</v>
      </c>
      <c r="D15">
        <v>2</v>
      </c>
      <c r="E15">
        <v>0</v>
      </c>
      <c r="F15" s="28">
        <v>50</v>
      </c>
      <c r="G15">
        <v>4</v>
      </c>
      <c r="H15">
        <v>0</v>
      </c>
      <c r="I15" s="28">
        <v>15</v>
      </c>
      <c r="J15">
        <v>0</v>
      </c>
      <c r="K15">
        <v>0</v>
      </c>
      <c r="L15" s="31">
        <v>9</v>
      </c>
      <c r="M15">
        <v>4</v>
      </c>
      <c r="N15">
        <v>0</v>
      </c>
      <c r="O15" s="28">
        <v>436</v>
      </c>
      <c r="P15">
        <v>37</v>
      </c>
      <c r="Q15">
        <v>0</v>
      </c>
      <c r="R15" s="28">
        <v>19</v>
      </c>
      <c r="S15">
        <v>1</v>
      </c>
      <c r="T15">
        <v>0</v>
      </c>
      <c r="U15" s="31">
        <v>24</v>
      </c>
      <c r="V15">
        <v>0</v>
      </c>
      <c r="W15">
        <v>0</v>
      </c>
      <c r="X15" s="28">
        <v>87</v>
      </c>
      <c r="Y15">
        <v>2</v>
      </c>
      <c r="Z15">
        <v>2</v>
      </c>
      <c r="AA15" s="28">
        <v>34</v>
      </c>
      <c r="AB15">
        <v>1</v>
      </c>
      <c r="AC15">
        <v>0</v>
      </c>
      <c r="AD15" s="31">
        <v>25</v>
      </c>
      <c r="AE15">
        <v>1</v>
      </c>
      <c r="AF15">
        <v>0</v>
      </c>
      <c r="AG15" s="28">
        <v>324</v>
      </c>
      <c r="AH15">
        <v>52</v>
      </c>
      <c r="AI15">
        <v>0</v>
      </c>
      <c r="AJ15" s="28">
        <v>4</v>
      </c>
      <c r="AK15">
        <v>0</v>
      </c>
      <c r="AL15">
        <v>0</v>
      </c>
      <c r="AM15" s="28">
        <v>1</v>
      </c>
      <c r="AN15">
        <v>0</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25">
      <c r="A17" s="2" t="s">
        <v>91</v>
      </c>
      <c r="B17" s="7">
        <v>0.54166666666666663</v>
      </c>
      <c r="C17" s="31">
        <v>14</v>
      </c>
      <c r="D17">
        <v>0</v>
      </c>
      <c r="E17">
        <v>0</v>
      </c>
      <c r="F17" s="28">
        <v>39</v>
      </c>
      <c r="G17">
        <v>2</v>
      </c>
      <c r="H17">
        <v>0</v>
      </c>
      <c r="I17" s="28">
        <v>26</v>
      </c>
      <c r="J17">
        <v>0</v>
      </c>
      <c r="K17">
        <v>0</v>
      </c>
      <c r="L17" s="31">
        <v>36</v>
      </c>
      <c r="M17">
        <v>1</v>
      </c>
      <c r="N17">
        <v>0</v>
      </c>
      <c r="O17" s="28">
        <v>353</v>
      </c>
      <c r="P17">
        <v>42</v>
      </c>
      <c r="Q17">
        <v>0</v>
      </c>
      <c r="R17" s="28">
        <v>22</v>
      </c>
      <c r="S17">
        <v>0</v>
      </c>
      <c r="T17">
        <v>0</v>
      </c>
      <c r="U17" s="31">
        <v>13</v>
      </c>
      <c r="V17">
        <v>0</v>
      </c>
      <c r="W17">
        <v>0</v>
      </c>
      <c r="X17" s="28">
        <v>39</v>
      </c>
      <c r="Y17">
        <v>2</v>
      </c>
      <c r="Z17">
        <v>0</v>
      </c>
      <c r="AA17" s="28">
        <v>28</v>
      </c>
      <c r="AB17">
        <v>1</v>
      </c>
      <c r="AC17">
        <v>0</v>
      </c>
      <c r="AD17" s="31">
        <v>34</v>
      </c>
      <c r="AE17">
        <v>1</v>
      </c>
      <c r="AF17">
        <v>0</v>
      </c>
      <c r="AG17" s="28">
        <v>288</v>
      </c>
      <c r="AH17">
        <v>47</v>
      </c>
      <c r="AI17">
        <v>0</v>
      </c>
      <c r="AJ17" s="28">
        <v>12</v>
      </c>
      <c r="AK17">
        <v>1</v>
      </c>
      <c r="AL17">
        <v>0</v>
      </c>
      <c r="AM17" s="28">
        <v>2</v>
      </c>
      <c r="AN17">
        <v>0</v>
      </c>
      <c r="AO17" s="34">
        <v>0</v>
      </c>
    </row>
    <row r="18" spans="1:41" x14ac:dyDescent="0.25">
      <c r="A18" s="2" t="s">
        <v>91</v>
      </c>
      <c r="B18" s="7">
        <v>0.55208333333333337</v>
      </c>
      <c r="C18" s="31">
        <v>18</v>
      </c>
      <c r="D18">
        <v>0</v>
      </c>
      <c r="E18">
        <v>0</v>
      </c>
      <c r="F18" s="28">
        <v>43</v>
      </c>
      <c r="G18">
        <v>1</v>
      </c>
      <c r="H18">
        <v>0</v>
      </c>
      <c r="I18" s="28">
        <v>27</v>
      </c>
      <c r="J18">
        <v>0</v>
      </c>
      <c r="K18">
        <v>0</v>
      </c>
      <c r="L18" s="31">
        <v>23</v>
      </c>
      <c r="M18">
        <v>0</v>
      </c>
      <c r="N18">
        <v>0</v>
      </c>
      <c r="O18" s="28">
        <v>309</v>
      </c>
      <c r="P18">
        <v>60</v>
      </c>
      <c r="Q18">
        <v>0</v>
      </c>
      <c r="R18" s="28">
        <v>10</v>
      </c>
      <c r="S18">
        <v>1</v>
      </c>
      <c r="T18">
        <v>0</v>
      </c>
      <c r="U18" s="31">
        <v>10</v>
      </c>
      <c r="V18">
        <v>1</v>
      </c>
      <c r="W18">
        <v>0</v>
      </c>
      <c r="X18" s="28">
        <v>46</v>
      </c>
      <c r="Y18">
        <v>1</v>
      </c>
      <c r="Z18">
        <v>2</v>
      </c>
      <c r="AA18" s="28">
        <v>23</v>
      </c>
      <c r="AB18">
        <v>2</v>
      </c>
      <c r="AC18">
        <v>0</v>
      </c>
      <c r="AD18" s="31">
        <v>35</v>
      </c>
      <c r="AE18">
        <v>2</v>
      </c>
      <c r="AF18">
        <v>0</v>
      </c>
      <c r="AG18" s="28">
        <v>317</v>
      </c>
      <c r="AH18">
        <v>45</v>
      </c>
      <c r="AI18">
        <v>0</v>
      </c>
      <c r="AJ18" s="28">
        <v>8</v>
      </c>
      <c r="AK18">
        <v>1</v>
      </c>
      <c r="AL18">
        <v>0</v>
      </c>
      <c r="AM18" s="28">
        <v>2</v>
      </c>
      <c r="AN18">
        <v>0</v>
      </c>
      <c r="AO18" s="34">
        <v>0</v>
      </c>
    </row>
    <row r="19" spans="1:41" x14ac:dyDescent="0.25">
      <c r="A19" s="2" t="s">
        <v>91</v>
      </c>
      <c r="B19" s="7">
        <v>0.5625</v>
      </c>
      <c r="C19" s="31">
        <v>18</v>
      </c>
      <c r="D19">
        <v>1</v>
      </c>
      <c r="E19">
        <v>0</v>
      </c>
      <c r="F19" s="28">
        <v>47</v>
      </c>
      <c r="G19">
        <v>1</v>
      </c>
      <c r="H19">
        <v>1</v>
      </c>
      <c r="I19" s="28">
        <v>30</v>
      </c>
      <c r="J19">
        <v>3</v>
      </c>
      <c r="K19">
        <v>0</v>
      </c>
      <c r="L19" s="31">
        <v>19</v>
      </c>
      <c r="M19">
        <v>1</v>
      </c>
      <c r="N19">
        <v>0</v>
      </c>
      <c r="O19" s="28">
        <v>322</v>
      </c>
      <c r="P19">
        <v>59</v>
      </c>
      <c r="Q19">
        <v>0</v>
      </c>
      <c r="R19" s="28">
        <v>13</v>
      </c>
      <c r="S19">
        <v>2</v>
      </c>
      <c r="T19">
        <v>0</v>
      </c>
      <c r="U19" s="31">
        <v>13</v>
      </c>
      <c r="V19">
        <v>1</v>
      </c>
      <c r="W19">
        <v>0</v>
      </c>
      <c r="X19" s="28">
        <v>44</v>
      </c>
      <c r="Y19">
        <v>5</v>
      </c>
      <c r="Z19">
        <v>0</v>
      </c>
      <c r="AA19" s="28">
        <v>22</v>
      </c>
      <c r="AB19">
        <v>1</v>
      </c>
      <c r="AC19">
        <v>0</v>
      </c>
      <c r="AD19" s="31">
        <v>28</v>
      </c>
      <c r="AE19">
        <v>1</v>
      </c>
      <c r="AF19">
        <v>0</v>
      </c>
      <c r="AG19" s="28">
        <v>314</v>
      </c>
      <c r="AH19">
        <v>45</v>
      </c>
      <c r="AI19">
        <v>0</v>
      </c>
      <c r="AJ19" s="28">
        <v>10</v>
      </c>
      <c r="AK19">
        <v>2</v>
      </c>
      <c r="AL19">
        <v>0</v>
      </c>
      <c r="AM19" s="28">
        <v>0</v>
      </c>
      <c r="AN19">
        <v>0</v>
      </c>
      <c r="AO19" s="34">
        <v>0</v>
      </c>
    </row>
    <row r="20" spans="1:41" ht="15.75" thickBot="1" x14ac:dyDescent="0.3">
      <c r="A20" s="2" t="s">
        <v>91</v>
      </c>
      <c r="B20" s="7">
        <v>0.57291666666666663</v>
      </c>
      <c r="C20" s="31">
        <v>18</v>
      </c>
      <c r="D20">
        <v>0</v>
      </c>
      <c r="E20">
        <v>0</v>
      </c>
      <c r="F20" s="28">
        <v>39</v>
      </c>
      <c r="G20">
        <v>0</v>
      </c>
      <c r="H20">
        <v>1</v>
      </c>
      <c r="I20" s="28">
        <v>33</v>
      </c>
      <c r="J20">
        <v>2</v>
      </c>
      <c r="K20">
        <v>0</v>
      </c>
      <c r="L20" s="31">
        <v>12</v>
      </c>
      <c r="M20">
        <v>3</v>
      </c>
      <c r="N20">
        <v>0</v>
      </c>
      <c r="O20" s="28">
        <v>321</v>
      </c>
      <c r="P20">
        <v>48</v>
      </c>
      <c r="Q20">
        <v>0</v>
      </c>
      <c r="R20" s="28">
        <v>22</v>
      </c>
      <c r="S20">
        <v>0</v>
      </c>
      <c r="T20">
        <v>0</v>
      </c>
      <c r="U20" s="31">
        <v>6</v>
      </c>
      <c r="V20">
        <v>1</v>
      </c>
      <c r="W20">
        <v>0</v>
      </c>
      <c r="X20" s="28">
        <v>41</v>
      </c>
      <c r="Y20">
        <v>1</v>
      </c>
      <c r="Z20">
        <v>1</v>
      </c>
      <c r="AA20" s="28">
        <v>16</v>
      </c>
      <c r="AB20">
        <v>0</v>
      </c>
      <c r="AC20">
        <v>0</v>
      </c>
      <c r="AD20" s="31">
        <v>34</v>
      </c>
      <c r="AE20">
        <v>0</v>
      </c>
      <c r="AF20">
        <v>0</v>
      </c>
      <c r="AG20" s="28">
        <v>306</v>
      </c>
      <c r="AH20">
        <v>52</v>
      </c>
      <c r="AI20">
        <v>0</v>
      </c>
      <c r="AJ20" s="28">
        <v>15</v>
      </c>
      <c r="AK20">
        <v>2</v>
      </c>
      <c r="AL20">
        <v>0</v>
      </c>
      <c r="AM20" s="28">
        <v>0</v>
      </c>
      <c r="AN20">
        <v>0</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25">
      <c r="A22" s="2" t="s">
        <v>44</v>
      </c>
      <c r="B22" s="7">
        <v>0.66666666666666663</v>
      </c>
      <c r="C22" s="31">
        <v>8</v>
      </c>
      <c r="D22">
        <v>0</v>
      </c>
      <c r="E22">
        <v>0</v>
      </c>
      <c r="F22" s="28">
        <v>88</v>
      </c>
      <c r="G22">
        <v>0</v>
      </c>
      <c r="H22">
        <v>3</v>
      </c>
      <c r="I22" s="28">
        <v>37</v>
      </c>
      <c r="J22">
        <v>0</v>
      </c>
      <c r="K22">
        <v>0</v>
      </c>
      <c r="L22" s="31">
        <v>9</v>
      </c>
      <c r="M22">
        <v>1</v>
      </c>
      <c r="N22">
        <v>0</v>
      </c>
      <c r="O22" s="28">
        <v>413</v>
      </c>
      <c r="P22">
        <v>14</v>
      </c>
      <c r="Q22">
        <v>0</v>
      </c>
      <c r="R22" s="28">
        <v>6</v>
      </c>
      <c r="S22">
        <v>0</v>
      </c>
      <c r="T22">
        <v>0</v>
      </c>
      <c r="U22" s="31">
        <v>28</v>
      </c>
      <c r="V22">
        <v>0</v>
      </c>
      <c r="W22">
        <v>0</v>
      </c>
      <c r="X22" s="28">
        <v>54</v>
      </c>
      <c r="Y22">
        <v>1</v>
      </c>
      <c r="Z22">
        <v>0</v>
      </c>
      <c r="AA22" s="28">
        <v>15</v>
      </c>
      <c r="AB22">
        <v>1</v>
      </c>
      <c r="AC22">
        <v>0</v>
      </c>
      <c r="AD22" s="31">
        <v>14</v>
      </c>
      <c r="AE22">
        <v>0</v>
      </c>
      <c r="AF22">
        <v>0</v>
      </c>
      <c r="AG22" s="28">
        <v>411</v>
      </c>
      <c r="AH22">
        <v>28</v>
      </c>
      <c r="AI22">
        <v>0</v>
      </c>
      <c r="AJ22" s="28">
        <v>19</v>
      </c>
      <c r="AK22">
        <v>0</v>
      </c>
      <c r="AL22">
        <v>0</v>
      </c>
      <c r="AM22" s="28">
        <v>0</v>
      </c>
      <c r="AN22">
        <v>0</v>
      </c>
      <c r="AO22" s="34">
        <v>0</v>
      </c>
    </row>
    <row r="23" spans="1:41" x14ac:dyDescent="0.25">
      <c r="A23" s="2" t="s">
        <v>44</v>
      </c>
      <c r="B23" s="7">
        <v>0.67708333333333337</v>
      </c>
      <c r="C23" s="31">
        <v>11</v>
      </c>
      <c r="D23">
        <v>0</v>
      </c>
      <c r="E23">
        <v>0</v>
      </c>
      <c r="F23" s="28">
        <v>67</v>
      </c>
      <c r="G23">
        <v>2</v>
      </c>
      <c r="H23">
        <v>8</v>
      </c>
      <c r="I23" s="28">
        <v>41</v>
      </c>
      <c r="J23">
        <v>1</v>
      </c>
      <c r="K23">
        <v>0</v>
      </c>
      <c r="L23" s="31">
        <v>0</v>
      </c>
      <c r="M23">
        <v>0</v>
      </c>
      <c r="N23">
        <v>0</v>
      </c>
      <c r="O23" s="28">
        <v>387</v>
      </c>
      <c r="P23">
        <v>26</v>
      </c>
      <c r="Q23">
        <v>0</v>
      </c>
      <c r="R23" s="28">
        <v>7</v>
      </c>
      <c r="S23">
        <v>0</v>
      </c>
      <c r="T23">
        <v>0</v>
      </c>
      <c r="U23" s="31">
        <v>32</v>
      </c>
      <c r="V23">
        <v>0</v>
      </c>
      <c r="W23">
        <v>0</v>
      </c>
      <c r="X23" s="28">
        <v>44</v>
      </c>
      <c r="Y23">
        <v>0</v>
      </c>
      <c r="Z23">
        <v>0</v>
      </c>
      <c r="AA23" s="28">
        <v>24</v>
      </c>
      <c r="AB23">
        <v>0</v>
      </c>
      <c r="AC23">
        <v>0</v>
      </c>
      <c r="AD23" s="31">
        <v>25</v>
      </c>
      <c r="AE23">
        <v>0</v>
      </c>
      <c r="AF23">
        <v>0</v>
      </c>
      <c r="AG23" s="28">
        <v>342</v>
      </c>
      <c r="AH23">
        <v>13</v>
      </c>
      <c r="AI23">
        <v>1</v>
      </c>
      <c r="AJ23" s="28">
        <v>12</v>
      </c>
      <c r="AK23">
        <v>1</v>
      </c>
      <c r="AL23">
        <v>0</v>
      </c>
      <c r="AM23" s="28">
        <v>1</v>
      </c>
      <c r="AN23">
        <v>0</v>
      </c>
      <c r="AO23" s="34">
        <v>0</v>
      </c>
    </row>
    <row r="24" spans="1:41" x14ac:dyDescent="0.25">
      <c r="A24" s="2" t="s">
        <v>44</v>
      </c>
      <c r="B24" s="7">
        <v>0.6875</v>
      </c>
      <c r="C24" s="31">
        <v>5</v>
      </c>
      <c r="D24">
        <v>0</v>
      </c>
      <c r="E24">
        <v>0</v>
      </c>
      <c r="F24" s="28">
        <v>84</v>
      </c>
      <c r="G24">
        <v>1</v>
      </c>
      <c r="H24">
        <v>7</v>
      </c>
      <c r="I24" s="28">
        <v>33</v>
      </c>
      <c r="J24">
        <v>1</v>
      </c>
      <c r="K24">
        <v>0</v>
      </c>
      <c r="L24" s="31">
        <v>6</v>
      </c>
      <c r="M24">
        <v>0</v>
      </c>
      <c r="N24">
        <v>0</v>
      </c>
      <c r="O24" s="28">
        <v>416</v>
      </c>
      <c r="P24">
        <v>20</v>
      </c>
      <c r="Q24">
        <v>0</v>
      </c>
      <c r="R24" s="28">
        <v>8</v>
      </c>
      <c r="S24">
        <v>1</v>
      </c>
      <c r="T24">
        <v>0</v>
      </c>
      <c r="U24" s="31">
        <v>27</v>
      </c>
      <c r="V24">
        <v>0</v>
      </c>
      <c r="W24">
        <v>0</v>
      </c>
      <c r="X24" s="28">
        <v>54</v>
      </c>
      <c r="Y24">
        <v>1</v>
      </c>
      <c r="Z24">
        <v>0</v>
      </c>
      <c r="AA24" s="28">
        <v>18</v>
      </c>
      <c r="AB24">
        <v>2</v>
      </c>
      <c r="AC24">
        <v>0</v>
      </c>
      <c r="AD24" s="31">
        <v>31</v>
      </c>
      <c r="AE24">
        <v>0</v>
      </c>
      <c r="AF24">
        <v>0</v>
      </c>
      <c r="AG24" s="28">
        <v>438</v>
      </c>
      <c r="AH24">
        <v>14</v>
      </c>
      <c r="AI24">
        <v>2</v>
      </c>
      <c r="AJ24" s="28">
        <v>20</v>
      </c>
      <c r="AK24">
        <v>0</v>
      </c>
      <c r="AL24">
        <v>0</v>
      </c>
      <c r="AM24" s="28">
        <v>0</v>
      </c>
      <c r="AN24">
        <v>0</v>
      </c>
      <c r="AO24" s="34">
        <v>0</v>
      </c>
    </row>
    <row r="25" spans="1:41" x14ac:dyDescent="0.25">
      <c r="A25" s="2" t="s">
        <v>44</v>
      </c>
      <c r="B25" s="7">
        <v>0.69791666666666663</v>
      </c>
      <c r="C25" s="31">
        <v>10</v>
      </c>
      <c r="D25">
        <v>0</v>
      </c>
      <c r="E25">
        <v>0</v>
      </c>
      <c r="F25" s="28">
        <v>100</v>
      </c>
      <c r="G25">
        <v>1</v>
      </c>
      <c r="H25">
        <v>5</v>
      </c>
      <c r="I25" s="28">
        <v>33</v>
      </c>
      <c r="J25">
        <v>1</v>
      </c>
      <c r="K25">
        <v>0</v>
      </c>
      <c r="L25" s="31">
        <v>4</v>
      </c>
      <c r="M25">
        <v>1</v>
      </c>
      <c r="N25">
        <v>0</v>
      </c>
      <c r="O25" s="28">
        <v>417</v>
      </c>
      <c r="P25">
        <v>20</v>
      </c>
      <c r="Q25">
        <v>0</v>
      </c>
      <c r="R25" s="28">
        <v>5</v>
      </c>
      <c r="S25">
        <v>0</v>
      </c>
      <c r="T25">
        <v>0</v>
      </c>
      <c r="U25" s="31">
        <v>27</v>
      </c>
      <c r="V25">
        <v>0</v>
      </c>
      <c r="W25">
        <v>0</v>
      </c>
      <c r="X25" s="28">
        <v>68</v>
      </c>
      <c r="Y25">
        <v>1</v>
      </c>
      <c r="Z25">
        <v>0</v>
      </c>
      <c r="AA25" s="28">
        <v>16</v>
      </c>
      <c r="AB25">
        <v>0</v>
      </c>
      <c r="AC25">
        <v>0</v>
      </c>
      <c r="AD25" s="31">
        <v>17</v>
      </c>
      <c r="AE25">
        <v>0</v>
      </c>
      <c r="AF25">
        <v>0</v>
      </c>
      <c r="AG25" s="28">
        <v>426</v>
      </c>
      <c r="AH25">
        <v>13</v>
      </c>
      <c r="AI25">
        <v>2</v>
      </c>
      <c r="AJ25" s="28">
        <v>16</v>
      </c>
      <c r="AK25">
        <v>1</v>
      </c>
      <c r="AL25">
        <v>0</v>
      </c>
      <c r="AM25" s="28">
        <v>2</v>
      </c>
      <c r="AN25">
        <v>0</v>
      </c>
      <c r="AO25" s="34">
        <v>0</v>
      </c>
    </row>
    <row r="26" spans="1:41" x14ac:dyDescent="0.25">
      <c r="A26" s="2" t="s">
        <v>44</v>
      </c>
      <c r="B26" s="7">
        <v>0.70833333333333337</v>
      </c>
      <c r="C26" s="31">
        <v>4</v>
      </c>
      <c r="D26">
        <v>0</v>
      </c>
      <c r="E26">
        <v>0</v>
      </c>
      <c r="F26" s="28">
        <v>89</v>
      </c>
      <c r="G26">
        <v>3</v>
      </c>
      <c r="H26">
        <v>2</v>
      </c>
      <c r="I26" s="28">
        <v>37</v>
      </c>
      <c r="J26">
        <v>1</v>
      </c>
      <c r="K26">
        <v>0</v>
      </c>
      <c r="L26" s="31">
        <v>13</v>
      </c>
      <c r="M26">
        <v>0</v>
      </c>
      <c r="N26">
        <v>1</v>
      </c>
      <c r="O26" s="28">
        <v>411</v>
      </c>
      <c r="P26">
        <v>21</v>
      </c>
      <c r="Q26">
        <v>0</v>
      </c>
      <c r="R26" s="28">
        <v>7</v>
      </c>
      <c r="S26">
        <v>0</v>
      </c>
      <c r="T26">
        <v>0</v>
      </c>
      <c r="U26" s="31">
        <v>31</v>
      </c>
      <c r="V26">
        <v>0</v>
      </c>
      <c r="W26">
        <v>0</v>
      </c>
      <c r="X26" s="28">
        <v>60</v>
      </c>
      <c r="Y26">
        <v>0</v>
      </c>
      <c r="Z26">
        <v>0</v>
      </c>
      <c r="AA26" s="28">
        <v>14</v>
      </c>
      <c r="AB26">
        <v>2</v>
      </c>
      <c r="AC26">
        <v>0</v>
      </c>
      <c r="AD26" s="31">
        <v>19</v>
      </c>
      <c r="AE26">
        <v>0</v>
      </c>
      <c r="AF26">
        <v>0</v>
      </c>
      <c r="AG26" s="28">
        <v>451</v>
      </c>
      <c r="AH26">
        <v>6</v>
      </c>
      <c r="AI26">
        <v>0</v>
      </c>
      <c r="AJ26" s="28">
        <v>10</v>
      </c>
      <c r="AK26">
        <v>0</v>
      </c>
      <c r="AL26">
        <v>0</v>
      </c>
      <c r="AM26" s="28">
        <v>0</v>
      </c>
      <c r="AN26">
        <v>0</v>
      </c>
      <c r="AO26" s="34">
        <v>0</v>
      </c>
    </row>
    <row r="27" spans="1:41" x14ac:dyDescent="0.25">
      <c r="A27" s="2" t="s">
        <v>44</v>
      </c>
      <c r="B27" s="7">
        <v>0.71875</v>
      </c>
      <c r="C27" s="31">
        <v>8</v>
      </c>
      <c r="D27">
        <v>0</v>
      </c>
      <c r="E27">
        <v>0</v>
      </c>
      <c r="F27" s="28">
        <v>101</v>
      </c>
      <c r="G27">
        <v>1</v>
      </c>
      <c r="H27">
        <v>5</v>
      </c>
      <c r="I27" s="28">
        <v>47</v>
      </c>
      <c r="J27">
        <v>1</v>
      </c>
      <c r="K27">
        <v>0</v>
      </c>
      <c r="L27" s="31">
        <v>8</v>
      </c>
      <c r="M27">
        <v>1</v>
      </c>
      <c r="N27">
        <v>0</v>
      </c>
      <c r="O27" s="28">
        <v>472</v>
      </c>
      <c r="P27">
        <v>4</v>
      </c>
      <c r="Q27">
        <v>1</v>
      </c>
      <c r="R27" s="28">
        <v>8</v>
      </c>
      <c r="S27">
        <v>0</v>
      </c>
      <c r="T27">
        <v>0</v>
      </c>
      <c r="U27" s="31">
        <v>31</v>
      </c>
      <c r="V27">
        <v>0</v>
      </c>
      <c r="W27">
        <v>0</v>
      </c>
      <c r="X27" s="28">
        <v>37</v>
      </c>
      <c r="Y27">
        <v>2</v>
      </c>
      <c r="Z27">
        <v>0</v>
      </c>
      <c r="AA27" s="28">
        <v>11</v>
      </c>
      <c r="AB27">
        <v>0</v>
      </c>
      <c r="AC27">
        <v>0</v>
      </c>
      <c r="AD27" s="31">
        <v>19</v>
      </c>
      <c r="AE27">
        <v>0</v>
      </c>
      <c r="AF27">
        <v>0</v>
      </c>
      <c r="AG27" s="28">
        <v>417</v>
      </c>
      <c r="AH27">
        <v>8</v>
      </c>
      <c r="AI27">
        <v>1</v>
      </c>
      <c r="AJ27" s="28">
        <v>18</v>
      </c>
      <c r="AK27">
        <v>0</v>
      </c>
      <c r="AL27">
        <v>0</v>
      </c>
      <c r="AM27" s="28">
        <v>0</v>
      </c>
      <c r="AN27">
        <v>0</v>
      </c>
      <c r="AO27" s="34">
        <v>0</v>
      </c>
    </row>
    <row r="28" spans="1:41" x14ac:dyDescent="0.25">
      <c r="A28" s="2" t="s">
        <v>44</v>
      </c>
      <c r="B28" s="7">
        <v>0.72916666666666663</v>
      </c>
      <c r="C28" s="31">
        <v>6</v>
      </c>
      <c r="D28">
        <v>0</v>
      </c>
      <c r="E28">
        <v>0</v>
      </c>
      <c r="F28" s="28">
        <v>94</v>
      </c>
      <c r="G28">
        <v>1</v>
      </c>
      <c r="H28">
        <v>2</v>
      </c>
      <c r="I28" s="28">
        <v>48</v>
      </c>
      <c r="J28">
        <v>0</v>
      </c>
      <c r="K28">
        <v>0</v>
      </c>
      <c r="L28" s="31">
        <v>16</v>
      </c>
      <c r="M28">
        <v>0</v>
      </c>
      <c r="N28">
        <v>0</v>
      </c>
      <c r="O28" s="28">
        <v>444</v>
      </c>
      <c r="P28">
        <v>14</v>
      </c>
      <c r="Q28">
        <v>0</v>
      </c>
      <c r="R28" s="28">
        <v>7</v>
      </c>
      <c r="S28">
        <v>0</v>
      </c>
      <c r="T28">
        <v>0</v>
      </c>
      <c r="U28" s="31">
        <v>21</v>
      </c>
      <c r="V28">
        <v>0</v>
      </c>
      <c r="W28">
        <v>0</v>
      </c>
      <c r="X28" s="28">
        <v>40</v>
      </c>
      <c r="Y28">
        <v>1</v>
      </c>
      <c r="Z28">
        <v>0</v>
      </c>
      <c r="AA28" s="28">
        <v>14</v>
      </c>
      <c r="AB28">
        <v>1</v>
      </c>
      <c r="AC28">
        <v>0</v>
      </c>
      <c r="AD28" s="31">
        <v>29</v>
      </c>
      <c r="AE28">
        <v>0</v>
      </c>
      <c r="AF28">
        <v>0</v>
      </c>
      <c r="AG28" s="28">
        <v>395</v>
      </c>
      <c r="AH28">
        <v>12</v>
      </c>
      <c r="AI28">
        <v>0</v>
      </c>
      <c r="AJ28" s="28">
        <v>10</v>
      </c>
      <c r="AK28">
        <v>0</v>
      </c>
      <c r="AL28">
        <v>0</v>
      </c>
      <c r="AM28" s="28">
        <v>2</v>
      </c>
      <c r="AN28">
        <v>0</v>
      </c>
      <c r="AO28" s="34">
        <v>0</v>
      </c>
    </row>
    <row r="29" spans="1:41" ht="15.75" thickBot="1" x14ac:dyDescent="0.3">
      <c r="A29" s="23" t="s">
        <v>44</v>
      </c>
      <c r="B29" s="48">
        <v>0.73958333333333337</v>
      </c>
      <c r="C29" s="39">
        <v>4</v>
      </c>
      <c r="D29" s="38">
        <v>0</v>
      </c>
      <c r="E29" s="38">
        <v>0</v>
      </c>
      <c r="F29" s="40">
        <v>87</v>
      </c>
      <c r="G29" s="38">
        <v>1</v>
      </c>
      <c r="H29" s="38">
        <v>1</v>
      </c>
      <c r="I29" s="40">
        <v>50</v>
      </c>
      <c r="J29" s="38">
        <v>1</v>
      </c>
      <c r="K29" s="38">
        <v>0</v>
      </c>
      <c r="L29" s="39">
        <v>15</v>
      </c>
      <c r="M29" s="38">
        <v>1</v>
      </c>
      <c r="N29" s="38">
        <v>0</v>
      </c>
      <c r="O29" s="40">
        <v>412</v>
      </c>
      <c r="P29" s="38">
        <v>11</v>
      </c>
      <c r="Q29" s="38">
        <v>1</v>
      </c>
      <c r="R29" s="40">
        <v>7</v>
      </c>
      <c r="S29" s="38">
        <v>0</v>
      </c>
      <c r="T29" s="38">
        <v>0</v>
      </c>
      <c r="U29" s="39">
        <v>17</v>
      </c>
      <c r="V29" s="38">
        <v>0</v>
      </c>
      <c r="W29" s="38">
        <v>0</v>
      </c>
      <c r="X29" s="40">
        <v>47</v>
      </c>
      <c r="Y29" s="38">
        <v>0</v>
      </c>
      <c r="Z29" s="38">
        <v>0</v>
      </c>
      <c r="AA29" s="40">
        <v>11</v>
      </c>
      <c r="AB29" s="38">
        <v>1</v>
      </c>
      <c r="AC29" s="38">
        <v>0</v>
      </c>
      <c r="AD29" s="39">
        <v>24</v>
      </c>
      <c r="AE29" s="38">
        <v>0</v>
      </c>
      <c r="AF29" s="38">
        <v>0</v>
      </c>
      <c r="AG29" s="40">
        <v>384</v>
      </c>
      <c r="AH29" s="38">
        <v>5</v>
      </c>
      <c r="AI29" s="38">
        <v>0</v>
      </c>
      <c r="AJ29" s="40">
        <v>16</v>
      </c>
      <c r="AK29" s="38">
        <v>1</v>
      </c>
      <c r="AL29" s="38">
        <v>0</v>
      </c>
      <c r="AM29" s="40">
        <v>1</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9</v>
      </c>
      <c r="H2" s="6">
        <f>FLOOR(tblPivotData[[#This Row],[Time]],Summary!$B$6/1440)</f>
        <v>0.29166666666666663</v>
      </c>
      <c r="I2">
        <f>INDEX(PeakCalc!$L$10:$L$303,MATCH(tblPivotData[[#This Row],[Time]],PeakCalc!$G$10:$G$303,0))</f>
        <v>1</v>
      </c>
    </row>
    <row r="3" spans="1:9" x14ac:dyDescent="0.25">
      <c r="A3" t="s">
        <v>93</v>
      </c>
      <c r="B3" t="s">
        <v>98</v>
      </c>
      <c r="C3" t="s">
        <v>94</v>
      </c>
      <c r="D3" t="s">
        <v>79</v>
      </c>
      <c r="E3" t="s">
        <v>43</v>
      </c>
      <c r="F3" s="6">
        <v>0.30208333333333331</v>
      </c>
      <c r="G3">
        <v>11</v>
      </c>
      <c r="H3" s="6">
        <f>FLOOR(tblPivotData[[#This Row],[Time]],Summary!$B$6/1440)</f>
        <v>0.30208333333333331</v>
      </c>
      <c r="I3">
        <f>INDEX(PeakCalc!$L$10:$L$303,MATCH(tblPivotData[[#This Row],[Time]],PeakCalc!$G$10:$G$303,0))</f>
        <v>1</v>
      </c>
    </row>
    <row r="4" spans="1:9" x14ac:dyDescent="0.25">
      <c r="A4" t="s">
        <v>93</v>
      </c>
      <c r="B4" t="s">
        <v>98</v>
      </c>
      <c r="C4" t="s">
        <v>94</v>
      </c>
      <c r="D4" t="s">
        <v>79</v>
      </c>
      <c r="E4" t="s">
        <v>43</v>
      </c>
      <c r="F4" s="6">
        <v>0.3125</v>
      </c>
      <c r="G4">
        <v>18</v>
      </c>
      <c r="H4" s="6">
        <f>FLOOR(tblPivotData[[#This Row],[Time]],Summary!$B$6/1440)</f>
        <v>0.3125</v>
      </c>
      <c r="I4">
        <f>INDEX(PeakCalc!$L$10:$L$303,MATCH(tblPivotData[[#This Row],[Time]],PeakCalc!$G$10:$G$303,0))</f>
        <v>1</v>
      </c>
    </row>
    <row r="5" spans="1:9" x14ac:dyDescent="0.25">
      <c r="A5" t="s">
        <v>93</v>
      </c>
      <c r="B5" t="s">
        <v>98</v>
      </c>
      <c r="C5" t="s">
        <v>94</v>
      </c>
      <c r="D5" t="s">
        <v>79</v>
      </c>
      <c r="E5" t="s">
        <v>43</v>
      </c>
      <c r="F5" s="6">
        <v>0.32291666666666669</v>
      </c>
      <c r="G5">
        <v>14</v>
      </c>
      <c r="H5" s="6">
        <f>FLOOR(tblPivotData[[#This Row],[Time]],Summary!$B$6/1440)</f>
        <v>0.32291666666666663</v>
      </c>
      <c r="I5">
        <f>INDEX(PeakCalc!$L$10:$L$303,MATCH(tblPivotData[[#This Row],[Time]],PeakCalc!$G$10:$G$303,0))</f>
        <v>1</v>
      </c>
    </row>
    <row r="6" spans="1:9" x14ac:dyDescent="0.25">
      <c r="A6" t="s">
        <v>93</v>
      </c>
      <c r="B6" t="s">
        <v>98</v>
      </c>
      <c r="C6" t="s">
        <v>94</v>
      </c>
      <c r="D6" t="s">
        <v>79</v>
      </c>
      <c r="E6" t="s">
        <v>43</v>
      </c>
      <c r="F6" s="6">
        <v>0.33333333333333331</v>
      </c>
      <c r="G6">
        <v>5</v>
      </c>
      <c r="H6" s="6">
        <f>FLOOR(tblPivotData[[#This Row],[Time]],Summary!$B$6/1440)</f>
        <v>0.33333333333333331</v>
      </c>
      <c r="I6">
        <f>INDEX(PeakCalc!$L$10:$L$303,MATCH(tblPivotData[[#This Row],[Time]],PeakCalc!$G$10:$G$303,0))</f>
        <v>0</v>
      </c>
    </row>
    <row r="7" spans="1:9" x14ac:dyDescent="0.25">
      <c r="A7" t="s">
        <v>93</v>
      </c>
      <c r="B7" t="s">
        <v>98</v>
      </c>
      <c r="C7" t="s">
        <v>94</v>
      </c>
      <c r="D7" t="s">
        <v>79</v>
      </c>
      <c r="E7" t="s">
        <v>43</v>
      </c>
      <c r="F7" s="6">
        <v>0.34375</v>
      </c>
      <c r="G7">
        <v>15</v>
      </c>
      <c r="H7" s="6">
        <f>FLOOR(tblPivotData[[#This Row],[Time]],Summary!$B$6/1440)</f>
        <v>0.34375</v>
      </c>
      <c r="I7">
        <f>INDEX(PeakCalc!$L$10:$L$303,MATCH(tblPivotData[[#This Row],[Time]],PeakCalc!$G$10:$G$303,0))</f>
        <v>0</v>
      </c>
    </row>
    <row r="8" spans="1:9" x14ac:dyDescent="0.25">
      <c r="A8" t="s">
        <v>93</v>
      </c>
      <c r="B8" t="s">
        <v>98</v>
      </c>
      <c r="C8" t="s">
        <v>94</v>
      </c>
      <c r="D8" t="s">
        <v>79</v>
      </c>
      <c r="E8" t="s">
        <v>43</v>
      </c>
      <c r="F8" s="6">
        <v>0.35416666666666669</v>
      </c>
      <c r="G8">
        <v>12</v>
      </c>
      <c r="H8" s="6">
        <f>FLOOR(tblPivotData[[#This Row],[Time]],Summary!$B$6/1440)</f>
        <v>0.35416666666666663</v>
      </c>
      <c r="I8">
        <f>INDEX(PeakCalc!$L$10:$L$303,MATCH(tblPivotData[[#This Row],[Time]],PeakCalc!$G$10:$G$303,0))</f>
        <v>0</v>
      </c>
    </row>
    <row r="9" spans="1:9" x14ac:dyDescent="0.25">
      <c r="A9" t="s">
        <v>93</v>
      </c>
      <c r="B9" t="s">
        <v>98</v>
      </c>
      <c r="C9" t="s">
        <v>94</v>
      </c>
      <c r="D9" t="s">
        <v>79</v>
      </c>
      <c r="E9" t="s">
        <v>43</v>
      </c>
      <c r="F9" s="6">
        <v>0.36458333333333331</v>
      </c>
      <c r="G9">
        <v>9</v>
      </c>
      <c r="H9" s="6">
        <f>FLOOR(tblPivotData[[#This Row],[Time]],Summary!$B$6/1440)</f>
        <v>0.36458333333333331</v>
      </c>
      <c r="I9">
        <f>INDEX(PeakCalc!$L$10:$L$303,MATCH(tblPivotData[[#This Row],[Time]],PeakCalc!$G$10:$G$303,0))</f>
        <v>0</v>
      </c>
    </row>
    <row r="10" spans="1:9" x14ac:dyDescent="0.25">
      <c r="A10" t="s">
        <v>93</v>
      </c>
      <c r="B10" t="s">
        <v>98</v>
      </c>
      <c r="C10" t="s">
        <v>94</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93</v>
      </c>
      <c r="B11" t="s">
        <v>98</v>
      </c>
      <c r="C11" t="s">
        <v>94</v>
      </c>
      <c r="D11" t="s">
        <v>79</v>
      </c>
      <c r="E11" t="s">
        <v>91</v>
      </c>
      <c r="F11" s="6">
        <v>0.55208333333333337</v>
      </c>
      <c r="G11">
        <v>18</v>
      </c>
      <c r="H11" s="6">
        <f>FLOOR(tblPivotData[[#This Row],[Time]],Summary!$B$6/1440)</f>
        <v>0.55208333333333326</v>
      </c>
      <c r="I11">
        <f>INDEX(PeakCalc!$L$10:$L$303,MATCH(tblPivotData[[#This Row],[Time]],PeakCalc!$G$10:$G$303,0))</f>
        <v>1</v>
      </c>
    </row>
    <row r="12" spans="1:9" x14ac:dyDescent="0.25">
      <c r="A12" t="s">
        <v>93</v>
      </c>
      <c r="B12" t="s">
        <v>98</v>
      </c>
      <c r="C12" t="s">
        <v>94</v>
      </c>
      <c r="D12" t="s">
        <v>79</v>
      </c>
      <c r="E12" t="s">
        <v>91</v>
      </c>
      <c r="F12" s="6">
        <v>0.5625</v>
      </c>
      <c r="G12">
        <v>18</v>
      </c>
      <c r="H12" s="6">
        <f>FLOOR(tblPivotData[[#This Row],[Time]],Summary!$B$6/1440)</f>
        <v>0.5625</v>
      </c>
      <c r="I12">
        <f>INDEX(PeakCalc!$L$10:$L$303,MATCH(tblPivotData[[#This Row],[Time]],PeakCalc!$G$10:$G$303,0))</f>
        <v>1</v>
      </c>
    </row>
    <row r="13" spans="1:9" x14ac:dyDescent="0.25">
      <c r="A13" t="s">
        <v>93</v>
      </c>
      <c r="B13" t="s">
        <v>98</v>
      </c>
      <c r="C13" t="s">
        <v>94</v>
      </c>
      <c r="D13" t="s">
        <v>79</v>
      </c>
      <c r="E13" t="s">
        <v>91</v>
      </c>
      <c r="F13" s="6">
        <v>0.57291666666666663</v>
      </c>
      <c r="G13">
        <v>18</v>
      </c>
      <c r="H13" s="6">
        <f>FLOOR(tblPivotData[[#This Row],[Time]],Summary!$B$6/1440)</f>
        <v>0.57291666666666663</v>
      </c>
      <c r="I13">
        <f>INDEX(PeakCalc!$L$10:$L$303,MATCH(tblPivotData[[#This Row],[Time]],PeakCalc!$G$10:$G$303,0))</f>
        <v>1</v>
      </c>
    </row>
    <row r="14" spans="1:9" x14ac:dyDescent="0.25">
      <c r="A14" t="s">
        <v>93</v>
      </c>
      <c r="B14" t="s">
        <v>98</v>
      </c>
      <c r="C14" t="s">
        <v>94</v>
      </c>
      <c r="D14" t="s">
        <v>79</v>
      </c>
      <c r="E14" t="s">
        <v>44</v>
      </c>
      <c r="F14" s="6">
        <v>0.66666666666666663</v>
      </c>
      <c r="G14">
        <v>8</v>
      </c>
      <c r="H14" s="6">
        <f>FLOOR(tblPivotData[[#This Row],[Time]],Summary!$B$6/1440)</f>
        <v>0.66666666666666663</v>
      </c>
      <c r="I14">
        <f>INDEX(PeakCalc!$L$10:$L$303,MATCH(tblPivotData[[#This Row],[Time]],PeakCalc!$G$10:$G$303,0))</f>
        <v>0</v>
      </c>
    </row>
    <row r="15" spans="1:9" x14ac:dyDescent="0.25">
      <c r="A15" t="s">
        <v>93</v>
      </c>
      <c r="B15" t="s">
        <v>98</v>
      </c>
      <c r="C15" t="s">
        <v>94</v>
      </c>
      <c r="D15" t="s">
        <v>79</v>
      </c>
      <c r="E15" t="s">
        <v>44</v>
      </c>
      <c r="F15" s="6">
        <v>0.67708333333333337</v>
      </c>
      <c r="G15">
        <v>11</v>
      </c>
      <c r="H15" s="6">
        <f>FLOOR(tblPivotData[[#This Row],[Time]],Summary!$B$6/1440)</f>
        <v>0.67708333333333326</v>
      </c>
      <c r="I15">
        <f>INDEX(PeakCalc!$L$10:$L$303,MATCH(tblPivotData[[#This Row],[Time]],PeakCalc!$G$10:$G$303,0))</f>
        <v>0</v>
      </c>
    </row>
    <row r="16" spans="1:9" x14ac:dyDescent="0.25">
      <c r="A16" t="s">
        <v>93</v>
      </c>
      <c r="B16" t="s">
        <v>98</v>
      </c>
      <c r="C16" t="s">
        <v>94</v>
      </c>
      <c r="D16" t="s">
        <v>79</v>
      </c>
      <c r="E16" t="s">
        <v>44</v>
      </c>
      <c r="F16" s="6">
        <v>0.6875</v>
      </c>
      <c r="G16">
        <v>5</v>
      </c>
      <c r="H16" s="6">
        <f>FLOOR(tblPivotData[[#This Row],[Time]],Summary!$B$6/1440)</f>
        <v>0.6875</v>
      </c>
      <c r="I16">
        <f>INDEX(PeakCalc!$L$10:$L$303,MATCH(tblPivotData[[#This Row],[Time]],PeakCalc!$G$10:$G$303,0))</f>
        <v>1</v>
      </c>
    </row>
    <row r="17" spans="1:9" x14ac:dyDescent="0.25">
      <c r="A17" t="s">
        <v>93</v>
      </c>
      <c r="B17" t="s">
        <v>98</v>
      </c>
      <c r="C17" t="s">
        <v>94</v>
      </c>
      <c r="D17" t="s">
        <v>79</v>
      </c>
      <c r="E17" t="s">
        <v>44</v>
      </c>
      <c r="F17" s="6">
        <v>0.69791666666666663</v>
      </c>
      <c r="G17">
        <v>10</v>
      </c>
      <c r="H17" s="6">
        <f>FLOOR(tblPivotData[[#This Row],[Time]],Summary!$B$6/1440)</f>
        <v>0.69791666666666663</v>
      </c>
      <c r="I17">
        <f>INDEX(PeakCalc!$L$10:$L$303,MATCH(tblPivotData[[#This Row],[Time]],PeakCalc!$G$10:$G$303,0))</f>
        <v>1</v>
      </c>
    </row>
    <row r="18" spans="1:9" x14ac:dyDescent="0.25">
      <c r="A18" t="s">
        <v>93</v>
      </c>
      <c r="B18" t="s">
        <v>98</v>
      </c>
      <c r="C18" t="s">
        <v>94</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93</v>
      </c>
      <c r="B19" t="s">
        <v>98</v>
      </c>
      <c r="C19" t="s">
        <v>94</v>
      </c>
      <c r="D19" t="s">
        <v>79</v>
      </c>
      <c r="E19" t="s">
        <v>44</v>
      </c>
      <c r="F19" s="6">
        <v>0.71875</v>
      </c>
      <c r="G19">
        <v>8</v>
      </c>
      <c r="H19" s="6">
        <f>FLOOR(tblPivotData[[#This Row],[Time]],Summary!$B$6/1440)</f>
        <v>0.71875</v>
      </c>
      <c r="I19">
        <f>INDEX(PeakCalc!$L$10:$L$303,MATCH(tblPivotData[[#This Row],[Time]],PeakCalc!$G$10:$G$303,0))</f>
        <v>1</v>
      </c>
    </row>
    <row r="20" spans="1:9" x14ac:dyDescent="0.25">
      <c r="A20" t="s">
        <v>93</v>
      </c>
      <c r="B20" t="s">
        <v>98</v>
      </c>
      <c r="C20" t="s">
        <v>94</v>
      </c>
      <c r="D20" t="s">
        <v>79</v>
      </c>
      <c r="E20" t="s">
        <v>44</v>
      </c>
      <c r="F20" s="6">
        <v>0.72916666666666663</v>
      </c>
      <c r="G20">
        <v>6</v>
      </c>
      <c r="H20" s="6">
        <f>FLOOR(tblPivotData[[#This Row],[Time]],Summary!$B$6/1440)</f>
        <v>0.72916666666666663</v>
      </c>
      <c r="I20">
        <f>INDEX(PeakCalc!$L$10:$L$303,MATCH(tblPivotData[[#This Row],[Time]],PeakCalc!$G$10:$G$303,0))</f>
        <v>0</v>
      </c>
    </row>
    <row r="21" spans="1:9" x14ac:dyDescent="0.25">
      <c r="A21" t="s">
        <v>93</v>
      </c>
      <c r="B21" t="s">
        <v>98</v>
      </c>
      <c r="C21" t="s">
        <v>94</v>
      </c>
      <c r="D21" t="s">
        <v>79</v>
      </c>
      <c r="E21" t="s">
        <v>44</v>
      </c>
      <c r="F21" s="6">
        <v>0.73958333333333337</v>
      </c>
      <c r="G21">
        <v>4</v>
      </c>
      <c r="H21" s="6">
        <f>FLOOR(tblPivotData[[#This Row],[Time]],Summary!$B$6/1440)</f>
        <v>0.73958333333333326</v>
      </c>
      <c r="I21">
        <f>INDEX(PeakCalc!$L$10:$L$303,MATCH(tblPivotData[[#This Row],[Time]],PeakCalc!$G$10:$G$303,0))</f>
        <v>0</v>
      </c>
    </row>
    <row r="22" spans="1:9" x14ac:dyDescent="0.25">
      <c r="A22" t="s">
        <v>93</v>
      </c>
      <c r="B22" t="s">
        <v>98</v>
      </c>
      <c r="C22" t="s">
        <v>94</v>
      </c>
      <c r="D22" t="s">
        <v>89</v>
      </c>
      <c r="E22" t="s">
        <v>43</v>
      </c>
      <c r="F22" s="6">
        <v>0.29166666666666669</v>
      </c>
      <c r="G22">
        <v>1</v>
      </c>
      <c r="H22" s="6">
        <f>FLOOR(tblPivotData[[#This Row],[Time]],Summary!$B$6/1440)</f>
        <v>0.29166666666666663</v>
      </c>
      <c r="I22">
        <f>INDEX(PeakCalc!$L$10:$L$303,MATCH(tblPivotData[[#This Row],[Time]],PeakCalc!$G$10:$G$303,0))</f>
        <v>1</v>
      </c>
    </row>
    <row r="23" spans="1:9" x14ac:dyDescent="0.25">
      <c r="A23" t="s">
        <v>93</v>
      </c>
      <c r="B23" t="s">
        <v>98</v>
      </c>
      <c r="C23" t="s">
        <v>94</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93</v>
      </c>
      <c r="B24" t="s">
        <v>98</v>
      </c>
      <c r="C24" t="s">
        <v>94</v>
      </c>
      <c r="D24" t="s">
        <v>89</v>
      </c>
      <c r="E24" t="s">
        <v>43</v>
      </c>
      <c r="F24" s="6">
        <v>0.3125</v>
      </c>
      <c r="G24">
        <v>1</v>
      </c>
      <c r="H24" s="6">
        <f>FLOOR(tblPivotData[[#This Row],[Time]],Summary!$B$6/1440)</f>
        <v>0.3125</v>
      </c>
      <c r="I24">
        <f>INDEX(PeakCalc!$L$10:$L$303,MATCH(tblPivotData[[#This Row],[Time]],PeakCalc!$G$10:$G$303,0))</f>
        <v>1</v>
      </c>
    </row>
    <row r="25" spans="1:9" x14ac:dyDescent="0.25">
      <c r="A25" t="s">
        <v>93</v>
      </c>
      <c r="B25" t="s">
        <v>98</v>
      </c>
      <c r="C25" t="s">
        <v>94</v>
      </c>
      <c r="D25" t="s">
        <v>89</v>
      </c>
      <c r="E25" t="s">
        <v>43</v>
      </c>
      <c r="F25" s="6">
        <v>0.32291666666666669</v>
      </c>
      <c r="G25">
        <v>2</v>
      </c>
      <c r="H25" s="6">
        <f>FLOOR(tblPivotData[[#This Row],[Time]],Summary!$B$6/1440)</f>
        <v>0.32291666666666663</v>
      </c>
      <c r="I25">
        <f>INDEX(PeakCalc!$L$10:$L$303,MATCH(tblPivotData[[#This Row],[Time]],PeakCalc!$G$10:$G$303,0))</f>
        <v>1</v>
      </c>
    </row>
    <row r="26" spans="1:9" x14ac:dyDescent="0.25">
      <c r="A26" t="s">
        <v>93</v>
      </c>
      <c r="B26" t="s">
        <v>98</v>
      </c>
      <c r="C26" t="s">
        <v>94</v>
      </c>
      <c r="D26" t="s">
        <v>89</v>
      </c>
      <c r="E26" t="s">
        <v>43</v>
      </c>
      <c r="F26" s="6">
        <v>0.33333333333333331</v>
      </c>
      <c r="G26">
        <v>1</v>
      </c>
      <c r="H26" s="6">
        <f>FLOOR(tblPivotData[[#This Row],[Time]],Summary!$B$6/1440)</f>
        <v>0.33333333333333331</v>
      </c>
      <c r="I26">
        <f>INDEX(PeakCalc!$L$10:$L$303,MATCH(tblPivotData[[#This Row],[Time]],PeakCalc!$G$10:$G$303,0))</f>
        <v>0</v>
      </c>
    </row>
    <row r="27" spans="1:9" x14ac:dyDescent="0.25">
      <c r="A27" t="s">
        <v>93</v>
      </c>
      <c r="B27" t="s">
        <v>98</v>
      </c>
      <c r="C27" t="s">
        <v>94</v>
      </c>
      <c r="D27" t="s">
        <v>89</v>
      </c>
      <c r="E27" t="s">
        <v>43</v>
      </c>
      <c r="F27" s="6">
        <v>0.34375</v>
      </c>
      <c r="G27">
        <v>0</v>
      </c>
      <c r="H27" s="6">
        <f>FLOOR(tblPivotData[[#This Row],[Time]],Summary!$B$6/1440)</f>
        <v>0.34375</v>
      </c>
      <c r="I27">
        <f>INDEX(PeakCalc!$L$10:$L$303,MATCH(tblPivotData[[#This Row],[Time]],PeakCalc!$G$10:$G$303,0))</f>
        <v>0</v>
      </c>
    </row>
    <row r="28" spans="1:9" x14ac:dyDescent="0.25">
      <c r="A28" t="s">
        <v>93</v>
      </c>
      <c r="B28" t="s">
        <v>98</v>
      </c>
      <c r="C28" t="s">
        <v>94</v>
      </c>
      <c r="D28" t="s">
        <v>89</v>
      </c>
      <c r="E28" t="s">
        <v>43</v>
      </c>
      <c r="F28" s="6">
        <v>0.35416666666666669</v>
      </c>
      <c r="G28">
        <v>3</v>
      </c>
      <c r="H28" s="6">
        <f>FLOOR(tblPivotData[[#This Row],[Time]],Summary!$B$6/1440)</f>
        <v>0.35416666666666663</v>
      </c>
      <c r="I28">
        <f>INDEX(PeakCalc!$L$10:$L$303,MATCH(tblPivotData[[#This Row],[Time]],PeakCalc!$G$10:$G$303,0))</f>
        <v>0</v>
      </c>
    </row>
    <row r="29" spans="1:9" x14ac:dyDescent="0.25">
      <c r="A29" t="s">
        <v>93</v>
      </c>
      <c r="B29" t="s">
        <v>98</v>
      </c>
      <c r="C29" t="s">
        <v>94</v>
      </c>
      <c r="D29" t="s">
        <v>89</v>
      </c>
      <c r="E29" t="s">
        <v>43</v>
      </c>
      <c r="F29" s="6">
        <v>0.36458333333333331</v>
      </c>
      <c r="G29">
        <v>2</v>
      </c>
      <c r="H29" s="6">
        <f>FLOOR(tblPivotData[[#This Row],[Time]],Summary!$B$6/1440)</f>
        <v>0.36458333333333331</v>
      </c>
      <c r="I29">
        <f>INDEX(PeakCalc!$L$10:$L$303,MATCH(tblPivotData[[#This Row],[Time]],PeakCalc!$G$10:$G$303,0))</f>
        <v>0</v>
      </c>
    </row>
    <row r="30" spans="1:9" x14ac:dyDescent="0.25">
      <c r="A30" t="s">
        <v>93</v>
      </c>
      <c r="B30" t="s">
        <v>98</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98</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98</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98</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98</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98</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98</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98</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98</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98</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98</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98</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f>INDEX(PeakCalc!$L$10:$L$303,MATCH(tblPivotData[[#This Row],[Time]],PeakCalc!$G$10:$G$303,0))</f>
        <v>1</v>
      </c>
    </row>
    <row r="43" spans="1:9" x14ac:dyDescent="0.25">
      <c r="A43" t="s">
        <v>93</v>
      </c>
      <c r="B43" t="s">
        <v>98</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98</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f>INDEX(PeakCalc!$L$10:$L$303,MATCH(tblPivotData[[#This Row],[Time]],PeakCalc!$G$10:$G$303,0))</f>
        <v>0</v>
      </c>
    </row>
    <row r="47" spans="1:9" x14ac:dyDescent="0.25">
      <c r="A47" t="s">
        <v>93</v>
      </c>
      <c r="B47" t="s">
        <v>98</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98</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99</v>
      </c>
      <c r="C62" t="s">
        <v>95</v>
      </c>
      <c r="D62" t="s">
        <v>79</v>
      </c>
      <c r="E62" t="s">
        <v>43</v>
      </c>
      <c r="F62" s="6">
        <v>0.29166666666666669</v>
      </c>
      <c r="G62">
        <v>24</v>
      </c>
      <c r="H62" s="6">
        <f>FLOOR(tblPivotData[[#This Row],[Time]],Summary!$B$6/1440)</f>
        <v>0.29166666666666663</v>
      </c>
      <c r="I62">
        <f>INDEX(PeakCalc!$L$10:$L$303,MATCH(tblPivotData[[#This Row],[Time]],PeakCalc!$G$10:$G$303,0))</f>
        <v>1</v>
      </c>
    </row>
    <row r="63" spans="1:9" x14ac:dyDescent="0.25">
      <c r="A63" t="s">
        <v>93</v>
      </c>
      <c r="B63" t="s">
        <v>99</v>
      </c>
      <c r="C63" t="s">
        <v>95</v>
      </c>
      <c r="D63" t="s">
        <v>79</v>
      </c>
      <c r="E63" t="s">
        <v>43</v>
      </c>
      <c r="F63" s="6">
        <v>0.30208333333333331</v>
      </c>
      <c r="G63">
        <v>26</v>
      </c>
      <c r="H63" s="6">
        <f>FLOOR(tblPivotData[[#This Row],[Time]],Summary!$B$6/1440)</f>
        <v>0.30208333333333331</v>
      </c>
      <c r="I63">
        <f>INDEX(PeakCalc!$L$10:$L$303,MATCH(tblPivotData[[#This Row],[Time]],PeakCalc!$G$10:$G$303,0))</f>
        <v>1</v>
      </c>
    </row>
    <row r="64" spans="1:9" x14ac:dyDescent="0.25">
      <c r="A64" t="s">
        <v>93</v>
      </c>
      <c r="B64" t="s">
        <v>99</v>
      </c>
      <c r="C64" t="s">
        <v>95</v>
      </c>
      <c r="D64" t="s">
        <v>79</v>
      </c>
      <c r="E64" t="s">
        <v>43</v>
      </c>
      <c r="F64" s="6">
        <v>0.3125</v>
      </c>
      <c r="G64">
        <v>21</v>
      </c>
      <c r="H64" s="6">
        <f>FLOOR(tblPivotData[[#This Row],[Time]],Summary!$B$6/1440)</f>
        <v>0.3125</v>
      </c>
      <c r="I64">
        <f>INDEX(PeakCalc!$L$10:$L$303,MATCH(tblPivotData[[#This Row],[Time]],PeakCalc!$G$10:$G$303,0))</f>
        <v>1</v>
      </c>
    </row>
    <row r="65" spans="1:9" x14ac:dyDescent="0.25">
      <c r="A65" t="s">
        <v>93</v>
      </c>
      <c r="B65" t="s">
        <v>99</v>
      </c>
      <c r="C65" t="s">
        <v>95</v>
      </c>
      <c r="D65" t="s">
        <v>79</v>
      </c>
      <c r="E65" t="s">
        <v>43</v>
      </c>
      <c r="F65" s="6">
        <v>0.32291666666666669</v>
      </c>
      <c r="G65">
        <v>31</v>
      </c>
      <c r="H65" s="6">
        <f>FLOOR(tblPivotData[[#This Row],[Time]],Summary!$B$6/1440)</f>
        <v>0.32291666666666663</v>
      </c>
      <c r="I65">
        <f>INDEX(PeakCalc!$L$10:$L$303,MATCH(tblPivotData[[#This Row],[Time]],PeakCalc!$G$10:$G$303,0))</f>
        <v>1</v>
      </c>
    </row>
    <row r="66" spans="1:9" x14ac:dyDescent="0.25">
      <c r="A66" t="s">
        <v>93</v>
      </c>
      <c r="B66" t="s">
        <v>99</v>
      </c>
      <c r="C66" t="s">
        <v>95</v>
      </c>
      <c r="D66" t="s">
        <v>79</v>
      </c>
      <c r="E66" t="s">
        <v>43</v>
      </c>
      <c r="F66" s="6">
        <v>0.33333333333333331</v>
      </c>
      <c r="G66">
        <v>32</v>
      </c>
      <c r="H66" s="6">
        <f>FLOOR(tblPivotData[[#This Row],[Time]],Summary!$B$6/1440)</f>
        <v>0.33333333333333331</v>
      </c>
      <c r="I66">
        <f>INDEX(PeakCalc!$L$10:$L$303,MATCH(tblPivotData[[#This Row],[Time]],PeakCalc!$G$10:$G$303,0))</f>
        <v>0</v>
      </c>
    </row>
    <row r="67" spans="1:9" x14ac:dyDescent="0.25">
      <c r="A67" t="s">
        <v>93</v>
      </c>
      <c r="B67" t="s">
        <v>99</v>
      </c>
      <c r="C67" t="s">
        <v>95</v>
      </c>
      <c r="D67" t="s">
        <v>79</v>
      </c>
      <c r="E67" t="s">
        <v>43</v>
      </c>
      <c r="F67" s="6">
        <v>0.34375</v>
      </c>
      <c r="G67">
        <v>55</v>
      </c>
      <c r="H67" s="6">
        <f>FLOOR(tblPivotData[[#This Row],[Time]],Summary!$B$6/1440)</f>
        <v>0.34375</v>
      </c>
      <c r="I67">
        <f>INDEX(PeakCalc!$L$10:$L$303,MATCH(tblPivotData[[#This Row],[Time]],PeakCalc!$G$10:$G$303,0))</f>
        <v>0</v>
      </c>
    </row>
    <row r="68" spans="1:9" x14ac:dyDescent="0.25">
      <c r="A68" t="s">
        <v>93</v>
      </c>
      <c r="B68" t="s">
        <v>99</v>
      </c>
      <c r="C68" t="s">
        <v>95</v>
      </c>
      <c r="D68" t="s">
        <v>79</v>
      </c>
      <c r="E68" t="s">
        <v>43</v>
      </c>
      <c r="F68" s="6">
        <v>0.35416666666666669</v>
      </c>
      <c r="G68">
        <v>63</v>
      </c>
      <c r="H68" s="6">
        <f>FLOOR(tblPivotData[[#This Row],[Time]],Summary!$B$6/1440)</f>
        <v>0.35416666666666663</v>
      </c>
      <c r="I68">
        <f>INDEX(PeakCalc!$L$10:$L$303,MATCH(tblPivotData[[#This Row],[Time]],PeakCalc!$G$10:$G$303,0))</f>
        <v>0</v>
      </c>
    </row>
    <row r="69" spans="1:9" x14ac:dyDescent="0.25">
      <c r="A69" t="s">
        <v>93</v>
      </c>
      <c r="B69" t="s">
        <v>99</v>
      </c>
      <c r="C69" t="s">
        <v>95</v>
      </c>
      <c r="D69" t="s">
        <v>79</v>
      </c>
      <c r="E69" t="s">
        <v>43</v>
      </c>
      <c r="F69" s="6">
        <v>0.36458333333333331</v>
      </c>
      <c r="G69">
        <v>50</v>
      </c>
      <c r="H69" s="6">
        <f>FLOOR(tblPivotData[[#This Row],[Time]],Summary!$B$6/1440)</f>
        <v>0.36458333333333331</v>
      </c>
      <c r="I69">
        <f>INDEX(PeakCalc!$L$10:$L$303,MATCH(tblPivotData[[#This Row],[Time]],PeakCalc!$G$10:$G$303,0))</f>
        <v>0</v>
      </c>
    </row>
    <row r="70" spans="1:9" x14ac:dyDescent="0.25">
      <c r="A70" t="s">
        <v>93</v>
      </c>
      <c r="B70" t="s">
        <v>99</v>
      </c>
      <c r="C70" t="s">
        <v>95</v>
      </c>
      <c r="D70" t="s">
        <v>79</v>
      </c>
      <c r="E70" t="s">
        <v>91</v>
      </c>
      <c r="F70" s="6">
        <v>0.54166666666666663</v>
      </c>
      <c r="G70">
        <v>39</v>
      </c>
      <c r="H70" s="6">
        <f>FLOOR(tblPivotData[[#This Row],[Time]],Summary!$B$6/1440)</f>
        <v>0.54166666666666663</v>
      </c>
      <c r="I70">
        <f>INDEX(PeakCalc!$L$10:$L$303,MATCH(tblPivotData[[#This Row],[Time]],PeakCalc!$G$10:$G$303,0))</f>
        <v>1</v>
      </c>
    </row>
    <row r="71" spans="1:9" x14ac:dyDescent="0.25">
      <c r="A71" t="s">
        <v>93</v>
      </c>
      <c r="B71" t="s">
        <v>99</v>
      </c>
      <c r="C71" t="s">
        <v>95</v>
      </c>
      <c r="D71" t="s">
        <v>79</v>
      </c>
      <c r="E71" t="s">
        <v>91</v>
      </c>
      <c r="F71" s="6">
        <v>0.55208333333333337</v>
      </c>
      <c r="G71">
        <v>43</v>
      </c>
      <c r="H71" s="6">
        <f>FLOOR(tblPivotData[[#This Row],[Time]],Summary!$B$6/1440)</f>
        <v>0.55208333333333326</v>
      </c>
      <c r="I71">
        <f>INDEX(PeakCalc!$L$10:$L$303,MATCH(tblPivotData[[#This Row],[Time]],PeakCalc!$G$10:$G$303,0))</f>
        <v>1</v>
      </c>
    </row>
    <row r="72" spans="1:9" x14ac:dyDescent="0.25">
      <c r="A72" t="s">
        <v>93</v>
      </c>
      <c r="B72" t="s">
        <v>99</v>
      </c>
      <c r="C72" t="s">
        <v>95</v>
      </c>
      <c r="D72" t="s">
        <v>79</v>
      </c>
      <c r="E72" t="s">
        <v>91</v>
      </c>
      <c r="F72" s="6">
        <v>0.5625</v>
      </c>
      <c r="G72">
        <v>47</v>
      </c>
      <c r="H72" s="6">
        <f>FLOOR(tblPivotData[[#This Row],[Time]],Summary!$B$6/1440)</f>
        <v>0.5625</v>
      </c>
      <c r="I72">
        <f>INDEX(PeakCalc!$L$10:$L$303,MATCH(tblPivotData[[#This Row],[Time]],PeakCalc!$G$10:$G$303,0))</f>
        <v>1</v>
      </c>
    </row>
    <row r="73" spans="1:9" x14ac:dyDescent="0.25">
      <c r="A73" t="s">
        <v>93</v>
      </c>
      <c r="B73" t="s">
        <v>99</v>
      </c>
      <c r="C73" t="s">
        <v>95</v>
      </c>
      <c r="D73" t="s">
        <v>79</v>
      </c>
      <c r="E73" t="s">
        <v>91</v>
      </c>
      <c r="F73" s="6">
        <v>0.57291666666666663</v>
      </c>
      <c r="G73">
        <v>39</v>
      </c>
      <c r="H73" s="6">
        <f>FLOOR(tblPivotData[[#This Row],[Time]],Summary!$B$6/1440)</f>
        <v>0.57291666666666663</v>
      </c>
      <c r="I73">
        <f>INDEX(PeakCalc!$L$10:$L$303,MATCH(tblPivotData[[#This Row],[Time]],PeakCalc!$G$10:$G$303,0))</f>
        <v>1</v>
      </c>
    </row>
    <row r="74" spans="1:9" x14ac:dyDescent="0.25">
      <c r="A74" t="s">
        <v>93</v>
      </c>
      <c r="B74" t="s">
        <v>99</v>
      </c>
      <c r="C74" t="s">
        <v>95</v>
      </c>
      <c r="D74" t="s">
        <v>79</v>
      </c>
      <c r="E74" t="s">
        <v>44</v>
      </c>
      <c r="F74" s="6">
        <v>0.66666666666666663</v>
      </c>
      <c r="G74">
        <v>88</v>
      </c>
      <c r="H74" s="6">
        <f>FLOOR(tblPivotData[[#This Row],[Time]],Summary!$B$6/1440)</f>
        <v>0.66666666666666663</v>
      </c>
      <c r="I74">
        <f>INDEX(PeakCalc!$L$10:$L$303,MATCH(tblPivotData[[#This Row],[Time]],PeakCalc!$G$10:$G$303,0))</f>
        <v>0</v>
      </c>
    </row>
    <row r="75" spans="1:9" x14ac:dyDescent="0.25">
      <c r="A75" t="s">
        <v>93</v>
      </c>
      <c r="B75" t="s">
        <v>99</v>
      </c>
      <c r="C75" t="s">
        <v>95</v>
      </c>
      <c r="D75" t="s">
        <v>79</v>
      </c>
      <c r="E75" t="s">
        <v>44</v>
      </c>
      <c r="F75" s="6">
        <v>0.67708333333333337</v>
      </c>
      <c r="G75">
        <v>67</v>
      </c>
      <c r="H75" s="6">
        <f>FLOOR(tblPivotData[[#This Row],[Time]],Summary!$B$6/1440)</f>
        <v>0.67708333333333326</v>
      </c>
      <c r="I75">
        <f>INDEX(PeakCalc!$L$10:$L$303,MATCH(tblPivotData[[#This Row],[Time]],PeakCalc!$G$10:$G$303,0))</f>
        <v>0</v>
      </c>
    </row>
    <row r="76" spans="1:9" x14ac:dyDescent="0.25">
      <c r="A76" t="s">
        <v>93</v>
      </c>
      <c r="B76" t="s">
        <v>99</v>
      </c>
      <c r="C76" t="s">
        <v>95</v>
      </c>
      <c r="D76" t="s">
        <v>79</v>
      </c>
      <c r="E76" t="s">
        <v>44</v>
      </c>
      <c r="F76" s="6">
        <v>0.6875</v>
      </c>
      <c r="G76">
        <v>84</v>
      </c>
      <c r="H76" s="6">
        <f>FLOOR(tblPivotData[[#This Row],[Time]],Summary!$B$6/1440)</f>
        <v>0.6875</v>
      </c>
      <c r="I76">
        <f>INDEX(PeakCalc!$L$10:$L$303,MATCH(tblPivotData[[#This Row],[Time]],PeakCalc!$G$10:$G$303,0))</f>
        <v>1</v>
      </c>
    </row>
    <row r="77" spans="1:9" x14ac:dyDescent="0.25">
      <c r="A77" t="s">
        <v>93</v>
      </c>
      <c r="B77" t="s">
        <v>99</v>
      </c>
      <c r="C77" t="s">
        <v>95</v>
      </c>
      <c r="D77" t="s">
        <v>79</v>
      </c>
      <c r="E77" t="s">
        <v>44</v>
      </c>
      <c r="F77" s="6">
        <v>0.69791666666666663</v>
      </c>
      <c r="G77">
        <v>100</v>
      </c>
      <c r="H77" s="6">
        <f>FLOOR(tblPivotData[[#This Row],[Time]],Summary!$B$6/1440)</f>
        <v>0.69791666666666663</v>
      </c>
      <c r="I77">
        <f>INDEX(PeakCalc!$L$10:$L$303,MATCH(tblPivotData[[#This Row],[Time]],PeakCalc!$G$10:$G$303,0))</f>
        <v>1</v>
      </c>
    </row>
    <row r="78" spans="1:9" x14ac:dyDescent="0.25">
      <c r="A78" t="s">
        <v>93</v>
      </c>
      <c r="B78" t="s">
        <v>99</v>
      </c>
      <c r="C78" t="s">
        <v>95</v>
      </c>
      <c r="D78" t="s">
        <v>79</v>
      </c>
      <c r="E78" t="s">
        <v>44</v>
      </c>
      <c r="F78" s="6">
        <v>0.70833333333333337</v>
      </c>
      <c r="G78">
        <v>89</v>
      </c>
      <c r="H78" s="6">
        <f>FLOOR(tblPivotData[[#This Row],[Time]],Summary!$B$6/1440)</f>
        <v>0.70833333333333326</v>
      </c>
      <c r="I78">
        <f>INDEX(PeakCalc!$L$10:$L$303,MATCH(tblPivotData[[#This Row],[Time]],PeakCalc!$G$10:$G$303,0))</f>
        <v>1</v>
      </c>
    </row>
    <row r="79" spans="1:9" x14ac:dyDescent="0.25">
      <c r="A79" t="s">
        <v>93</v>
      </c>
      <c r="B79" t="s">
        <v>99</v>
      </c>
      <c r="C79" t="s">
        <v>95</v>
      </c>
      <c r="D79" t="s">
        <v>79</v>
      </c>
      <c r="E79" t="s">
        <v>44</v>
      </c>
      <c r="F79" s="6">
        <v>0.71875</v>
      </c>
      <c r="G79">
        <v>101</v>
      </c>
      <c r="H79" s="6">
        <f>FLOOR(tblPivotData[[#This Row],[Time]],Summary!$B$6/1440)</f>
        <v>0.71875</v>
      </c>
      <c r="I79">
        <f>INDEX(PeakCalc!$L$10:$L$303,MATCH(tblPivotData[[#This Row],[Time]],PeakCalc!$G$10:$G$303,0))</f>
        <v>1</v>
      </c>
    </row>
    <row r="80" spans="1:9" x14ac:dyDescent="0.25">
      <c r="A80" t="s">
        <v>93</v>
      </c>
      <c r="B80" t="s">
        <v>99</v>
      </c>
      <c r="C80" t="s">
        <v>95</v>
      </c>
      <c r="D80" t="s">
        <v>79</v>
      </c>
      <c r="E80" t="s">
        <v>44</v>
      </c>
      <c r="F80" s="6">
        <v>0.72916666666666663</v>
      </c>
      <c r="G80">
        <v>94</v>
      </c>
      <c r="H80" s="6">
        <f>FLOOR(tblPivotData[[#This Row],[Time]],Summary!$B$6/1440)</f>
        <v>0.72916666666666663</v>
      </c>
      <c r="I80">
        <f>INDEX(PeakCalc!$L$10:$L$303,MATCH(tblPivotData[[#This Row],[Time]],PeakCalc!$G$10:$G$303,0))</f>
        <v>0</v>
      </c>
    </row>
    <row r="81" spans="1:9" x14ac:dyDescent="0.25">
      <c r="A81" t="s">
        <v>93</v>
      </c>
      <c r="B81" t="s">
        <v>99</v>
      </c>
      <c r="C81" t="s">
        <v>95</v>
      </c>
      <c r="D81" t="s">
        <v>79</v>
      </c>
      <c r="E81" t="s">
        <v>44</v>
      </c>
      <c r="F81" s="6">
        <v>0.73958333333333337</v>
      </c>
      <c r="G81">
        <v>87</v>
      </c>
      <c r="H81" s="6">
        <f>FLOOR(tblPivotData[[#This Row],[Time]],Summary!$B$6/1440)</f>
        <v>0.73958333333333326</v>
      </c>
      <c r="I81">
        <f>INDEX(PeakCalc!$L$10:$L$303,MATCH(tblPivotData[[#This Row],[Time]],PeakCalc!$G$10:$G$303,0))</f>
        <v>0</v>
      </c>
    </row>
    <row r="82" spans="1:9" x14ac:dyDescent="0.25">
      <c r="A82" t="s">
        <v>93</v>
      </c>
      <c r="B82" t="s">
        <v>99</v>
      </c>
      <c r="C82" t="s">
        <v>95</v>
      </c>
      <c r="D82" t="s">
        <v>89</v>
      </c>
      <c r="E82" t="s">
        <v>43</v>
      </c>
      <c r="F82" s="6">
        <v>0.29166666666666669</v>
      </c>
      <c r="G82">
        <v>3</v>
      </c>
      <c r="H82" s="6">
        <f>FLOOR(tblPivotData[[#This Row],[Time]],Summary!$B$6/1440)</f>
        <v>0.29166666666666663</v>
      </c>
      <c r="I82">
        <f>INDEX(PeakCalc!$L$10:$L$303,MATCH(tblPivotData[[#This Row],[Time]],PeakCalc!$G$10:$G$303,0))</f>
        <v>1</v>
      </c>
    </row>
    <row r="83" spans="1:9" x14ac:dyDescent="0.25">
      <c r="A83" t="s">
        <v>93</v>
      </c>
      <c r="B83" t="s">
        <v>99</v>
      </c>
      <c r="C83" t="s">
        <v>95</v>
      </c>
      <c r="D83" t="s">
        <v>89</v>
      </c>
      <c r="E83" t="s">
        <v>43</v>
      </c>
      <c r="F83" s="6">
        <v>0.30208333333333331</v>
      </c>
      <c r="G83">
        <v>2</v>
      </c>
      <c r="H83" s="6">
        <f>FLOOR(tblPivotData[[#This Row],[Time]],Summary!$B$6/1440)</f>
        <v>0.30208333333333331</v>
      </c>
      <c r="I83">
        <f>INDEX(PeakCalc!$L$10:$L$303,MATCH(tblPivotData[[#This Row],[Time]],PeakCalc!$G$10:$G$303,0))</f>
        <v>1</v>
      </c>
    </row>
    <row r="84" spans="1:9" x14ac:dyDescent="0.25">
      <c r="A84" t="s">
        <v>93</v>
      </c>
      <c r="B84" t="s">
        <v>99</v>
      </c>
      <c r="C84" t="s">
        <v>95</v>
      </c>
      <c r="D84" t="s">
        <v>89</v>
      </c>
      <c r="E84" t="s">
        <v>43</v>
      </c>
      <c r="F84" s="6">
        <v>0.3125</v>
      </c>
      <c r="G84">
        <v>1</v>
      </c>
      <c r="H84" s="6">
        <f>FLOOR(tblPivotData[[#This Row],[Time]],Summary!$B$6/1440)</f>
        <v>0.3125</v>
      </c>
      <c r="I84">
        <f>INDEX(PeakCalc!$L$10:$L$303,MATCH(tblPivotData[[#This Row],[Time]],PeakCalc!$G$10:$G$303,0))</f>
        <v>1</v>
      </c>
    </row>
    <row r="85" spans="1:9" x14ac:dyDescent="0.25">
      <c r="A85" t="s">
        <v>93</v>
      </c>
      <c r="B85" t="s">
        <v>99</v>
      </c>
      <c r="C85" t="s">
        <v>95</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99</v>
      </c>
      <c r="C86" t="s">
        <v>95</v>
      </c>
      <c r="D86" t="s">
        <v>89</v>
      </c>
      <c r="E86" t="s">
        <v>43</v>
      </c>
      <c r="F86" s="6">
        <v>0.33333333333333331</v>
      </c>
      <c r="G86">
        <v>3</v>
      </c>
      <c r="H86" s="6">
        <f>FLOOR(tblPivotData[[#This Row],[Time]],Summary!$B$6/1440)</f>
        <v>0.33333333333333331</v>
      </c>
      <c r="I86">
        <f>INDEX(PeakCalc!$L$10:$L$303,MATCH(tblPivotData[[#This Row],[Time]],PeakCalc!$G$10:$G$303,0))</f>
        <v>0</v>
      </c>
    </row>
    <row r="87" spans="1:9" x14ac:dyDescent="0.25">
      <c r="A87" t="s">
        <v>93</v>
      </c>
      <c r="B87" t="s">
        <v>99</v>
      </c>
      <c r="C87" t="s">
        <v>95</v>
      </c>
      <c r="D87" t="s">
        <v>89</v>
      </c>
      <c r="E87" t="s">
        <v>43</v>
      </c>
      <c r="F87" s="6">
        <v>0.34375</v>
      </c>
      <c r="G87">
        <v>2</v>
      </c>
      <c r="H87" s="6">
        <f>FLOOR(tblPivotData[[#This Row],[Time]],Summary!$B$6/1440)</f>
        <v>0.34375</v>
      </c>
      <c r="I87">
        <f>INDEX(PeakCalc!$L$10:$L$303,MATCH(tblPivotData[[#This Row],[Time]],PeakCalc!$G$10:$G$303,0))</f>
        <v>0</v>
      </c>
    </row>
    <row r="88" spans="1:9" x14ac:dyDescent="0.25">
      <c r="A88" t="s">
        <v>93</v>
      </c>
      <c r="B88" t="s">
        <v>99</v>
      </c>
      <c r="C88" t="s">
        <v>95</v>
      </c>
      <c r="D88" t="s">
        <v>89</v>
      </c>
      <c r="E88" t="s">
        <v>43</v>
      </c>
      <c r="F88" s="6">
        <v>0.35416666666666669</v>
      </c>
      <c r="G88">
        <v>3</v>
      </c>
      <c r="H88" s="6">
        <f>FLOOR(tblPivotData[[#This Row],[Time]],Summary!$B$6/1440)</f>
        <v>0.35416666666666663</v>
      </c>
      <c r="I88">
        <f>INDEX(PeakCalc!$L$10:$L$303,MATCH(tblPivotData[[#This Row],[Time]],PeakCalc!$G$10:$G$303,0))</f>
        <v>0</v>
      </c>
    </row>
    <row r="89" spans="1:9" x14ac:dyDescent="0.25">
      <c r="A89" t="s">
        <v>93</v>
      </c>
      <c r="B89" t="s">
        <v>99</v>
      </c>
      <c r="C89" t="s">
        <v>95</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99</v>
      </c>
      <c r="C90" t="s">
        <v>95</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99</v>
      </c>
      <c r="C91" t="s">
        <v>95</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99</v>
      </c>
      <c r="C92" t="s">
        <v>95</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99</v>
      </c>
      <c r="C93" t="s">
        <v>95</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99</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99</v>
      </c>
      <c r="C95" t="s">
        <v>95</v>
      </c>
      <c r="D95" t="s">
        <v>89</v>
      </c>
      <c r="E95" t="s">
        <v>44</v>
      </c>
      <c r="F95" s="6">
        <v>0.67708333333333337</v>
      </c>
      <c r="G95">
        <v>2</v>
      </c>
      <c r="H95" s="6">
        <f>FLOOR(tblPivotData[[#This Row],[Time]],Summary!$B$6/1440)</f>
        <v>0.67708333333333326</v>
      </c>
      <c r="I95">
        <f>INDEX(PeakCalc!$L$10:$L$303,MATCH(tblPivotData[[#This Row],[Time]],PeakCalc!$G$10:$G$303,0))</f>
        <v>0</v>
      </c>
    </row>
    <row r="96" spans="1:9" x14ac:dyDescent="0.25">
      <c r="A96" t="s">
        <v>93</v>
      </c>
      <c r="B96" t="s">
        <v>99</v>
      </c>
      <c r="C96" t="s">
        <v>95</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99</v>
      </c>
      <c r="C98" t="s">
        <v>95</v>
      </c>
      <c r="D98" t="s">
        <v>89</v>
      </c>
      <c r="E98" t="s">
        <v>44</v>
      </c>
      <c r="F98" s="6">
        <v>0.70833333333333337</v>
      </c>
      <c r="G98">
        <v>3</v>
      </c>
      <c r="H98" s="6">
        <f>FLOOR(tblPivotData[[#This Row],[Time]],Summary!$B$6/1440)</f>
        <v>0.70833333333333326</v>
      </c>
      <c r="I98">
        <f>INDEX(PeakCalc!$L$10:$L$303,MATCH(tblPivotData[[#This Row],[Time]],PeakCalc!$G$10:$G$303,0))</f>
        <v>1</v>
      </c>
    </row>
    <row r="99" spans="1:9" x14ac:dyDescent="0.25">
      <c r="A99" t="s">
        <v>93</v>
      </c>
      <c r="B99" t="s">
        <v>99</v>
      </c>
      <c r="C99" t="s">
        <v>95</v>
      </c>
      <c r="D99" t="s">
        <v>89</v>
      </c>
      <c r="E99" t="s">
        <v>44</v>
      </c>
      <c r="F99" s="6">
        <v>0.71875</v>
      </c>
      <c r="G99">
        <v>1</v>
      </c>
      <c r="H99" s="6">
        <f>FLOOR(tblPivotData[[#This Row],[Time]],Summary!$B$6/1440)</f>
        <v>0.71875</v>
      </c>
      <c r="I99">
        <f>INDEX(PeakCalc!$L$10:$L$303,MATCH(tblPivotData[[#This Row],[Time]],PeakCalc!$G$10:$G$303,0))</f>
        <v>1</v>
      </c>
    </row>
    <row r="100" spans="1:9" x14ac:dyDescent="0.25">
      <c r="A100" t="s">
        <v>93</v>
      </c>
      <c r="B100" t="s">
        <v>99</v>
      </c>
      <c r="C100" t="s">
        <v>95</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f>INDEX(PeakCalc!$L$10:$L$303,MATCH(tblPivotData[[#This Row],[Time]],PeakCalc!$G$10:$G$303,0))</f>
        <v>1</v>
      </c>
    </row>
    <row r="103" spans="1:9" x14ac:dyDescent="0.25">
      <c r="A103" t="s">
        <v>93</v>
      </c>
      <c r="B103" t="s">
        <v>99</v>
      </c>
      <c r="C103" t="s">
        <v>95</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93</v>
      </c>
      <c r="B104" t="s">
        <v>99</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99</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f>INDEX(PeakCalc!$L$10:$L$303,MATCH(tblPivotData[[#This Row],[Time]],PeakCalc!$G$10:$G$303,0))</f>
        <v>0</v>
      </c>
    </row>
    <row r="107" spans="1:9" x14ac:dyDescent="0.25">
      <c r="A107" t="s">
        <v>93</v>
      </c>
      <c r="B107" t="s">
        <v>99</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99</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99</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99</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99</v>
      </c>
      <c r="C112" t="s">
        <v>95</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99</v>
      </c>
      <c r="C113" t="s">
        <v>95</v>
      </c>
      <c r="D113" t="s">
        <v>90</v>
      </c>
      <c r="E113" t="s">
        <v>91</v>
      </c>
      <c r="F113" s="6">
        <v>0.57291666666666663</v>
      </c>
      <c r="G113">
        <v>1</v>
      </c>
      <c r="H113" s="6">
        <f>FLOOR(tblPivotData[[#This Row],[Time]],Summary!$B$6/1440)</f>
        <v>0.57291666666666663</v>
      </c>
      <c r="I113">
        <f>INDEX(PeakCalc!$L$10:$L$303,MATCH(tblPivotData[[#This Row],[Time]],PeakCalc!$G$10:$G$303,0))</f>
        <v>1</v>
      </c>
    </row>
    <row r="114" spans="1:9" x14ac:dyDescent="0.25">
      <c r="A114" t="s">
        <v>93</v>
      </c>
      <c r="B114" t="s">
        <v>99</v>
      </c>
      <c r="C114" t="s">
        <v>95</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93</v>
      </c>
      <c r="B115" t="s">
        <v>99</v>
      </c>
      <c r="C115" t="s">
        <v>95</v>
      </c>
      <c r="D115" t="s">
        <v>90</v>
      </c>
      <c r="E115" t="s">
        <v>44</v>
      </c>
      <c r="F115" s="6">
        <v>0.67708333333333337</v>
      </c>
      <c r="G115">
        <v>8</v>
      </c>
      <c r="H115" s="6">
        <f>FLOOR(tblPivotData[[#This Row],[Time]],Summary!$B$6/1440)</f>
        <v>0.67708333333333326</v>
      </c>
      <c r="I115">
        <f>INDEX(PeakCalc!$L$10:$L$303,MATCH(tblPivotData[[#This Row],[Time]],PeakCalc!$G$10:$G$303,0))</f>
        <v>0</v>
      </c>
    </row>
    <row r="116" spans="1:9" x14ac:dyDescent="0.25">
      <c r="A116" t="s">
        <v>93</v>
      </c>
      <c r="B116" t="s">
        <v>99</v>
      </c>
      <c r="C116" t="s">
        <v>95</v>
      </c>
      <c r="D116" t="s">
        <v>90</v>
      </c>
      <c r="E116" t="s">
        <v>44</v>
      </c>
      <c r="F116" s="6">
        <v>0.6875</v>
      </c>
      <c r="G116">
        <v>7</v>
      </c>
      <c r="H116" s="6">
        <f>FLOOR(tblPivotData[[#This Row],[Time]],Summary!$B$6/1440)</f>
        <v>0.6875</v>
      </c>
      <c r="I116">
        <f>INDEX(PeakCalc!$L$10:$L$303,MATCH(tblPivotData[[#This Row],[Time]],PeakCalc!$G$10:$G$303,0))</f>
        <v>1</v>
      </c>
    </row>
    <row r="117" spans="1:9" x14ac:dyDescent="0.25">
      <c r="A117" t="s">
        <v>93</v>
      </c>
      <c r="B117" t="s">
        <v>99</v>
      </c>
      <c r="C117" t="s">
        <v>95</v>
      </c>
      <c r="D117" t="s">
        <v>90</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93</v>
      </c>
      <c r="B118" t="s">
        <v>99</v>
      </c>
      <c r="C118" t="s">
        <v>95</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93</v>
      </c>
      <c r="B119" t="s">
        <v>99</v>
      </c>
      <c r="C119" t="s">
        <v>95</v>
      </c>
      <c r="D119" t="s">
        <v>90</v>
      </c>
      <c r="E119" t="s">
        <v>44</v>
      </c>
      <c r="F119" s="6">
        <v>0.71875</v>
      </c>
      <c r="G119">
        <v>5</v>
      </c>
      <c r="H119" s="6">
        <f>FLOOR(tblPivotData[[#This Row],[Time]],Summary!$B$6/1440)</f>
        <v>0.71875</v>
      </c>
      <c r="I119">
        <f>INDEX(PeakCalc!$L$10:$L$303,MATCH(tblPivotData[[#This Row],[Time]],PeakCalc!$G$10:$G$303,0))</f>
        <v>1</v>
      </c>
    </row>
    <row r="120" spans="1:9" x14ac:dyDescent="0.25">
      <c r="A120" t="s">
        <v>93</v>
      </c>
      <c r="B120" t="s">
        <v>99</v>
      </c>
      <c r="C120" t="s">
        <v>95</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93</v>
      </c>
      <c r="B121" t="s">
        <v>99</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100</v>
      </c>
      <c r="C122" t="s">
        <v>96</v>
      </c>
      <c r="D122" t="s">
        <v>79</v>
      </c>
      <c r="E122" t="s">
        <v>43</v>
      </c>
      <c r="F122" s="6">
        <v>0.29166666666666669</v>
      </c>
      <c r="G122">
        <v>21</v>
      </c>
      <c r="H122" s="6">
        <f>FLOOR(tblPivotData[[#This Row],[Time]],Summary!$B$6/1440)</f>
        <v>0.29166666666666663</v>
      </c>
      <c r="I122">
        <f>INDEX(PeakCalc!$L$10:$L$303,MATCH(tblPivotData[[#This Row],[Time]],PeakCalc!$G$10:$G$303,0))</f>
        <v>1</v>
      </c>
    </row>
    <row r="123" spans="1:9" x14ac:dyDescent="0.25">
      <c r="A123" t="s">
        <v>93</v>
      </c>
      <c r="B123" t="s">
        <v>100</v>
      </c>
      <c r="C123" t="s">
        <v>96</v>
      </c>
      <c r="D123" t="s">
        <v>79</v>
      </c>
      <c r="E123" t="s">
        <v>43</v>
      </c>
      <c r="F123" s="6">
        <v>0.30208333333333331</v>
      </c>
      <c r="G123">
        <v>31</v>
      </c>
      <c r="H123" s="6">
        <f>FLOOR(tblPivotData[[#This Row],[Time]],Summary!$B$6/1440)</f>
        <v>0.30208333333333331</v>
      </c>
      <c r="I123">
        <f>INDEX(PeakCalc!$L$10:$L$303,MATCH(tblPivotData[[#This Row],[Time]],PeakCalc!$G$10:$G$303,0))</f>
        <v>1</v>
      </c>
    </row>
    <row r="124" spans="1:9" x14ac:dyDescent="0.25">
      <c r="A124" t="s">
        <v>93</v>
      </c>
      <c r="B124" t="s">
        <v>100</v>
      </c>
      <c r="C124" t="s">
        <v>96</v>
      </c>
      <c r="D124" t="s">
        <v>79</v>
      </c>
      <c r="E124" t="s">
        <v>43</v>
      </c>
      <c r="F124" s="6">
        <v>0.3125</v>
      </c>
      <c r="G124">
        <v>23</v>
      </c>
      <c r="H124" s="6">
        <f>FLOOR(tblPivotData[[#This Row],[Time]],Summary!$B$6/1440)</f>
        <v>0.3125</v>
      </c>
      <c r="I124">
        <f>INDEX(PeakCalc!$L$10:$L$303,MATCH(tblPivotData[[#This Row],[Time]],PeakCalc!$G$10:$G$303,0))</f>
        <v>1</v>
      </c>
    </row>
    <row r="125" spans="1:9" x14ac:dyDescent="0.25">
      <c r="A125" t="s">
        <v>93</v>
      </c>
      <c r="B125" t="s">
        <v>100</v>
      </c>
      <c r="C125" t="s">
        <v>96</v>
      </c>
      <c r="D125" t="s">
        <v>79</v>
      </c>
      <c r="E125" t="s">
        <v>43</v>
      </c>
      <c r="F125" s="6">
        <v>0.32291666666666669</v>
      </c>
      <c r="G125">
        <v>21</v>
      </c>
      <c r="H125" s="6">
        <f>FLOOR(tblPivotData[[#This Row],[Time]],Summary!$B$6/1440)</f>
        <v>0.32291666666666663</v>
      </c>
      <c r="I125">
        <f>INDEX(PeakCalc!$L$10:$L$303,MATCH(tblPivotData[[#This Row],[Time]],PeakCalc!$G$10:$G$303,0))</f>
        <v>1</v>
      </c>
    </row>
    <row r="126" spans="1:9" x14ac:dyDescent="0.25">
      <c r="A126" t="s">
        <v>93</v>
      </c>
      <c r="B126" t="s">
        <v>100</v>
      </c>
      <c r="C126" t="s">
        <v>96</v>
      </c>
      <c r="D126" t="s">
        <v>79</v>
      </c>
      <c r="E126" t="s">
        <v>43</v>
      </c>
      <c r="F126" s="6">
        <v>0.33333333333333331</v>
      </c>
      <c r="G126">
        <v>12</v>
      </c>
      <c r="H126" s="6">
        <f>FLOOR(tblPivotData[[#This Row],[Time]],Summary!$B$6/1440)</f>
        <v>0.33333333333333331</v>
      </c>
      <c r="I126">
        <f>INDEX(PeakCalc!$L$10:$L$303,MATCH(tblPivotData[[#This Row],[Time]],PeakCalc!$G$10:$G$303,0))</f>
        <v>0</v>
      </c>
    </row>
    <row r="127" spans="1:9" x14ac:dyDescent="0.25">
      <c r="A127" t="s">
        <v>93</v>
      </c>
      <c r="B127" t="s">
        <v>100</v>
      </c>
      <c r="C127" t="s">
        <v>96</v>
      </c>
      <c r="D127" t="s">
        <v>79</v>
      </c>
      <c r="E127" t="s">
        <v>43</v>
      </c>
      <c r="F127" s="6">
        <v>0.34375</v>
      </c>
      <c r="G127">
        <v>19</v>
      </c>
      <c r="H127" s="6">
        <f>FLOOR(tblPivotData[[#This Row],[Time]],Summary!$B$6/1440)</f>
        <v>0.34375</v>
      </c>
      <c r="I127">
        <f>INDEX(PeakCalc!$L$10:$L$303,MATCH(tblPivotData[[#This Row],[Time]],PeakCalc!$G$10:$G$303,0))</f>
        <v>0</v>
      </c>
    </row>
    <row r="128" spans="1:9" x14ac:dyDescent="0.25">
      <c r="A128" t="s">
        <v>93</v>
      </c>
      <c r="B128" t="s">
        <v>100</v>
      </c>
      <c r="C128" t="s">
        <v>96</v>
      </c>
      <c r="D128" t="s">
        <v>79</v>
      </c>
      <c r="E128" t="s">
        <v>43</v>
      </c>
      <c r="F128" s="6">
        <v>0.35416666666666669</v>
      </c>
      <c r="G128">
        <v>14</v>
      </c>
      <c r="H128" s="6">
        <f>FLOOR(tblPivotData[[#This Row],[Time]],Summary!$B$6/1440)</f>
        <v>0.35416666666666663</v>
      </c>
      <c r="I128">
        <f>INDEX(PeakCalc!$L$10:$L$303,MATCH(tblPivotData[[#This Row],[Time]],PeakCalc!$G$10:$G$303,0))</f>
        <v>0</v>
      </c>
    </row>
    <row r="129" spans="1:9" x14ac:dyDescent="0.25">
      <c r="A129" t="s">
        <v>93</v>
      </c>
      <c r="B129" t="s">
        <v>100</v>
      </c>
      <c r="C129" t="s">
        <v>96</v>
      </c>
      <c r="D129" t="s">
        <v>79</v>
      </c>
      <c r="E129" t="s">
        <v>43</v>
      </c>
      <c r="F129" s="6">
        <v>0.36458333333333331</v>
      </c>
      <c r="G129">
        <v>15</v>
      </c>
      <c r="H129" s="6">
        <f>FLOOR(tblPivotData[[#This Row],[Time]],Summary!$B$6/1440)</f>
        <v>0.36458333333333331</v>
      </c>
      <c r="I129">
        <f>INDEX(PeakCalc!$L$10:$L$303,MATCH(tblPivotData[[#This Row],[Time]],PeakCalc!$G$10:$G$303,0))</f>
        <v>0</v>
      </c>
    </row>
    <row r="130" spans="1:9" x14ac:dyDescent="0.25">
      <c r="A130" t="s">
        <v>93</v>
      </c>
      <c r="B130" t="s">
        <v>100</v>
      </c>
      <c r="C130" t="s">
        <v>96</v>
      </c>
      <c r="D130" t="s">
        <v>79</v>
      </c>
      <c r="E130" t="s">
        <v>91</v>
      </c>
      <c r="F130" s="6">
        <v>0.54166666666666663</v>
      </c>
      <c r="G130">
        <v>26</v>
      </c>
      <c r="H130" s="6">
        <f>FLOOR(tblPivotData[[#This Row],[Time]],Summary!$B$6/1440)</f>
        <v>0.54166666666666663</v>
      </c>
      <c r="I130">
        <f>INDEX(PeakCalc!$L$10:$L$303,MATCH(tblPivotData[[#This Row],[Time]],PeakCalc!$G$10:$G$303,0))</f>
        <v>1</v>
      </c>
    </row>
    <row r="131" spans="1:9" x14ac:dyDescent="0.25">
      <c r="A131" t="s">
        <v>93</v>
      </c>
      <c r="B131" t="s">
        <v>100</v>
      </c>
      <c r="C131" t="s">
        <v>96</v>
      </c>
      <c r="D131" t="s">
        <v>79</v>
      </c>
      <c r="E131" t="s">
        <v>91</v>
      </c>
      <c r="F131" s="6">
        <v>0.55208333333333337</v>
      </c>
      <c r="G131">
        <v>27</v>
      </c>
      <c r="H131" s="6">
        <f>FLOOR(tblPivotData[[#This Row],[Time]],Summary!$B$6/1440)</f>
        <v>0.55208333333333326</v>
      </c>
      <c r="I131">
        <f>INDEX(PeakCalc!$L$10:$L$303,MATCH(tblPivotData[[#This Row],[Time]],PeakCalc!$G$10:$G$303,0))</f>
        <v>1</v>
      </c>
    </row>
    <row r="132" spans="1:9" x14ac:dyDescent="0.25">
      <c r="A132" t="s">
        <v>93</v>
      </c>
      <c r="B132" t="s">
        <v>100</v>
      </c>
      <c r="C132" t="s">
        <v>96</v>
      </c>
      <c r="D132" t="s">
        <v>79</v>
      </c>
      <c r="E132" t="s">
        <v>91</v>
      </c>
      <c r="F132" s="6">
        <v>0.5625</v>
      </c>
      <c r="G132">
        <v>30</v>
      </c>
      <c r="H132" s="6">
        <f>FLOOR(tblPivotData[[#This Row],[Time]],Summary!$B$6/1440)</f>
        <v>0.5625</v>
      </c>
      <c r="I132">
        <f>INDEX(PeakCalc!$L$10:$L$303,MATCH(tblPivotData[[#This Row],[Time]],PeakCalc!$G$10:$G$303,0))</f>
        <v>1</v>
      </c>
    </row>
    <row r="133" spans="1:9" x14ac:dyDescent="0.25">
      <c r="A133" t="s">
        <v>93</v>
      </c>
      <c r="B133" t="s">
        <v>100</v>
      </c>
      <c r="C133" t="s">
        <v>96</v>
      </c>
      <c r="D133" t="s">
        <v>79</v>
      </c>
      <c r="E133" t="s">
        <v>91</v>
      </c>
      <c r="F133" s="6">
        <v>0.57291666666666663</v>
      </c>
      <c r="G133">
        <v>33</v>
      </c>
      <c r="H133" s="6">
        <f>FLOOR(tblPivotData[[#This Row],[Time]],Summary!$B$6/1440)</f>
        <v>0.57291666666666663</v>
      </c>
      <c r="I133">
        <f>INDEX(PeakCalc!$L$10:$L$303,MATCH(tblPivotData[[#This Row],[Time]],PeakCalc!$G$10:$G$303,0))</f>
        <v>1</v>
      </c>
    </row>
    <row r="134" spans="1:9" x14ac:dyDescent="0.25">
      <c r="A134" t="s">
        <v>93</v>
      </c>
      <c r="B134" t="s">
        <v>100</v>
      </c>
      <c r="C134" t="s">
        <v>96</v>
      </c>
      <c r="D134" t="s">
        <v>79</v>
      </c>
      <c r="E134" t="s">
        <v>44</v>
      </c>
      <c r="F134" s="6">
        <v>0.66666666666666663</v>
      </c>
      <c r="G134">
        <v>37</v>
      </c>
      <c r="H134" s="6">
        <f>FLOOR(tblPivotData[[#This Row],[Time]],Summary!$B$6/1440)</f>
        <v>0.66666666666666663</v>
      </c>
      <c r="I134">
        <f>INDEX(PeakCalc!$L$10:$L$303,MATCH(tblPivotData[[#This Row],[Time]],PeakCalc!$G$10:$G$303,0))</f>
        <v>0</v>
      </c>
    </row>
    <row r="135" spans="1:9" x14ac:dyDescent="0.25">
      <c r="A135" t="s">
        <v>93</v>
      </c>
      <c r="B135" t="s">
        <v>100</v>
      </c>
      <c r="C135" t="s">
        <v>96</v>
      </c>
      <c r="D135" t="s">
        <v>79</v>
      </c>
      <c r="E135" t="s">
        <v>44</v>
      </c>
      <c r="F135" s="6">
        <v>0.67708333333333337</v>
      </c>
      <c r="G135">
        <v>41</v>
      </c>
      <c r="H135" s="6">
        <f>FLOOR(tblPivotData[[#This Row],[Time]],Summary!$B$6/1440)</f>
        <v>0.67708333333333326</v>
      </c>
      <c r="I135">
        <f>INDEX(PeakCalc!$L$10:$L$303,MATCH(tblPivotData[[#This Row],[Time]],PeakCalc!$G$10:$G$303,0))</f>
        <v>0</v>
      </c>
    </row>
    <row r="136" spans="1:9" x14ac:dyDescent="0.25">
      <c r="A136" t="s">
        <v>93</v>
      </c>
      <c r="B136" t="s">
        <v>100</v>
      </c>
      <c r="C136" t="s">
        <v>96</v>
      </c>
      <c r="D136" t="s">
        <v>79</v>
      </c>
      <c r="E136" t="s">
        <v>44</v>
      </c>
      <c r="F136" s="6">
        <v>0.6875</v>
      </c>
      <c r="G136">
        <v>33</v>
      </c>
      <c r="H136" s="6">
        <f>FLOOR(tblPivotData[[#This Row],[Time]],Summary!$B$6/1440)</f>
        <v>0.6875</v>
      </c>
      <c r="I136">
        <f>INDEX(PeakCalc!$L$10:$L$303,MATCH(tblPivotData[[#This Row],[Time]],PeakCalc!$G$10:$G$303,0))</f>
        <v>1</v>
      </c>
    </row>
    <row r="137" spans="1:9" x14ac:dyDescent="0.25">
      <c r="A137" t="s">
        <v>93</v>
      </c>
      <c r="B137" t="s">
        <v>100</v>
      </c>
      <c r="C137" t="s">
        <v>96</v>
      </c>
      <c r="D137" t="s">
        <v>79</v>
      </c>
      <c r="E137" t="s">
        <v>44</v>
      </c>
      <c r="F137" s="6">
        <v>0.69791666666666663</v>
      </c>
      <c r="G137">
        <v>33</v>
      </c>
      <c r="H137" s="6">
        <f>FLOOR(tblPivotData[[#This Row],[Time]],Summary!$B$6/1440)</f>
        <v>0.69791666666666663</v>
      </c>
      <c r="I137">
        <f>INDEX(PeakCalc!$L$10:$L$303,MATCH(tblPivotData[[#This Row],[Time]],PeakCalc!$G$10:$G$303,0))</f>
        <v>1</v>
      </c>
    </row>
    <row r="138" spans="1:9" x14ac:dyDescent="0.25">
      <c r="A138" t="s">
        <v>93</v>
      </c>
      <c r="B138" t="s">
        <v>100</v>
      </c>
      <c r="C138" t="s">
        <v>96</v>
      </c>
      <c r="D138" t="s">
        <v>79</v>
      </c>
      <c r="E138" t="s">
        <v>44</v>
      </c>
      <c r="F138" s="6">
        <v>0.70833333333333337</v>
      </c>
      <c r="G138">
        <v>37</v>
      </c>
      <c r="H138" s="6">
        <f>FLOOR(tblPivotData[[#This Row],[Time]],Summary!$B$6/1440)</f>
        <v>0.70833333333333326</v>
      </c>
      <c r="I138">
        <f>INDEX(PeakCalc!$L$10:$L$303,MATCH(tblPivotData[[#This Row],[Time]],PeakCalc!$G$10:$G$303,0))</f>
        <v>1</v>
      </c>
    </row>
    <row r="139" spans="1:9" x14ac:dyDescent="0.25">
      <c r="A139" t="s">
        <v>93</v>
      </c>
      <c r="B139" t="s">
        <v>100</v>
      </c>
      <c r="C139" t="s">
        <v>96</v>
      </c>
      <c r="D139" t="s">
        <v>79</v>
      </c>
      <c r="E139" t="s">
        <v>44</v>
      </c>
      <c r="F139" s="6">
        <v>0.71875</v>
      </c>
      <c r="G139">
        <v>47</v>
      </c>
      <c r="H139" s="6">
        <f>FLOOR(tblPivotData[[#This Row],[Time]],Summary!$B$6/1440)</f>
        <v>0.71875</v>
      </c>
      <c r="I139">
        <f>INDEX(PeakCalc!$L$10:$L$303,MATCH(tblPivotData[[#This Row],[Time]],PeakCalc!$G$10:$G$303,0))</f>
        <v>1</v>
      </c>
    </row>
    <row r="140" spans="1:9" x14ac:dyDescent="0.25">
      <c r="A140" t="s">
        <v>93</v>
      </c>
      <c r="B140" t="s">
        <v>100</v>
      </c>
      <c r="C140" t="s">
        <v>96</v>
      </c>
      <c r="D140" t="s">
        <v>79</v>
      </c>
      <c r="E140" t="s">
        <v>44</v>
      </c>
      <c r="F140" s="6">
        <v>0.72916666666666663</v>
      </c>
      <c r="G140">
        <v>48</v>
      </c>
      <c r="H140" s="6">
        <f>FLOOR(tblPivotData[[#This Row],[Time]],Summary!$B$6/1440)</f>
        <v>0.72916666666666663</v>
      </c>
      <c r="I140">
        <f>INDEX(PeakCalc!$L$10:$L$303,MATCH(tblPivotData[[#This Row],[Time]],PeakCalc!$G$10:$G$303,0))</f>
        <v>0</v>
      </c>
    </row>
    <row r="141" spans="1:9" x14ac:dyDescent="0.25">
      <c r="A141" t="s">
        <v>93</v>
      </c>
      <c r="B141" t="s">
        <v>100</v>
      </c>
      <c r="C141" t="s">
        <v>96</v>
      </c>
      <c r="D141" t="s">
        <v>79</v>
      </c>
      <c r="E141" t="s">
        <v>44</v>
      </c>
      <c r="F141" s="6">
        <v>0.73958333333333337</v>
      </c>
      <c r="G141">
        <v>50</v>
      </c>
      <c r="H141" s="6">
        <f>FLOOR(tblPivotData[[#This Row],[Time]],Summary!$B$6/1440)</f>
        <v>0.73958333333333326</v>
      </c>
      <c r="I141">
        <f>INDEX(PeakCalc!$L$10:$L$303,MATCH(tblPivotData[[#This Row],[Time]],PeakCalc!$G$10:$G$303,0))</f>
        <v>0</v>
      </c>
    </row>
    <row r="142" spans="1:9" x14ac:dyDescent="0.25">
      <c r="A142" t="s">
        <v>93</v>
      </c>
      <c r="B142" t="s">
        <v>100</v>
      </c>
      <c r="C142" t="s">
        <v>96</v>
      </c>
      <c r="D142" t="s">
        <v>89</v>
      </c>
      <c r="E142" t="s">
        <v>43</v>
      </c>
      <c r="F142" s="6">
        <v>0.29166666666666669</v>
      </c>
      <c r="G142">
        <v>1</v>
      </c>
      <c r="H142" s="6">
        <f>FLOOR(tblPivotData[[#This Row],[Time]],Summary!$B$6/1440)</f>
        <v>0.29166666666666663</v>
      </c>
      <c r="I142">
        <f>INDEX(PeakCalc!$L$10:$L$303,MATCH(tblPivotData[[#This Row],[Time]],PeakCalc!$G$10:$G$303,0))</f>
        <v>1</v>
      </c>
    </row>
    <row r="143" spans="1:9" x14ac:dyDescent="0.25">
      <c r="A143" t="s">
        <v>93</v>
      </c>
      <c r="B143" t="s">
        <v>100</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100</v>
      </c>
      <c r="C144" t="s">
        <v>96</v>
      </c>
      <c r="D144" t="s">
        <v>89</v>
      </c>
      <c r="E144" t="s">
        <v>43</v>
      </c>
      <c r="F144" s="6">
        <v>0.3125</v>
      </c>
      <c r="G144">
        <v>0</v>
      </c>
      <c r="H144" s="6">
        <f>FLOOR(tblPivotData[[#This Row],[Time]],Summary!$B$6/1440)</f>
        <v>0.3125</v>
      </c>
      <c r="I144">
        <f>INDEX(PeakCalc!$L$10:$L$303,MATCH(tblPivotData[[#This Row],[Time]],PeakCalc!$G$10:$G$303,0))</f>
        <v>1</v>
      </c>
    </row>
    <row r="145" spans="1:9" x14ac:dyDescent="0.25">
      <c r="A145" t="s">
        <v>93</v>
      </c>
      <c r="B145" t="s">
        <v>100</v>
      </c>
      <c r="C145" t="s">
        <v>96</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100</v>
      </c>
      <c r="C146" t="s">
        <v>96</v>
      </c>
      <c r="D146" t="s">
        <v>89</v>
      </c>
      <c r="E146" t="s">
        <v>43</v>
      </c>
      <c r="F146" s="6">
        <v>0.33333333333333331</v>
      </c>
      <c r="G146">
        <v>3</v>
      </c>
      <c r="H146" s="6">
        <f>FLOOR(tblPivotData[[#This Row],[Time]],Summary!$B$6/1440)</f>
        <v>0.33333333333333331</v>
      </c>
      <c r="I146">
        <f>INDEX(PeakCalc!$L$10:$L$303,MATCH(tblPivotData[[#This Row],[Time]],PeakCalc!$G$10:$G$303,0))</f>
        <v>0</v>
      </c>
    </row>
    <row r="147" spans="1:9" x14ac:dyDescent="0.25">
      <c r="A147" t="s">
        <v>93</v>
      </c>
      <c r="B147" t="s">
        <v>100</v>
      </c>
      <c r="C147" t="s">
        <v>96</v>
      </c>
      <c r="D147" t="s">
        <v>89</v>
      </c>
      <c r="E147" t="s">
        <v>43</v>
      </c>
      <c r="F147" s="6">
        <v>0.34375</v>
      </c>
      <c r="G147">
        <v>0</v>
      </c>
      <c r="H147" s="6">
        <f>FLOOR(tblPivotData[[#This Row],[Time]],Summary!$B$6/1440)</f>
        <v>0.34375</v>
      </c>
      <c r="I147">
        <f>INDEX(PeakCalc!$L$10:$L$303,MATCH(tblPivotData[[#This Row],[Time]],PeakCalc!$G$10:$G$303,0))</f>
        <v>0</v>
      </c>
    </row>
    <row r="148" spans="1:9" x14ac:dyDescent="0.25">
      <c r="A148" t="s">
        <v>93</v>
      </c>
      <c r="B148" t="s">
        <v>100</v>
      </c>
      <c r="C148" t="s">
        <v>96</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93</v>
      </c>
      <c r="B149" t="s">
        <v>100</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100</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100</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100</v>
      </c>
      <c r="C152" t="s">
        <v>96</v>
      </c>
      <c r="D152" t="s">
        <v>89</v>
      </c>
      <c r="E152" t="s">
        <v>91</v>
      </c>
      <c r="F152" s="6">
        <v>0.5625</v>
      </c>
      <c r="G152">
        <v>3</v>
      </c>
      <c r="H152" s="6">
        <f>FLOOR(tblPivotData[[#This Row],[Time]],Summary!$B$6/1440)</f>
        <v>0.5625</v>
      </c>
      <c r="I152">
        <f>INDEX(PeakCalc!$L$10:$L$303,MATCH(tblPivotData[[#This Row],[Time]],PeakCalc!$G$10:$G$303,0))</f>
        <v>1</v>
      </c>
    </row>
    <row r="153" spans="1:9" x14ac:dyDescent="0.25">
      <c r="A153" t="s">
        <v>93</v>
      </c>
      <c r="B153" t="s">
        <v>100</v>
      </c>
      <c r="C153" t="s">
        <v>96</v>
      </c>
      <c r="D153" t="s">
        <v>89</v>
      </c>
      <c r="E153" t="s">
        <v>91</v>
      </c>
      <c r="F153" s="6">
        <v>0.57291666666666663</v>
      </c>
      <c r="G153">
        <v>2</v>
      </c>
      <c r="H153" s="6">
        <f>FLOOR(tblPivotData[[#This Row],[Time]],Summary!$B$6/1440)</f>
        <v>0.57291666666666663</v>
      </c>
      <c r="I153">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100</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100</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100</v>
      </c>
      <c r="C158" t="s">
        <v>96</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f>INDEX(PeakCalc!$L$10:$L$303,MATCH(tblPivotData[[#This Row],[Time]],PeakCalc!$G$10:$G$303,0))</f>
        <v>1</v>
      </c>
    </row>
    <row r="160" spans="1:9" x14ac:dyDescent="0.25">
      <c r="A160" t="s">
        <v>93</v>
      </c>
      <c r="B160" t="s">
        <v>100</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100</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93</v>
      </c>
      <c r="B162" t="s">
        <v>100</v>
      </c>
      <c r="C162" t="s">
        <v>96</v>
      </c>
      <c r="D162" t="s">
        <v>90</v>
      </c>
      <c r="E162" t="s">
        <v>43</v>
      </c>
      <c r="F162" s="6">
        <v>0.29166666666666669</v>
      </c>
      <c r="G162">
        <v>0</v>
      </c>
      <c r="H162" s="6">
        <f>FLOOR(tblPivotData[[#This Row],[Time]],Summary!$B$6/1440)</f>
        <v>0.29166666666666663</v>
      </c>
      <c r="I162">
        <f>INDEX(PeakCalc!$L$10:$L$303,MATCH(tblPivotData[[#This Row],[Time]],PeakCalc!$G$10:$G$303,0))</f>
        <v>1</v>
      </c>
    </row>
    <row r="163" spans="1:9" x14ac:dyDescent="0.25">
      <c r="A163" t="s">
        <v>93</v>
      </c>
      <c r="B163" t="s">
        <v>100</v>
      </c>
      <c r="C163" t="s">
        <v>96</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93</v>
      </c>
      <c r="B164" t="s">
        <v>100</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f>INDEX(PeakCalc!$L$10:$L$303,MATCH(tblPivotData[[#This Row],[Time]],PeakCalc!$G$10:$G$303,0))</f>
        <v>0</v>
      </c>
    </row>
    <row r="167" spans="1:9" x14ac:dyDescent="0.25">
      <c r="A167" t="s">
        <v>93</v>
      </c>
      <c r="B167" t="s">
        <v>100</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100</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101</v>
      </c>
      <c r="C182" t="s">
        <v>95</v>
      </c>
      <c r="D182" t="s">
        <v>79</v>
      </c>
      <c r="E182" t="s">
        <v>43</v>
      </c>
      <c r="F182" s="6">
        <v>0.29166666666666669</v>
      </c>
      <c r="G182">
        <v>2</v>
      </c>
      <c r="H182" s="6">
        <f>FLOOR(tblPivotData[[#This Row],[Time]],Summary!$B$6/1440)</f>
        <v>0.29166666666666663</v>
      </c>
      <c r="I182">
        <f>INDEX(PeakCalc!$L$10:$L$303,MATCH(tblPivotData[[#This Row],[Time]],PeakCalc!$G$10:$G$303,0))</f>
        <v>1</v>
      </c>
    </row>
    <row r="183" spans="1:9" x14ac:dyDescent="0.25">
      <c r="A183" t="s">
        <v>94</v>
      </c>
      <c r="B183" t="s">
        <v>101</v>
      </c>
      <c r="C183" t="s">
        <v>95</v>
      </c>
      <c r="D183" t="s">
        <v>79</v>
      </c>
      <c r="E183" t="s">
        <v>43</v>
      </c>
      <c r="F183" s="6">
        <v>0.30208333333333331</v>
      </c>
      <c r="G183">
        <v>9</v>
      </c>
      <c r="H183" s="6">
        <f>FLOOR(tblPivotData[[#This Row],[Time]],Summary!$B$6/1440)</f>
        <v>0.30208333333333331</v>
      </c>
      <c r="I183">
        <f>INDEX(PeakCalc!$L$10:$L$303,MATCH(tblPivotData[[#This Row],[Time]],PeakCalc!$G$10:$G$303,0))</f>
        <v>1</v>
      </c>
    </row>
    <row r="184" spans="1:9" x14ac:dyDescent="0.25">
      <c r="A184" t="s">
        <v>94</v>
      </c>
      <c r="B184" t="s">
        <v>101</v>
      </c>
      <c r="C184" t="s">
        <v>95</v>
      </c>
      <c r="D184" t="s">
        <v>79</v>
      </c>
      <c r="E184" t="s">
        <v>43</v>
      </c>
      <c r="F184" s="6">
        <v>0.3125</v>
      </c>
      <c r="G184">
        <v>9</v>
      </c>
      <c r="H184" s="6">
        <f>FLOOR(tblPivotData[[#This Row],[Time]],Summary!$B$6/1440)</f>
        <v>0.3125</v>
      </c>
      <c r="I184">
        <f>INDEX(PeakCalc!$L$10:$L$303,MATCH(tblPivotData[[#This Row],[Time]],PeakCalc!$G$10:$G$303,0))</f>
        <v>1</v>
      </c>
    </row>
    <row r="185" spans="1:9" x14ac:dyDescent="0.25">
      <c r="A185" t="s">
        <v>94</v>
      </c>
      <c r="B185" t="s">
        <v>101</v>
      </c>
      <c r="C185" t="s">
        <v>95</v>
      </c>
      <c r="D185" t="s">
        <v>79</v>
      </c>
      <c r="E185" t="s">
        <v>43</v>
      </c>
      <c r="F185" s="6">
        <v>0.32291666666666669</v>
      </c>
      <c r="G185">
        <v>7</v>
      </c>
      <c r="H185" s="6">
        <f>FLOOR(tblPivotData[[#This Row],[Time]],Summary!$B$6/1440)</f>
        <v>0.32291666666666663</v>
      </c>
      <c r="I185">
        <f>INDEX(PeakCalc!$L$10:$L$303,MATCH(tblPivotData[[#This Row],[Time]],PeakCalc!$G$10:$G$303,0))</f>
        <v>1</v>
      </c>
    </row>
    <row r="186" spans="1:9" x14ac:dyDescent="0.25">
      <c r="A186" t="s">
        <v>94</v>
      </c>
      <c r="B186" t="s">
        <v>101</v>
      </c>
      <c r="C186" t="s">
        <v>95</v>
      </c>
      <c r="D186" t="s">
        <v>79</v>
      </c>
      <c r="E186" t="s">
        <v>43</v>
      </c>
      <c r="F186" s="6">
        <v>0.33333333333333331</v>
      </c>
      <c r="G186">
        <v>7</v>
      </c>
      <c r="H186" s="6">
        <f>FLOOR(tblPivotData[[#This Row],[Time]],Summary!$B$6/1440)</f>
        <v>0.33333333333333331</v>
      </c>
      <c r="I186">
        <f>INDEX(PeakCalc!$L$10:$L$303,MATCH(tblPivotData[[#This Row],[Time]],PeakCalc!$G$10:$G$303,0))</f>
        <v>0</v>
      </c>
    </row>
    <row r="187" spans="1:9" x14ac:dyDescent="0.25">
      <c r="A187" t="s">
        <v>94</v>
      </c>
      <c r="B187" t="s">
        <v>101</v>
      </c>
      <c r="C187" t="s">
        <v>95</v>
      </c>
      <c r="D187" t="s">
        <v>79</v>
      </c>
      <c r="E187" t="s">
        <v>43</v>
      </c>
      <c r="F187" s="6">
        <v>0.34375</v>
      </c>
      <c r="G187">
        <v>10</v>
      </c>
      <c r="H187" s="6">
        <f>FLOOR(tblPivotData[[#This Row],[Time]],Summary!$B$6/1440)</f>
        <v>0.34375</v>
      </c>
      <c r="I187">
        <f>INDEX(PeakCalc!$L$10:$L$303,MATCH(tblPivotData[[#This Row],[Time]],PeakCalc!$G$10:$G$303,0))</f>
        <v>0</v>
      </c>
    </row>
    <row r="188" spans="1:9" x14ac:dyDescent="0.25">
      <c r="A188" t="s">
        <v>94</v>
      </c>
      <c r="B188" t="s">
        <v>101</v>
      </c>
      <c r="C188" t="s">
        <v>95</v>
      </c>
      <c r="D188" t="s">
        <v>79</v>
      </c>
      <c r="E188" t="s">
        <v>43</v>
      </c>
      <c r="F188" s="6">
        <v>0.35416666666666669</v>
      </c>
      <c r="G188">
        <v>10</v>
      </c>
      <c r="H188" s="6">
        <f>FLOOR(tblPivotData[[#This Row],[Time]],Summary!$B$6/1440)</f>
        <v>0.35416666666666663</v>
      </c>
      <c r="I188">
        <f>INDEX(PeakCalc!$L$10:$L$303,MATCH(tblPivotData[[#This Row],[Time]],PeakCalc!$G$10:$G$303,0))</f>
        <v>0</v>
      </c>
    </row>
    <row r="189" spans="1:9" x14ac:dyDescent="0.25">
      <c r="A189" t="s">
        <v>94</v>
      </c>
      <c r="B189" t="s">
        <v>101</v>
      </c>
      <c r="C189" t="s">
        <v>95</v>
      </c>
      <c r="D189" t="s">
        <v>79</v>
      </c>
      <c r="E189" t="s">
        <v>43</v>
      </c>
      <c r="F189" s="6">
        <v>0.36458333333333331</v>
      </c>
      <c r="G189">
        <v>9</v>
      </c>
      <c r="H189" s="6">
        <f>FLOOR(tblPivotData[[#This Row],[Time]],Summary!$B$6/1440)</f>
        <v>0.36458333333333331</v>
      </c>
      <c r="I189">
        <f>INDEX(PeakCalc!$L$10:$L$303,MATCH(tblPivotData[[#This Row],[Time]],PeakCalc!$G$10:$G$303,0))</f>
        <v>0</v>
      </c>
    </row>
    <row r="190" spans="1:9" x14ac:dyDescent="0.25">
      <c r="A190" t="s">
        <v>94</v>
      </c>
      <c r="B190" t="s">
        <v>101</v>
      </c>
      <c r="C190" t="s">
        <v>95</v>
      </c>
      <c r="D190" t="s">
        <v>79</v>
      </c>
      <c r="E190" t="s">
        <v>91</v>
      </c>
      <c r="F190" s="6">
        <v>0.54166666666666663</v>
      </c>
      <c r="G190">
        <v>36</v>
      </c>
      <c r="H190" s="6">
        <f>FLOOR(tblPivotData[[#This Row],[Time]],Summary!$B$6/1440)</f>
        <v>0.54166666666666663</v>
      </c>
      <c r="I190">
        <f>INDEX(PeakCalc!$L$10:$L$303,MATCH(tblPivotData[[#This Row],[Time]],PeakCalc!$G$10:$G$303,0))</f>
        <v>1</v>
      </c>
    </row>
    <row r="191" spans="1:9" x14ac:dyDescent="0.25">
      <c r="A191" t="s">
        <v>94</v>
      </c>
      <c r="B191" t="s">
        <v>101</v>
      </c>
      <c r="C191" t="s">
        <v>95</v>
      </c>
      <c r="D191" t="s">
        <v>79</v>
      </c>
      <c r="E191" t="s">
        <v>91</v>
      </c>
      <c r="F191" s="6">
        <v>0.55208333333333337</v>
      </c>
      <c r="G191">
        <v>23</v>
      </c>
      <c r="H191" s="6">
        <f>FLOOR(tblPivotData[[#This Row],[Time]],Summary!$B$6/1440)</f>
        <v>0.55208333333333326</v>
      </c>
      <c r="I191">
        <f>INDEX(PeakCalc!$L$10:$L$303,MATCH(tblPivotData[[#This Row],[Time]],PeakCalc!$G$10:$G$303,0))</f>
        <v>1</v>
      </c>
    </row>
    <row r="192" spans="1:9" x14ac:dyDescent="0.25">
      <c r="A192" t="s">
        <v>94</v>
      </c>
      <c r="B192" t="s">
        <v>101</v>
      </c>
      <c r="C192" t="s">
        <v>95</v>
      </c>
      <c r="D192" t="s">
        <v>79</v>
      </c>
      <c r="E192" t="s">
        <v>91</v>
      </c>
      <c r="F192" s="6">
        <v>0.5625</v>
      </c>
      <c r="G192">
        <v>19</v>
      </c>
      <c r="H192" s="6">
        <f>FLOOR(tblPivotData[[#This Row],[Time]],Summary!$B$6/1440)</f>
        <v>0.5625</v>
      </c>
      <c r="I192">
        <f>INDEX(PeakCalc!$L$10:$L$303,MATCH(tblPivotData[[#This Row],[Time]],PeakCalc!$G$10:$G$303,0))</f>
        <v>1</v>
      </c>
    </row>
    <row r="193" spans="1:9" x14ac:dyDescent="0.25">
      <c r="A193" t="s">
        <v>94</v>
      </c>
      <c r="B193" t="s">
        <v>101</v>
      </c>
      <c r="C193" t="s">
        <v>95</v>
      </c>
      <c r="D193" t="s">
        <v>79</v>
      </c>
      <c r="E193" t="s">
        <v>91</v>
      </c>
      <c r="F193" s="6">
        <v>0.57291666666666663</v>
      </c>
      <c r="G193">
        <v>12</v>
      </c>
      <c r="H193" s="6">
        <f>FLOOR(tblPivotData[[#This Row],[Time]],Summary!$B$6/1440)</f>
        <v>0.57291666666666663</v>
      </c>
      <c r="I193">
        <f>INDEX(PeakCalc!$L$10:$L$303,MATCH(tblPivotData[[#This Row],[Time]],PeakCalc!$G$10:$G$303,0))</f>
        <v>1</v>
      </c>
    </row>
    <row r="194" spans="1:9" x14ac:dyDescent="0.25">
      <c r="A194" t="s">
        <v>94</v>
      </c>
      <c r="B194" t="s">
        <v>101</v>
      </c>
      <c r="C194" t="s">
        <v>95</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25">
      <c r="A195" t="s">
        <v>94</v>
      </c>
      <c r="B195" t="s">
        <v>101</v>
      </c>
      <c r="C195" t="s">
        <v>95</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94</v>
      </c>
      <c r="B196" t="s">
        <v>101</v>
      </c>
      <c r="C196" t="s">
        <v>95</v>
      </c>
      <c r="D196" t="s">
        <v>79</v>
      </c>
      <c r="E196" t="s">
        <v>44</v>
      </c>
      <c r="F196" s="6">
        <v>0.6875</v>
      </c>
      <c r="G196">
        <v>6</v>
      </c>
      <c r="H196" s="6">
        <f>FLOOR(tblPivotData[[#This Row],[Time]],Summary!$B$6/1440)</f>
        <v>0.6875</v>
      </c>
      <c r="I196">
        <f>INDEX(PeakCalc!$L$10:$L$303,MATCH(tblPivotData[[#This Row],[Time]],PeakCalc!$G$10:$G$303,0))</f>
        <v>1</v>
      </c>
    </row>
    <row r="197" spans="1:9" x14ac:dyDescent="0.25">
      <c r="A197" t="s">
        <v>94</v>
      </c>
      <c r="B197" t="s">
        <v>101</v>
      </c>
      <c r="C197" t="s">
        <v>95</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94</v>
      </c>
      <c r="B198" t="s">
        <v>101</v>
      </c>
      <c r="C198" t="s">
        <v>95</v>
      </c>
      <c r="D198" t="s">
        <v>79</v>
      </c>
      <c r="E198" t="s">
        <v>44</v>
      </c>
      <c r="F198" s="6">
        <v>0.70833333333333337</v>
      </c>
      <c r="G198">
        <v>13</v>
      </c>
      <c r="H198" s="6">
        <f>FLOOR(tblPivotData[[#This Row],[Time]],Summary!$B$6/1440)</f>
        <v>0.70833333333333326</v>
      </c>
      <c r="I198">
        <f>INDEX(PeakCalc!$L$10:$L$303,MATCH(tblPivotData[[#This Row],[Time]],PeakCalc!$G$10:$G$303,0))</f>
        <v>1</v>
      </c>
    </row>
    <row r="199" spans="1:9" x14ac:dyDescent="0.25">
      <c r="A199" t="s">
        <v>94</v>
      </c>
      <c r="B199" t="s">
        <v>101</v>
      </c>
      <c r="C199" t="s">
        <v>95</v>
      </c>
      <c r="D199" t="s">
        <v>79</v>
      </c>
      <c r="E199" t="s">
        <v>44</v>
      </c>
      <c r="F199" s="6">
        <v>0.71875</v>
      </c>
      <c r="G199">
        <v>8</v>
      </c>
      <c r="H199" s="6">
        <f>FLOOR(tblPivotData[[#This Row],[Time]],Summary!$B$6/1440)</f>
        <v>0.71875</v>
      </c>
      <c r="I199">
        <f>INDEX(PeakCalc!$L$10:$L$303,MATCH(tblPivotData[[#This Row],[Time]],PeakCalc!$G$10:$G$303,0))</f>
        <v>1</v>
      </c>
    </row>
    <row r="200" spans="1:9" x14ac:dyDescent="0.25">
      <c r="A200" t="s">
        <v>94</v>
      </c>
      <c r="B200" t="s">
        <v>101</v>
      </c>
      <c r="C200" t="s">
        <v>95</v>
      </c>
      <c r="D200" t="s">
        <v>79</v>
      </c>
      <c r="E200" t="s">
        <v>44</v>
      </c>
      <c r="F200" s="6">
        <v>0.72916666666666663</v>
      </c>
      <c r="G200">
        <v>16</v>
      </c>
      <c r="H200" s="6">
        <f>FLOOR(tblPivotData[[#This Row],[Time]],Summary!$B$6/1440)</f>
        <v>0.72916666666666663</v>
      </c>
      <c r="I200">
        <f>INDEX(PeakCalc!$L$10:$L$303,MATCH(tblPivotData[[#This Row],[Time]],PeakCalc!$G$10:$G$303,0))</f>
        <v>0</v>
      </c>
    </row>
    <row r="201" spans="1:9" x14ac:dyDescent="0.25">
      <c r="A201" t="s">
        <v>94</v>
      </c>
      <c r="B201" t="s">
        <v>101</v>
      </c>
      <c r="C201" t="s">
        <v>95</v>
      </c>
      <c r="D201" t="s">
        <v>79</v>
      </c>
      <c r="E201" t="s">
        <v>44</v>
      </c>
      <c r="F201" s="6">
        <v>0.73958333333333337</v>
      </c>
      <c r="G201">
        <v>15</v>
      </c>
      <c r="H201" s="6">
        <f>FLOOR(tblPivotData[[#This Row],[Time]],Summary!$B$6/1440)</f>
        <v>0.73958333333333326</v>
      </c>
      <c r="I201">
        <f>INDEX(PeakCalc!$L$10:$L$303,MATCH(tblPivotData[[#This Row],[Time]],PeakCalc!$G$10:$G$303,0))</f>
        <v>0</v>
      </c>
    </row>
    <row r="202" spans="1:9" x14ac:dyDescent="0.25">
      <c r="A202" t="s">
        <v>94</v>
      </c>
      <c r="B202" t="s">
        <v>101</v>
      </c>
      <c r="C202" t="s">
        <v>95</v>
      </c>
      <c r="D202" t="s">
        <v>89</v>
      </c>
      <c r="E202" t="s">
        <v>43</v>
      </c>
      <c r="F202" s="6">
        <v>0.29166666666666669</v>
      </c>
      <c r="G202">
        <v>3</v>
      </c>
      <c r="H202" s="6">
        <f>FLOOR(tblPivotData[[#This Row],[Time]],Summary!$B$6/1440)</f>
        <v>0.29166666666666663</v>
      </c>
      <c r="I202">
        <f>INDEX(PeakCalc!$L$10:$L$303,MATCH(tblPivotData[[#This Row],[Time]],PeakCalc!$G$10:$G$303,0))</f>
        <v>1</v>
      </c>
    </row>
    <row r="203" spans="1:9" x14ac:dyDescent="0.25">
      <c r="A203" t="s">
        <v>94</v>
      </c>
      <c r="B203" t="s">
        <v>101</v>
      </c>
      <c r="C203" t="s">
        <v>95</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94</v>
      </c>
      <c r="B204" t="s">
        <v>101</v>
      </c>
      <c r="C204" t="s">
        <v>95</v>
      </c>
      <c r="D204" t="s">
        <v>89</v>
      </c>
      <c r="E204" t="s">
        <v>43</v>
      </c>
      <c r="F204" s="6">
        <v>0.3125</v>
      </c>
      <c r="G204">
        <v>1</v>
      </c>
      <c r="H204" s="6">
        <f>FLOOR(tblPivotData[[#This Row],[Time]],Summary!$B$6/1440)</f>
        <v>0.3125</v>
      </c>
      <c r="I204">
        <f>INDEX(PeakCalc!$L$10:$L$303,MATCH(tblPivotData[[#This Row],[Time]],PeakCalc!$G$10:$G$303,0))</f>
        <v>1</v>
      </c>
    </row>
    <row r="205" spans="1:9" x14ac:dyDescent="0.25">
      <c r="A205" t="s">
        <v>94</v>
      </c>
      <c r="B205" t="s">
        <v>101</v>
      </c>
      <c r="C205" t="s">
        <v>95</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101</v>
      </c>
      <c r="C206" t="s">
        <v>95</v>
      </c>
      <c r="D206" t="s">
        <v>89</v>
      </c>
      <c r="E206" t="s">
        <v>43</v>
      </c>
      <c r="F206" s="6">
        <v>0.33333333333333331</v>
      </c>
      <c r="G206">
        <v>3</v>
      </c>
      <c r="H206" s="6">
        <f>FLOOR(tblPivotData[[#This Row],[Time]],Summary!$B$6/1440)</f>
        <v>0.33333333333333331</v>
      </c>
      <c r="I206">
        <f>INDEX(PeakCalc!$L$10:$L$303,MATCH(tblPivotData[[#This Row],[Time]],PeakCalc!$G$10:$G$303,0))</f>
        <v>0</v>
      </c>
    </row>
    <row r="207" spans="1:9" x14ac:dyDescent="0.25">
      <c r="A207" t="s">
        <v>94</v>
      </c>
      <c r="B207" t="s">
        <v>101</v>
      </c>
      <c r="C207" t="s">
        <v>95</v>
      </c>
      <c r="D207" t="s">
        <v>89</v>
      </c>
      <c r="E207" t="s">
        <v>43</v>
      </c>
      <c r="F207" s="6">
        <v>0.34375</v>
      </c>
      <c r="G207">
        <v>0</v>
      </c>
      <c r="H207" s="6">
        <f>FLOOR(tblPivotData[[#This Row],[Time]],Summary!$B$6/1440)</f>
        <v>0.34375</v>
      </c>
      <c r="I207">
        <f>INDEX(PeakCalc!$L$10:$L$303,MATCH(tblPivotData[[#This Row],[Time]],PeakCalc!$G$10:$G$303,0))</f>
        <v>0</v>
      </c>
    </row>
    <row r="208" spans="1:9" x14ac:dyDescent="0.25">
      <c r="A208" t="s">
        <v>94</v>
      </c>
      <c r="B208" t="s">
        <v>101</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101</v>
      </c>
      <c r="C209" t="s">
        <v>95</v>
      </c>
      <c r="D209" t="s">
        <v>89</v>
      </c>
      <c r="E209" t="s">
        <v>43</v>
      </c>
      <c r="F209" s="6">
        <v>0.36458333333333331</v>
      </c>
      <c r="G209">
        <v>4</v>
      </c>
      <c r="H209" s="6">
        <f>FLOOR(tblPivotData[[#This Row],[Time]],Summary!$B$6/1440)</f>
        <v>0.36458333333333331</v>
      </c>
      <c r="I209">
        <f>INDEX(PeakCalc!$L$10:$L$303,MATCH(tblPivotData[[#This Row],[Time]],PeakCalc!$G$10:$G$303,0))</f>
        <v>0</v>
      </c>
    </row>
    <row r="210" spans="1:9" x14ac:dyDescent="0.25">
      <c r="A210" t="s">
        <v>94</v>
      </c>
      <c r="B210" t="s">
        <v>101</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101</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101</v>
      </c>
      <c r="C212" t="s">
        <v>95</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101</v>
      </c>
      <c r="C213" t="s">
        <v>95</v>
      </c>
      <c r="D213" t="s">
        <v>89</v>
      </c>
      <c r="E213" t="s">
        <v>91</v>
      </c>
      <c r="F213" s="6">
        <v>0.57291666666666663</v>
      </c>
      <c r="G213">
        <v>3</v>
      </c>
      <c r="H213" s="6">
        <f>FLOOR(tblPivotData[[#This Row],[Time]],Summary!$B$6/1440)</f>
        <v>0.57291666666666663</v>
      </c>
      <c r="I213">
        <f>INDEX(PeakCalc!$L$10:$L$303,MATCH(tblPivotData[[#This Row],[Time]],PeakCalc!$G$10:$G$303,0))</f>
        <v>1</v>
      </c>
    </row>
    <row r="214" spans="1:9" x14ac:dyDescent="0.25">
      <c r="A214" t="s">
        <v>94</v>
      </c>
      <c r="B214" t="s">
        <v>101</v>
      </c>
      <c r="C214" t="s">
        <v>95</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101</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101</v>
      </c>
      <c r="C217" t="s">
        <v>95</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101</v>
      </c>
      <c r="C219" t="s">
        <v>95</v>
      </c>
      <c r="D219" t="s">
        <v>89</v>
      </c>
      <c r="E219" t="s">
        <v>44</v>
      </c>
      <c r="F219" s="6">
        <v>0.71875</v>
      </c>
      <c r="G219">
        <v>1</v>
      </c>
      <c r="H219" s="6">
        <f>FLOOR(tblPivotData[[#This Row],[Time]],Summary!$B$6/1440)</f>
        <v>0.71875</v>
      </c>
      <c r="I21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101</v>
      </c>
      <c r="C221" t="s">
        <v>95</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94</v>
      </c>
      <c r="B222" t="s">
        <v>101</v>
      </c>
      <c r="C222" t="s">
        <v>95</v>
      </c>
      <c r="D222" t="s">
        <v>90</v>
      </c>
      <c r="E222" t="s">
        <v>43</v>
      </c>
      <c r="F222" s="6">
        <v>0.29166666666666669</v>
      </c>
      <c r="G222">
        <v>0</v>
      </c>
      <c r="H222" s="6">
        <f>FLOOR(tblPivotData[[#This Row],[Time]],Summary!$B$6/1440)</f>
        <v>0.29166666666666663</v>
      </c>
      <c r="I222">
        <f>INDEX(PeakCalc!$L$10:$L$303,MATCH(tblPivotData[[#This Row],[Time]],PeakCalc!$G$10:$G$303,0))</f>
        <v>1</v>
      </c>
    </row>
    <row r="223" spans="1:9" x14ac:dyDescent="0.25">
      <c r="A223" t="s">
        <v>94</v>
      </c>
      <c r="B223" t="s">
        <v>101</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101</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101</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101</v>
      </c>
      <c r="C226" t="s">
        <v>95</v>
      </c>
      <c r="D226" t="s">
        <v>90</v>
      </c>
      <c r="E226" t="s">
        <v>43</v>
      </c>
      <c r="F226" s="6">
        <v>0.33333333333333331</v>
      </c>
      <c r="G226">
        <v>0</v>
      </c>
      <c r="H226" s="6">
        <f>FLOOR(tblPivotData[[#This Row],[Time]],Summary!$B$6/1440)</f>
        <v>0.33333333333333331</v>
      </c>
      <c r="I226">
        <f>INDEX(PeakCalc!$L$10:$L$303,MATCH(tblPivotData[[#This Row],[Time]],PeakCalc!$G$10:$G$303,0))</f>
        <v>0</v>
      </c>
    </row>
    <row r="227" spans="1:9" x14ac:dyDescent="0.25">
      <c r="A227" t="s">
        <v>94</v>
      </c>
      <c r="B227" t="s">
        <v>101</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101</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101</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101</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101</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101</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101</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101</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101</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101</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101</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101</v>
      </c>
      <c r="C238" t="s">
        <v>95</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94</v>
      </c>
      <c r="B239" t="s">
        <v>101</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101</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101</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102</v>
      </c>
      <c r="C242" t="s">
        <v>96</v>
      </c>
      <c r="D242" t="s">
        <v>79</v>
      </c>
      <c r="E242" t="s">
        <v>43</v>
      </c>
      <c r="F242" s="6">
        <v>0.29166666666666669</v>
      </c>
      <c r="G242">
        <v>486</v>
      </c>
      <c r="H242" s="6">
        <f>FLOOR(tblPivotData[[#This Row],[Time]],Summary!$B$6/1440)</f>
        <v>0.29166666666666663</v>
      </c>
      <c r="I242">
        <f>INDEX(PeakCalc!$L$10:$L$303,MATCH(tblPivotData[[#This Row],[Time]],PeakCalc!$G$10:$G$303,0))</f>
        <v>1</v>
      </c>
    </row>
    <row r="243" spans="1:9" x14ac:dyDescent="0.25">
      <c r="A243" t="s">
        <v>94</v>
      </c>
      <c r="B243" t="s">
        <v>102</v>
      </c>
      <c r="C243" t="s">
        <v>96</v>
      </c>
      <c r="D243" t="s">
        <v>79</v>
      </c>
      <c r="E243" t="s">
        <v>43</v>
      </c>
      <c r="F243" s="6">
        <v>0.30208333333333331</v>
      </c>
      <c r="G243">
        <v>482</v>
      </c>
      <c r="H243" s="6">
        <f>FLOOR(tblPivotData[[#This Row],[Time]],Summary!$B$6/1440)</f>
        <v>0.30208333333333331</v>
      </c>
      <c r="I243">
        <f>INDEX(PeakCalc!$L$10:$L$303,MATCH(tblPivotData[[#This Row],[Time]],PeakCalc!$G$10:$G$303,0))</f>
        <v>1</v>
      </c>
    </row>
    <row r="244" spans="1:9" x14ac:dyDescent="0.25">
      <c r="A244" t="s">
        <v>94</v>
      </c>
      <c r="B244" t="s">
        <v>102</v>
      </c>
      <c r="C244" t="s">
        <v>96</v>
      </c>
      <c r="D244" t="s">
        <v>79</v>
      </c>
      <c r="E244" t="s">
        <v>43</v>
      </c>
      <c r="F244" s="6">
        <v>0.3125</v>
      </c>
      <c r="G244">
        <v>428</v>
      </c>
      <c r="H244" s="6">
        <f>FLOOR(tblPivotData[[#This Row],[Time]],Summary!$B$6/1440)</f>
        <v>0.3125</v>
      </c>
      <c r="I244">
        <f>INDEX(PeakCalc!$L$10:$L$303,MATCH(tblPivotData[[#This Row],[Time]],PeakCalc!$G$10:$G$303,0))</f>
        <v>1</v>
      </c>
    </row>
    <row r="245" spans="1:9" x14ac:dyDescent="0.25">
      <c r="A245" t="s">
        <v>94</v>
      </c>
      <c r="B245" t="s">
        <v>102</v>
      </c>
      <c r="C245" t="s">
        <v>96</v>
      </c>
      <c r="D245" t="s">
        <v>79</v>
      </c>
      <c r="E245" t="s">
        <v>43</v>
      </c>
      <c r="F245" s="6">
        <v>0.32291666666666669</v>
      </c>
      <c r="G245">
        <v>438</v>
      </c>
      <c r="H245" s="6">
        <f>FLOOR(tblPivotData[[#This Row],[Time]],Summary!$B$6/1440)</f>
        <v>0.32291666666666663</v>
      </c>
      <c r="I245">
        <f>INDEX(PeakCalc!$L$10:$L$303,MATCH(tblPivotData[[#This Row],[Time]],PeakCalc!$G$10:$G$303,0))</f>
        <v>1</v>
      </c>
    </row>
    <row r="246" spans="1:9" x14ac:dyDescent="0.25">
      <c r="A246" t="s">
        <v>94</v>
      </c>
      <c r="B246" t="s">
        <v>102</v>
      </c>
      <c r="C246" t="s">
        <v>96</v>
      </c>
      <c r="D246" t="s">
        <v>79</v>
      </c>
      <c r="E246" t="s">
        <v>43</v>
      </c>
      <c r="F246" s="6">
        <v>0.33333333333333331</v>
      </c>
      <c r="G246">
        <v>415</v>
      </c>
      <c r="H246" s="6">
        <f>FLOOR(tblPivotData[[#This Row],[Time]],Summary!$B$6/1440)</f>
        <v>0.33333333333333331</v>
      </c>
      <c r="I246">
        <f>INDEX(PeakCalc!$L$10:$L$303,MATCH(tblPivotData[[#This Row],[Time]],PeakCalc!$G$10:$G$303,0))</f>
        <v>0</v>
      </c>
    </row>
    <row r="247" spans="1:9" x14ac:dyDescent="0.25">
      <c r="A247" t="s">
        <v>94</v>
      </c>
      <c r="B247" t="s">
        <v>102</v>
      </c>
      <c r="C247" t="s">
        <v>96</v>
      </c>
      <c r="D247" t="s">
        <v>79</v>
      </c>
      <c r="E247" t="s">
        <v>43</v>
      </c>
      <c r="F247" s="6">
        <v>0.34375</v>
      </c>
      <c r="G247">
        <v>362</v>
      </c>
      <c r="H247" s="6">
        <f>FLOOR(tblPivotData[[#This Row],[Time]],Summary!$B$6/1440)</f>
        <v>0.34375</v>
      </c>
      <c r="I247">
        <f>INDEX(PeakCalc!$L$10:$L$303,MATCH(tblPivotData[[#This Row],[Time]],PeakCalc!$G$10:$G$303,0))</f>
        <v>0</v>
      </c>
    </row>
    <row r="248" spans="1:9" x14ac:dyDescent="0.25">
      <c r="A248" t="s">
        <v>94</v>
      </c>
      <c r="B248" t="s">
        <v>102</v>
      </c>
      <c r="C248" t="s">
        <v>96</v>
      </c>
      <c r="D248" t="s">
        <v>79</v>
      </c>
      <c r="E248" t="s">
        <v>43</v>
      </c>
      <c r="F248" s="6">
        <v>0.35416666666666669</v>
      </c>
      <c r="G248">
        <v>378</v>
      </c>
      <c r="H248" s="6">
        <f>FLOOR(tblPivotData[[#This Row],[Time]],Summary!$B$6/1440)</f>
        <v>0.35416666666666663</v>
      </c>
      <c r="I248">
        <f>INDEX(PeakCalc!$L$10:$L$303,MATCH(tblPivotData[[#This Row],[Time]],PeakCalc!$G$10:$G$303,0))</f>
        <v>0</v>
      </c>
    </row>
    <row r="249" spans="1:9" x14ac:dyDescent="0.25">
      <c r="A249" t="s">
        <v>94</v>
      </c>
      <c r="B249" t="s">
        <v>102</v>
      </c>
      <c r="C249" t="s">
        <v>96</v>
      </c>
      <c r="D249" t="s">
        <v>79</v>
      </c>
      <c r="E249" t="s">
        <v>43</v>
      </c>
      <c r="F249" s="6">
        <v>0.36458333333333331</v>
      </c>
      <c r="G249">
        <v>436</v>
      </c>
      <c r="H249" s="6">
        <f>FLOOR(tblPivotData[[#This Row],[Time]],Summary!$B$6/1440)</f>
        <v>0.36458333333333331</v>
      </c>
      <c r="I249">
        <f>INDEX(PeakCalc!$L$10:$L$303,MATCH(tblPivotData[[#This Row],[Time]],PeakCalc!$G$10:$G$303,0))</f>
        <v>0</v>
      </c>
    </row>
    <row r="250" spans="1:9" x14ac:dyDescent="0.25">
      <c r="A250" t="s">
        <v>94</v>
      </c>
      <c r="B250" t="s">
        <v>102</v>
      </c>
      <c r="C250" t="s">
        <v>96</v>
      </c>
      <c r="D250" t="s">
        <v>79</v>
      </c>
      <c r="E250" t="s">
        <v>91</v>
      </c>
      <c r="F250" s="6">
        <v>0.54166666666666663</v>
      </c>
      <c r="G250">
        <v>353</v>
      </c>
      <c r="H250" s="6">
        <f>FLOOR(tblPivotData[[#This Row],[Time]],Summary!$B$6/1440)</f>
        <v>0.54166666666666663</v>
      </c>
      <c r="I250">
        <f>INDEX(PeakCalc!$L$10:$L$303,MATCH(tblPivotData[[#This Row],[Time]],PeakCalc!$G$10:$G$303,0))</f>
        <v>1</v>
      </c>
    </row>
    <row r="251" spans="1:9" x14ac:dyDescent="0.25">
      <c r="A251" t="s">
        <v>94</v>
      </c>
      <c r="B251" t="s">
        <v>102</v>
      </c>
      <c r="C251" t="s">
        <v>96</v>
      </c>
      <c r="D251" t="s">
        <v>79</v>
      </c>
      <c r="E251" t="s">
        <v>91</v>
      </c>
      <c r="F251" s="6">
        <v>0.55208333333333337</v>
      </c>
      <c r="G251">
        <v>309</v>
      </c>
      <c r="H251" s="6">
        <f>FLOOR(tblPivotData[[#This Row],[Time]],Summary!$B$6/1440)</f>
        <v>0.55208333333333326</v>
      </c>
      <c r="I251">
        <f>INDEX(PeakCalc!$L$10:$L$303,MATCH(tblPivotData[[#This Row],[Time]],PeakCalc!$G$10:$G$303,0))</f>
        <v>1</v>
      </c>
    </row>
    <row r="252" spans="1:9" x14ac:dyDescent="0.25">
      <c r="A252" t="s">
        <v>94</v>
      </c>
      <c r="B252" t="s">
        <v>102</v>
      </c>
      <c r="C252" t="s">
        <v>96</v>
      </c>
      <c r="D252" t="s">
        <v>79</v>
      </c>
      <c r="E252" t="s">
        <v>91</v>
      </c>
      <c r="F252" s="6">
        <v>0.5625</v>
      </c>
      <c r="G252">
        <v>322</v>
      </c>
      <c r="H252" s="6">
        <f>FLOOR(tblPivotData[[#This Row],[Time]],Summary!$B$6/1440)</f>
        <v>0.5625</v>
      </c>
      <c r="I252">
        <f>INDEX(PeakCalc!$L$10:$L$303,MATCH(tblPivotData[[#This Row],[Time]],PeakCalc!$G$10:$G$303,0))</f>
        <v>1</v>
      </c>
    </row>
    <row r="253" spans="1:9" x14ac:dyDescent="0.25">
      <c r="A253" t="s">
        <v>94</v>
      </c>
      <c r="B253" t="s">
        <v>102</v>
      </c>
      <c r="C253" t="s">
        <v>96</v>
      </c>
      <c r="D253" t="s">
        <v>79</v>
      </c>
      <c r="E253" t="s">
        <v>91</v>
      </c>
      <c r="F253" s="6">
        <v>0.57291666666666663</v>
      </c>
      <c r="G253">
        <v>321</v>
      </c>
      <c r="H253" s="6">
        <f>FLOOR(tblPivotData[[#This Row],[Time]],Summary!$B$6/1440)</f>
        <v>0.57291666666666663</v>
      </c>
      <c r="I253">
        <f>INDEX(PeakCalc!$L$10:$L$303,MATCH(tblPivotData[[#This Row],[Time]],PeakCalc!$G$10:$G$303,0))</f>
        <v>1</v>
      </c>
    </row>
    <row r="254" spans="1:9" x14ac:dyDescent="0.25">
      <c r="A254" t="s">
        <v>94</v>
      </c>
      <c r="B254" t="s">
        <v>102</v>
      </c>
      <c r="C254" t="s">
        <v>96</v>
      </c>
      <c r="D254" t="s">
        <v>79</v>
      </c>
      <c r="E254" t="s">
        <v>44</v>
      </c>
      <c r="F254" s="6">
        <v>0.66666666666666663</v>
      </c>
      <c r="G254">
        <v>413</v>
      </c>
      <c r="H254" s="6">
        <f>FLOOR(tblPivotData[[#This Row],[Time]],Summary!$B$6/1440)</f>
        <v>0.66666666666666663</v>
      </c>
      <c r="I254">
        <f>INDEX(PeakCalc!$L$10:$L$303,MATCH(tblPivotData[[#This Row],[Time]],PeakCalc!$G$10:$G$303,0))</f>
        <v>0</v>
      </c>
    </row>
    <row r="255" spans="1:9" x14ac:dyDescent="0.25">
      <c r="A255" t="s">
        <v>94</v>
      </c>
      <c r="B255" t="s">
        <v>102</v>
      </c>
      <c r="C255" t="s">
        <v>96</v>
      </c>
      <c r="D255" t="s">
        <v>79</v>
      </c>
      <c r="E255" t="s">
        <v>44</v>
      </c>
      <c r="F255" s="6">
        <v>0.67708333333333337</v>
      </c>
      <c r="G255">
        <v>387</v>
      </c>
      <c r="H255" s="6">
        <f>FLOOR(tblPivotData[[#This Row],[Time]],Summary!$B$6/1440)</f>
        <v>0.67708333333333326</v>
      </c>
      <c r="I255">
        <f>INDEX(PeakCalc!$L$10:$L$303,MATCH(tblPivotData[[#This Row],[Time]],PeakCalc!$G$10:$G$303,0))</f>
        <v>0</v>
      </c>
    </row>
    <row r="256" spans="1:9" x14ac:dyDescent="0.25">
      <c r="A256" t="s">
        <v>94</v>
      </c>
      <c r="B256" t="s">
        <v>102</v>
      </c>
      <c r="C256" t="s">
        <v>96</v>
      </c>
      <c r="D256" t="s">
        <v>79</v>
      </c>
      <c r="E256" t="s">
        <v>44</v>
      </c>
      <c r="F256" s="6">
        <v>0.6875</v>
      </c>
      <c r="G256">
        <v>416</v>
      </c>
      <c r="H256" s="6">
        <f>FLOOR(tblPivotData[[#This Row],[Time]],Summary!$B$6/1440)</f>
        <v>0.6875</v>
      </c>
      <c r="I256">
        <f>INDEX(PeakCalc!$L$10:$L$303,MATCH(tblPivotData[[#This Row],[Time]],PeakCalc!$G$10:$G$303,0))</f>
        <v>1</v>
      </c>
    </row>
    <row r="257" spans="1:9" x14ac:dyDescent="0.25">
      <c r="A257" t="s">
        <v>94</v>
      </c>
      <c r="B257" t="s">
        <v>102</v>
      </c>
      <c r="C257" t="s">
        <v>96</v>
      </c>
      <c r="D257" t="s">
        <v>79</v>
      </c>
      <c r="E257" t="s">
        <v>44</v>
      </c>
      <c r="F257" s="6">
        <v>0.69791666666666663</v>
      </c>
      <c r="G257">
        <v>417</v>
      </c>
      <c r="H257" s="6">
        <f>FLOOR(tblPivotData[[#This Row],[Time]],Summary!$B$6/1440)</f>
        <v>0.69791666666666663</v>
      </c>
      <c r="I257">
        <f>INDEX(PeakCalc!$L$10:$L$303,MATCH(tblPivotData[[#This Row],[Time]],PeakCalc!$G$10:$G$303,0))</f>
        <v>1</v>
      </c>
    </row>
    <row r="258" spans="1:9" x14ac:dyDescent="0.25">
      <c r="A258" t="s">
        <v>94</v>
      </c>
      <c r="B258" t="s">
        <v>102</v>
      </c>
      <c r="C258" t="s">
        <v>96</v>
      </c>
      <c r="D258" t="s">
        <v>79</v>
      </c>
      <c r="E258" t="s">
        <v>44</v>
      </c>
      <c r="F258" s="6">
        <v>0.70833333333333337</v>
      </c>
      <c r="G258">
        <v>411</v>
      </c>
      <c r="H258" s="6">
        <f>FLOOR(tblPivotData[[#This Row],[Time]],Summary!$B$6/1440)</f>
        <v>0.70833333333333326</v>
      </c>
      <c r="I258">
        <f>INDEX(PeakCalc!$L$10:$L$303,MATCH(tblPivotData[[#This Row],[Time]],PeakCalc!$G$10:$G$303,0))</f>
        <v>1</v>
      </c>
    </row>
    <row r="259" spans="1:9" x14ac:dyDescent="0.25">
      <c r="A259" t="s">
        <v>94</v>
      </c>
      <c r="B259" t="s">
        <v>102</v>
      </c>
      <c r="C259" t="s">
        <v>96</v>
      </c>
      <c r="D259" t="s">
        <v>79</v>
      </c>
      <c r="E259" t="s">
        <v>44</v>
      </c>
      <c r="F259" s="6">
        <v>0.71875</v>
      </c>
      <c r="G259">
        <v>472</v>
      </c>
      <c r="H259" s="6">
        <f>FLOOR(tblPivotData[[#This Row],[Time]],Summary!$B$6/1440)</f>
        <v>0.71875</v>
      </c>
      <c r="I259">
        <f>INDEX(PeakCalc!$L$10:$L$303,MATCH(tblPivotData[[#This Row],[Time]],PeakCalc!$G$10:$G$303,0))</f>
        <v>1</v>
      </c>
    </row>
    <row r="260" spans="1:9" x14ac:dyDescent="0.25">
      <c r="A260" t="s">
        <v>94</v>
      </c>
      <c r="B260" t="s">
        <v>102</v>
      </c>
      <c r="C260" t="s">
        <v>96</v>
      </c>
      <c r="D260" t="s">
        <v>79</v>
      </c>
      <c r="E260" t="s">
        <v>44</v>
      </c>
      <c r="F260" s="6">
        <v>0.72916666666666663</v>
      </c>
      <c r="G260">
        <v>444</v>
      </c>
      <c r="H260" s="6">
        <f>FLOOR(tblPivotData[[#This Row],[Time]],Summary!$B$6/1440)</f>
        <v>0.72916666666666663</v>
      </c>
      <c r="I260">
        <f>INDEX(PeakCalc!$L$10:$L$303,MATCH(tblPivotData[[#This Row],[Time]],PeakCalc!$G$10:$G$303,0))</f>
        <v>0</v>
      </c>
    </row>
    <row r="261" spans="1:9" x14ac:dyDescent="0.25">
      <c r="A261" t="s">
        <v>94</v>
      </c>
      <c r="B261" t="s">
        <v>102</v>
      </c>
      <c r="C261" t="s">
        <v>96</v>
      </c>
      <c r="D261" t="s">
        <v>79</v>
      </c>
      <c r="E261" t="s">
        <v>44</v>
      </c>
      <c r="F261" s="6">
        <v>0.73958333333333337</v>
      </c>
      <c r="G261">
        <v>412</v>
      </c>
      <c r="H261" s="6">
        <f>FLOOR(tblPivotData[[#This Row],[Time]],Summary!$B$6/1440)</f>
        <v>0.73958333333333326</v>
      </c>
      <c r="I261">
        <f>INDEX(PeakCalc!$L$10:$L$303,MATCH(tblPivotData[[#This Row],[Time]],PeakCalc!$G$10:$G$303,0))</f>
        <v>0</v>
      </c>
    </row>
    <row r="262" spans="1:9" x14ac:dyDescent="0.25">
      <c r="A262" t="s">
        <v>94</v>
      </c>
      <c r="B262" t="s">
        <v>102</v>
      </c>
      <c r="C262" t="s">
        <v>96</v>
      </c>
      <c r="D262" t="s">
        <v>89</v>
      </c>
      <c r="E262" t="s">
        <v>43</v>
      </c>
      <c r="F262" s="6">
        <v>0.29166666666666669</v>
      </c>
      <c r="G262">
        <v>28</v>
      </c>
      <c r="H262" s="6">
        <f>FLOOR(tblPivotData[[#This Row],[Time]],Summary!$B$6/1440)</f>
        <v>0.29166666666666663</v>
      </c>
      <c r="I262">
        <f>INDEX(PeakCalc!$L$10:$L$303,MATCH(tblPivotData[[#This Row],[Time]],PeakCalc!$G$10:$G$303,0))</f>
        <v>1</v>
      </c>
    </row>
    <row r="263" spans="1:9" x14ac:dyDescent="0.25">
      <c r="A263" t="s">
        <v>94</v>
      </c>
      <c r="B263" t="s">
        <v>102</v>
      </c>
      <c r="C263" t="s">
        <v>96</v>
      </c>
      <c r="D263" t="s">
        <v>89</v>
      </c>
      <c r="E263" t="s">
        <v>43</v>
      </c>
      <c r="F263" s="6">
        <v>0.30208333333333331</v>
      </c>
      <c r="G263">
        <v>31</v>
      </c>
      <c r="H263" s="6">
        <f>FLOOR(tblPivotData[[#This Row],[Time]],Summary!$B$6/1440)</f>
        <v>0.30208333333333331</v>
      </c>
      <c r="I263">
        <f>INDEX(PeakCalc!$L$10:$L$303,MATCH(tblPivotData[[#This Row],[Time]],PeakCalc!$G$10:$G$303,0))</f>
        <v>1</v>
      </c>
    </row>
    <row r="264" spans="1:9" x14ac:dyDescent="0.25">
      <c r="A264" t="s">
        <v>94</v>
      </c>
      <c r="B264" t="s">
        <v>102</v>
      </c>
      <c r="C264" t="s">
        <v>96</v>
      </c>
      <c r="D264" t="s">
        <v>89</v>
      </c>
      <c r="E264" t="s">
        <v>43</v>
      </c>
      <c r="F264" s="6">
        <v>0.3125</v>
      </c>
      <c r="G264">
        <v>35</v>
      </c>
      <c r="H264" s="6">
        <f>FLOOR(tblPivotData[[#This Row],[Time]],Summary!$B$6/1440)</f>
        <v>0.3125</v>
      </c>
      <c r="I264">
        <f>INDEX(PeakCalc!$L$10:$L$303,MATCH(tblPivotData[[#This Row],[Time]],PeakCalc!$G$10:$G$303,0))</f>
        <v>1</v>
      </c>
    </row>
    <row r="265" spans="1:9" x14ac:dyDescent="0.25">
      <c r="A265" t="s">
        <v>94</v>
      </c>
      <c r="B265" t="s">
        <v>102</v>
      </c>
      <c r="C265" t="s">
        <v>96</v>
      </c>
      <c r="D265" t="s">
        <v>89</v>
      </c>
      <c r="E265" t="s">
        <v>43</v>
      </c>
      <c r="F265" s="6">
        <v>0.32291666666666669</v>
      </c>
      <c r="G265">
        <v>32</v>
      </c>
      <c r="H265" s="6">
        <f>FLOOR(tblPivotData[[#This Row],[Time]],Summary!$B$6/1440)</f>
        <v>0.32291666666666663</v>
      </c>
      <c r="I265">
        <f>INDEX(PeakCalc!$L$10:$L$303,MATCH(tblPivotData[[#This Row],[Time]],PeakCalc!$G$10:$G$303,0))</f>
        <v>1</v>
      </c>
    </row>
    <row r="266" spans="1:9" x14ac:dyDescent="0.25">
      <c r="A266" t="s">
        <v>94</v>
      </c>
      <c r="B266" t="s">
        <v>102</v>
      </c>
      <c r="C266" t="s">
        <v>96</v>
      </c>
      <c r="D266" t="s">
        <v>89</v>
      </c>
      <c r="E266" t="s">
        <v>43</v>
      </c>
      <c r="F266" s="6">
        <v>0.33333333333333331</v>
      </c>
      <c r="G266">
        <v>36</v>
      </c>
      <c r="H266" s="6">
        <f>FLOOR(tblPivotData[[#This Row],[Time]],Summary!$B$6/1440)</f>
        <v>0.33333333333333331</v>
      </c>
      <c r="I266">
        <f>INDEX(PeakCalc!$L$10:$L$303,MATCH(tblPivotData[[#This Row],[Time]],PeakCalc!$G$10:$G$303,0))</f>
        <v>0</v>
      </c>
    </row>
    <row r="267" spans="1:9" x14ac:dyDescent="0.25">
      <c r="A267" t="s">
        <v>94</v>
      </c>
      <c r="B267" t="s">
        <v>102</v>
      </c>
      <c r="C267" t="s">
        <v>96</v>
      </c>
      <c r="D267" t="s">
        <v>89</v>
      </c>
      <c r="E267" t="s">
        <v>43</v>
      </c>
      <c r="F267" s="6">
        <v>0.34375</v>
      </c>
      <c r="G267">
        <v>36</v>
      </c>
      <c r="H267" s="6">
        <f>FLOOR(tblPivotData[[#This Row],[Time]],Summary!$B$6/1440)</f>
        <v>0.34375</v>
      </c>
      <c r="I267">
        <f>INDEX(PeakCalc!$L$10:$L$303,MATCH(tblPivotData[[#This Row],[Time]],PeakCalc!$G$10:$G$303,0))</f>
        <v>0</v>
      </c>
    </row>
    <row r="268" spans="1:9" x14ac:dyDescent="0.25">
      <c r="A268" t="s">
        <v>94</v>
      </c>
      <c r="B268" t="s">
        <v>102</v>
      </c>
      <c r="C268" t="s">
        <v>96</v>
      </c>
      <c r="D268" t="s">
        <v>89</v>
      </c>
      <c r="E268" t="s">
        <v>43</v>
      </c>
      <c r="F268" s="6">
        <v>0.35416666666666669</v>
      </c>
      <c r="G268">
        <v>33</v>
      </c>
      <c r="H268" s="6">
        <f>FLOOR(tblPivotData[[#This Row],[Time]],Summary!$B$6/1440)</f>
        <v>0.35416666666666663</v>
      </c>
      <c r="I268">
        <f>INDEX(PeakCalc!$L$10:$L$303,MATCH(tblPivotData[[#This Row],[Time]],PeakCalc!$G$10:$G$303,0))</f>
        <v>0</v>
      </c>
    </row>
    <row r="269" spans="1:9" x14ac:dyDescent="0.25">
      <c r="A269" t="s">
        <v>94</v>
      </c>
      <c r="B269" t="s">
        <v>102</v>
      </c>
      <c r="C269" t="s">
        <v>96</v>
      </c>
      <c r="D269" t="s">
        <v>89</v>
      </c>
      <c r="E269" t="s">
        <v>43</v>
      </c>
      <c r="F269" s="6">
        <v>0.36458333333333331</v>
      </c>
      <c r="G269">
        <v>37</v>
      </c>
      <c r="H269" s="6">
        <f>FLOOR(tblPivotData[[#This Row],[Time]],Summary!$B$6/1440)</f>
        <v>0.36458333333333331</v>
      </c>
      <c r="I269">
        <f>INDEX(PeakCalc!$L$10:$L$303,MATCH(tblPivotData[[#This Row],[Time]],PeakCalc!$G$10:$G$303,0))</f>
        <v>0</v>
      </c>
    </row>
    <row r="270" spans="1:9" x14ac:dyDescent="0.25">
      <c r="A270" t="s">
        <v>94</v>
      </c>
      <c r="B270" t="s">
        <v>102</v>
      </c>
      <c r="C270" t="s">
        <v>96</v>
      </c>
      <c r="D270" t="s">
        <v>89</v>
      </c>
      <c r="E270" t="s">
        <v>91</v>
      </c>
      <c r="F270" s="6">
        <v>0.54166666666666663</v>
      </c>
      <c r="G270">
        <v>42</v>
      </c>
      <c r="H270" s="6">
        <f>FLOOR(tblPivotData[[#This Row],[Time]],Summary!$B$6/1440)</f>
        <v>0.54166666666666663</v>
      </c>
      <c r="I270">
        <f>INDEX(PeakCalc!$L$10:$L$303,MATCH(tblPivotData[[#This Row],[Time]],PeakCalc!$G$10:$G$303,0))</f>
        <v>1</v>
      </c>
    </row>
    <row r="271" spans="1:9" x14ac:dyDescent="0.25">
      <c r="A271" t="s">
        <v>94</v>
      </c>
      <c r="B271" t="s">
        <v>102</v>
      </c>
      <c r="C271" t="s">
        <v>96</v>
      </c>
      <c r="D271" t="s">
        <v>89</v>
      </c>
      <c r="E271" t="s">
        <v>91</v>
      </c>
      <c r="F271" s="6">
        <v>0.55208333333333337</v>
      </c>
      <c r="G271">
        <v>60</v>
      </c>
      <c r="H271" s="6">
        <f>FLOOR(tblPivotData[[#This Row],[Time]],Summary!$B$6/1440)</f>
        <v>0.55208333333333326</v>
      </c>
      <c r="I271">
        <f>INDEX(PeakCalc!$L$10:$L$303,MATCH(tblPivotData[[#This Row],[Time]],PeakCalc!$G$10:$G$303,0))</f>
        <v>1</v>
      </c>
    </row>
    <row r="272" spans="1:9" x14ac:dyDescent="0.25">
      <c r="A272" t="s">
        <v>94</v>
      </c>
      <c r="B272" t="s">
        <v>102</v>
      </c>
      <c r="C272" t="s">
        <v>96</v>
      </c>
      <c r="D272" t="s">
        <v>89</v>
      </c>
      <c r="E272" t="s">
        <v>91</v>
      </c>
      <c r="F272" s="6">
        <v>0.5625</v>
      </c>
      <c r="G272">
        <v>59</v>
      </c>
      <c r="H272" s="6">
        <f>FLOOR(tblPivotData[[#This Row],[Time]],Summary!$B$6/1440)</f>
        <v>0.5625</v>
      </c>
      <c r="I272">
        <f>INDEX(PeakCalc!$L$10:$L$303,MATCH(tblPivotData[[#This Row],[Time]],PeakCalc!$G$10:$G$303,0))</f>
        <v>1</v>
      </c>
    </row>
    <row r="273" spans="1:9" x14ac:dyDescent="0.25">
      <c r="A273" t="s">
        <v>94</v>
      </c>
      <c r="B273" t="s">
        <v>102</v>
      </c>
      <c r="C273" t="s">
        <v>96</v>
      </c>
      <c r="D273" t="s">
        <v>89</v>
      </c>
      <c r="E273" t="s">
        <v>91</v>
      </c>
      <c r="F273" s="6">
        <v>0.57291666666666663</v>
      </c>
      <c r="G273">
        <v>48</v>
      </c>
      <c r="H273" s="6">
        <f>FLOOR(tblPivotData[[#This Row],[Time]],Summary!$B$6/1440)</f>
        <v>0.57291666666666663</v>
      </c>
      <c r="I273">
        <f>INDEX(PeakCalc!$L$10:$L$303,MATCH(tblPivotData[[#This Row],[Time]],PeakCalc!$G$10:$G$303,0))</f>
        <v>1</v>
      </c>
    </row>
    <row r="274" spans="1:9" x14ac:dyDescent="0.25">
      <c r="A274" t="s">
        <v>94</v>
      </c>
      <c r="B274" t="s">
        <v>102</v>
      </c>
      <c r="C274" t="s">
        <v>96</v>
      </c>
      <c r="D274" t="s">
        <v>89</v>
      </c>
      <c r="E274" t="s">
        <v>44</v>
      </c>
      <c r="F274" s="6">
        <v>0.66666666666666663</v>
      </c>
      <c r="G274">
        <v>14</v>
      </c>
      <c r="H274" s="6">
        <f>FLOOR(tblPivotData[[#This Row],[Time]],Summary!$B$6/1440)</f>
        <v>0.66666666666666663</v>
      </c>
      <c r="I274">
        <f>INDEX(PeakCalc!$L$10:$L$303,MATCH(tblPivotData[[#This Row],[Time]],PeakCalc!$G$10:$G$303,0))</f>
        <v>0</v>
      </c>
    </row>
    <row r="275" spans="1:9" x14ac:dyDescent="0.25">
      <c r="A275" t="s">
        <v>94</v>
      </c>
      <c r="B275" t="s">
        <v>102</v>
      </c>
      <c r="C275" t="s">
        <v>96</v>
      </c>
      <c r="D275" t="s">
        <v>89</v>
      </c>
      <c r="E275" t="s">
        <v>44</v>
      </c>
      <c r="F275" s="6">
        <v>0.67708333333333337</v>
      </c>
      <c r="G275">
        <v>26</v>
      </c>
      <c r="H275" s="6">
        <f>FLOOR(tblPivotData[[#This Row],[Time]],Summary!$B$6/1440)</f>
        <v>0.67708333333333326</v>
      </c>
      <c r="I275">
        <f>INDEX(PeakCalc!$L$10:$L$303,MATCH(tblPivotData[[#This Row],[Time]],PeakCalc!$G$10:$G$303,0))</f>
        <v>0</v>
      </c>
    </row>
    <row r="276" spans="1:9" x14ac:dyDescent="0.25">
      <c r="A276" t="s">
        <v>94</v>
      </c>
      <c r="B276" t="s">
        <v>102</v>
      </c>
      <c r="C276" t="s">
        <v>96</v>
      </c>
      <c r="D276" t="s">
        <v>89</v>
      </c>
      <c r="E276" t="s">
        <v>44</v>
      </c>
      <c r="F276" s="6">
        <v>0.6875</v>
      </c>
      <c r="G276">
        <v>20</v>
      </c>
      <c r="H276" s="6">
        <f>FLOOR(tblPivotData[[#This Row],[Time]],Summary!$B$6/1440)</f>
        <v>0.6875</v>
      </c>
      <c r="I276">
        <f>INDEX(PeakCalc!$L$10:$L$303,MATCH(tblPivotData[[#This Row],[Time]],PeakCalc!$G$10:$G$303,0))</f>
        <v>1</v>
      </c>
    </row>
    <row r="277" spans="1:9" x14ac:dyDescent="0.25">
      <c r="A277" t="s">
        <v>94</v>
      </c>
      <c r="B277" t="s">
        <v>102</v>
      </c>
      <c r="C277" t="s">
        <v>96</v>
      </c>
      <c r="D277" t="s">
        <v>89</v>
      </c>
      <c r="E277" t="s">
        <v>44</v>
      </c>
      <c r="F277" s="6">
        <v>0.69791666666666663</v>
      </c>
      <c r="G277">
        <v>20</v>
      </c>
      <c r="H277" s="6">
        <f>FLOOR(tblPivotData[[#This Row],[Time]],Summary!$B$6/1440)</f>
        <v>0.69791666666666663</v>
      </c>
      <c r="I277">
        <f>INDEX(PeakCalc!$L$10:$L$303,MATCH(tblPivotData[[#This Row],[Time]],PeakCalc!$G$10:$G$303,0))</f>
        <v>1</v>
      </c>
    </row>
    <row r="278" spans="1:9" x14ac:dyDescent="0.25">
      <c r="A278" t="s">
        <v>94</v>
      </c>
      <c r="B278" t="s">
        <v>102</v>
      </c>
      <c r="C278" t="s">
        <v>96</v>
      </c>
      <c r="D278" t="s">
        <v>89</v>
      </c>
      <c r="E278" t="s">
        <v>44</v>
      </c>
      <c r="F278" s="6">
        <v>0.70833333333333337</v>
      </c>
      <c r="G278">
        <v>21</v>
      </c>
      <c r="H278" s="6">
        <f>FLOOR(tblPivotData[[#This Row],[Time]],Summary!$B$6/1440)</f>
        <v>0.70833333333333326</v>
      </c>
      <c r="I278">
        <f>INDEX(PeakCalc!$L$10:$L$303,MATCH(tblPivotData[[#This Row],[Time]],PeakCalc!$G$10:$G$303,0))</f>
        <v>1</v>
      </c>
    </row>
    <row r="279" spans="1:9" x14ac:dyDescent="0.25">
      <c r="A279" t="s">
        <v>94</v>
      </c>
      <c r="B279" t="s">
        <v>102</v>
      </c>
      <c r="C279" t="s">
        <v>96</v>
      </c>
      <c r="D279" t="s">
        <v>89</v>
      </c>
      <c r="E279" t="s">
        <v>44</v>
      </c>
      <c r="F279" s="6">
        <v>0.71875</v>
      </c>
      <c r="G279">
        <v>4</v>
      </c>
      <c r="H279" s="6">
        <f>FLOOR(tblPivotData[[#This Row],[Time]],Summary!$B$6/1440)</f>
        <v>0.71875</v>
      </c>
      <c r="I279">
        <f>INDEX(PeakCalc!$L$10:$L$303,MATCH(tblPivotData[[#This Row],[Time]],PeakCalc!$G$10:$G$303,0))</f>
        <v>1</v>
      </c>
    </row>
    <row r="280" spans="1:9" x14ac:dyDescent="0.25">
      <c r="A280" t="s">
        <v>94</v>
      </c>
      <c r="B280" t="s">
        <v>102</v>
      </c>
      <c r="C280" t="s">
        <v>96</v>
      </c>
      <c r="D280" t="s">
        <v>89</v>
      </c>
      <c r="E280" t="s">
        <v>44</v>
      </c>
      <c r="F280" s="6">
        <v>0.72916666666666663</v>
      </c>
      <c r="G280">
        <v>14</v>
      </c>
      <c r="H280" s="6">
        <f>FLOOR(tblPivotData[[#This Row],[Time]],Summary!$B$6/1440)</f>
        <v>0.72916666666666663</v>
      </c>
      <c r="I280">
        <f>INDEX(PeakCalc!$L$10:$L$303,MATCH(tblPivotData[[#This Row],[Time]],PeakCalc!$G$10:$G$303,0))</f>
        <v>0</v>
      </c>
    </row>
    <row r="281" spans="1:9" x14ac:dyDescent="0.25">
      <c r="A281" t="s">
        <v>94</v>
      </c>
      <c r="B281" t="s">
        <v>102</v>
      </c>
      <c r="C281" t="s">
        <v>96</v>
      </c>
      <c r="D281" t="s">
        <v>89</v>
      </c>
      <c r="E281" t="s">
        <v>44</v>
      </c>
      <c r="F281" s="6">
        <v>0.73958333333333337</v>
      </c>
      <c r="G281">
        <v>11</v>
      </c>
      <c r="H281" s="6">
        <f>FLOOR(tblPivotData[[#This Row],[Time]],Summary!$B$6/1440)</f>
        <v>0.73958333333333326</v>
      </c>
      <c r="I281">
        <f>INDEX(PeakCalc!$L$10:$L$303,MATCH(tblPivotData[[#This Row],[Time]],PeakCalc!$G$10:$G$303,0))</f>
        <v>0</v>
      </c>
    </row>
    <row r="282" spans="1:9" x14ac:dyDescent="0.25">
      <c r="A282" t="s">
        <v>94</v>
      </c>
      <c r="B282" t="s">
        <v>102</v>
      </c>
      <c r="C282" t="s">
        <v>96</v>
      </c>
      <c r="D282" t="s">
        <v>90</v>
      </c>
      <c r="E282" t="s">
        <v>43</v>
      </c>
      <c r="F282" s="6">
        <v>0.29166666666666669</v>
      </c>
      <c r="G282">
        <v>0</v>
      </c>
      <c r="H282" s="6">
        <f>FLOOR(tblPivotData[[#This Row],[Time]],Summary!$B$6/1440)</f>
        <v>0.29166666666666663</v>
      </c>
      <c r="I282">
        <f>INDEX(PeakCalc!$L$10:$L$303,MATCH(tblPivotData[[#This Row],[Time]],PeakCalc!$G$10:$G$303,0))</f>
        <v>1</v>
      </c>
    </row>
    <row r="283" spans="1:9" x14ac:dyDescent="0.25">
      <c r="A283" t="s">
        <v>94</v>
      </c>
      <c r="B283" t="s">
        <v>102</v>
      </c>
      <c r="C283" t="s">
        <v>96</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102</v>
      </c>
      <c r="C284" t="s">
        <v>96</v>
      </c>
      <c r="D284" t="s">
        <v>90</v>
      </c>
      <c r="E284" t="s">
        <v>43</v>
      </c>
      <c r="F284" s="6">
        <v>0.3125</v>
      </c>
      <c r="G284">
        <v>1</v>
      </c>
      <c r="H284" s="6">
        <f>FLOOR(tblPivotData[[#This Row],[Time]],Summary!$B$6/1440)</f>
        <v>0.3125</v>
      </c>
      <c r="I284">
        <f>INDEX(PeakCalc!$L$10:$L$303,MATCH(tblPivotData[[#This Row],[Time]],PeakCalc!$G$10:$G$303,0))</f>
        <v>1</v>
      </c>
    </row>
    <row r="285" spans="1:9" x14ac:dyDescent="0.25">
      <c r="A285" t="s">
        <v>94</v>
      </c>
      <c r="B285" t="s">
        <v>102</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102</v>
      </c>
      <c r="C286" t="s">
        <v>96</v>
      </c>
      <c r="D286" t="s">
        <v>90</v>
      </c>
      <c r="E286" t="s">
        <v>43</v>
      </c>
      <c r="F286" s="6">
        <v>0.33333333333333331</v>
      </c>
      <c r="G286">
        <v>1</v>
      </c>
      <c r="H286" s="6">
        <f>FLOOR(tblPivotData[[#This Row],[Time]],Summary!$B$6/1440)</f>
        <v>0.33333333333333331</v>
      </c>
      <c r="I286">
        <f>INDEX(PeakCalc!$L$10:$L$303,MATCH(tblPivotData[[#This Row],[Time]],PeakCalc!$G$10:$G$303,0))</f>
        <v>0</v>
      </c>
    </row>
    <row r="287" spans="1:9" x14ac:dyDescent="0.25">
      <c r="A287" t="s">
        <v>94</v>
      </c>
      <c r="B287" t="s">
        <v>102</v>
      </c>
      <c r="C287" t="s">
        <v>96</v>
      </c>
      <c r="D287" t="s">
        <v>90</v>
      </c>
      <c r="E287" t="s">
        <v>43</v>
      </c>
      <c r="F287" s="6">
        <v>0.34375</v>
      </c>
      <c r="G287">
        <v>0</v>
      </c>
      <c r="H287" s="6">
        <f>FLOOR(tblPivotData[[#This Row],[Time]],Summary!$B$6/1440)</f>
        <v>0.34375</v>
      </c>
      <c r="I287">
        <f>INDEX(PeakCalc!$L$10:$L$303,MATCH(tblPivotData[[#This Row],[Time]],PeakCalc!$G$10:$G$303,0))</f>
        <v>0</v>
      </c>
    </row>
    <row r="288" spans="1:9" x14ac:dyDescent="0.25">
      <c r="A288" t="s">
        <v>94</v>
      </c>
      <c r="B288" t="s">
        <v>102</v>
      </c>
      <c r="C288" t="s">
        <v>96</v>
      </c>
      <c r="D288" t="s">
        <v>90</v>
      </c>
      <c r="E288" t="s">
        <v>43</v>
      </c>
      <c r="F288" s="6">
        <v>0.35416666666666669</v>
      </c>
      <c r="G288">
        <v>2</v>
      </c>
      <c r="H288" s="6">
        <f>FLOOR(tblPivotData[[#This Row],[Time]],Summary!$B$6/1440)</f>
        <v>0.35416666666666663</v>
      </c>
      <c r="I288">
        <f>INDEX(PeakCalc!$L$10:$L$303,MATCH(tblPivotData[[#This Row],[Time]],PeakCalc!$G$10:$G$303,0))</f>
        <v>0</v>
      </c>
    </row>
    <row r="289" spans="1:9" x14ac:dyDescent="0.25">
      <c r="A289" t="s">
        <v>94</v>
      </c>
      <c r="B289" t="s">
        <v>102</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102</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102</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102</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102</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102</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102</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102</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102</v>
      </c>
      <c r="C299" t="s">
        <v>96</v>
      </c>
      <c r="D299" t="s">
        <v>90</v>
      </c>
      <c r="E299" t="s">
        <v>44</v>
      </c>
      <c r="F299" s="6">
        <v>0.71875</v>
      </c>
      <c r="G299">
        <v>1</v>
      </c>
      <c r="H299" s="6">
        <f>FLOOR(tblPivotData[[#This Row],[Time]],Summary!$B$6/1440)</f>
        <v>0.71875</v>
      </c>
      <c r="I299">
        <f>INDEX(PeakCalc!$L$10:$L$303,MATCH(tblPivotData[[#This Row],[Time]],PeakCalc!$G$10:$G$303,0))</f>
        <v>1</v>
      </c>
    </row>
    <row r="300" spans="1:9" x14ac:dyDescent="0.25">
      <c r="A300" t="s">
        <v>94</v>
      </c>
      <c r="B300" t="s">
        <v>102</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102</v>
      </c>
      <c r="C301" t="s">
        <v>96</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103</v>
      </c>
      <c r="C302" t="s">
        <v>93</v>
      </c>
      <c r="D302" t="s">
        <v>79</v>
      </c>
      <c r="E302" t="s">
        <v>43</v>
      </c>
      <c r="F302" s="6">
        <v>0.29166666666666669</v>
      </c>
      <c r="G302">
        <v>9</v>
      </c>
      <c r="H302" s="6">
        <f>FLOOR(tblPivotData[[#This Row],[Time]],Summary!$B$6/1440)</f>
        <v>0.29166666666666663</v>
      </c>
      <c r="I302">
        <f>INDEX(PeakCalc!$L$10:$L$303,MATCH(tblPivotData[[#This Row],[Time]],PeakCalc!$G$10:$G$303,0))</f>
        <v>1</v>
      </c>
    </row>
    <row r="303" spans="1:9" x14ac:dyDescent="0.25">
      <c r="A303" t="s">
        <v>94</v>
      </c>
      <c r="B303" t="s">
        <v>103</v>
      </c>
      <c r="C303" t="s">
        <v>93</v>
      </c>
      <c r="D303" t="s">
        <v>79</v>
      </c>
      <c r="E303" t="s">
        <v>43</v>
      </c>
      <c r="F303" s="6">
        <v>0.30208333333333331</v>
      </c>
      <c r="G303">
        <v>14</v>
      </c>
      <c r="H303" s="6">
        <f>FLOOR(tblPivotData[[#This Row],[Time]],Summary!$B$6/1440)</f>
        <v>0.30208333333333331</v>
      </c>
      <c r="I303">
        <f>INDEX(PeakCalc!$L$10:$L$303,MATCH(tblPivotData[[#This Row],[Time]],PeakCalc!$G$10:$G$303,0))</f>
        <v>1</v>
      </c>
    </row>
    <row r="304" spans="1:9" x14ac:dyDescent="0.25">
      <c r="A304" t="s">
        <v>94</v>
      </c>
      <c r="B304" t="s">
        <v>103</v>
      </c>
      <c r="C304" t="s">
        <v>93</v>
      </c>
      <c r="D304" t="s">
        <v>79</v>
      </c>
      <c r="E304" t="s">
        <v>43</v>
      </c>
      <c r="F304" s="6">
        <v>0.3125</v>
      </c>
      <c r="G304">
        <v>11</v>
      </c>
      <c r="H304" s="6">
        <f>FLOOR(tblPivotData[[#This Row],[Time]],Summary!$B$6/1440)</f>
        <v>0.3125</v>
      </c>
      <c r="I304">
        <f>INDEX(PeakCalc!$L$10:$L$303,MATCH(tblPivotData[[#This Row],[Time]],PeakCalc!$G$10:$G$303,0))</f>
        <v>1</v>
      </c>
    </row>
    <row r="305" spans="1:9" x14ac:dyDescent="0.25">
      <c r="A305" t="s">
        <v>94</v>
      </c>
      <c r="B305" t="s">
        <v>103</v>
      </c>
      <c r="C305" t="s">
        <v>93</v>
      </c>
      <c r="D305" t="s">
        <v>79</v>
      </c>
      <c r="E305" t="s">
        <v>43</v>
      </c>
      <c r="F305" s="6">
        <v>0.32291666666666669</v>
      </c>
      <c r="G305">
        <v>14</v>
      </c>
      <c r="H305" s="6">
        <f>FLOOR(tblPivotData[[#This Row],[Time]],Summary!$B$6/1440)</f>
        <v>0.32291666666666663</v>
      </c>
      <c r="I305">
        <f>INDEX(PeakCalc!$L$10:$L$303,MATCH(tblPivotData[[#This Row],[Time]],PeakCalc!$G$10:$G$303,0))</f>
        <v>1</v>
      </c>
    </row>
    <row r="306" spans="1:9" x14ac:dyDescent="0.25">
      <c r="A306" t="s">
        <v>94</v>
      </c>
      <c r="B306" t="s">
        <v>103</v>
      </c>
      <c r="C306" t="s">
        <v>93</v>
      </c>
      <c r="D306" t="s">
        <v>79</v>
      </c>
      <c r="E306" t="s">
        <v>43</v>
      </c>
      <c r="F306" s="6">
        <v>0.33333333333333331</v>
      </c>
      <c r="G306">
        <v>11</v>
      </c>
      <c r="H306" s="6">
        <f>FLOOR(tblPivotData[[#This Row],[Time]],Summary!$B$6/1440)</f>
        <v>0.33333333333333331</v>
      </c>
      <c r="I306">
        <f>INDEX(PeakCalc!$L$10:$L$303,MATCH(tblPivotData[[#This Row],[Time]],PeakCalc!$G$10:$G$303,0))</f>
        <v>0</v>
      </c>
    </row>
    <row r="307" spans="1:9" x14ac:dyDescent="0.25">
      <c r="A307" t="s">
        <v>94</v>
      </c>
      <c r="B307" t="s">
        <v>103</v>
      </c>
      <c r="C307" t="s">
        <v>93</v>
      </c>
      <c r="D307" t="s">
        <v>79</v>
      </c>
      <c r="E307" t="s">
        <v>43</v>
      </c>
      <c r="F307" s="6">
        <v>0.34375</v>
      </c>
      <c r="G307">
        <v>22</v>
      </c>
      <c r="H307" s="6">
        <f>FLOOR(tblPivotData[[#This Row],[Time]],Summary!$B$6/1440)</f>
        <v>0.34375</v>
      </c>
      <c r="I307">
        <f>INDEX(PeakCalc!$L$10:$L$303,MATCH(tblPivotData[[#This Row],[Time]],PeakCalc!$G$10:$G$303,0))</f>
        <v>0</v>
      </c>
    </row>
    <row r="308" spans="1:9" x14ac:dyDescent="0.25">
      <c r="A308" t="s">
        <v>94</v>
      </c>
      <c r="B308" t="s">
        <v>103</v>
      </c>
      <c r="C308" t="s">
        <v>93</v>
      </c>
      <c r="D308" t="s">
        <v>79</v>
      </c>
      <c r="E308" t="s">
        <v>43</v>
      </c>
      <c r="F308" s="6">
        <v>0.35416666666666669</v>
      </c>
      <c r="G308">
        <v>14</v>
      </c>
      <c r="H308" s="6">
        <f>FLOOR(tblPivotData[[#This Row],[Time]],Summary!$B$6/1440)</f>
        <v>0.35416666666666663</v>
      </c>
      <c r="I308">
        <f>INDEX(PeakCalc!$L$10:$L$303,MATCH(tblPivotData[[#This Row],[Time]],PeakCalc!$G$10:$G$303,0))</f>
        <v>0</v>
      </c>
    </row>
    <row r="309" spans="1:9" x14ac:dyDescent="0.25">
      <c r="A309" t="s">
        <v>94</v>
      </c>
      <c r="B309" t="s">
        <v>103</v>
      </c>
      <c r="C309" t="s">
        <v>93</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25">
      <c r="A310" t="s">
        <v>94</v>
      </c>
      <c r="B310" t="s">
        <v>103</v>
      </c>
      <c r="C310" t="s">
        <v>93</v>
      </c>
      <c r="D310" t="s">
        <v>79</v>
      </c>
      <c r="E310" t="s">
        <v>91</v>
      </c>
      <c r="F310" s="6">
        <v>0.54166666666666663</v>
      </c>
      <c r="G310">
        <v>22</v>
      </c>
      <c r="H310" s="6">
        <f>FLOOR(tblPivotData[[#This Row],[Time]],Summary!$B$6/1440)</f>
        <v>0.54166666666666663</v>
      </c>
      <c r="I310">
        <f>INDEX(PeakCalc!$L$10:$L$303,MATCH(tblPivotData[[#This Row],[Time]],PeakCalc!$G$10:$G$303,0))</f>
        <v>1</v>
      </c>
    </row>
    <row r="311" spans="1:9" x14ac:dyDescent="0.25">
      <c r="A311" t="s">
        <v>94</v>
      </c>
      <c r="B311" t="s">
        <v>103</v>
      </c>
      <c r="C311" t="s">
        <v>93</v>
      </c>
      <c r="D311" t="s">
        <v>79</v>
      </c>
      <c r="E311" t="s">
        <v>91</v>
      </c>
      <c r="F311" s="6">
        <v>0.55208333333333337</v>
      </c>
      <c r="G311">
        <v>10</v>
      </c>
      <c r="H311" s="6">
        <f>FLOOR(tblPivotData[[#This Row],[Time]],Summary!$B$6/1440)</f>
        <v>0.55208333333333326</v>
      </c>
      <c r="I311">
        <f>INDEX(PeakCalc!$L$10:$L$303,MATCH(tblPivotData[[#This Row],[Time]],PeakCalc!$G$10:$G$303,0))</f>
        <v>1</v>
      </c>
    </row>
    <row r="312" spans="1:9" x14ac:dyDescent="0.25">
      <c r="A312" t="s">
        <v>94</v>
      </c>
      <c r="B312" t="s">
        <v>103</v>
      </c>
      <c r="C312" t="s">
        <v>93</v>
      </c>
      <c r="D312" t="s">
        <v>79</v>
      </c>
      <c r="E312" t="s">
        <v>91</v>
      </c>
      <c r="F312" s="6">
        <v>0.5625</v>
      </c>
      <c r="G312">
        <v>13</v>
      </c>
      <c r="H312" s="6">
        <f>FLOOR(tblPivotData[[#This Row],[Time]],Summary!$B$6/1440)</f>
        <v>0.5625</v>
      </c>
      <c r="I312">
        <f>INDEX(PeakCalc!$L$10:$L$303,MATCH(tblPivotData[[#This Row],[Time]],PeakCalc!$G$10:$G$303,0))</f>
        <v>1</v>
      </c>
    </row>
    <row r="313" spans="1:9" x14ac:dyDescent="0.25">
      <c r="A313" t="s">
        <v>94</v>
      </c>
      <c r="B313" t="s">
        <v>103</v>
      </c>
      <c r="C313" t="s">
        <v>93</v>
      </c>
      <c r="D313" t="s">
        <v>79</v>
      </c>
      <c r="E313" t="s">
        <v>91</v>
      </c>
      <c r="F313" s="6">
        <v>0.57291666666666663</v>
      </c>
      <c r="G313">
        <v>22</v>
      </c>
      <c r="H313" s="6">
        <f>FLOOR(tblPivotData[[#This Row],[Time]],Summary!$B$6/1440)</f>
        <v>0.57291666666666663</v>
      </c>
      <c r="I313">
        <f>INDEX(PeakCalc!$L$10:$L$303,MATCH(tblPivotData[[#This Row],[Time]],PeakCalc!$G$10:$G$303,0))</f>
        <v>1</v>
      </c>
    </row>
    <row r="314" spans="1:9" x14ac:dyDescent="0.25">
      <c r="A314" t="s">
        <v>94</v>
      </c>
      <c r="B314" t="s">
        <v>103</v>
      </c>
      <c r="C314" t="s">
        <v>93</v>
      </c>
      <c r="D314" t="s">
        <v>79</v>
      </c>
      <c r="E314" t="s">
        <v>44</v>
      </c>
      <c r="F314" s="6">
        <v>0.66666666666666663</v>
      </c>
      <c r="G314">
        <v>6</v>
      </c>
      <c r="H314" s="6">
        <f>FLOOR(tblPivotData[[#This Row],[Time]],Summary!$B$6/1440)</f>
        <v>0.66666666666666663</v>
      </c>
      <c r="I314">
        <f>INDEX(PeakCalc!$L$10:$L$303,MATCH(tblPivotData[[#This Row],[Time]],PeakCalc!$G$10:$G$303,0))</f>
        <v>0</v>
      </c>
    </row>
    <row r="315" spans="1:9" x14ac:dyDescent="0.25">
      <c r="A315" t="s">
        <v>94</v>
      </c>
      <c r="B315" t="s">
        <v>103</v>
      </c>
      <c r="C315" t="s">
        <v>93</v>
      </c>
      <c r="D315" t="s">
        <v>79</v>
      </c>
      <c r="E315" t="s">
        <v>44</v>
      </c>
      <c r="F315" s="6">
        <v>0.67708333333333337</v>
      </c>
      <c r="G315">
        <v>7</v>
      </c>
      <c r="H315" s="6">
        <f>FLOOR(tblPivotData[[#This Row],[Time]],Summary!$B$6/1440)</f>
        <v>0.67708333333333326</v>
      </c>
      <c r="I315">
        <f>INDEX(PeakCalc!$L$10:$L$303,MATCH(tblPivotData[[#This Row],[Time]],PeakCalc!$G$10:$G$303,0))</f>
        <v>0</v>
      </c>
    </row>
    <row r="316" spans="1:9" x14ac:dyDescent="0.25">
      <c r="A316" t="s">
        <v>94</v>
      </c>
      <c r="B316" t="s">
        <v>103</v>
      </c>
      <c r="C316" t="s">
        <v>93</v>
      </c>
      <c r="D316" t="s">
        <v>79</v>
      </c>
      <c r="E316" t="s">
        <v>44</v>
      </c>
      <c r="F316" s="6">
        <v>0.6875</v>
      </c>
      <c r="G316">
        <v>8</v>
      </c>
      <c r="H316" s="6">
        <f>FLOOR(tblPivotData[[#This Row],[Time]],Summary!$B$6/1440)</f>
        <v>0.6875</v>
      </c>
      <c r="I316">
        <f>INDEX(PeakCalc!$L$10:$L$303,MATCH(tblPivotData[[#This Row],[Time]],PeakCalc!$G$10:$G$303,0))</f>
        <v>1</v>
      </c>
    </row>
    <row r="317" spans="1:9" x14ac:dyDescent="0.25">
      <c r="A317" t="s">
        <v>94</v>
      </c>
      <c r="B317" t="s">
        <v>103</v>
      </c>
      <c r="C317" t="s">
        <v>93</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25">
      <c r="A318" t="s">
        <v>94</v>
      </c>
      <c r="B318" t="s">
        <v>103</v>
      </c>
      <c r="C318" t="s">
        <v>93</v>
      </c>
      <c r="D318" t="s">
        <v>79</v>
      </c>
      <c r="E318" t="s">
        <v>44</v>
      </c>
      <c r="F318" s="6">
        <v>0.70833333333333337</v>
      </c>
      <c r="G318">
        <v>7</v>
      </c>
      <c r="H318" s="6">
        <f>FLOOR(tblPivotData[[#This Row],[Time]],Summary!$B$6/1440)</f>
        <v>0.70833333333333326</v>
      </c>
      <c r="I318">
        <f>INDEX(PeakCalc!$L$10:$L$303,MATCH(tblPivotData[[#This Row],[Time]],PeakCalc!$G$10:$G$303,0))</f>
        <v>1</v>
      </c>
    </row>
    <row r="319" spans="1:9" x14ac:dyDescent="0.25">
      <c r="A319" t="s">
        <v>94</v>
      </c>
      <c r="B319" t="s">
        <v>103</v>
      </c>
      <c r="C319" t="s">
        <v>93</v>
      </c>
      <c r="D319" t="s">
        <v>79</v>
      </c>
      <c r="E319" t="s">
        <v>44</v>
      </c>
      <c r="F319" s="6">
        <v>0.71875</v>
      </c>
      <c r="G319">
        <v>8</v>
      </c>
      <c r="H319" s="6">
        <f>FLOOR(tblPivotData[[#This Row],[Time]],Summary!$B$6/1440)</f>
        <v>0.71875</v>
      </c>
      <c r="I319">
        <f>INDEX(PeakCalc!$L$10:$L$303,MATCH(tblPivotData[[#This Row],[Time]],PeakCalc!$G$10:$G$303,0))</f>
        <v>1</v>
      </c>
    </row>
    <row r="320" spans="1:9" x14ac:dyDescent="0.25">
      <c r="A320" t="s">
        <v>94</v>
      </c>
      <c r="B320" t="s">
        <v>103</v>
      </c>
      <c r="C320" t="s">
        <v>93</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94</v>
      </c>
      <c r="B321" t="s">
        <v>103</v>
      </c>
      <c r="C321" t="s">
        <v>93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94</v>
      </c>
      <c r="B322" t="s">
        <v>103</v>
      </c>
      <c r="C322" t="s">
        <v>93</v>
      </c>
      <c r="D322" t="s">
        <v>89</v>
      </c>
      <c r="E322" t="s">
        <v>43</v>
      </c>
      <c r="F322" s="6">
        <v>0.29166666666666669</v>
      </c>
      <c r="G322">
        <v>1</v>
      </c>
      <c r="H322" s="6">
        <f>FLOOR(tblPivotData[[#This Row],[Time]],Summary!$B$6/1440)</f>
        <v>0.29166666666666663</v>
      </c>
      <c r="I322">
        <f>INDEX(PeakCalc!$L$10:$L$303,MATCH(tblPivotData[[#This Row],[Time]],PeakCalc!$G$10:$G$303,0))</f>
        <v>1</v>
      </c>
    </row>
    <row r="323" spans="1:9" x14ac:dyDescent="0.25">
      <c r="A323" t="s">
        <v>94</v>
      </c>
      <c r="B323" t="s">
        <v>103</v>
      </c>
      <c r="C323" t="s">
        <v>93</v>
      </c>
      <c r="D323" t="s">
        <v>89</v>
      </c>
      <c r="E323" t="s">
        <v>43</v>
      </c>
      <c r="F323" s="6">
        <v>0.30208333333333331</v>
      </c>
      <c r="G323">
        <v>1</v>
      </c>
      <c r="H323" s="6">
        <f>FLOOR(tblPivotData[[#This Row],[Time]],Summary!$B$6/1440)</f>
        <v>0.30208333333333331</v>
      </c>
      <c r="I323">
        <f>INDEX(PeakCalc!$L$10:$L$303,MATCH(tblPivotData[[#This Row],[Time]],PeakCalc!$G$10:$G$303,0))</f>
        <v>1</v>
      </c>
    </row>
    <row r="324" spans="1:9" x14ac:dyDescent="0.25">
      <c r="A324" t="s">
        <v>94</v>
      </c>
      <c r="B324" t="s">
        <v>103</v>
      </c>
      <c r="C324" t="s">
        <v>93</v>
      </c>
      <c r="D324" t="s">
        <v>89</v>
      </c>
      <c r="E324" t="s">
        <v>43</v>
      </c>
      <c r="F324" s="6">
        <v>0.3125</v>
      </c>
      <c r="G324">
        <v>1</v>
      </c>
      <c r="H324" s="6">
        <f>FLOOR(tblPivotData[[#This Row],[Time]],Summary!$B$6/1440)</f>
        <v>0.3125</v>
      </c>
      <c r="I324">
        <f>INDEX(PeakCalc!$L$10:$L$303,MATCH(tblPivotData[[#This Row],[Time]],PeakCalc!$G$10:$G$303,0))</f>
        <v>1</v>
      </c>
    </row>
    <row r="325" spans="1:9" x14ac:dyDescent="0.25">
      <c r="A325" t="s">
        <v>94</v>
      </c>
      <c r="B325" t="s">
        <v>103</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94</v>
      </c>
      <c r="B326" t="s">
        <v>103</v>
      </c>
      <c r="C326" t="s">
        <v>93</v>
      </c>
      <c r="D326" t="s">
        <v>89</v>
      </c>
      <c r="E326" t="s">
        <v>43</v>
      </c>
      <c r="F326" s="6">
        <v>0.33333333333333331</v>
      </c>
      <c r="G326">
        <v>0</v>
      </c>
      <c r="H326" s="6">
        <f>FLOOR(tblPivotData[[#This Row],[Time]],Summary!$B$6/1440)</f>
        <v>0.33333333333333331</v>
      </c>
      <c r="I326">
        <f>INDEX(PeakCalc!$L$10:$L$303,MATCH(tblPivotData[[#This Row],[Time]],PeakCalc!$G$10:$G$303,0))</f>
        <v>0</v>
      </c>
    </row>
    <row r="327" spans="1:9" x14ac:dyDescent="0.25">
      <c r="A327" t="s">
        <v>94</v>
      </c>
      <c r="B327" t="s">
        <v>103</v>
      </c>
      <c r="C327" t="s">
        <v>93</v>
      </c>
      <c r="D327" t="s">
        <v>89</v>
      </c>
      <c r="E327" t="s">
        <v>43</v>
      </c>
      <c r="F327" s="6">
        <v>0.34375</v>
      </c>
      <c r="G327">
        <v>2</v>
      </c>
      <c r="H327" s="6">
        <f>FLOOR(tblPivotData[[#This Row],[Time]],Summary!$B$6/1440)</f>
        <v>0.34375</v>
      </c>
      <c r="I327">
        <f>INDEX(PeakCalc!$L$10:$L$303,MATCH(tblPivotData[[#This Row],[Time]],PeakCalc!$G$10:$G$303,0))</f>
        <v>0</v>
      </c>
    </row>
    <row r="328" spans="1:9" x14ac:dyDescent="0.25">
      <c r="A328" t="s">
        <v>94</v>
      </c>
      <c r="B328" t="s">
        <v>103</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103</v>
      </c>
      <c r="C329" t="s">
        <v>93</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94</v>
      </c>
      <c r="B330" t="s">
        <v>103</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103</v>
      </c>
      <c r="C331" t="s">
        <v>93</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94</v>
      </c>
      <c r="B332" t="s">
        <v>103</v>
      </c>
      <c r="C332" t="s">
        <v>93</v>
      </c>
      <c r="D332" t="s">
        <v>89</v>
      </c>
      <c r="E332" t="s">
        <v>91</v>
      </c>
      <c r="F332" s="6">
        <v>0.5625</v>
      </c>
      <c r="G332">
        <v>2</v>
      </c>
      <c r="H332" s="6">
        <f>FLOOR(tblPivotData[[#This Row],[Time]],Summary!$B$6/1440)</f>
        <v>0.5625</v>
      </c>
      <c r="I332">
        <f>INDEX(PeakCalc!$L$10:$L$303,MATCH(tblPivotData[[#This Row],[Time]],PeakCalc!$G$10:$G$303,0))</f>
        <v>1</v>
      </c>
    </row>
    <row r="333" spans="1:9" x14ac:dyDescent="0.25">
      <c r="A333" t="s">
        <v>94</v>
      </c>
      <c r="B333" t="s">
        <v>103</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103</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103</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103</v>
      </c>
      <c r="C336" t="s">
        <v>93</v>
      </c>
      <c r="D336" t="s">
        <v>89</v>
      </c>
      <c r="E336" t="s">
        <v>44</v>
      </c>
      <c r="F336" s="6">
        <v>0.6875</v>
      </c>
      <c r="G336">
        <v>1</v>
      </c>
      <c r="H336" s="6">
        <f>FLOOR(tblPivotData[[#This Row],[Time]],Summary!$B$6/1440)</f>
        <v>0.6875</v>
      </c>
      <c r="I336">
        <f>INDEX(PeakCalc!$L$10:$L$303,MATCH(tblPivotData[[#This Row],[Time]],PeakCalc!$G$10:$G$303,0))</f>
        <v>1</v>
      </c>
    </row>
    <row r="337" spans="1:9" x14ac:dyDescent="0.25">
      <c r="A337" t="s">
        <v>94</v>
      </c>
      <c r="B337" t="s">
        <v>103</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103</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103</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103</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103</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103</v>
      </c>
      <c r="C342" t="s">
        <v>93</v>
      </c>
      <c r="D342" t="s">
        <v>90</v>
      </c>
      <c r="E342" t="s">
        <v>43</v>
      </c>
      <c r="F342" s="6">
        <v>0.29166666666666669</v>
      </c>
      <c r="G342">
        <v>0</v>
      </c>
      <c r="H342" s="6">
        <f>FLOOR(tblPivotData[[#This Row],[Time]],Summary!$B$6/1440)</f>
        <v>0.29166666666666663</v>
      </c>
      <c r="I342">
        <f>INDEX(PeakCalc!$L$10:$L$303,MATCH(tblPivotData[[#This Row],[Time]],PeakCalc!$G$10:$G$303,0))</f>
        <v>1</v>
      </c>
    </row>
    <row r="343" spans="1:9" x14ac:dyDescent="0.25">
      <c r="A343" t="s">
        <v>94</v>
      </c>
      <c r="B343" t="s">
        <v>103</v>
      </c>
      <c r="C343" t="s">
        <v>93</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94</v>
      </c>
      <c r="B344" t="s">
        <v>103</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103</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103</v>
      </c>
      <c r="C346" t="s">
        <v>93</v>
      </c>
      <c r="D346" t="s">
        <v>90</v>
      </c>
      <c r="E346" t="s">
        <v>43</v>
      </c>
      <c r="F346" s="6">
        <v>0.33333333333333331</v>
      </c>
      <c r="G346">
        <v>0</v>
      </c>
      <c r="H346" s="6">
        <f>FLOOR(tblPivotData[[#This Row],[Time]],Summary!$B$6/1440)</f>
        <v>0.33333333333333331</v>
      </c>
      <c r="I346">
        <f>INDEX(PeakCalc!$L$10:$L$303,MATCH(tblPivotData[[#This Row],[Time]],PeakCalc!$G$10:$G$303,0))</f>
        <v>0</v>
      </c>
    </row>
    <row r="347" spans="1:9" x14ac:dyDescent="0.25">
      <c r="A347" t="s">
        <v>94</v>
      </c>
      <c r="B347" t="s">
        <v>103</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103</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103</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103</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103</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103</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103</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103</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103</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103</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103</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103</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103</v>
      </c>
      <c r="C359" t="s">
        <v>93</v>
      </c>
      <c r="D359" t="s">
        <v>90</v>
      </c>
      <c r="E359" t="s">
        <v>44</v>
      </c>
      <c r="F359" s="6">
        <v>0.71875</v>
      </c>
      <c r="G359">
        <v>0</v>
      </c>
      <c r="H359" s="6">
        <f>FLOOR(tblPivotData[[#This Row],[Time]],Summary!$B$6/1440)</f>
        <v>0.71875</v>
      </c>
      <c r="I359">
        <f>INDEX(PeakCalc!$L$10:$L$303,MATCH(tblPivotData[[#This Row],[Time]],PeakCalc!$G$10:$G$303,0))</f>
        <v>1</v>
      </c>
    </row>
    <row r="360" spans="1:9" x14ac:dyDescent="0.25">
      <c r="A360" t="s">
        <v>94</v>
      </c>
      <c r="B360" t="s">
        <v>103</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103</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104</v>
      </c>
      <c r="C362" t="s">
        <v>96</v>
      </c>
      <c r="D362" t="s">
        <v>79</v>
      </c>
      <c r="E362" t="s">
        <v>43</v>
      </c>
      <c r="F362" s="6">
        <v>0.29166666666666669</v>
      </c>
      <c r="G362">
        <v>28</v>
      </c>
      <c r="H362" s="6">
        <f>FLOOR(tblPivotData[[#This Row],[Time]],Summary!$B$6/1440)</f>
        <v>0.29166666666666663</v>
      </c>
      <c r="I362">
        <f>INDEX(PeakCalc!$L$10:$L$303,MATCH(tblPivotData[[#This Row],[Time]],PeakCalc!$G$10:$G$303,0))</f>
        <v>1</v>
      </c>
    </row>
    <row r="363" spans="1:9" x14ac:dyDescent="0.25">
      <c r="A363" t="s">
        <v>95</v>
      </c>
      <c r="B363" t="s">
        <v>104</v>
      </c>
      <c r="C363" t="s">
        <v>96</v>
      </c>
      <c r="D363" t="s">
        <v>79</v>
      </c>
      <c r="E363" t="s">
        <v>43</v>
      </c>
      <c r="F363" s="6">
        <v>0.30208333333333331</v>
      </c>
      <c r="G363">
        <v>22</v>
      </c>
      <c r="H363" s="6">
        <f>FLOOR(tblPivotData[[#This Row],[Time]],Summary!$B$6/1440)</f>
        <v>0.30208333333333331</v>
      </c>
      <c r="I363">
        <f>INDEX(PeakCalc!$L$10:$L$303,MATCH(tblPivotData[[#This Row],[Time]],PeakCalc!$G$10:$G$303,0))</f>
        <v>1</v>
      </c>
    </row>
    <row r="364" spans="1:9" x14ac:dyDescent="0.25">
      <c r="A364" t="s">
        <v>95</v>
      </c>
      <c r="B364" t="s">
        <v>104</v>
      </c>
      <c r="C364" t="s">
        <v>96</v>
      </c>
      <c r="D364" t="s">
        <v>79</v>
      </c>
      <c r="E364" t="s">
        <v>43</v>
      </c>
      <c r="F364" s="6">
        <v>0.3125</v>
      </c>
      <c r="G364">
        <v>19</v>
      </c>
      <c r="H364" s="6">
        <f>FLOOR(tblPivotData[[#This Row],[Time]],Summary!$B$6/1440)</f>
        <v>0.3125</v>
      </c>
      <c r="I364">
        <f>INDEX(PeakCalc!$L$10:$L$303,MATCH(tblPivotData[[#This Row],[Time]],PeakCalc!$G$10:$G$303,0))</f>
        <v>1</v>
      </c>
    </row>
    <row r="365" spans="1:9" x14ac:dyDescent="0.25">
      <c r="A365" t="s">
        <v>95</v>
      </c>
      <c r="B365" t="s">
        <v>104</v>
      </c>
      <c r="C365" t="s">
        <v>96</v>
      </c>
      <c r="D365" t="s">
        <v>79</v>
      </c>
      <c r="E365" t="s">
        <v>43</v>
      </c>
      <c r="F365" s="6">
        <v>0.32291666666666669</v>
      </c>
      <c r="G365">
        <v>20</v>
      </c>
      <c r="H365" s="6">
        <f>FLOOR(tblPivotData[[#This Row],[Time]],Summary!$B$6/1440)</f>
        <v>0.32291666666666663</v>
      </c>
      <c r="I365">
        <f>INDEX(PeakCalc!$L$10:$L$303,MATCH(tblPivotData[[#This Row],[Time]],PeakCalc!$G$10:$G$303,0))</f>
        <v>1</v>
      </c>
    </row>
    <row r="366" spans="1:9" x14ac:dyDescent="0.25">
      <c r="A366" t="s">
        <v>95</v>
      </c>
      <c r="B366" t="s">
        <v>104</v>
      </c>
      <c r="C366" t="s">
        <v>96</v>
      </c>
      <c r="D366" t="s">
        <v>79</v>
      </c>
      <c r="E366" t="s">
        <v>43</v>
      </c>
      <c r="F366" s="6">
        <v>0.33333333333333331</v>
      </c>
      <c r="G366">
        <v>20</v>
      </c>
      <c r="H366" s="6">
        <f>FLOOR(tblPivotData[[#This Row],[Time]],Summary!$B$6/1440)</f>
        <v>0.33333333333333331</v>
      </c>
      <c r="I366">
        <f>INDEX(PeakCalc!$L$10:$L$303,MATCH(tblPivotData[[#This Row],[Time]],PeakCalc!$G$10:$G$303,0))</f>
        <v>0</v>
      </c>
    </row>
    <row r="367" spans="1:9" x14ac:dyDescent="0.25">
      <c r="A367" t="s">
        <v>95</v>
      </c>
      <c r="B367" t="s">
        <v>104</v>
      </c>
      <c r="C367" t="s">
        <v>96</v>
      </c>
      <c r="D367" t="s">
        <v>79</v>
      </c>
      <c r="E367" t="s">
        <v>43</v>
      </c>
      <c r="F367" s="6">
        <v>0.34375</v>
      </c>
      <c r="G367">
        <v>23</v>
      </c>
      <c r="H367" s="6">
        <f>FLOOR(tblPivotData[[#This Row],[Time]],Summary!$B$6/1440)</f>
        <v>0.34375</v>
      </c>
      <c r="I367">
        <f>INDEX(PeakCalc!$L$10:$L$303,MATCH(tblPivotData[[#This Row],[Time]],PeakCalc!$G$10:$G$303,0))</f>
        <v>0</v>
      </c>
    </row>
    <row r="368" spans="1:9" x14ac:dyDescent="0.25">
      <c r="A368" t="s">
        <v>95</v>
      </c>
      <c r="B368" t="s">
        <v>104</v>
      </c>
      <c r="C368" t="s">
        <v>96</v>
      </c>
      <c r="D368" t="s">
        <v>79</v>
      </c>
      <c r="E368" t="s">
        <v>43</v>
      </c>
      <c r="F368" s="6">
        <v>0.35416666666666669</v>
      </c>
      <c r="G368">
        <v>19</v>
      </c>
      <c r="H368" s="6">
        <f>FLOOR(tblPivotData[[#This Row],[Time]],Summary!$B$6/1440)</f>
        <v>0.35416666666666663</v>
      </c>
      <c r="I368">
        <f>INDEX(PeakCalc!$L$10:$L$303,MATCH(tblPivotData[[#This Row],[Time]],PeakCalc!$G$10:$G$303,0))</f>
        <v>0</v>
      </c>
    </row>
    <row r="369" spans="1:9" x14ac:dyDescent="0.25">
      <c r="A369" t="s">
        <v>95</v>
      </c>
      <c r="B369" t="s">
        <v>104</v>
      </c>
      <c r="C369" t="s">
        <v>96</v>
      </c>
      <c r="D369" t="s">
        <v>79</v>
      </c>
      <c r="E369" t="s">
        <v>43</v>
      </c>
      <c r="F369" s="6">
        <v>0.36458333333333331</v>
      </c>
      <c r="G369">
        <v>24</v>
      </c>
      <c r="H369" s="6">
        <f>FLOOR(tblPivotData[[#This Row],[Time]],Summary!$B$6/1440)</f>
        <v>0.36458333333333331</v>
      </c>
      <c r="I369">
        <f>INDEX(PeakCalc!$L$10:$L$303,MATCH(tblPivotData[[#This Row],[Time]],PeakCalc!$G$10:$G$303,0))</f>
        <v>0</v>
      </c>
    </row>
    <row r="370" spans="1:9" x14ac:dyDescent="0.25">
      <c r="A370" t="s">
        <v>95</v>
      </c>
      <c r="B370" t="s">
        <v>104</v>
      </c>
      <c r="C370" t="s">
        <v>96</v>
      </c>
      <c r="D370" t="s">
        <v>79</v>
      </c>
      <c r="E370" t="s">
        <v>91</v>
      </c>
      <c r="F370" s="6">
        <v>0.54166666666666663</v>
      </c>
      <c r="G370">
        <v>13</v>
      </c>
      <c r="H370" s="6">
        <f>FLOOR(tblPivotData[[#This Row],[Time]],Summary!$B$6/1440)</f>
        <v>0.54166666666666663</v>
      </c>
      <c r="I370">
        <f>INDEX(PeakCalc!$L$10:$L$303,MATCH(tblPivotData[[#This Row],[Time]],PeakCalc!$G$10:$G$303,0))</f>
        <v>1</v>
      </c>
    </row>
    <row r="371" spans="1:9" x14ac:dyDescent="0.25">
      <c r="A371" t="s">
        <v>95</v>
      </c>
      <c r="B371" t="s">
        <v>104</v>
      </c>
      <c r="C371" t="s">
        <v>96</v>
      </c>
      <c r="D371" t="s">
        <v>79</v>
      </c>
      <c r="E371" t="s">
        <v>91</v>
      </c>
      <c r="F371" s="6">
        <v>0.55208333333333337</v>
      </c>
      <c r="G371">
        <v>10</v>
      </c>
      <c r="H371" s="6">
        <f>FLOOR(tblPivotData[[#This Row],[Time]],Summary!$B$6/1440)</f>
        <v>0.55208333333333326</v>
      </c>
      <c r="I371">
        <f>INDEX(PeakCalc!$L$10:$L$303,MATCH(tblPivotData[[#This Row],[Time]],PeakCalc!$G$10:$G$303,0))</f>
        <v>1</v>
      </c>
    </row>
    <row r="372" spans="1:9" x14ac:dyDescent="0.25">
      <c r="A372" t="s">
        <v>95</v>
      </c>
      <c r="B372" t="s">
        <v>104</v>
      </c>
      <c r="C372" t="s">
        <v>96</v>
      </c>
      <c r="D372" t="s">
        <v>79</v>
      </c>
      <c r="E372" t="s">
        <v>91</v>
      </c>
      <c r="F372" s="6">
        <v>0.5625</v>
      </c>
      <c r="G372">
        <v>13</v>
      </c>
      <c r="H372" s="6">
        <f>FLOOR(tblPivotData[[#This Row],[Time]],Summary!$B$6/1440)</f>
        <v>0.5625</v>
      </c>
      <c r="I372">
        <f>INDEX(PeakCalc!$L$10:$L$303,MATCH(tblPivotData[[#This Row],[Time]],PeakCalc!$G$10:$G$303,0))</f>
        <v>1</v>
      </c>
    </row>
    <row r="373" spans="1:9" x14ac:dyDescent="0.25">
      <c r="A373" t="s">
        <v>95</v>
      </c>
      <c r="B373" t="s">
        <v>104</v>
      </c>
      <c r="C373" t="s">
        <v>96</v>
      </c>
      <c r="D373" t="s">
        <v>79</v>
      </c>
      <c r="E373" t="s">
        <v>91</v>
      </c>
      <c r="F373" s="6">
        <v>0.57291666666666663</v>
      </c>
      <c r="G373">
        <v>6</v>
      </c>
      <c r="H373" s="6">
        <f>FLOOR(tblPivotData[[#This Row],[Time]],Summary!$B$6/1440)</f>
        <v>0.57291666666666663</v>
      </c>
      <c r="I373">
        <f>INDEX(PeakCalc!$L$10:$L$303,MATCH(tblPivotData[[#This Row],[Time]],PeakCalc!$G$10:$G$303,0))</f>
        <v>1</v>
      </c>
    </row>
    <row r="374" spans="1:9" x14ac:dyDescent="0.25">
      <c r="A374" t="s">
        <v>95</v>
      </c>
      <c r="B374" t="s">
        <v>104</v>
      </c>
      <c r="C374" t="s">
        <v>96</v>
      </c>
      <c r="D374" t="s">
        <v>79</v>
      </c>
      <c r="E374" t="s">
        <v>44</v>
      </c>
      <c r="F374" s="6">
        <v>0.66666666666666663</v>
      </c>
      <c r="G374">
        <v>28</v>
      </c>
      <c r="H374" s="6">
        <f>FLOOR(tblPivotData[[#This Row],[Time]],Summary!$B$6/1440)</f>
        <v>0.66666666666666663</v>
      </c>
      <c r="I374">
        <f>INDEX(PeakCalc!$L$10:$L$303,MATCH(tblPivotData[[#This Row],[Time]],PeakCalc!$G$10:$G$303,0))</f>
        <v>0</v>
      </c>
    </row>
    <row r="375" spans="1:9" x14ac:dyDescent="0.25">
      <c r="A375" t="s">
        <v>95</v>
      </c>
      <c r="B375" t="s">
        <v>104</v>
      </c>
      <c r="C375" t="s">
        <v>96</v>
      </c>
      <c r="D375" t="s">
        <v>79</v>
      </c>
      <c r="E375" t="s">
        <v>44</v>
      </c>
      <c r="F375" s="6">
        <v>0.67708333333333337</v>
      </c>
      <c r="G375">
        <v>32</v>
      </c>
      <c r="H375" s="6">
        <f>FLOOR(tblPivotData[[#This Row],[Time]],Summary!$B$6/1440)</f>
        <v>0.67708333333333326</v>
      </c>
      <c r="I375">
        <f>INDEX(PeakCalc!$L$10:$L$303,MATCH(tblPivotData[[#This Row],[Time]],PeakCalc!$G$10:$G$303,0))</f>
        <v>0</v>
      </c>
    </row>
    <row r="376" spans="1:9" x14ac:dyDescent="0.25">
      <c r="A376" t="s">
        <v>95</v>
      </c>
      <c r="B376" t="s">
        <v>104</v>
      </c>
      <c r="C376" t="s">
        <v>96</v>
      </c>
      <c r="D376" t="s">
        <v>79</v>
      </c>
      <c r="E376" t="s">
        <v>44</v>
      </c>
      <c r="F376" s="6">
        <v>0.6875</v>
      </c>
      <c r="G376">
        <v>27</v>
      </c>
      <c r="H376" s="6">
        <f>FLOOR(tblPivotData[[#This Row],[Time]],Summary!$B$6/1440)</f>
        <v>0.6875</v>
      </c>
      <c r="I376">
        <f>INDEX(PeakCalc!$L$10:$L$303,MATCH(tblPivotData[[#This Row],[Time]],PeakCalc!$G$10:$G$303,0))</f>
        <v>1</v>
      </c>
    </row>
    <row r="377" spans="1:9" x14ac:dyDescent="0.25">
      <c r="A377" t="s">
        <v>95</v>
      </c>
      <c r="B377" t="s">
        <v>104</v>
      </c>
      <c r="C377" t="s">
        <v>96</v>
      </c>
      <c r="D377" t="s">
        <v>79</v>
      </c>
      <c r="E377" t="s">
        <v>44</v>
      </c>
      <c r="F377" s="6">
        <v>0.69791666666666663</v>
      </c>
      <c r="G377">
        <v>27</v>
      </c>
      <c r="H377" s="6">
        <f>FLOOR(tblPivotData[[#This Row],[Time]],Summary!$B$6/1440)</f>
        <v>0.69791666666666663</v>
      </c>
      <c r="I377">
        <f>INDEX(PeakCalc!$L$10:$L$303,MATCH(tblPivotData[[#This Row],[Time]],PeakCalc!$G$10:$G$303,0))</f>
        <v>1</v>
      </c>
    </row>
    <row r="378" spans="1:9" x14ac:dyDescent="0.25">
      <c r="A378" t="s">
        <v>95</v>
      </c>
      <c r="B378" t="s">
        <v>104</v>
      </c>
      <c r="C378" t="s">
        <v>96</v>
      </c>
      <c r="D378" t="s">
        <v>79</v>
      </c>
      <c r="E378" t="s">
        <v>44</v>
      </c>
      <c r="F378" s="6">
        <v>0.70833333333333337</v>
      </c>
      <c r="G378">
        <v>31</v>
      </c>
      <c r="H378" s="6">
        <f>FLOOR(tblPivotData[[#This Row],[Time]],Summary!$B$6/1440)</f>
        <v>0.70833333333333326</v>
      </c>
      <c r="I378">
        <f>INDEX(PeakCalc!$L$10:$L$303,MATCH(tblPivotData[[#This Row],[Time]],PeakCalc!$G$10:$G$303,0))</f>
        <v>1</v>
      </c>
    </row>
    <row r="379" spans="1:9" x14ac:dyDescent="0.25">
      <c r="A379" t="s">
        <v>95</v>
      </c>
      <c r="B379" t="s">
        <v>104</v>
      </c>
      <c r="C379" t="s">
        <v>96</v>
      </c>
      <c r="D379" t="s">
        <v>79</v>
      </c>
      <c r="E379" t="s">
        <v>44</v>
      </c>
      <c r="F379" s="6">
        <v>0.71875</v>
      </c>
      <c r="G379">
        <v>31</v>
      </c>
      <c r="H379" s="6">
        <f>FLOOR(tblPivotData[[#This Row],[Time]],Summary!$B$6/1440)</f>
        <v>0.71875</v>
      </c>
      <c r="I379">
        <f>INDEX(PeakCalc!$L$10:$L$303,MATCH(tblPivotData[[#This Row],[Time]],PeakCalc!$G$10:$G$303,0))</f>
        <v>1</v>
      </c>
    </row>
    <row r="380" spans="1:9" x14ac:dyDescent="0.25">
      <c r="A380" t="s">
        <v>95</v>
      </c>
      <c r="B380" t="s">
        <v>104</v>
      </c>
      <c r="C380" t="s">
        <v>96</v>
      </c>
      <c r="D380" t="s">
        <v>79</v>
      </c>
      <c r="E380" t="s">
        <v>44</v>
      </c>
      <c r="F380" s="6">
        <v>0.72916666666666663</v>
      </c>
      <c r="G380">
        <v>21</v>
      </c>
      <c r="H380" s="6">
        <f>FLOOR(tblPivotData[[#This Row],[Time]],Summary!$B$6/1440)</f>
        <v>0.72916666666666663</v>
      </c>
      <c r="I380">
        <f>INDEX(PeakCalc!$L$10:$L$303,MATCH(tblPivotData[[#This Row],[Time]],PeakCalc!$G$10:$G$303,0))</f>
        <v>0</v>
      </c>
    </row>
    <row r="381" spans="1:9" x14ac:dyDescent="0.25">
      <c r="A381" t="s">
        <v>95</v>
      </c>
      <c r="B381" t="s">
        <v>104</v>
      </c>
      <c r="C381" t="s">
        <v>96</v>
      </c>
      <c r="D381" t="s">
        <v>79</v>
      </c>
      <c r="E381" t="s">
        <v>44</v>
      </c>
      <c r="F381" s="6">
        <v>0.73958333333333337</v>
      </c>
      <c r="G381">
        <v>17</v>
      </c>
      <c r="H381" s="6">
        <f>FLOOR(tblPivotData[[#This Row],[Time]],Summary!$B$6/1440)</f>
        <v>0.73958333333333326</v>
      </c>
      <c r="I381">
        <f>INDEX(PeakCalc!$L$10:$L$303,MATCH(tblPivotData[[#This Row],[Time]],PeakCalc!$G$10:$G$303,0))</f>
        <v>0</v>
      </c>
    </row>
    <row r="382" spans="1:9" x14ac:dyDescent="0.25">
      <c r="A382" t="s">
        <v>95</v>
      </c>
      <c r="B382" t="s">
        <v>104</v>
      </c>
      <c r="C382" t="s">
        <v>96</v>
      </c>
      <c r="D382" t="s">
        <v>89</v>
      </c>
      <c r="E382" t="s">
        <v>43</v>
      </c>
      <c r="F382" s="6">
        <v>0.29166666666666669</v>
      </c>
      <c r="G382">
        <v>1</v>
      </c>
      <c r="H382" s="6">
        <f>FLOOR(tblPivotData[[#This Row],[Time]],Summary!$B$6/1440)</f>
        <v>0.29166666666666663</v>
      </c>
      <c r="I382">
        <f>INDEX(PeakCalc!$L$10:$L$303,MATCH(tblPivotData[[#This Row],[Time]],PeakCalc!$G$10:$G$303,0))</f>
        <v>1</v>
      </c>
    </row>
    <row r="383" spans="1:9" x14ac:dyDescent="0.25">
      <c r="A383" t="s">
        <v>95</v>
      </c>
      <c r="B383" t="s">
        <v>104</v>
      </c>
      <c r="C383" t="s">
        <v>96</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95</v>
      </c>
      <c r="B384" t="s">
        <v>104</v>
      </c>
      <c r="C384" t="s">
        <v>96</v>
      </c>
      <c r="D384" t="s">
        <v>89</v>
      </c>
      <c r="E384" t="s">
        <v>43</v>
      </c>
      <c r="F384" s="6">
        <v>0.3125</v>
      </c>
      <c r="G384">
        <v>0</v>
      </c>
      <c r="H384" s="6">
        <f>FLOOR(tblPivotData[[#This Row],[Time]],Summary!$B$6/1440)</f>
        <v>0.3125</v>
      </c>
      <c r="I384">
        <f>INDEX(PeakCalc!$L$10:$L$303,MATCH(tblPivotData[[#This Row],[Time]],PeakCalc!$G$10:$G$303,0))</f>
        <v>1</v>
      </c>
    </row>
    <row r="385" spans="1:9" x14ac:dyDescent="0.25">
      <c r="A385" t="s">
        <v>95</v>
      </c>
      <c r="B385" t="s">
        <v>104</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104</v>
      </c>
      <c r="C386" t="s">
        <v>96</v>
      </c>
      <c r="D386" t="s">
        <v>89</v>
      </c>
      <c r="E386" t="s">
        <v>43</v>
      </c>
      <c r="F386" s="6">
        <v>0.33333333333333331</v>
      </c>
      <c r="G386">
        <v>2</v>
      </c>
      <c r="H386" s="6">
        <f>FLOOR(tblPivotData[[#This Row],[Time]],Summary!$B$6/1440)</f>
        <v>0.33333333333333331</v>
      </c>
      <c r="I386">
        <f>INDEX(PeakCalc!$L$10:$L$303,MATCH(tblPivotData[[#This Row],[Time]],PeakCalc!$G$10:$G$303,0))</f>
        <v>0</v>
      </c>
    </row>
    <row r="387" spans="1:9" x14ac:dyDescent="0.25">
      <c r="A387" t="s">
        <v>95</v>
      </c>
      <c r="B387" t="s">
        <v>104</v>
      </c>
      <c r="C387" t="s">
        <v>96</v>
      </c>
      <c r="D387" t="s">
        <v>89</v>
      </c>
      <c r="E387" t="s">
        <v>43</v>
      </c>
      <c r="F387" s="6">
        <v>0.34375</v>
      </c>
      <c r="G387">
        <v>1</v>
      </c>
      <c r="H387" s="6">
        <f>FLOOR(tblPivotData[[#This Row],[Time]],Summary!$B$6/1440)</f>
        <v>0.34375</v>
      </c>
      <c r="I387">
        <f>INDEX(PeakCalc!$L$10:$L$303,MATCH(tblPivotData[[#This Row],[Time]],PeakCalc!$G$10:$G$303,0))</f>
        <v>0</v>
      </c>
    </row>
    <row r="388" spans="1:9" x14ac:dyDescent="0.25">
      <c r="A388" t="s">
        <v>95</v>
      </c>
      <c r="B388" t="s">
        <v>104</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104</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104</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104</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104</v>
      </c>
      <c r="C392" t="s">
        <v>96</v>
      </c>
      <c r="D392" t="s">
        <v>89</v>
      </c>
      <c r="E392" t="s">
        <v>91</v>
      </c>
      <c r="F392" s="6">
        <v>0.5625</v>
      </c>
      <c r="G392">
        <v>1</v>
      </c>
      <c r="H392" s="6">
        <f>FLOOR(tblPivotData[[#This Row],[Time]],Summary!$B$6/1440)</f>
        <v>0.5625</v>
      </c>
      <c r="I392">
        <f>INDEX(PeakCalc!$L$10:$L$303,MATCH(tblPivotData[[#This Row],[Time]],PeakCalc!$G$10:$G$303,0))</f>
        <v>1</v>
      </c>
    </row>
    <row r="393" spans="1:9" x14ac:dyDescent="0.25">
      <c r="A393" t="s">
        <v>95</v>
      </c>
      <c r="B393" t="s">
        <v>104</v>
      </c>
      <c r="C393" t="s">
        <v>96</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104</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104</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104</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104</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104</v>
      </c>
      <c r="C398" t="s">
        <v>96</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104</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104</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104</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104</v>
      </c>
      <c r="C402" t="s">
        <v>96</v>
      </c>
      <c r="D402" t="s">
        <v>90</v>
      </c>
      <c r="E402" t="s">
        <v>43</v>
      </c>
      <c r="F402" s="6">
        <v>0.29166666666666669</v>
      </c>
      <c r="G402">
        <v>0</v>
      </c>
      <c r="H402" s="6">
        <f>FLOOR(tblPivotData[[#This Row],[Time]],Summary!$B$6/1440)</f>
        <v>0.29166666666666663</v>
      </c>
      <c r="I402">
        <f>INDEX(PeakCalc!$L$10:$L$303,MATCH(tblPivotData[[#This Row],[Time]],PeakCalc!$G$10:$G$303,0))</f>
        <v>1</v>
      </c>
    </row>
    <row r="403" spans="1:9" x14ac:dyDescent="0.25">
      <c r="A403" t="s">
        <v>95</v>
      </c>
      <c r="B403" t="s">
        <v>104</v>
      </c>
      <c r="C403" t="s">
        <v>96</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95</v>
      </c>
      <c r="B404" t="s">
        <v>104</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104</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104</v>
      </c>
      <c r="C406" t="s">
        <v>96</v>
      </c>
      <c r="D406" t="s">
        <v>90</v>
      </c>
      <c r="E406" t="s">
        <v>43</v>
      </c>
      <c r="F406" s="6">
        <v>0.33333333333333331</v>
      </c>
      <c r="G406">
        <v>0</v>
      </c>
      <c r="H406" s="6">
        <f>FLOOR(tblPivotData[[#This Row],[Time]],Summary!$B$6/1440)</f>
        <v>0.33333333333333331</v>
      </c>
      <c r="I406">
        <f>INDEX(PeakCalc!$L$10:$L$303,MATCH(tblPivotData[[#This Row],[Time]],PeakCalc!$G$10:$G$303,0))</f>
        <v>0</v>
      </c>
    </row>
    <row r="407" spans="1:9" x14ac:dyDescent="0.25">
      <c r="A407" t="s">
        <v>95</v>
      </c>
      <c r="B407" t="s">
        <v>104</v>
      </c>
      <c r="C407" t="s">
        <v>96</v>
      </c>
      <c r="D407" t="s">
        <v>90</v>
      </c>
      <c r="E407" t="s">
        <v>43</v>
      </c>
      <c r="F407" s="6">
        <v>0.34375</v>
      </c>
      <c r="G407">
        <v>0</v>
      </c>
      <c r="H407" s="6">
        <f>FLOOR(tblPivotData[[#This Row],[Time]],Summary!$B$6/1440)</f>
        <v>0.34375</v>
      </c>
      <c r="I407">
        <f>INDEX(PeakCalc!$L$10:$L$303,MATCH(tblPivotData[[#This Row],[Time]],PeakCalc!$G$10:$G$303,0))</f>
        <v>0</v>
      </c>
    </row>
    <row r="408" spans="1:9" x14ac:dyDescent="0.25">
      <c r="A408" t="s">
        <v>95</v>
      </c>
      <c r="B408" t="s">
        <v>104</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104</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104</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104</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104</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104</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104</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104</v>
      </c>
      <c r="C415" t="s">
        <v>96</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104</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104</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104</v>
      </c>
      <c r="C418" t="s">
        <v>96</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104</v>
      </c>
      <c r="C419" t="s">
        <v>96</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104</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104</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105</v>
      </c>
      <c r="C422" t="s">
        <v>93</v>
      </c>
      <c r="D422" t="s">
        <v>79</v>
      </c>
      <c r="E422" t="s">
        <v>43</v>
      </c>
      <c r="F422" s="6">
        <v>0.29166666666666669</v>
      </c>
      <c r="G422">
        <v>63</v>
      </c>
      <c r="H422" s="6">
        <f>FLOOR(tblPivotData[[#This Row],[Time]],Summary!$B$6/1440)</f>
        <v>0.29166666666666663</v>
      </c>
      <c r="I422">
        <f>INDEX(PeakCalc!$L$10:$L$303,MATCH(tblPivotData[[#This Row],[Time]],PeakCalc!$G$10:$G$303,0))</f>
        <v>1</v>
      </c>
    </row>
    <row r="423" spans="1:9" x14ac:dyDescent="0.25">
      <c r="A423" t="s">
        <v>95</v>
      </c>
      <c r="B423" t="s">
        <v>105</v>
      </c>
      <c r="C423" t="s">
        <v>93</v>
      </c>
      <c r="D423" t="s">
        <v>79</v>
      </c>
      <c r="E423" t="s">
        <v>43</v>
      </c>
      <c r="F423" s="6">
        <v>0.30208333333333331</v>
      </c>
      <c r="G423">
        <v>64</v>
      </c>
      <c r="H423" s="6">
        <f>FLOOR(tblPivotData[[#This Row],[Time]],Summary!$B$6/1440)</f>
        <v>0.30208333333333331</v>
      </c>
      <c r="I423">
        <f>INDEX(PeakCalc!$L$10:$L$303,MATCH(tblPivotData[[#This Row],[Time]],PeakCalc!$G$10:$G$303,0))</f>
        <v>1</v>
      </c>
    </row>
    <row r="424" spans="1:9" x14ac:dyDescent="0.25">
      <c r="A424" t="s">
        <v>95</v>
      </c>
      <c r="B424" t="s">
        <v>105</v>
      </c>
      <c r="C424" t="s">
        <v>93</v>
      </c>
      <c r="D424" t="s">
        <v>79</v>
      </c>
      <c r="E424" t="s">
        <v>43</v>
      </c>
      <c r="F424" s="6">
        <v>0.3125</v>
      </c>
      <c r="G424">
        <v>70</v>
      </c>
      <c r="H424" s="6">
        <f>FLOOR(tblPivotData[[#This Row],[Time]],Summary!$B$6/1440)</f>
        <v>0.3125</v>
      </c>
      <c r="I424">
        <f>INDEX(PeakCalc!$L$10:$L$303,MATCH(tblPivotData[[#This Row],[Time]],PeakCalc!$G$10:$G$303,0))</f>
        <v>1</v>
      </c>
    </row>
    <row r="425" spans="1:9" x14ac:dyDescent="0.25">
      <c r="A425" t="s">
        <v>95</v>
      </c>
      <c r="B425" t="s">
        <v>105</v>
      </c>
      <c r="C425" t="s">
        <v>93</v>
      </c>
      <c r="D425" t="s">
        <v>79</v>
      </c>
      <c r="E425" t="s">
        <v>43</v>
      </c>
      <c r="F425" s="6">
        <v>0.32291666666666669</v>
      </c>
      <c r="G425">
        <v>94</v>
      </c>
      <c r="H425" s="6">
        <f>FLOOR(tblPivotData[[#This Row],[Time]],Summary!$B$6/1440)</f>
        <v>0.32291666666666663</v>
      </c>
      <c r="I425">
        <f>INDEX(PeakCalc!$L$10:$L$303,MATCH(tblPivotData[[#This Row],[Time]],PeakCalc!$G$10:$G$303,0))</f>
        <v>1</v>
      </c>
    </row>
    <row r="426" spans="1:9" x14ac:dyDescent="0.25">
      <c r="A426" t="s">
        <v>95</v>
      </c>
      <c r="B426" t="s">
        <v>105</v>
      </c>
      <c r="C426" t="s">
        <v>93</v>
      </c>
      <c r="D426" t="s">
        <v>79</v>
      </c>
      <c r="E426" t="s">
        <v>43</v>
      </c>
      <c r="F426" s="6">
        <v>0.33333333333333331</v>
      </c>
      <c r="G426">
        <v>89</v>
      </c>
      <c r="H426" s="6">
        <f>FLOOR(tblPivotData[[#This Row],[Time]],Summary!$B$6/1440)</f>
        <v>0.33333333333333331</v>
      </c>
      <c r="I426">
        <f>INDEX(PeakCalc!$L$10:$L$303,MATCH(tblPivotData[[#This Row],[Time]],PeakCalc!$G$10:$G$303,0))</f>
        <v>0</v>
      </c>
    </row>
    <row r="427" spans="1:9" x14ac:dyDescent="0.25">
      <c r="A427" t="s">
        <v>95</v>
      </c>
      <c r="B427" t="s">
        <v>105</v>
      </c>
      <c r="C427" t="s">
        <v>93</v>
      </c>
      <c r="D427" t="s">
        <v>79</v>
      </c>
      <c r="E427" t="s">
        <v>43</v>
      </c>
      <c r="F427" s="6">
        <v>0.34375</v>
      </c>
      <c r="G427">
        <v>89</v>
      </c>
      <c r="H427" s="6">
        <f>FLOOR(tblPivotData[[#This Row],[Time]],Summary!$B$6/1440)</f>
        <v>0.34375</v>
      </c>
      <c r="I427">
        <f>INDEX(PeakCalc!$L$10:$L$303,MATCH(tblPivotData[[#This Row],[Time]],PeakCalc!$G$10:$G$303,0))</f>
        <v>0</v>
      </c>
    </row>
    <row r="428" spans="1:9" x14ac:dyDescent="0.25">
      <c r="A428" t="s">
        <v>95</v>
      </c>
      <c r="B428" t="s">
        <v>105</v>
      </c>
      <c r="C428" t="s">
        <v>93</v>
      </c>
      <c r="D428" t="s">
        <v>79</v>
      </c>
      <c r="E428" t="s">
        <v>43</v>
      </c>
      <c r="F428" s="6">
        <v>0.35416666666666669</v>
      </c>
      <c r="G428">
        <v>96</v>
      </c>
      <c r="H428" s="6">
        <f>FLOOR(tblPivotData[[#This Row],[Time]],Summary!$B$6/1440)</f>
        <v>0.35416666666666663</v>
      </c>
      <c r="I428">
        <f>INDEX(PeakCalc!$L$10:$L$303,MATCH(tblPivotData[[#This Row],[Time]],PeakCalc!$G$10:$G$303,0))</f>
        <v>0</v>
      </c>
    </row>
    <row r="429" spans="1:9" x14ac:dyDescent="0.25">
      <c r="A429" t="s">
        <v>95</v>
      </c>
      <c r="B429" t="s">
        <v>105</v>
      </c>
      <c r="C429" t="s">
        <v>93</v>
      </c>
      <c r="D429" t="s">
        <v>79</v>
      </c>
      <c r="E429" t="s">
        <v>43</v>
      </c>
      <c r="F429" s="6">
        <v>0.36458333333333331</v>
      </c>
      <c r="G429">
        <v>87</v>
      </c>
      <c r="H429" s="6">
        <f>FLOOR(tblPivotData[[#This Row],[Time]],Summary!$B$6/1440)</f>
        <v>0.36458333333333331</v>
      </c>
      <c r="I429">
        <f>INDEX(PeakCalc!$L$10:$L$303,MATCH(tblPivotData[[#This Row],[Time]],PeakCalc!$G$10:$G$303,0))</f>
        <v>0</v>
      </c>
    </row>
    <row r="430" spans="1:9" x14ac:dyDescent="0.25">
      <c r="A430" t="s">
        <v>95</v>
      </c>
      <c r="B430" t="s">
        <v>105</v>
      </c>
      <c r="C430" t="s">
        <v>93</v>
      </c>
      <c r="D430" t="s">
        <v>79</v>
      </c>
      <c r="E430" t="s">
        <v>91</v>
      </c>
      <c r="F430" s="6">
        <v>0.54166666666666663</v>
      </c>
      <c r="G430">
        <v>39</v>
      </c>
      <c r="H430" s="6">
        <f>FLOOR(tblPivotData[[#This Row],[Time]],Summary!$B$6/1440)</f>
        <v>0.54166666666666663</v>
      </c>
      <c r="I430">
        <f>INDEX(PeakCalc!$L$10:$L$303,MATCH(tblPivotData[[#This Row],[Time]],PeakCalc!$G$10:$G$303,0))</f>
        <v>1</v>
      </c>
    </row>
    <row r="431" spans="1:9" x14ac:dyDescent="0.25">
      <c r="A431" t="s">
        <v>95</v>
      </c>
      <c r="B431" t="s">
        <v>105</v>
      </c>
      <c r="C431" t="s">
        <v>93</v>
      </c>
      <c r="D431" t="s">
        <v>79</v>
      </c>
      <c r="E431" t="s">
        <v>91</v>
      </c>
      <c r="F431" s="6">
        <v>0.55208333333333337</v>
      </c>
      <c r="G431">
        <v>46</v>
      </c>
      <c r="H431" s="6">
        <f>FLOOR(tblPivotData[[#This Row],[Time]],Summary!$B$6/1440)</f>
        <v>0.55208333333333326</v>
      </c>
      <c r="I431">
        <f>INDEX(PeakCalc!$L$10:$L$303,MATCH(tblPivotData[[#This Row],[Time]],PeakCalc!$G$10:$G$303,0))</f>
        <v>1</v>
      </c>
    </row>
    <row r="432" spans="1:9" x14ac:dyDescent="0.25">
      <c r="A432" t="s">
        <v>95</v>
      </c>
      <c r="B432" t="s">
        <v>105</v>
      </c>
      <c r="C432" t="s">
        <v>93</v>
      </c>
      <c r="D432" t="s">
        <v>79</v>
      </c>
      <c r="E432" t="s">
        <v>91</v>
      </c>
      <c r="F432" s="6">
        <v>0.5625</v>
      </c>
      <c r="G432">
        <v>44</v>
      </c>
      <c r="H432" s="6">
        <f>FLOOR(tblPivotData[[#This Row],[Time]],Summary!$B$6/1440)</f>
        <v>0.5625</v>
      </c>
      <c r="I432">
        <f>INDEX(PeakCalc!$L$10:$L$303,MATCH(tblPivotData[[#This Row],[Time]],PeakCalc!$G$10:$G$303,0))</f>
        <v>1</v>
      </c>
    </row>
    <row r="433" spans="1:9" x14ac:dyDescent="0.25">
      <c r="A433" t="s">
        <v>95</v>
      </c>
      <c r="B433" t="s">
        <v>105</v>
      </c>
      <c r="C433" t="s">
        <v>93</v>
      </c>
      <c r="D433" t="s">
        <v>79</v>
      </c>
      <c r="E433" t="s">
        <v>91</v>
      </c>
      <c r="F433" s="6">
        <v>0.57291666666666663</v>
      </c>
      <c r="G433">
        <v>41</v>
      </c>
      <c r="H433" s="6">
        <f>FLOOR(tblPivotData[[#This Row],[Time]],Summary!$B$6/1440)</f>
        <v>0.57291666666666663</v>
      </c>
      <c r="I433">
        <f>INDEX(PeakCalc!$L$10:$L$303,MATCH(tblPivotData[[#This Row],[Time]],PeakCalc!$G$10:$G$303,0))</f>
        <v>1</v>
      </c>
    </row>
    <row r="434" spans="1:9" x14ac:dyDescent="0.25">
      <c r="A434" t="s">
        <v>95</v>
      </c>
      <c r="B434" t="s">
        <v>105</v>
      </c>
      <c r="C434" t="s">
        <v>93</v>
      </c>
      <c r="D434" t="s">
        <v>79</v>
      </c>
      <c r="E434" t="s">
        <v>44</v>
      </c>
      <c r="F434" s="6">
        <v>0.66666666666666663</v>
      </c>
      <c r="G434">
        <v>54</v>
      </c>
      <c r="H434" s="6">
        <f>FLOOR(tblPivotData[[#This Row],[Time]],Summary!$B$6/1440)</f>
        <v>0.66666666666666663</v>
      </c>
      <c r="I434">
        <f>INDEX(PeakCalc!$L$10:$L$303,MATCH(tblPivotData[[#This Row],[Time]],PeakCalc!$G$10:$G$303,0))</f>
        <v>0</v>
      </c>
    </row>
    <row r="435" spans="1:9" x14ac:dyDescent="0.25">
      <c r="A435" t="s">
        <v>95</v>
      </c>
      <c r="B435" t="s">
        <v>105</v>
      </c>
      <c r="C435" t="s">
        <v>93</v>
      </c>
      <c r="D435" t="s">
        <v>79</v>
      </c>
      <c r="E435" t="s">
        <v>44</v>
      </c>
      <c r="F435" s="6">
        <v>0.67708333333333337</v>
      </c>
      <c r="G435">
        <v>44</v>
      </c>
      <c r="H435" s="6">
        <f>FLOOR(tblPivotData[[#This Row],[Time]],Summary!$B$6/1440)</f>
        <v>0.67708333333333326</v>
      </c>
      <c r="I435">
        <f>INDEX(PeakCalc!$L$10:$L$303,MATCH(tblPivotData[[#This Row],[Time]],PeakCalc!$G$10:$G$303,0))</f>
        <v>0</v>
      </c>
    </row>
    <row r="436" spans="1:9" x14ac:dyDescent="0.25">
      <c r="A436" t="s">
        <v>95</v>
      </c>
      <c r="B436" t="s">
        <v>105</v>
      </c>
      <c r="C436" t="s">
        <v>93</v>
      </c>
      <c r="D436" t="s">
        <v>79</v>
      </c>
      <c r="E436" t="s">
        <v>44</v>
      </c>
      <c r="F436" s="6">
        <v>0.6875</v>
      </c>
      <c r="G436">
        <v>54</v>
      </c>
      <c r="H436" s="6">
        <f>FLOOR(tblPivotData[[#This Row],[Time]],Summary!$B$6/1440)</f>
        <v>0.6875</v>
      </c>
      <c r="I436">
        <f>INDEX(PeakCalc!$L$10:$L$303,MATCH(tblPivotData[[#This Row],[Time]],PeakCalc!$G$10:$G$303,0))</f>
        <v>1</v>
      </c>
    </row>
    <row r="437" spans="1:9" x14ac:dyDescent="0.25">
      <c r="A437" t="s">
        <v>95</v>
      </c>
      <c r="B437" t="s">
        <v>105</v>
      </c>
      <c r="C437" t="s">
        <v>93</v>
      </c>
      <c r="D437" t="s">
        <v>79</v>
      </c>
      <c r="E437" t="s">
        <v>44</v>
      </c>
      <c r="F437" s="6">
        <v>0.69791666666666663</v>
      </c>
      <c r="G437">
        <v>68</v>
      </c>
      <c r="H437" s="6">
        <f>FLOOR(tblPivotData[[#This Row],[Time]],Summary!$B$6/1440)</f>
        <v>0.69791666666666663</v>
      </c>
      <c r="I437">
        <f>INDEX(PeakCalc!$L$10:$L$303,MATCH(tblPivotData[[#This Row],[Time]],PeakCalc!$G$10:$G$303,0))</f>
        <v>1</v>
      </c>
    </row>
    <row r="438" spans="1:9" x14ac:dyDescent="0.25">
      <c r="A438" t="s">
        <v>95</v>
      </c>
      <c r="B438" t="s">
        <v>105</v>
      </c>
      <c r="C438" t="s">
        <v>93</v>
      </c>
      <c r="D438" t="s">
        <v>79</v>
      </c>
      <c r="E438" t="s">
        <v>44</v>
      </c>
      <c r="F438" s="6">
        <v>0.70833333333333337</v>
      </c>
      <c r="G438">
        <v>60</v>
      </c>
      <c r="H438" s="6">
        <f>FLOOR(tblPivotData[[#This Row],[Time]],Summary!$B$6/1440)</f>
        <v>0.70833333333333326</v>
      </c>
      <c r="I438">
        <f>INDEX(PeakCalc!$L$10:$L$303,MATCH(tblPivotData[[#This Row],[Time]],PeakCalc!$G$10:$G$303,0))</f>
        <v>1</v>
      </c>
    </row>
    <row r="439" spans="1:9" x14ac:dyDescent="0.25">
      <c r="A439" t="s">
        <v>95</v>
      </c>
      <c r="B439" t="s">
        <v>105</v>
      </c>
      <c r="C439" t="s">
        <v>93</v>
      </c>
      <c r="D439" t="s">
        <v>79</v>
      </c>
      <c r="E439" t="s">
        <v>44</v>
      </c>
      <c r="F439" s="6">
        <v>0.71875</v>
      </c>
      <c r="G439">
        <v>37</v>
      </c>
      <c r="H439" s="6">
        <f>FLOOR(tblPivotData[[#This Row],[Time]],Summary!$B$6/1440)</f>
        <v>0.71875</v>
      </c>
      <c r="I439">
        <f>INDEX(PeakCalc!$L$10:$L$303,MATCH(tblPivotData[[#This Row],[Time]],PeakCalc!$G$10:$G$303,0))</f>
        <v>1</v>
      </c>
    </row>
    <row r="440" spans="1:9" x14ac:dyDescent="0.25">
      <c r="A440" t="s">
        <v>95</v>
      </c>
      <c r="B440" t="s">
        <v>105</v>
      </c>
      <c r="C440" t="s">
        <v>93</v>
      </c>
      <c r="D440" t="s">
        <v>79</v>
      </c>
      <c r="E440" t="s">
        <v>44</v>
      </c>
      <c r="F440" s="6">
        <v>0.72916666666666663</v>
      </c>
      <c r="G440">
        <v>40</v>
      </c>
      <c r="H440" s="6">
        <f>FLOOR(tblPivotData[[#This Row],[Time]],Summary!$B$6/1440)</f>
        <v>0.72916666666666663</v>
      </c>
      <c r="I440">
        <f>INDEX(PeakCalc!$L$10:$L$303,MATCH(tblPivotData[[#This Row],[Time]],PeakCalc!$G$10:$G$303,0))</f>
        <v>0</v>
      </c>
    </row>
    <row r="441" spans="1:9" x14ac:dyDescent="0.25">
      <c r="A441" t="s">
        <v>95</v>
      </c>
      <c r="B441" t="s">
        <v>105</v>
      </c>
      <c r="C441" t="s">
        <v>93</v>
      </c>
      <c r="D441" t="s">
        <v>79</v>
      </c>
      <c r="E441" t="s">
        <v>44</v>
      </c>
      <c r="F441" s="6">
        <v>0.73958333333333337</v>
      </c>
      <c r="G441">
        <v>47</v>
      </c>
      <c r="H441" s="6">
        <f>FLOOR(tblPivotData[[#This Row],[Time]],Summary!$B$6/1440)</f>
        <v>0.73958333333333326</v>
      </c>
      <c r="I441">
        <f>INDEX(PeakCalc!$L$10:$L$303,MATCH(tblPivotData[[#This Row],[Time]],PeakCalc!$G$10:$G$303,0))</f>
        <v>0</v>
      </c>
    </row>
    <row r="442" spans="1:9" x14ac:dyDescent="0.25">
      <c r="A442" t="s">
        <v>95</v>
      </c>
      <c r="B442" t="s">
        <v>105</v>
      </c>
      <c r="C442" t="s">
        <v>93</v>
      </c>
      <c r="D442" t="s">
        <v>89</v>
      </c>
      <c r="E442" t="s">
        <v>43</v>
      </c>
      <c r="F442" s="6">
        <v>0.29166666666666669</v>
      </c>
      <c r="G442">
        <v>1</v>
      </c>
      <c r="H442" s="6">
        <f>FLOOR(tblPivotData[[#This Row],[Time]],Summary!$B$6/1440)</f>
        <v>0.29166666666666663</v>
      </c>
      <c r="I442">
        <f>INDEX(PeakCalc!$L$10:$L$303,MATCH(tblPivotData[[#This Row],[Time]],PeakCalc!$G$10:$G$303,0))</f>
        <v>1</v>
      </c>
    </row>
    <row r="443" spans="1:9" x14ac:dyDescent="0.25">
      <c r="A443" t="s">
        <v>95</v>
      </c>
      <c r="B443" t="s">
        <v>105</v>
      </c>
      <c r="C443" t="s">
        <v>93</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25">
      <c r="A444" t="s">
        <v>95</v>
      </c>
      <c r="B444" t="s">
        <v>105</v>
      </c>
      <c r="C444" t="s">
        <v>93</v>
      </c>
      <c r="D444" t="s">
        <v>89</v>
      </c>
      <c r="E444" t="s">
        <v>43</v>
      </c>
      <c r="F444" s="6">
        <v>0.3125</v>
      </c>
      <c r="G444">
        <v>1</v>
      </c>
      <c r="H444" s="6">
        <f>FLOOR(tblPivotData[[#This Row],[Time]],Summary!$B$6/1440)</f>
        <v>0.3125</v>
      </c>
      <c r="I444">
        <f>INDEX(PeakCalc!$L$10:$L$303,MATCH(tblPivotData[[#This Row],[Time]],PeakCalc!$G$10:$G$303,0))</f>
        <v>1</v>
      </c>
    </row>
    <row r="445" spans="1:9" x14ac:dyDescent="0.25">
      <c r="A445" t="s">
        <v>95</v>
      </c>
      <c r="B445" t="s">
        <v>105</v>
      </c>
      <c r="C445" t="s">
        <v>93</v>
      </c>
      <c r="D445" t="s">
        <v>89</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95</v>
      </c>
      <c r="B446" t="s">
        <v>105</v>
      </c>
      <c r="C446" t="s">
        <v>93</v>
      </c>
      <c r="D446" t="s">
        <v>89</v>
      </c>
      <c r="E446" t="s">
        <v>43</v>
      </c>
      <c r="F446" s="6">
        <v>0.33333333333333331</v>
      </c>
      <c r="G446">
        <v>1</v>
      </c>
      <c r="H446" s="6">
        <f>FLOOR(tblPivotData[[#This Row],[Time]],Summary!$B$6/1440)</f>
        <v>0.33333333333333331</v>
      </c>
      <c r="I446">
        <f>INDEX(PeakCalc!$L$10:$L$303,MATCH(tblPivotData[[#This Row],[Time]],PeakCalc!$G$10:$G$303,0))</f>
        <v>0</v>
      </c>
    </row>
    <row r="447" spans="1:9" x14ac:dyDescent="0.25">
      <c r="A447" t="s">
        <v>95</v>
      </c>
      <c r="B447" t="s">
        <v>105</v>
      </c>
      <c r="C447" t="s">
        <v>93</v>
      </c>
      <c r="D447" t="s">
        <v>89</v>
      </c>
      <c r="E447" t="s">
        <v>43</v>
      </c>
      <c r="F447" s="6">
        <v>0.34375</v>
      </c>
      <c r="G447">
        <v>1</v>
      </c>
      <c r="H447" s="6">
        <f>FLOOR(tblPivotData[[#This Row],[Time]],Summary!$B$6/1440)</f>
        <v>0.34375</v>
      </c>
      <c r="I447">
        <f>INDEX(PeakCalc!$L$10:$L$303,MATCH(tblPivotData[[#This Row],[Time]],PeakCalc!$G$10:$G$303,0))</f>
        <v>0</v>
      </c>
    </row>
    <row r="448" spans="1:9" x14ac:dyDescent="0.25">
      <c r="A448" t="s">
        <v>95</v>
      </c>
      <c r="B448" t="s">
        <v>105</v>
      </c>
      <c r="C448" t="s">
        <v>93</v>
      </c>
      <c r="D448" t="s">
        <v>89</v>
      </c>
      <c r="E448" t="s">
        <v>43</v>
      </c>
      <c r="F448" s="6">
        <v>0.35416666666666669</v>
      </c>
      <c r="G448">
        <v>1</v>
      </c>
      <c r="H448" s="6">
        <f>FLOOR(tblPivotData[[#This Row],[Time]],Summary!$B$6/1440)</f>
        <v>0.35416666666666663</v>
      </c>
      <c r="I448">
        <f>INDEX(PeakCalc!$L$10:$L$303,MATCH(tblPivotData[[#This Row],[Time]],PeakCalc!$G$10:$G$303,0))</f>
        <v>0</v>
      </c>
    </row>
    <row r="449" spans="1:9" x14ac:dyDescent="0.25">
      <c r="A449" t="s">
        <v>95</v>
      </c>
      <c r="B449" t="s">
        <v>105</v>
      </c>
      <c r="C449" t="s">
        <v>93</v>
      </c>
      <c r="D449" t="s">
        <v>89</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95</v>
      </c>
      <c r="B450" t="s">
        <v>105</v>
      </c>
      <c r="C450" t="s">
        <v>93</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95</v>
      </c>
      <c r="B451" t="s">
        <v>105</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95</v>
      </c>
      <c r="B452" t="s">
        <v>105</v>
      </c>
      <c r="C452" t="s">
        <v>93</v>
      </c>
      <c r="D452" t="s">
        <v>89</v>
      </c>
      <c r="E452" t="s">
        <v>91</v>
      </c>
      <c r="F452" s="6">
        <v>0.5625</v>
      </c>
      <c r="G452">
        <v>5</v>
      </c>
      <c r="H452" s="6">
        <f>FLOOR(tblPivotData[[#This Row],[Time]],Summary!$B$6/1440)</f>
        <v>0.5625</v>
      </c>
      <c r="I452">
        <f>INDEX(PeakCalc!$L$10:$L$303,MATCH(tblPivotData[[#This Row],[Time]],PeakCalc!$G$10:$G$303,0))</f>
        <v>1</v>
      </c>
    </row>
    <row r="453" spans="1:9" x14ac:dyDescent="0.25">
      <c r="A453" t="s">
        <v>95</v>
      </c>
      <c r="B453" t="s">
        <v>105</v>
      </c>
      <c r="C453" t="s">
        <v>93</v>
      </c>
      <c r="D453" t="s">
        <v>89</v>
      </c>
      <c r="E453" t="s">
        <v>91</v>
      </c>
      <c r="F453" s="6">
        <v>0.57291666666666663</v>
      </c>
      <c r="G453">
        <v>1</v>
      </c>
      <c r="H453" s="6">
        <f>FLOOR(tblPivotData[[#This Row],[Time]],Summary!$B$6/1440)</f>
        <v>0.57291666666666663</v>
      </c>
      <c r="I453">
        <f>INDEX(PeakCalc!$L$10:$L$303,MATCH(tblPivotData[[#This Row],[Time]],PeakCalc!$G$10:$G$303,0))</f>
        <v>1</v>
      </c>
    </row>
    <row r="454" spans="1:9" x14ac:dyDescent="0.25">
      <c r="A454" t="s">
        <v>95</v>
      </c>
      <c r="B454" t="s">
        <v>105</v>
      </c>
      <c r="C454" t="s">
        <v>93</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95</v>
      </c>
      <c r="B455" t="s">
        <v>105</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95</v>
      </c>
      <c r="B456" t="s">
        <v>105</v>
      </c>
      <c r="C456" t="s">
        <v>93</v>
      </c>
      <c r="D456" t="s">
        <v>89</v>
      </c>
      <c r="E456" t="s">
        <v>44</v>
      </c>
      <c r="F456" s="6">
        <v>0.6875</v>
      </c>
      <c r="G456">
        <v>1</v>
      </c>
      <c r="H456" s="6">
        <f>FLOOR(tblPivotData[[#This Row],[Time]],Summary!$B$6/1440)</f>
        <v>0.6875</v>
      </c>
      <c r="I456">
        <f>INDEX(PeakCalc!$L$10:$L$303,MATCH(tblPivotData[[#This Row],[Time]],PeakCalc!$G$10:$G$303,0))</f>
        <v>1</v>
      </c>
    </row>
    <row r="457" spans="1:9" x14ac:dyDescent="0.25">
      <c r="A457" t="s">
        <v>95</v>
      </c>
      <c r="B457" t="s">
        <v>105</v>
      </c>
      <c r="C457" t="s">
        <v>93</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95</v>
      </c>
      <c r="B458" t="s">
        <v>105</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95</v>
      </c>
      <c r="B459" t="s">
        <v>105</v>
      </c>
      <c r="C459" t="s">
        <v>93</v>
      </c>
      <c r="D459" t="s">
        <v>89</v>
      </c>
      <c r="E459" t="s">
        <v>44</v>
      </c>
      <c r="F459" s="6">
        <v>0.71875</v>
      </c>
      <c r="G459">
        <v>2</v>
      </c>
      <c r="H459" s="6">
        <f>FLOOR(tblPivotData[[#This Row],[Time]],Summary!$B$6/1440)</f>
        <v>0.71875</v>
      </c>
      <c r="I459">
        <f>INDEX(PeakCalc!$L$10:$L$303,MATCH(tblPivotData[[#This Row],[Time]],PeakCalc!$G$10:$G$303,0))</f>
        <v>1</v>
      </c>
    </row>
    <row r="460" spans="1:9" x14ac:dyDescent="0.25">
      <c r="A460" t="s">
        <v>95</v>
      </c>
      <c r="B460" t="s">
        <v>105</v>
      </c>
      <c r="C460" t="s">
        <v>93</v>
      </c>
      <c r="D460" t="s">
        <v>89</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95</v>
      </c>
      <c r="B461" t="s">
        <v>105</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95</v>
      </c>
      <c r="B462" t="s">
        <v>105</v>
      </c>
      <c r="C462" t="s">
        <v>93</v>
      </c>
      <c r="D462" t="s">
        <v>90</v>
      </c>
      <c r="E462" t="s">
        <v>43</v>
      </c>
      <c r="F462" s="6">
        <v>0.29166666666666669</v>
      </c>
      <c r="G462">
        <v>0</v>
      </c>
      <c r="H462" s="6">
        <f>FLOOR(tblPivotData[[#This Row],[Time]],Summary!$B$6/1440)</f>
        <v>0.29166666666666663</v>
      </c>
      <c r="I462">
        <f>INDEX(PeakCalc!$L$10:$L$303,MATCH(tblPivotData[[#This Row],[Time]],PeakCalc!$G$10:$G$303,0))</f>
        <v>1</v>
      </c>
    </row>
    <row r="463" spans="1:9" x14ac:dyDescent="0.25">
      <c r="A463" t="s">
        <v>95</v>
      </c>
      <c r="B463" t="s">
        <v>105</v>
      </c>
      <c r="C463" t="s">
        <v>93</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95</v>
      </c>
      <c r="B464" t="s">
        <v>105</v>
      </c>
      <c r="C464" t="s">
        <v>93</v>
      </c>
      <c r="D464" t="s">
        <v>90</v>
      </c>
      <c r="E464" t="s">
        <v>43</v>
      </c>
      <c r="F464" s="6">
        <v>0.3125</v>
      </c>
      <c r="G464">
        <v>5</v>
      </c>
      <c r="H464" s="6">
        <f>FLOOR(tblPivotData[[#This Row],[Time]],Summary!$B$6/1440)</f>
        <v>0.3125</v>
      </c>
      <c r="I464">
        <f>INDEX(PeakCalc!$L$10:$L$303,MATCH(tblPivotData[[#This Row],[Time]],PeakCalc!$G$10:$G$303,0))</f>
        <v>1</v>
      </c>
    </row>
    <row r="465" spans="1:9" x14ac:dyDescent="0.25">
      <c r="A465" t="s">
        <v>95</v>
      </c>
      <c r="B465" t="s">
        <v>105</v>
      </c>
      <c r="C465" t="s">
        <v>93</v>
      </c>
      <c r="D465" t="s">
        <v>90</v>
      </c>
      <c r="E465" t="s">
        <v>43</v>
      </c>
      <c r="F465" s="6">
        <v>0.32291666666666669</v>
      </c>
      <c r="G465">
        <v>7</v>
      </c>
      <c r="H465" s="6">
        <f>FLOOR(tblPivotData[[#This Row],[Time]],Summary!$B$6/1440)</f>
        <v>0.32291666666666663</v>
      </c>
      <c r="I465">
        <f>INDEX(PeakCalc!$L$10:$L$303,MATCH(tblPivotData[[#This Row],[Time]],PeakCalc!$G$10:$G$303,0))</f>
        <v>1</v>
      </c>
    </row>
    <row r="466" spans="1:9" x14ac:dyDescent="0.25">
      <c r="A466" t="s">
        <v>95</v>
      </c>
      <c r="B466" t="s">
        <v>105</v>
      </c>
      <c r="C466" t="s">
        <v>93</v>
      </c>
      <c r="D466" t="s">
        <v>90</v>
      </c>
      <c r="E466" t="s">
        <v>43</v>
      </c>
      <c r="F466" s="6">
        <v>0.33333333333333331</v>
      </c>
      <c r="G466">
        <v>3</v>
      </c>
      <c r="H466" s="6">
        <f>FLOOR(tblPivotData[[#This Row],[Time]],Summary!$B$6/1440)</f>
        <v>0.33333333333333331</v>
      </c>
      <c r="I466">
        <f>INDEX(PeakCalc!$L$10:$L$303,MATCH(tblPivotData[[#This Row],[Time]],PeakCalc!$G$10:$G$303,0))</f>
        <v>0</v>
      </c>
    </row>
    <row r="467" spans="1:9" x14ac:dyDescent="0.25">
      <c r="A467" t="s">
        <v>95</v>
      </c>
      <c r="B467" t="s">
        <v>105</v>
      </c>
      <c r="C467" t="s">
        <v>93</v>
      </c>
      <c r="D467" t="s">
        <v>90</v>
      </c>
      <c r="E467" t="s">
        <v>43</v>
      </c>
      <c r="F467" s="6">
        <v>0.34375</v>
      </c>
      <c r="G467">
        <v>6</v>
      </c>
      <c r="H467" s="6">
        <f>FLOOR(tblPivotData[[#This Row],[Time]],Summary!$B$6/1440)</f>
        <v>0.34375</v>
      </c>
      <c r="I467">
        <f>INDEX(PeakCalc!$L$10:$L$303,MATCH(tblPivotData[[#This Row],[Time]],PeakCalc!$G$10:$G$303,0))</f>
        <v>0</v>
      </c>
    </row>
    <row r="468" spans="1:9" x14ac:dyDescent="0.25">
      <c r="A468" t="s">
        <v>95</v>
      </c>
      <c r="B468" t="s">
        <v>105</v>
      </c>
      <c r="C468" t="s">
        <v>93</v>
      </c>
      <c r="D468" t="s">
        <v>90</v>
      </c>
      <c r="E468" t="s">
        <v>43</v>
      </c>
      <c r="F468" s="6">
        <v>0.35416666666666669</v>
      </c>
      <c r="G468">
        <v>3</v>
      </c>
      <c r="H468" s="6">
        <f>FLOOR(tblPivotData[[#This Row],[Time]],Summary!$B$6/1440)</f>
        <v>0.35416666666666663</v>
      </c>
      <c r="I468">
        <f>INDEX(PeakCalc!$L$10:$L$303,MATCH(tblPivotData[[#This Row],[Time]],PeakCalc!$G$10:$G$303,0))</f>
        <v>0</v>
      </c>
    </row>
    <row r="469" spans="1:9" x14ac:dyDescent="0.25">
      <c r="A469" t="s">
        <v>95</v>
      </c>
      <c r="B469" t="s">
        <v>105</v>
      </c>
      <c r="C469" t="s">
        <v>93</v>
      </c>
      <c r="D469" t="s">
        <v>90</v>
      </c>
      <c r="E469" t="s">
        <v>43</v>
      </c>
      <c r="F469" s="6">
        <v>0.36458333333333331</v>
      </c>
      <c r="G469">
        <v>2</v>
      </c>
      <c r="H469" s="6">
        <f>FLOOR(tblPivotData[[#This Row],[Time]],Summary!$B$6/1440)</f>
        <v>0.36458333333333331</v>
      </c>
      <c r="I469">
        <f>INDEX(PeakCalc!$L$10:$L$303,MATCH(tblPivotData[[#This Row],[Time]],PeakCalc!$G$10:$G$303,0))</f>
        <v>0</v>
      </c>
    </row>
    <row r="470" spans="1:9" x14ac:dyDescent="0.25">
      <c r="A470" t="s">
        <v>95</v>
      </c>
      <c r="B470" t="s">
        <v>105</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105</v>
      </c>
      <c r="C471" t="s">
        <v>93</v>
      </c>
      <c r="D471" t="s">
        <v>90</v>
      </c>
      <c r="E471" t="s">
        <v>91</v>
      </c>
      <c r="F471" s="6">
        <v>0.55208333333333337</v>
      </c>
      <c r="G471">
        <v>2</v>
      </c>
      <c r="H471" s="6">
        <f>FLOOR(tblPivotData[[#This Row],[Time]],Summary!$B$6/1440)</f>
        <v>0.55208333333333326</v>
      </c>
      <c r="I471">
        <f>INDEX(PeakCalc!$L$10:$L$303,MATCH(tblPivotData[[#This Row],[Time]],PeakCalc!$G$10:$G$303,0))</f>
        <v>1</v>
      </c>
    </row>
    <row r="472" spans="1:9" x14ac:dyDescent="0.25">
      <c r="A472" t="s">
        <v>95</v>
      </c>
      <c r="B472" t="s">
        <v>105</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105</v>
      </c>
      <c r="C473" t="s">
        <v>93</v>
      </c>
      <c r="D473" t="s">
        <v>90</v>
      </c>
      <c r="E473" t="s">
        <v>91</v>
      </c>
      <c r="F473" s="6">
        <v>0.57291666666666663</v>
      </c>
      <c r="G473">
        <v>1</v>
      </c>
      <c r="H473" s="6">
        <f>FLOOR(tblPivotData[[#This Row],[Time]],Summary!$B$6/1440)</f>
        <v>0.57291666666666663</v>
      </c>
      <c r="I473">
        <f>INDEX(PeakCalc!$L$10:$L$303,MATCH(tblPivotData[[#This Row],[Time]],PeakCalc!$G$10:$G$303,0))</f>
        <v>1</v>
      </c>
    </row>
    <row r="474" spans="1:9" x14ac:dyDescent="0.25">
      <c r="A474" t="s">
        <v>95</v>
      </c>
      <c r="B474" t="s">
        <v>105</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95</v>
      </c>
      <c r="B475" t="s">
        <v>105</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105</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105</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105</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95</v>
      </c>
      <c r="B479" t="s">
        <v>105</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95</v>
      </c>
      <c r="B480" t="s">
        <v>105</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105</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106</v>
      </c>
      <c r="C482" t="s">
        <v>94</v>
      </c>
      <c r="D482" t="s">
        <v>79</v>
      </c>
      <c r="E482" t="s">
        <v>43</v>
      </c>
      <c r="F482" s="6">
        <v>0.29166666666666669</v>
      </c>
      <c r="G482">
        <v>22</v>
      </c>
      <c r="H482" s="6">
        <f>FLOOR(tblPivotData[[#This Row],[Time]],Summary!$B$6/1440)</f>
        <v>0.29166666666666663</v>
      </c>
      <c r="I482">
        <f>INDEX(PeakCalc!$L$10:$L$303,MATCH(tblPivotData[[#This Row],[Time]],PeakCalc!$G$10:$G$303,0))</f>
        <v>1</v>
      </c>
    </row>
    <row r="483" spans="1:9" x14ac:dyDescent="0.25">
      <c r="A483" t="s">
        <v>95</v>
      </c>
      <c r="B483" t="s">
        <v>106</v>
      </c>
      <c r="C483" t="s">
        <v>94</v>
      </c>
      <c r="D483" t="s">
        <v>79</v>
      </c>
      <c r="E483" t="s">
        <v>43</v>
      </c>
      <c r="F483" s="6">
        <v>0.30208333333333331</v>
      </c>
      <c r="G483">
        <v>22</v>
      </c>
      <c r="H483" s="6">
        <f>FLOOR(tblPivotData[[#This Row],[Time]],Summary!$B$6/1440)</f>
        <v>0.30208333333333331</v>
      </c>
      <c r="I483">
        <f>INDEX(PeakCalc!$L$10:$L$303,MATCH(tblPivotData[[#This Row],[Time]],PeakCalc!$G$10:$G$303,0))</f>
        <v>1</v>
      </c>
    </row>
    <row r="484" spans="1:9" x14ac:dyDescent="0.25">
      <c r="A484" t="s">
        <v>95</v>
      </c>
      <c r="B484" t="s">
        <v>106</v>
      </c>
      <c r="C484" t="s">
        <v>94</v>
      </c>
      <c r="D484" t="s">
        <v>79</v>
      </c>
      <c r="E484" t="s">
        <v>43</v>
      </c>
      <c r="F484" s="6">
        <v>0.3125</v>
      </c>
      <c r="G484">
        <v>30</v>
      </c>
      <c r="H484" s="6">
        <f>FLOOR(tblPivotData[[#This Row],[Time]],Summary!$B$6/1440)</f>
        <v>0.3125</v>
      </c>
      <c r="I484">
        <f>INDEX(PeakCalc!$L$10:$L$303,MATCH(tblPivotData[[#This Row],[Time]],PeakCalc!$G$10:$G$303,0))</f>
        <v>1</v>
      </c>
    </row>
    <row r="485" spans="1:9" x14ac:dyDescent="0.25">
      <c r="A485" t="s">
        <v>95</v>
      </c>
      <c r="B485" t="s">
        <v>106</v>
      </c>
      <c r="C485" t="s">
        <v>94</v>
      </c>
      <c r="D485" t="s">
        <v>79</v>
      </c>
      <c r="E485" t="s">
        <v>43</v>
      </c>
      <c r="F485" s="6">
        <v>0.32291666666666669</v>
      </c>
      <c r="G485">
        <v>50</v>
      </c>
      <c r="H485" s="6">
        <f>FLOOR(tblPivotData[[#This Row],[Time]],Summary!$B$6/1440)</f>
        <v>0.32291666666666663</v>
      </c>
      <c r="I485">
        <f>INDEX(PeakCalc!$L$10:$L$303,MATCH(tblPivotData[[#This Row],[Time]],PeakCalc!$G$10:$G$303,0))</f>
        <v>1</v>
      </c>
    </row>
    <row r="486" spans="1:9" x14ac:dyDescent="0.25">
      <c r="A486" t="s">
        <v>95</v>
      </c>
      <c r="B486" t="s">
        <v>106</v>
      </c>
      <c r="C486" t="s">
        <v>94</v>
      </c>
      <c r="D486" t="s">
        <v>79</v>
      </c>
      <c r="E486" t="s">
        <v>43</v>
      </c>
      <c r="F486" s="6">
        <v>0.33333333333333331</v>
      </c>
      <c r="G486">
        <v>45</v>
      </c>
      <c r="H486" s="6">
        <f>FLOOR(tblPivotData[[#This Row],[Time]],Summary!$B$6/1440)</f>
        <v>0.33333333333333331</v>
      </c>
      <c r="I486">
        <f>INDEX(PeakCalc!$L$10:$L$303,MATCH(tblPivotData[[#This Row],[Time]],PeakCalc!$G$10:$G$303,0))</f>
        <v>0</v>
      </c>
    </row>
    <row r="487" spans="1:9" x14ac:dyDescent="0.25">
      <c r="A487" t="s">
        <v>95</v>
      </c>
      <c r="B487" t="s">
        <v>106</v>
      </c>
      <c r="C487" t="s">
        <v>94</v>
      </c>
      <c r="D487" t="s">
        <v>79</v>
      </c>
      <c r="E487" t="s">
        <v>43</v>
      </c>
      <c r="F487" s="6">
        <v>0.34375</v>
      </c>
      <c r="G487">
        <v>29</v>
      </c>
      <c r="H487" s="6">
        <f>FLOOR(tblPivotData[[#This Row],[Time]],Summary!$B$6/1440)</f>
        <v>0.34375</v>
      </c>
      <c r="I487">
        <f>INDEX(PeakCalc!$L$10:$L$303,MATCH(tblPivotData[[#This Row],[Time]],PeakCalc!$G$10:$G$303,0))</f>
        <v>0</v>
      </c>
    </row>
    <row r="488" spans="1:9" x14ac:dyDescent="0.25">
      <c r="A488" t="s">
        <v>95</v>
      </c>
      <c r="B488" t="s">
        <v>106</v>
      </c>
      <c r="C488" t="s">
        <v>94</v>
      </c>
      <c r="D488" t="s">
        <v>79</v>
      </c>
      <c r="E488" t="s">
        <v>43</v>
      </c>
      <c r="F488" s="6">
        <v>0.35416666666666669</v>
      </c>
      <c r="G488">
        <v>24</v>
      </c>
      <c r="H488" s="6">
        <f>FLOOR(tblPivotData[[#This Row],[Time]],Summary!$B$6/1440)</f>
        <v>0.35416666666666663</v>
      </c>
      <c r="I488">
        <f>INDEX(PeakCalc!$L$10:$L$303,MATCH(tblPivotData[[#This Row],[Time]],PeakCalc!$G$10:$G$303,0))</f>
        <v>0</v>
      </c>
    </row>
    <row r="489" spans="1:9" x14ac:dyDescent="0.25">
      <c r="A489" t="s">
        <v>95</v>
      </c>
      <c r="B489" t="s">
        <v>106</v>
      </c>
      <c r="C489" t="s">
        <v>94</v>
      </c>
      <c r="D489" t="s">
        <v>79</v>
      </c>
      <c r="E489" t="s">
        <v>43</v>
      </c>
      <c r="F489" s="6">
        <v>0.36458333333333331</v>
      </c>
      <c r="G489">
        <v>34</v>
      </c>
      <c r="H489" s="6">
        <f>FLOOR(tblPivotData[[#This Row],[Time]],Summary!$B$6/1440)</f>
        <v>0.36458333333333331</v>
      </c>
      <c r="I489">
        <f>INDEX(PeakCalc!$L$10:$L$303,MATCH(tblPivotData[[#This Row],[Time]],PeakCalc!$G$10:$G$303,0))</f>
        <v>0</v>
      </c>
    </row>
    <row r="490" spans="1:9" x14ac:dyDescent="0.25">
      <c r="A490" t="s">
        <v>95</v>
      </c>
      <c r="B490" t="s">
        <v>106</v>
      </c>
      <c r="C490" t="s">
        <v>94</v>
      </c>
      <c r="D490" t="s">
        <v>79</v>
      </c>
      <c r="E490" t="s">
        <v>91</v>
      </c>
      <c r="F490" s="6">
        <v>0.54166666666666663</v>
      </c>
      <c r="G490">
        <v>28</v>
      </c>
      <c r="H490" s="6">
        <f>FLOOR(tblPivotData[[#This Row],[Time]],Summary!$B$6/1440)</f>
        <v>0.54166666666666663</v>
      </c>
      <c r="I490">
        <f>INDEX(PeakCalc!$L$10:$L$303,MATCH(tblPivotData[[#This Row],[Time]],PeakCalc!$G$10:$G$303,0))</f>
        <v>1</v>
      </c>
    </row>
    <row r="491" spans="1:9" x14ac:dyDescent="0.25">
      <c r="A491" t="s">
        <v>95</v>
      </c>
      <c r="B491" t="s">
        <v>106</v>
      </c>
      <c r="C491" t="s">
        <v>94</v>
      </c>
      <c r="D491" t="s">
        <v>79</v>
      </c>
      <c r="E491" t="s">
        <v>91</v>
      </c>
      <c r="F491" s="6">
        <v>0.55208333333333337</v>
      </c>
      <c r="G491">
        <v>23</v>
      </c>
      <c r="H491" s="6">
        <f>FLOOR(tblPivotData[[#This Row],[Time]],Summary!$B$6/1440)</f>
        <v>0.55208333333333326</v>
      </c>
      <c r="I491">
        <f>INDEX(PeakCalc!$L$10:$L$303,MATCH(tblPivotData[[#This Row],[Time]],PeakCalc!$G$10:$G$303,0))</f>
        <v>1</v>
      </c>
    </row>
    <row r="492" spans="1:9" x14ac:dyDescent="0.25">
      <c r="A492" t="s">
        <v>95</v>
      </c>
      <c r="B492" t="s">
        <v>106</v>
      </c>
      <c r="C492" t="s">
        <v>94</v>
      </c>
      <c r="D492" t="s">
        <v>79</v>
      </c>
      <c r="E492" t="s">
        <v>91</v>
      </c>
      <c r="F492" s="6">
        <v>0.5625</v>
      </c>
      <c r="G492">
        <v>22</v>
      </c>
      <c r="H492" s="6">
        <f>FLOOR(tblPivotData[[#This Row],[Time]],Summary!$B$6/1440)</f>
        <v>0.5625</v>
      </c>
      <c r="I492">
        <f>INDEX(PeakCalc!$L$10:$L$303,MATCH(tblPivotData[[#This Row],[Time]],PeakCalc!$G$10:$G$303,0))</f>
        <v>1</v>
      </c>
    </row>
    <row r="493" spans="1:9" x14ac:dyDescent="0.25">
      <c r="A493" t="s">
        <v>95</v>
      </c>
      <c r="B493" t="s">
        <v>106</v>
      </c>
      <c r="C493" t="s">
        <v>94</v>
      </c>
      <c r="D493" t="s">
        <v>79</v>
      </c>
      <c r="E493" t="s">
        <v>91</v>
      </c>
      <c r="F493" s="6">
        <v>0.57291666666666663</v>
      </c>
      <c r="G493">
        <v>16</v>
      </c>
      <c r="H493" s="6">
        <f>FLOOR(tblPivotData[[#This Row],[Time]],Summary!$B$6/1440)</f>
        <v>0.57291666666666663</v>
      </c>
      <c r="I493">
        <f>INDEX(PeakCalc!$L$10:$L$303,MATCH(tblPivotData[[#This Row],[Time]],PeakCalc!$G$10:$G$303,0))</f>
        <v>1</v>
      </c>
    </row>
    <row r="494" spans="1:9" x14ac:dyDescent="0.25">
      <c r="A494" t="s">
        <v>95</v>
      </c>
      <c r="B494" t="s">
        <v>106</v>
      </c>
      <c r="C494" t="s">
        <v>94</v>
      </c>
      <c r="D494" t="s">
        <v>79</v>
      </c>
      <c r="E494" t="s">
        <v>44</v>
      </c>
      <c r="F494" s="6">
        <v>0.66666666666666663</v>
      </c>
      <c r="G494">
        <v>15</v>
      </c>
      <c r="H494" s="6">
        <f>FLOOR(tblPivotData[[#This Row],[Time]],Summary!$B$6/1440)</f>
        <v>0.66666666666666663</v>
      </c>
      <c r="I494">
        <f>INDEX(PeakCalc!$L$10:$L$303,MATCH(tblPivotData[[#This Row],[Time]],PeakCalc!$G$10:$G$303,0))</f>
        <v>0</v>
      </c>
    </row>
    <row r="495" spans="1:9" x14ac:dyDescent="0.25">
      <c r="A495" t="s">
        <v>95</v>
      </c>
      <c r="B495" t="s">
        <v>106</v>
      </c>
      <c r="C495" t="s">
        <v>94</v>
      </c>
      <c r="D495" t="s">
        <v>79</v>
      </c>
      <c r="E495" t="s">
        <v>44</v>
      </c>
      <c r="F495" s="6">
        <v>0.67708333333333337</v>
      </c>
      <c r="G495">
        <v>24</v>
      </c>
      <c r="H495" s="6">
        <f>FLOOR(tblPivotData[[#This Row],[Time]],Summary!$B$6/1440)</f>
        <v>0.67708333333333326</v>
      </c>
      <c r="I495">
        <f>INDEX(PeakCalc!$L$10:$L$303,MATCH(tblPivotData[[#This Row],[Time]],PeakCalc!$G$10:$G$303,0))</f>
        <v>0</v>
      </c>
    </row>
    <row r="496" spans="1:9" x14ac:dyDescent="0.25">
      <c r="A496" t="s">
        <v>95</v>
      </c>
      <c r="B496" t="s">
        <v>106</v>
      </c>
      <c r="C496" t="s">
        <v>94</v>
      </c>
      <c r="D496" t="s">
        <v>79</v>
      </c>
      <c r="E496" t="s">
        <v>44</v>
      </c>
      <c r="F496" s="6">
        <v>0.6875</v>
      </c>
      <c r="G496">
        <v>18</v>
      </c>
      <c r="H496" s="6">
        <f>FLOOR(tblPivotData[[#This Row],[Time]],Summary!$B$6/1440)</f>
        <v>0.6875</v>
      </c>
      <c r="I496">
        <f>INDEX(PeakCalc!$L$10:$L$303,MATCH(tblPivotData[[#This Row],[Time]],PeakCalc!$G$10:$G$303,0))</f>
        <v>1</v>
      </c>
    </row>
    <row r="497" spans="1:9" x14ac:dyDescent="0.25">
      <c r="A497" t="s">
        <v>95</v>
      </c>
      <c r="B497" t="s">
        <v>106</v>
      </c>
      <c r="C497" t="s">
        <v>94</v>
      </c>
      <c r="D497" t="s">
        <v>79</v>
      </c>
      <c r="E497" t="s">
        <v>44</v>
      </c>
      <c r="F497" s="6">
        <v>0.69791666666666663</v>
      </c>
      <c r="G497">
        <v>16</v>
      </c>
      <c r="H497" s="6">
        <f>FLOOR(tblPivotData[[#This Row],[Time]],Summary!$B$6/1440)</f>
        <v>0.69791666666666663</v>
      </c>
      <c r="I497">
        <f>INDEX(PeakCalc!$L$10:$L$303,MATCH(tblPivotData[[#This Row],[Time]],PeakCalc!$G$10:$G$303,0))</f>
        <v>1</v>
      </c>
    </row>
    <row r="498" spans="1:9" x14ac:dyDescent="0.25">
      <c r="A498" t="s">
        <v>95</v>
      </c>
      <c r="B498" t="s">
        <v>106</v>
      </c>
      <c r="C498" t="s">
        <v>94</v>
      </c>
      <c r="D498" t="s">
        <v>79</v>
      </c>
      <c r="E498" t="s">
        <v>44</v>
      </c>
      <c r="F498" s="6">
        <v>0.70833333333333337</v>
      </c>
      <c r="G498">
        <v>14</v>
      </c>
      <c r="H498" s="6">
        <f>FLOOR(tblPivotData[[#This Row],[Time]],Summary!$B$6/1440)</f>
        <v>0.70833333333333326</v>
      </c>
      <c r="I498">
        <f>INDEX(PeakCalc!$L$10:$L$303,MATCH(tblPivotData[[#This Row],[Time]],PeakCalc!$G$10:$G$303,0))</f>
        <v>1</v>
      </c>
    </row>
    <row r="499" spans="1:9" x14ac:dyDescent="0.25">
      <c r="A499" t="s">
        <v>95</v>
      </c>
      <c r="B499" t="s">
        <v>106</v>
      </c>
      <c r="C499" t="s">
        <v>94</v>
      </c>
      <c r="D499" t="s">
        <v>79</v>
      </c>
      <c r="E499" t="s">
        <v>44</v>
      </c>
      <c r="F499" s="6">
        <v>0.71875</v>
      </c>
      <c r="G499">
        <v>11</v>
      </c>
      <c r="H499" s="6">
        <f>FLOOR(tblPivotData[[#This Row],[Time]],Summary!$B$6/1440)</f>
        <v>0.71875</v>
      </c>
      <c r="I499">
        <f>INDEX(PeakCalc!$L$10:$L$303,MATCH(tblPivotData[[#This Row],[Time]],PeakCalc!$G$10:$G$303,0))</f>
        <v>1</v>
      </c>
    </row>
    <row r="500" spans="1:9" x14ac:dyDescent="0.25">
      <c r="A500" t="s">
        <v>95</v>
      </c>
      <c r="B500" t="s">
        <v>106</v>
      </c>
      <c r="C500" t="s">
        <v>94</v>
      </c>
      <c r="D500" t="s">
        <v>79</v>
      </c>
      <c r="E500" t="s">
        <v>44</v>
      </c>
      <c r="F500" s="6">
        <v>0.72916666666666663</v>
      </c>
      <c r="G500">
        <v>14</v>
      </c>
      <c r="H500" s="6">
        <f>FLOOR(tblPivotData[[#This Row],[Time]],Summary!$B$6/1440)</f>
        <v>0.72916666666666663</v>
      </c>
      <c r="I500">
        <f>INDEX(PeakCalc!$L$10:$L$303,MATCH(tblPivotData[[#This Row],[Time]],PeakCalc!$G$10:$G$303,0))</f>
        <v>0</v>
      </c>
    </row>
    <row r="501" spans="1:9" x14ac:dyDescent="0.25">
      <c r="A501" t="s">
        <v>95</v>
      </c>
      <c r="B501" t="s">
        <v>106</v>
      </c>
      <c r="C501" t="s">
        <v>94</v>
      </c>
      <c r="D501" t="s">
        <v>79</v>
      </c>
      <c r="E501" t="s">
        <v>44</v>
      </c>
      <c r="F501" s="6">
        <v>0.73958333333333337</v>
      </c>
      <c r="G501">
        <v>11</v>
      </c>
      <c r="H501" s="6">
        <f>FLOOR(tblPivotData[[#This Row],[Time]],Summary!$B$6/1440)</f>
        <v>0.73958333333333326</v>
      </c>
      <c r="I501">
        <f>INDEX(PeakCalc!$L$10:$L$303,MATCH(tblPivotData[[#This Row],[Time]],PeakCalc!$G$10:$G$303,0))</f>
        <v>0</v>
      </c>
    </row>
    <row r="502" spans="1:9" x14ac:dyDescent="0.25">
      <c r="A502" t="s">
        <v>95</v>
      </c>
      <c r="B502" t="s">
        <v>106</v>
      </c>
      <c r="C502" t="s">
        <v>94</v>
      </c>
      <c r="D502" t="s">
        <v>89</v>
      </c>
      <c r="E502" t="s">
        <v>43</v>
      </c>
      <c r="F502" s="6">
        <v>0.29166666666666669</v>
      </c>
      <c r="G502">
        <v>1</v>
      </c>
      <c r="H502" s="6">
        <f>FLOOR(tblPivotData[[#This Row],[Time]],Summary!$B$6/1440)</f>
        <v>0.29166666666666663</v>
      </c>
      <c r="I502">
        <f>INDEX(PeakCalc!$L$10:$L$303,MATCH(tblPivotData[[#This Row],[Time]],PeakCalc!$G$10:$G$303,0))</f>
        <v>1</v>
      </c>
    </row>
    <row r="503" spans="1:9" x14ac:dyDescent="0.25">
      <c r="A503" t="s">
        <v>95</v>
      </c>
      <c r="B503" t="s">
        <v>106</v>
      </c>
      <c r="C503" t="s">
        <v>94</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95</v>
      </c>
      <c r="B504" t="s">
        <v>106</v>
      </c>
      <c r="C504" t="s">
        <v>94</v>
      </c>
      <c r="D504" t="s">
        <v>89</v>
      </c>
      <c r="E504" t="s">
        <v>43</v>
      </c>
      <c r="F504" s="6">
        <v>0.3125</v>
      </c>
      <c r="G504">
        <v>1</v>
      </c>
      <c r="H504" s="6">
        <f>FLOOR(tblPivotData[[#This Row],[Time]],Summary!$B$6/1440)</f>
        <v>0.3125</v>
      </c>
      <c r="I504">
        <f>INDEX(PeakCalc!$L$10:$L$303,MATCH(tblPivotData[[#This Row],[Time]],PeakCalc!$G$10:$G$303,0))</f>
        <v>1</v>
      </c>
    </row>
    <row r="505" spans="1:9" x14ac:dyDescent="0.25">
      <c r="A505" t="s">
        <v>95</v>
      </c>
      <c r="B505" t="s">
        <v>106</v>
      </c>
      <c r="C505" t="s">
        <v>94</v>
      </c>
      <c r="D505" t="s">
        <v>89</v>
      </c>
      <c r="E505" t="s">
        <v>43</v>
      </c>
      <c r="F505" s="6">
        <v>0.32291666666666669</v>
      </c>
      <c r="G505">
        <v>2</v>
      </c>
      <c r="H505" s="6">
        <f>FLOOR(tblPivotData[[#This Row],[Time]],Summary!$B$6/1440)</f>
        <v>0.32291666666666663</v>
      </c>
      <c r="I505">
        <f>INDEX(PeakCalc!$L$10:$L$303,MATCH(tblPivotData[[#This Row],[Time]],PeakCalc!$G$10:$G$303,0))</f>
        <v>1</v>
      </c>
    </row>
    <row r="506" spans="1:9" x14ac:dyDescent="0.25">
      <c r="A506" t="s">
        <v>95</v>
      </c>
      <c r="B506" t="s">
        <v>106</v>
      </c>
      <c r="C506" t="s">
        <v>94</v>
      </c>
      <c r="D506" t="s">
        <v>89</v>
      </c>
      <c r="E506" t="s">
        <v>43</v>
      </c>
      <c r="F506" s="6">
        <v>0.33333333333333331</v>
      </c>
      <c r="G506">
        <v>0</v>
      </c>
      <c r="H506" s="6">
        <f>FLOOR(tblPivotData[[#This Row],[Time]],Summary!$B$6/1440)</f>
        <v>0.33333333333333331</v>
      </c>
      <c r="I506">
        <f>INDEX(PeakCalc!$L$10:$L$303,MATCH(tblPivotData[[#This Row],[Time]],PeakCalc!$G$10:$G$303,0))</f>
        <v>0</v>
      </c>
    </row>
    <row r="507" spans="1:9" x14ac:dyDescent="0.25">
      <c r="A507" t="s">
        <v>95</v>
      </c>
      <c r="B507" t="s">
        <v>106</v>
      </c>
      <c r="C507" t="s">
        <v>94</v>
      </c>
      <c r="D507" t="s">
        <v>89</v>
      </c>
      <c r="E507" t="s">
        <v>43</v>
      </c>
      <c r="F507" s="6">
        <v>0.34375</v>
      </c>
      <c r="G507">
        <v>1</v>
      </c>
      <c r="H507" s="6">
        <f>FLOOR(tblPivotData[[#This Row],[Time]],Summary!$B$6/1440)</f>
        <v>0.34375</v>
      </c>
      <c r="I507">
        <f>INDEX(PeakCalc!$L$10:$L$303,MATCH(tblPivotData[[#This Row],[Time]],PeakCalc!$G$10:$G$303,0))</f>
        <v>0</v>
      </c>
    </row>
    <row r="508" spans="1:9" x14ac:dyDescent="0.25">
      <c r="A508" t="s">
        <v>95</v>
      </c>
      <c r="B508" t="s">
        <v>106</v>
      </c>
      <c r="C508" t="s">
        <v>94</v>
      </c>
      <c r="D508" t="s">
        <v>89</v>
      </c>
      <c r="E508" t="s">
        <v>43</v>
      </c>
      <c r="F508" s="6">
        <v>0.35416666666666669</v>
      </c>
      <c r="G508">
        <v>2</v>
      </c>
      <c r="H508" s="6">
        <f>FLOOR(tblPivotData[[#This Row],[Time]],Summary!$B$6/1440)</f>
        <v>0.35416666666666663</v>
      </c>
      <c r="I508">
        <f>INDEX(PeakCalc!$L$10:$L$303,MATCH(tblPivotData[[#This Row],[Time]],PeakCalc!$G$10:$G$303,0))</f>
        <v>0</v>
      </c>
    </row>
    <row r="509" spans="1:9" x14ac:dyDescent="0.25">
      <c r="A509" t="s">
        <v>95</v>
      </c>
      <c r="B509" t="s">
        <v>106</v>
      </c>
      <c r="C509" t="s">
        <v>94</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95</v>
      </c>
      <c r="B510" t="s">
        <v>106</v>
      </c>
      <c r="C510" t="s">
        <v>94</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95</v>
      </c>
      <c r="B511" t="s">
        <v>106</v>
      </c>
      <c r="C511" t="s">
        <v>94</v>
      </c>
      <c r="D511" t="s">
        <v>89</v>
      </c>
      <c r="E511" t="s">
        <v>91</v>
      </c>
      <c r="F511" s="6">
        <v>0.55208333333333337</v>
      </c>
      <c r="G511">
        <v>2</v>
      </c>
      <c r="H511" s="6">
        <f>FLOOR(tblPivotData[[#This Row],[Time]],Summary!$B$6/1440)</f>
        <v>0.55208333333333326</v>
      </c>
      <c r="I511">
        <f>INDEX(PeakCalc!$L$10:$L$303,MATCH(tblPivotData[[#This Row],[Time]],PeakCalc!$G$10:$G$303,0))</f>
        <v>1</v>
      </c>
    </row>
    <row r="512" spans="1:9" x14ac:dyDescent="0.25">
      <c r="A512" t="s">
        <v>95</v>
      </c>
      <c r="B512" t="s">
        <v>106</v>
      </c>
      <c r="C512" t="s">
        <v>94</v>
      </c>
      <c r="D512" t="s">
        <v>89</v>
      </c>
      <c r="E512" t="s">
        <v>91</v>
      </c>
      <c r="F512" s="6">
        <v>0.5625</v>
      </c>
      <c r="G512">
        <v>1</v>
      </c>
      <c r="H512" s="6">
        <f>FLOOR(tblPivotData[[#This Row],[Time]],Summary!$B$6/1440)</f>
        <v>0.5625</v>
      </c>
      <c r="I512">
        <f>INDEX(PeakCalc!$L$10:$L$303,MATCH(tblPivotData[[#This Row],[Time]],PeakCalc!$G$10:$G$303,0))</f>
        <v>1</v>
      </c>
    </row>
    <row r="513" spans="1:9" x14ac:dyDescent="0.25">
      <c r="A513" t="s">
        <v>95</v>
      </c>
      <c r="B513" t="s">
        <v>106</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106</v>
      </c>
      <c r="C514" t="s">
        <v>94</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95</v>
      </c>
      <c r="B515" t="s">
        <v>106</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106</v>
      </c>
      <c r="C516" t="s">
        <v>94</v>
      </c>
      <c r="D516" t="s">
        <v>89</v>
      </c>
      <c r="E516" t="s">
        <v>44</v>
      </c>
      <c r="F516" s="6">
        <v>0.6875</v>
      </c>
      <c r="G516">
        <v>2</v>
      </c>
      <c r="H516" s="6">
        <f>FLOOR(tblPivotData[[#This Row],[Time]],Summary!$B$6/1440)</f>
        <v>0.6875</v>
      </c>
      <c r="I516">
        <f>INDEX(PeakCalc!$L$10:$L$303,MATCH(tblPivotData[[#This Row],[Time]],PeakCalc!$G$10:$G$303,0))</f>
        <v>1</v>
      </c>
    </row>
    <row r="517" spans="1:9" x14ac:dyDescent="0.25">
      <c r="A517" t="s">
        <v>95</v>
      </c>
      <c r="B517" t="s">
        <v>106</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106</v>
      </c>
      <c r="C518" t="s">
        <v>94</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95</v>
      </c>
      <c r="B519" t="s">
        <v>106</v>
      </c>
      <c r="C519" t="s">
        <v>94</v>
      </c>
      <c r="D519" t="s">
        <v>89</v>
      </c>
      <c r="E519" t="s">
        <v>44</v>
      </c>
      <c r="F519" s="6">
        <v>0.71875</v>
      </c>
      <c r="G519">
        <v>0</v>
      </c>
      <c r="H519" s="6">
        <f>FLOOR(tblPivotData[[#This Row],[Time]],Summary!$B$6/1440)</f>
        <v>0.71875</v>
      </c>
      <c r="I519">
        <f>INDEX(PeakCalc!$L$10:$L$303,MATCH(tblPivotData[[#This Row],[Time]],PeakCalc!$G$10:$G$303,0))</f>
        <v>1</v>
      </c>
    </row>
    <row r="520" spans="1:9" x14ac:dyDescent="0.25">
      <c r="A520" t="s">
        <v>95</v>
      </c>
      <c r="B520" t="s">
        <v>106</v>
      </c>
      <c r="C520" t="s">
        <v>94</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106</v>
      </c>
      <c r="C521" t="s">
        <v>94</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95</v>
      </c>
      <c r="B522" t="s">
        <v>106</v>
      </c>
      <c r="C522" t="s">
        <v>94</v>
      </c>
      <c r="D522" t="s">
        <v>90</v>
      </c>
      <c r="E522" t="s">
        <v>43</v>
      </c>
      <c r="F522" s="6">
        <v>0.29166666666666669</v>
      </c>
      <c r="G522">
        <v>0</v>
      </c>
      <c r="H522" s="6">
        <f>FLOOR(tblPivotData[[#This Row],[Time]],Summary!$B$6/1440)</f>
        <v>0.29166666666666663</v>
      </c>
      <c r="I522">
        <f>INDEX(PeakCalc!$L$10:$L$303,MATCH(tblPivotData[[#This Row],[Time]],PeakCalc!$G$10:$G$303,0))</f>
        <v>1</v>
      </c>
    </row>
    <row r="523" spans="1:9" x14ac:dyDescent="0.25">
      <c r="A523" t="s">
        <v>95</v>
      </c>
      <c r="B523" t="s">
        <v>106</v>
      </c>
      <c r="C523" t="s">
        <v>94</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95</v>
      </c>
      <c r="B524" t="s">
        <v>106</v>
      </c>
      <c r="C524" t="s">
        <v>94</v>
      </c>
      <c r="D524" t="s">
        <v>90</v>
      </c>
      <c r="E524" t="s">
        <v>43</v>
      </c>
      <c r="F524" s="6">
        <v>0.3125</v>
      </c>
      <c r="G524">
        <v>1</v>
      </c>
      <c r="H524" s="6">
        <f>FLOOR(tblPivotData[[#This Row],[Time]],Summary!$B$6/1440)</f>
        <v>0.3125</v>
      </c>
      <c r="I524">
        <f>INDEX(PeakCalc!$L$10:$L$303,MATCH(tblPivotData[[#This Row],[Time]],PeakCalc!$G$10:$G$303,0))</f>
        <v>1</v>
      </c>
    </row>
    <row r="525" spans="1:9" x14ac:dyDescent="0.25">
      <c r="A525" t="s">
        <v>95</v>
      </c>
      <c r="B525" t="s">
        <v>106</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106</v>
      </c>
      <c r="C526" t="s">
        <v>94</v>
      </c>
      <c r="D526" t="s">
        <v>90</v>
      </c>
      <c r="E526" t="s">
        <v>43</v>
      </c>
      <c r="F526" s="6">
        <v>0.33333333333333331</v>
      </c>
      <c r="G526">
        <v>0</v>
      </c>
      <c r="H526" s="6">
        <f>FLOOR(tblPivotData[[#This Row],[Time]],Summary!$B$6/1440)</f>
        <v>0.33333333333333331</v>
      </c>
      <c r="I526">
        <f>INDEX(PeakCalc!$L$10:$L$303,MATCH(tblPivotData[[#This Row],[Time]],PeakCalc!$G$10:$G$303,0))</f>
        <v>0</v>
      </c>
    </row>
    <row r="527" spans="1:9" x14ac:dyDescent="0.25">
      <c r="A527" t="s">
        <v>95</v>
      </c>
      <c r="B527" t="s">
        <v>106</v>
      </c>
      <c r="C527" t="s">
        <v>94</v>
      </c>
      <c r="D527" t="s">
        <v>90</v>
      </c>
      <c r="E527" t="s">
        <v>43</v>
      </c>
      <c r="F527" s="6">
        <v>0.34375</v>
      </c>
      <c r="G527">
        <v>0</v>
      </c>
      <c r="H527" s="6">
        <f>FLOOR(tblPivotData[[#This Row],[Time]],Summary!$B$6/1440)</f>
        <v>0.34375</v>
      </c>
      <c r="I527">
        <f>INDEX(PeakCalc!$L$10:$L$303,MATCH(tblPivotData[[#This Row],[Time]],PeakCalc!$G$10:$G$303,0))</f>
        <v>0</v>
      </c>
    </row>
    <row r="528" spans="1:9" x14ac:dyDescent="0.25">
      <c r="A528" t="s">
        <v>95</v>
      </c>
      <c r="B528" t="s">
        <v>106</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106</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106</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106</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106</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106</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106</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106</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106</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106</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106</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106</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106</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106</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107</v>
      </c>
      <c r="C542" t="s">
        <v>93</v>
      </c>
      <c r="D542" t="s">
        <v>79</v>
      </c>
      <c r="E542" t="s">
        <v>43</v>
      </c>
      <c r="F542" s="6">
        <v>0.29166666666666669</v>
      </c>
      <c r="G542">
        <v>34</v>
      </c>
      <c r="H542" s="6">
        <f>FLOOR(tblPivotData[[#This Row],[Time]],Summary!$B$6/1440)</f>
        <v>0.29166666666666663</v>
      </c>
      <c r="I542">
        <f>INDEX(PeakCalc!$L$10:$L$303,MATCH(tblPivotData[[#This Row],[Time]],PeakCalc!$G$10:$G$303,0))</f>
        <v>1</v>
      </c>
    </row>
    <row r="543" spans="1:9" x14ac:dyDescent="0.25">
      <c r="A543" t="s">
        <v>96</v>
      </c>
      <c r="B543" t="s">
        <v>107</v>
      </c>
      <c r="C543" t="s">
        <v>93</v>
      </c>
      <c r="D543" t="s">
        <v>79</v>
      </c>
      <c r="E543" t="s">
        <v>43</v>
      </c>
      <c r="F543" s="6">
        <v>0.30208333333333331</v>
      </c>
      <c r="G543">
        <v>30</v>
      </c>
      <c r="H543" s="6">
        <f>FLOOR(tblPivotData[[#This Row],[Time]],Summary!$B$6/1440)</f>
        <v>0.30208333333333331</v>
      </c>
      <c r="I543">
        <f>INDEX(PeakCalc!$L$10:$L$303,MATCH(tblPivotData[[#This Row],[Time]],PeakCalc!$G$10:$G$303,0))</f>
        <v>1</v>
      </c>
    </row>
    <row r="544" spans="1:9" x14ac:dyDescent="0.25">
      <c r="A544" t="s">
        <v>96</v>
      </c>
      <c r="B544" t="s">
        <v>107</v>
      </c>
      <c r="C544" t="s">
        <v>93</v>
      </c>
      <c r="D544" t="s">
        <v>79</v>
      </c>
      <c r="E544" t="s">
        <v>43</v>
      </c>
      <c r="F544" s="6">
        <v>0.3125</v>
      </c>
      <c r="G544">
        <v>33</v>
      </c>
      <c r="H544" s="6">
        <f>FLOOR(tblPivotData[[#This Row],[Time]],Summary!$B$6/1440)</f>
        <v>0.3125</v>
      </c>
      <c r="I544">
        <f>INDEX(PeakCalc!$L$10:$L$303,MATCH(tblPivotData[[#This Row],[Time]],PeakCalc!$G$10:$G$303,0))</f>
        <v>1</v>
      </c>
    </row>
    <row r="545" spans="1:9" x14ac:dyDescent="0.25">
      <c r="A545" t="s">
        <v>96</v>
      </c>
      <c r="B545" t="s">
        <v>107</v>
      </c>
      <c r="C545" t="s">
        <v>93</v>
      </c>
      <c r="D545" t="s">
        <v>79</v>
      </c>
      <c r="E545" t="s">
        <v>43</v>
      </c>
      <c r="F545" s="6">
        <v>0.32291666666666669</v>
      </c>
      <c r="G545">
        <v>29</v>
      </c>
      <c r="H545" s="6">
        <f>FLOOR(tblPivotData[[#This Row],[Time]],Summary!$B$6/1440)</f>
        <v>0.32291666666666663</v>
      </c>
      <c r="I545">
        <f>INDEX(PeakCalc!$L$10:$L$303,MATCH(tblPivotData[[#This Row],[Time]],PeakCalc!$G$10:$G$303,0))</f>
        <v>1</v>
      </c>
    </row>
    <row r="546" spans="1:9" x14ac:dyDescent="0.25">
      <c r="A546" t="s">
        <v>96</v>
      </c>
      <c r="B546" t="s">
        <v>107</v>
      </c>
      <c r="C546" t="s">
        <v>93</v>
      </c>
      <c r="D546" t="s">
        <v>79</v>
      </c>
      <c r="E546" t="s">
        <v>43</v>
      </c>
      <c r="F546" s="6">
        <v>0.33333333333333331</v>
      </c>
      <c r="G546">
        <v>20</v>
      </c>
      <c r="H546" s="6">
        <f>FLOOR(tblPivotData[[#This Row],[Time]],Summary!$B$6/1440)</f>
        <v>0.33333333333333331</v>
      </c>
      <c r="I546">
        <f>INDEX(PeakCalc!$L$10:$L$303,MATCH(tblPivotData[[#This Row],[Time]],PeakCalc!$G$10:$G$303,0))</f>
        <v>0</v>
      </c>
    </row>
    <row r="547" spans="1:9" x14ac:dyDescent="0.25">
      <c r="A547" t="s">
        <v>96</v>
      </c>
      <c r="B547" t="s">
        <v>107</v>
      </c>
      <c r="C547" t="s">
        <v>93</v>
      </c>
      <c r="D547" t="s">
        <v>79</v>
      </c>
      <c r="E547" t="s">
        <v>43</v>
      </c>
      <c r="F547" s="6">
        <v>0.34375</v>
      </c>
      <c r="G547">
        <v>22</v>
      </c>
      <c r="H547" s="6">
        <f>FLOOR(tblPivotData[[#This Row],[Time]],Summary!$B$6/1440)</f>
        <v>0.34375</v>
      </c>
      <c r="I547">
        <f>INDEX(PeakCalc!$L$10:$L$303,MATCH(tblPivotData[[#This Row],[Time]],PeakCalc!$G$10:$G$303,0))</f>
        <v>0</v>
      </c>
    </row>
    <row r="548" spans="1:9" x14ac:dyDescent="0.25">
      <c r="A548" t="s">
        <v>96</v>
      </c>
      <c r="B548" t="s">
        <v>107</v>
      </c>
      <c r="C548" t="s">
        <v>93</v>
      </c>
      <c r="D548" t="s">
        <v>79</v>
      </c>
      <c r="E548" t="s">
        <v>43</v>
      </c>
      <c r="F548" s="6">
        <v>0.35416666666666669</v>
      </c>
      <c r="G548">
        <v>21</v>
      </c>
      <c r="H548" s="6">
        <f>FLOOR(tblPivotData[[#This Row],[Time]],Summary!$B$6/1440)</f>
        <v>0.35416666666666663</v>
      </c>
      <c r="I548">
        <f>INDEX(PeakCalc!$L$10:$L$303,MATCH(tblPivotData[[#This Row],[Time]],PeakCalc!$G$10:$G$303,0))</f>
        <v>0</v>
      </c>
    </row>
    <row r="549" spans="1:9" x14ac:dyDescent="0.25">
      <c r="A549" t="s">
        <v>96</v>
      </c>
      <c r="B549" t="s">
        <v>107</v>
      </c>
      <c r="C549" t="s">
        <v>93</v>
      </c>
      <c r="D549" t="s">
        <v>79</v>
      </c>
      <c r="E549" t="s">
        <v>43</v>
      </c>
      <c r="F549" s="6">
        <v>0.36458333333333331</v>
      </c>
      <c r="G549">
        <v>25</v>
      </c>
      <c r="H549" s="6">
        <f>FLOOR(tblPivotData[[#This Row],[Time]],Summary!$B$6/1440)</f>
        <v>0.36458333333333331</v>
      </c>
      <c r="I549">
        <f>INDEX(PeakCalc!$L$10:$L$303,MATCH(tblPivotData[[#This Row],[Time]],PeakCalc!$G$10:$G$303,0))</f>
        <v>0</v>
      </c>
    </row>
    <row r="550" spans="1:9" x14ac:dyDescent="0.25">
      <c r="A550" t="s">
        <v>96</v>
      </c>
      <c r="B550" t="s">
        <v>107</v>
      </c>
      <c r="C550" t="s">
        <v>93</v>
      </c>
      <c r="D550" t="s">
        <v>79</v>
      </c>
      <c r="E550" t="s">
        <v>91</v>
      </c>
      <c r="F550" s="6">
        <v>0.54166666666666663</v>
      </c>
      <c r="G550">
        <v>34</v>
      </c>
      <c r="H550" s="6">
        <f>FLOOR(tblPivotData[[#This Row],[Time]],Summary!$B$6/1440)</f>
        <v>0.54166666666666663</v>
      </c>
      <c r="I550">
        <f>INDEX(PeakCalc!$L$10:$L$303,MATCH(tblPivotData[[#This Row],[Time]],PeakCalc!$G$10:$G$303,0))</f>
        <v>1</v>
      </c>
    </row>
    <row r="551" spans="1:9" x14ac:dyDescent="0.25">
      <c r="A551" t="s">
        <v>96</v>
      </c>
      <c r="B551" t="s">
        <v>107</v>
      </c>
      <c r="C551" t="s">
        <v>93</v>
      </c>
      <c r="D551" t="s">
        <v>79</v>
      </c>
      <c r="E551" t="s">
        <v>91</v>
      </c>
      <c r="F551" s="6">
        <v>0.55208333333333337</v>
      </c>
      <c r="G551">
        <v>35</v>
      </c>
      <c r="H551" s="6">
        <f>FLOOR(tblPivotData[[#This Row],[Time]],Summary!$B$6/1440)</f>
        <v>0.55208333333333326</v>
      </c>
      <c r="I551">
        <f>INDEX(PeakCalc!$L$10:$L$303,MATCH(tblPivotData[[#This Row],[Time]],PeakCalc!$G$10:$G$303,0))</f>
        <v>1</v>
      </c>
    </row>
    <row r="552" spans="1:9" x14ac:dyDescent="0.25">
      <c r="A552" t="s">
        <v>96</v>
      </c>
      <c r="B552" t="s">
        <v>107</v>
      </c>
      <c r="C552" t="s">
        <v>93</v>
      </c>
      <c r="D552" t="s">
        <v>79</v>
      </c>
      <c r="E552" t="s">
        <v>91</v>
      </c>
      <c r="F552" s="6">
        <v>0.5625</v>
      </c>
      <c r="G552">
        <v>28</v>
      </c>
      <c r="H552" s="6">
        <f>FLOOR(tblPivotData[[#This Row],[Time]],Summary!$B$6/1440)</f>
        <v>0.5625</v>
      </c>
      <c r="I552">
        <f>INDEX(PeakCalc!$L$10:$L$303,MATCH(tblPivotData[[#This Row],[Time]],PeakCalc!$G$10:$G$303,0))</f>
        <v>1</v>
      </c>
    </row>
    <row r="553" spans="1:9" x14ac:dyDescent="0.25">
      <c r="A553" t="s">
        <v>96</v>
      </c>
      <c r="B553" t="s">
        <v>107</v>
      </c>
      <c r="C553" t="s">
        <v>93</v>
      </c>
      <c r="D553" t="s">
        <v>79</v>
      </c>
      <c r="E553" t="s">
        <v>91</v>
      </c>
      <c r="F553" s="6">
        <v>0.57291666666666663</v>
      </c>
      <c r="G553">
        <v>34</v>
      </c>
      <c r="H553" s="6">
        <f>FLOOR(tblPivotData[[#This Row],[Time]],Summary!$B$6/1440)</f>
        <v>0.57291666666666663</v>
      </c>
      <c r="I553">
        <f>INDEX(PeakCalc!$L$10:$L$303,MATCH(tblPivotData[[#This Row],[Time]],PeakCalc!$G$10:$G$303,0))</f>
        <v>1</v>
      </c>
    </row>
    <row r="554" spans="1:9" x14ac:dyDescent="0.25">
      <c r="A554" t="s">
        <v>96</v>
      </c>
      <c r="B554" t="s">
        <v>107</v>
      </c>
      <c r="C554" t="s">
        <v>93</v>
      </c>
      <c r="D554" t="s">
        <v>79</v>
      </c>
      <c r="E554" t="s">
        <v>44</v>
      </c>
      <c r="F554" s="6">
        <v>0.66666666666666663</v>
      </c>
      <c r="G554">
        <v>14</v>
      </c>
      <c r="H554" s="6">
        <f>FLOOR(tblPivotData[[#This Row],[Time]],Summary!$B$6/1440)</f>
        <v>0.66666666666666663</v>
      </c>
      <c r="I554">
        <f>INDEX(PeakCalc!$L$10:$L$303,MATCH(tblPivotData[[#This Row],[Time]],PeakCalc!$G$10:$G$303,0))</f>
        <v>0</v>
      </c>
    </row>
    <row r="555" spans="1:9" x14ac:dyDescent="0.25">
      <c r="A555" t="s">
        <v>96</v>
      </c>
      <c r="B555" t="s">
        <v>107</v>
      </c>
      <c r="C555" t="s">
        <v>93</v>
      </c>
      <c r="D555" t="s">
        <v>79</v>
      </c>
      <c r="E555" t="s">
        <v>44</v>
      </c>
      <c r="F555" s="6">
        <v>0.67708333333333337</v>
      </c>
      <c r="G555">
        <v>25</v>
      </c>
      <c r="H555" s="6">
        <f>FLOOR(tblPivotData[[#This Row],[Time]],Summary!$B$6/1440)</f>
        <v>0.67708333333333326</v>
      </c>
      <c r="I555">
        <f>INDEX(PeakCalc!$L$10:$L$303,MATCH(tblPivotData[[#This Row],[Time]],PeakCalc!$G$10:$G$303,0))</f>
        <v>0</v>
      </c>
    </row>
    <row r="556" spans="1:9" x14ac:dyDescent="0.25">
      <c r="A556" t="s">
        <v>96</v>
      </c>
      <c r="B556" t="s">
        <v>107</v>
      </c>
      <c r="C556" t="s">
        <v>93</v>
      </c>
      <c r="D556" t="s">
        <v>79</v>
      </c>
      <c r="E556" t="s">
        <v>44</v>
      </c>
      <c r="F556" s="6">
        <v>0.6875</v>
      </c>
      <c r="G556">
        <v>31</v>
      </c>
      <c r="H556" s="6">
        <f>FLOOR(tblPivotData[[#This Row],[Time]],Summary!$B$6/1440)</f>
        <v>0.6875</v>
      </c>
      <c r="I556">
        <f>INDEX(PeakCalc!$L$10:$L$303,MATCH(tblPivotData[[#This Row],[Time]],PeakCalc!$G$10:$G$303,0))</f>
        <v>1</v>
      </c>
    </row>
    <row r="557" spans="1:9" x14ac:dyDescent="0.25">
      <c r="A557" t="s">
        <v>96</v>
      </c>
      <c r="B557" t="s">
        <v>107</v>
      </c>
      <c r="C557" t="s">
        <v>93</v>
      </c>
      <c r="D557" t="s">
        <v>79</v>
      </c>
      <c r="E557" t="s">
        <v>44</v>
      </c>
      <c r="F557" s="6">
        <v>0.69791666666666663</v>
      </c>
      <c r="G557">
        <v>17</v>
      </c>
      <c r="H557" s="6">
        <f>FLOOR(tblPivotData[[#This Row],[Time]],Summary!$B$6/1440)</f>
        <v>0.69791666666666663</v>
      </c>
      <c r="I557">
        <f>INDEX(PeakCalc!$L$10:$L$303,MATCH(tblPivotData[[#This Row],[Time]],PeakCalc!$G$10:$G$303,0))</f>
        <v>1</v>
      </c>
    </row>
    <row r="558" spans="1:9" x14ac:dyDescent="0.25">
      <c r="A558" t="s">
        <v>96</v>
      </c>
      <c r="B558" t="s">
        <v>107</v>
      </c>
      <c r="C558" t="s">
        <v>93</v>
      </c>
      <c r="D558" t="s">
        <v>79</v>
      </c>
      <c r="E558" t="s">
        <v>44</v>
      </c>
      <c r="F558" s="6">
        <v>0.70833333333333337</v>
      </c>
      <c r="G558">
        <v>19</v>
      </c>
      <c r="H558" s="6">
        <f>FLOOR(tblPivotData[[#This Row],[Time]],Summary!$B$6/1440)</f>
        <v>0.70833333333333326</v>
      </c>
      <c r="I558">
        <f>INDEX(PeakCalc!$L$10:$L$303,MATCH(tblPivotData[[#This Row],[Time]],PeakCalc!$G$10:$G$303,0))</f>
        <v>1</v>
      </c>
    </row>
    <row r="559" spans="1:9" x14ac:dyDescent="0.25">
      <c r="A559" t="s">
        <v>96</v>
      </c>
      <c r="B559" t="s">
        <v>107</v>
      </c>
      <c r="C559" t="s">
        <v>93</v>
      </c>
      <c r="D559" t="s">
        <v>79</v>
      </c>
      <c r="E559" t="s">
        <v>44</v>
      </c>
      <c r="F559" s="6">
        <v>0.71875</v>
      </c>
      <c r="G559">
        <v>19</v>
      </c>
      <c r="H559" s="6">
        <f>FLOOR(tblPivotData[[#This Row],[Time]],Summary!$B$6/1440)</f>
        <v>0.71875</v>
      </c>
      <c r="I559">
        <f>INDEX(PeakCalc!$L$10:$L$303,MATCH(tblPivotData[[#This Row],[Time]],PeakCalc!$G$10:$G$303,0))</f>
        <v>1</v>
      </c>
    </row>
    <row r="560" spans="1:9" x14ac:dyDescent="0.25">
      <c r="A560" t="s">
        <v>96</v>
      </c>
      <c r="B560" t="s">
        <v>107</v>
      </c>
      <c r="C560" t="s">
        <v>93</v>
      </c>
      <c r="D560" t="s">
        <v>79</v>
      </c>
      <c r="E560" t="s">
        <v>44</v>
      </c>
      <c r="F560" s="6">
        <v>0.72916666666666663</v>
      </c>
      <c r="G560">
        <v>29</v>
      </c>
      <c r="H560" s="6">
        <f>FLOOR(tblPivotData[[#This Row],[Time]],Summary!$B$6/1440)</f>
        <v>0.72916666666666663</v>
      </c>
      <c r="I560">
        <f>INDEX(PeakCalc!$L$10:$L$303,MATCH(tblPivotData[[#This Row],[Time]],PeakCalc!$G$10:$G$303,0))</f>
        <v>0</v>
      </c>
    </row>
    <row r="561" spans="1:9" x14ac:dyDescent="0.25">
      <c r="A561" t="s">
        <v>96</v>
      </c>
      <c r="B561" t="s">
        <v>107</v>
      </c>
      <c r="C561" t="s">
        <v>93</v>
      </c>
      <c r="D561" t="s">
        <v>79</v>
      </c>
      <c r="E561" t="s">
        <v>44</v>
      </c>
      <c r="F561" s="6">
        <v>0.73958333333333337</v>
      </c>
      <c r="G561">
        <v>24</v>
      </c>
      <c r="H561" s="6">
        <f>FLOOR(tblPivotData[[#This Row],[Time]],Summary!$B$6/1440)</f>
        <v>0.73958333333333326</v>
      </c>
      <c r="I561">
        <f>INDEX(PeakCalc!$L$10:$L$303,MATCH(tblPivotData[[#This Row],[Time]],PeakCalc!$G$10:$G$303,0))</f>
        <v>0</v>
      </c>
    </row>
    <row r="562" spans="1:9" x14ac:dyDescent="0.25">
      <c r="A562" t="s">
        <v>96</v>
      </c>
      <c r="B562" t="s">
        <v>107</v>
      </c>
      <c r="C562" t="s">
        <v>93</v>
      </c>
      <c r="D562" t="s">
        <v>89</v>
      </c>
      <c r="E562" t="s">
        <v>43</v>
      </c>
      <c r="F562" s="6">
        <v>0.29166666666666669</v>
      </c>
      <c r="G562">
        <v>3</v>
      </c>
      <c r="H562" s="6">
        <f>FLOOR(tblPivotData[[#This Row],[Time]],Summary!$B$6/1440)</f>
        <v>0.29166666666666663</v>
      </c>
      <c r="I562">
        <f>INDEX(PeakCalc!$L$10:$L$303,MATCH(tblPivotData[[#This Row],[Time]],PeakCalc!$G$10:$G$303,0))</f>
        <v>1</v>
      </c>
    </row>
    <row r="563" spans="1:9" x14ac:dyDescent="0.25">
      <c r="A563" t="s">
        <v>96</v>
      </c>
      <c r="B563" t="s">
        <v>107</v>
      </c>
      <c r="C563" t="s">
        <v>93</v>
      </c>
      <c r="D563" t="s">
        <v>89</v>
      </c>
      <c r="E563" t="s">
        <v>43</v>
      </c>
      <c r="F563" s="6">
        <v>0.30208333333333331</v>
      </c>
      <c r="G563">
        <v>1</v>
      </c>
      <c r="H563" s="6">
        <f>FLOOR(tblPivotData[[#This Row],[Time]],Summary!$B$6/1440)</f>
        <v>0.30208333333333331</v>
      </c>
      <c r="I563">
        <f>INDEX(PeakCalc!$L$10:$L$303,MATCH(tblPivotData[[#This Row],[Time]],PeakCalc!$G$10:$G$303,0))</f>
        <v>1</v>
      </c>
    </row>
    <row r="564" spans="1:9" x14ac:dyDescent="0.25">
      <c r="A564" t="s">
        <v>96</v>
      </c>
      <c r="B564" t="s">
        <v>107</v>
      </c>
      <c r="C564" t="s">
        <v>93</v>
      </c>
      <c r="D564" t="s">
        <v>89</v>
      </c>
      <c r="E564" t="s">
        <v>43</v>
      </c>
      <c r="F564" s="6">
        <v>0.3125</v>
      </c>
      <c r="G564">
        <v>1</v>
      </c>
      <c r="H564" s="6">
        <f>FLOOR(tblPivotData[[#This Row],[Time]],Summary!$B$6/1440)</f>
        <v>0.3125</v>
      </c>
      <c r="I564">
        <f>INDEX(PeakCalc!$L$10:$L$303,MATCH(tblPivotData[[#This Row],[Time]],PeakCalc!$G$10:$G$303,0))</f>
        <v>1</v>
      </c>
    </row>
    <row r="565" spans="1:9" x14ac:dyDescent="0.25">
      <c r="A565" t="s">
        <v>96</v>
      </c>
      <c r="B565" t="s">
        <v>107</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107</v>
      </c>
      <c r="C566" t="s">
        <v>93</v>
      </c>
      <c r="D566" t="s">
        <v>89</v>
      </c>
      <c r="E566" t="s">
        <v>43</v>
      </c>
      <c r="F566" s="6">
        <v>0.33333333333333331</v>
      </c>
      <c r="G566">
        <v>1</v>
      </c>
      <c r="H566" s="6">
        <f>FLOOR(tblPivotData[[#This Row],[Time]],Summary!$B$6/1440)</f>
        <v>0.33333333333333331</v>
      </c>
      <c r="I566">
        <f>INDEX(PeakCalc!$L$10:$L$303,MATCH(tblPivotData[[#This Row],[Time]],PeakCalc!$G$10:$G$303,0))</f>
        <v>0</v>
      </c>
    </row>
    <row r="567" spans="1:9" x14ac:dyDescent="0.25">
      <c r="A567" t="s">
        <v>96</v>
      </c>
      <c r="B567" t="s">
        <v>107</v>
      </c>
      <c r="C567" t="s">
        <v>93</v>
      </c>
      <c r="D567" t="s">
        <v>89</v>
      </c>
      <c r="E567" t="s">
        <v>43</v>
      </c>
      <c r="F567" s="6">
        <v>0.34375</v>
      </c>
      <c r="G567">
        <v>3</v>
      </c>
      <c r="H567" s="6">
        <f>FLOOR(tblPivotData[[#This Row],[Time]],Summary!$B$6/1440)</f>
        <v>0.34375</v>
      </c>
      <c r="I567">
        <f>INDEX(PeakCalc!$L$10:$L$303,MATCH(tblPivotData[[#This Row],[Time]],PeakCalc!$G$10:$G$303,0))</f>
        <v>0</v>
      </c>
    </row>
    <row r="568" spans="1:9" x14ac:dyDescent="0.25">
      <c r="A568" t="s">
        <v>96</v>
      </c>
      <c r="B568" t="s">
        <v>107</v>
      </c>
      <c r="C568" t="s">
        <v>93</v>
      </c>
      <c r="D568" t="s">
        <v>89</v>
      </c>
      <c r="E568" t="s">
        <v>43</v>
      </c>
      <c r="F568" s="6">
        <v>0.35416666666666669</v>
      </c>
      <c r="G568">
        <v>3</v>
      </c>
      <c r="H568" s="6">
        <f>FLOOR(tblPivotData[[#This Row],[Time]],Summary!$B$6/1440)</f>
        <v>0.35416666666666663</v>
      </c>
      <c r="I568">
        <f>INDEX(PeakCalc!$L$10:$L$303,MATCH(tblPivotData[[#This Row],[Time]],PeakCalc!$G$10:$G$303,0))</f>
        <v>0</v>
      </c>
    </row>
    <row r="569" spans="1:9" x14ac:dyDescent="0.25">
      <c r="A569" t="s">
        <v>96</v>
      </c>
      <c r="B569" t="s">
        <v>107</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107</v>
      </c>
      <c r="C570" t="s">
        <v>93</v>
      </c>
      <c r="D570" t="s">
        <v>89</v>
      </c>
      <c r="E570" t="s">
        <v>91</v>
      </c>
      <c r="F570" s="6">
        <v>0.54166666666666663</v>
      </c>
      <c r="G570">
        <v>1</v>
      </c>
      <c r="H570" s="6">
        <f>FLOOR(tblPivotData[[#This Row],[Time]],Summary!$B$6/1440)</f>
        <v>0.54166666666666663</v>
      </c>
      <c r="I570">
        <f>INDEX(PeakCalc!$L$10:$L$303,MATCH(tblPivotData[[#This Row],[Time]],PeakCalc!$G$10:$G$303,0))</f>
        <v>1</v>
      </c>
    </row>
    <row r="571" spans="1:9" x14ac:dyDescent="0.25">
      <c r="A571" t="s">
        <v>96</v>
      </c>
      <c r="B571" t="s">
        <v>107</v>
      </c>
      <c r="C571" t="s">
        <v>93</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107</v>
      </c>
      <c r="C572" t="s">
        <v>93</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107</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107</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107</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107</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107</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107</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107</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107</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107</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107</v>
      </c>
      <c r="C582" t="s">
        <v>93</v>
      </c>
      <c r="D582" t="s">
        <v>90</v>
      </c>
      <c r="E582" t="s">
        <v>43</v>
      </c>
      <c r="F582" s="6">
        <v>0.29166666666666669</v>
      </c>
      <c r="G582">
        <v>0</v>
      </c>
      <c r="H582" s="6">
        <f>FLOOR(tblPivotData[[#This Row],[Time]],Summary!$B$6/1440)</f>
        <v>0.29166666666666663</v>
      </c>
      <c r="I582">
        <f>INDEX(PeakCalc!$L$10:$L$303,MATCH(tblPivotData[[#This Row],[Time]],PeakCalc!$G$10:$G$303,0))</f>
        <v>1</v>
      </c>
    </row>
    <row r="583" spans="1:9" x14ac:dyDescent="0.25">
      <c r="A583" t="s">
        <v>96</v>
      </c>
      <c r="B583" t="s">
        <v>107</v>
      </c>
      <c r="C583" t="s">
        <v>93</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96</v>
      </c>
      <c r="B584" t="s">
        <v>107</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107</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107</v>
      </c>
      <c r="C586" t="s">
        <v>93</v>
      </c>
      <c r="D586" t="s">
        <v>90</v>
      </c>
      <c r="E586" t="s">
        <v>43</v>
      </c>
      <c r="F586" s="6">
        <v>0.33333333333333331</v>
      </c>
      <c r="G586">
        <v>0</v>
      </c>
      <c r="H586" s="6">
        <f>FLOOR(tblPivotData[[#This Row],[Time]],Summary!$B$6/1440)</f>
        <v>0.33333333333333331</v>
      </c>
      <c r="I586">
        <f>INDEX(PeakCalc!$L$10:$L$303,MATCH(tblPivotData[[#This Row],[Time]],PeakCalc!$G$10:$G$303,0))</f>
        <v>0</v>
      </c>
    </row>
    <row r="587" spans="1:9" x14ac:dyDescent="0.25">
      <c r="A587" t="s">
        <v>96</v>
      </c>
      <c r="B587" t="s">
        <v>107</v>
      </c>
      <c r="C587" t="s">
        <v>93</v>
      </c>
      <c r="D587" t="s">
        <v>90</v>
      </c>
      <c r="E587" t="s">
        <v>43</v>
      </c>
      <c r="F587" s="6">
        <v>0.34375</v>
      </c>
      <c r="G587">
        <v>0</v>
      </c>
      <c r="H587" s="6">
        <f>FLOOR(tblPivotData[[#This Row],[Time]],Summary!$B$6/1440)</f>
        <v>0.34375</v>
      </c>
      <c r="I587">
        <f>INDEX(PeakCalc!$L$10:$L$303,MATCH(tblPivotData[[#This Row],[Time]],PeakCalc!$G$10:$G$303,0))</f>
        <v>0</v>
      </c>
    </row>
    <row r="588" spans="1:9" x14ac:dyDescent="0.25">
      <c r="A588" t="s">
        <v>96</v>
      </c>
      <c r="B588" t="s">
        <v>107</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107</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107</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107</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107</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107</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107</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107</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107</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107</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107</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107</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107</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107</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108</v>
      </c>
      <c r="C602" t="s">
        <v>94</v>
      </c>
      <c r="D602" t="s">
        <v>79</v>
      </c>
      <c r="E602" t="s">
        <v>43</v>
      </c>
      <c r="F602" s="6">
        <v>0.29166666666666669</v>
      </c>
      <c r="G602">
        <v>395</v>
      </c>
      <c r="H602" s="6">
        <f>FLOOR(tblPivotData[[#This Row],[Time]],Summary!$B$6/1440)</f>
        <v>0.29166666666666663</v>
      </c>
      <c r="I602">
        <f>INDEX(PeakCalc!$L$10:$L$303,MATCH(tblPivotData[[#This Row],[Time]],PeakCalc!$G$10:$G$303,0))</f>
        <v>1</v>
      </c>
    </row>
    <row r="603" spans="1:9" x14ac:dyDescent="0.25">
      <c r="A603" t="s">
        <v>96</v>
      </c>
      <c r="B603" t="s">
        <v>108</v>
      </c>
      <c r="C603" t="s">
        <v>94</v>
      </c>
      <c r="D603" t="s">
        <v>79</v>
      </c>
      <c r="E603" t="s">
        <v>43</v>
      </c>
      <c r="F603" s="6">
        <v>0.30208333333333331</v>
      </c>
      <c r="G603">
        <v>410</v>
      </c>
      <c r="H603" s="6">
        <f>FLOOR(tblPivotData[[#This Row],[Time]],Summary!$B$6/1440)</f>
        <v>0.30208333333333331</v>
      </c>
      <c r="I603">
        <f>INDEX(PeakCalc!$L$10:$L$303,MATCH(tblPivotData[[#This Row],[Time]],PeakCalc!$G$10:$G$303,0))</f>
        <v>1</v>
      </c>
    </row>
    <row r="604" spans="1:9" x14ac:dyDescent="0.25">
      <c r="A604" t="s">
        <v>96</v>
      </c>
      <c r="B604" t="s">
        <v>108</v>
      </c>
      <c r="C604" t="s">
        <v>94</v>
      </c>
      <c r="D604" t="s">
        <v>79</v>
      </c>
      <c r="E604" t="s">
        <v>43</v>
      </c>
      <c r="F604" s="6">
        <v>0.3125</v>
      </c>
      <c r="G604">
        <v>391</v>
      </c>
      <c r="H604" s="6">
        <f>FLOOR(tblPivotData[[#This Row],[Time]],Summary!$B$6/1440)</f>
        <v>0.3125</v>
      </c>
      <c r="I604">
        <f>INDEX(PeakCalc!$L$10:$L$303,MATCH(tblPivotData[[#This Row],[Time]],PeakCalc!$G$10:$G$303,0))</f>
        <v>1</v>
      </c>
    </row>
    <row r="605" spans="1:9" x14ac:dyDescent="0.25">
      <c r="A605" t="s">
        <v>96</v>
      </c>
      <c r="B605" t="s">
        <v>108</v>
      </c>
      <c r="C605" t="s">
        <v>94</v>
      </c>
      <c r="D605" t="s">
        <v>79</v>
      </c>
      <c r="E605" t="s">
        <v>43</v>
      </c>
      <c r="F605" s="6">
        <v>0.32291666666666669</v>
      </c>
      <c r="G605">
        <v>373</v>
      </c>
      <c r="H605" s="6">
        <f>FLOOR(tblPivotData[[#This Row],[Time]],Summary!$B$6/1440)</f>
        <v>0.32291666666666663</v>
      </c>
      <c r="I605">
        <f>INDEX(PeakCalc!$L$10:$L$303,MATCH(tblPivotData[[#This Row],[Time]],PeakCalc!$G$10:$G$303,0))</f>
        <v>1</v>
      </c>
    </row>
    <row r="606" spans="1:9" x14ac:dyDescent="0.25">
      <c r="A606" t="s">
        <v>96</v>
      </c>
      <c r="B606" t="s">
        <v>108</v>
      </c>
      <c r="C606" t="s">
        <v>94</v>
      </c>
      <c r="D606" t="s">
        <v>79</v>
      </c>
      <c r="E606" t="s">
        <v>43</v>
      </c>
      <c r="F606" s="6">
        <v>0.33333333333333331</v>
      </c>
      <c r="G606">
        <v>377</v>
      </c>
      <c r="H606" s="6">
        <f>FLOOR(tblPivotData[[#This Row],[Time]],Summary!$B$6/1440)</f>
        <v>0.33333333333333331</v>
      </c>
      <c r="I606">
        <f>INDEX(PeakCalc!$L$10:$L$303,MATCH(tblPivotData[[#This Row],[Time]],PeakCalc!$G$10:$G$303,0))</f>
        <v>0</v>
      </c>
    </row>
    <row r="607" spans="1:9" x14ac:dyDescent="0.25">
      <c r="A607" t="s">
        <v>96</v>
      </c>
      <c r="B607" t="s">
        <v>108</v>
      </c>
      <c r="C607" t="s">
        <v>94</v>
      </c>
      <c r="D607" t="s">
        <v>79</v>
      </c>
      <c r="E607" t="s">
        <v>43</v>
      </c>
      <c r="F607" s="6">
        <v>0.34375</v>
      </c>
      <c r="G607">
        <v>358</v>
      </c>
      <c r="H607" s="6">
        <f>FLOOR(tblPivotData[[#This Row],[Time]],Summary!$B$6/1440)</f>
        <v>0.34375</v>
      </c>
      <c r="I607">
        <f>INDEX(PeakCalc!$L$10:$L$303,MATCH(tblPivotData[[#This Row],[Time]],PeakCalc!$G$10:$G$303,0))</f>
        <v>0</v>
      </c>
    </row>
    <row r="608" spans="1:9" x14ac:dyDescent="0.25">
      <c r="A608" t="s">
        <v>96</v>
      </c>
      <c r="B608" t="s">
        <v>108</v>
      </c>
      <c r="C608" t="s">
        <v>94</v>
      </c>
      <c r="D608" t="s">
        <v>79</v>
      </c>
      <c r="E608" t="s">
        <v>43</v>
      </c>
      <c r="F608" s="6">
        <v>0.35416666666666669</v>
      </c>
      <c r="G608">
        <v>353</v>
      </c>
      <c r="H608" s="6">
        <f>FLOOR(tblPivotData[[#This Row],[Time]],Summary!$B$6/1440)</f>
        <v>0.35416666666666663</v>
      </c>
      <c r="I608">
        <f>INDEX(PeakCalc!$L$10:$L$303,MATCH(tblPivotData[[#This Row],[Time]],PeakCalc!$G$10:$G$303,0))</f>
        <v>0</v>
      </c>
    </row>
    <row r="609" spans="1:9" x14ac:dyDescent="0.25">
      <c r="A609" t="s">
        <v>96</v>
      </c>
      <c r="B609" t="s">
        <v>108</v>
      </c>
      <c r="C609" t="s">
        <v>94</v>
      </c>
      <c r="D609" t="s">
        <v>79</v>
      </c>
      <c r="E609" t="s">
        <v>43</v>
      </c>
      <c r="F609" s="6">
        <v>0.36458333333333331</v>
      </c>
      <c r="G609">
        <v>324</v>
      </c>
      <c r="H609" s="6">
        <f>FLOOR(tblPivotData[[#This Row],[Time]],Summary!$B$6/1440)</f>
        <v>0.36458333333333331</v>
      </c>
      <c r="I609">
        <f>INDEX(PeakCalc!$L$10:$L$303,MATCH(tblPivotData[[#This Row],[Time]],PeakCalc!$G$10:$G$303,0))</f>
        <v>0</v>
      </c>
    </row>
    <row r="610" spans="1:9" x14ac:dyDescent="0.25">
      <c r="A610" t="s">
        <v>96</v>
      </c>
      <c r="B610" t="s">
        <v>108</v>
      </c>
      <c r="C610" t="s">
        <v>94</v>
      </c>
      <c r="D610" t="s">
        <v>79</v>
      </c>
      <c r="E610" t="s">
        <v>91</v>
      </c>
      <c r="F610" s="6">
        <v>0.54166666666666663</v>
      </c>
      <c r="G610">
        <v>288</v>
      </c>
      <c r="H610" s="6">
        <f>FLOOR(tblPivotData[[#This Row],[Time]],Summary!$B$6/1440)</f>
        <v>0.54166666666666663</v>
      </c>
      <c r="I610">
        <f>INDEX(PeakCalc!$L$10:$L$303,MATCH(tblPivotData[[#This Row],[Time]],PeakCalc!$G$10:$G$303,0))</f>
        <v>1</v>
      </c>
    </row>
    <row r="611" spans="1:9" x14ac:dyDescent="0.25">
      <c r="A611" t="s">
        <v>96</v>
      </c>
      <c r="B611" t="s">
        <v>108</v>
      </c>
      <c r="C611" t="s">
        <v>94</v>
      </c>
      <c r="D611" t="s">
        <v>79</v>
      </c>
      <c r="E611" t="s">
        <v>91</v>
      </c>
      <c r="F611" s="6">
        <v>0.55208333333333337</v>
      </c>
      <c r="G611">
        <v>317</v>
      </c>
      <c r="H611" s="6">
        <f>FLOOR(tblPivotData[[#This Row],[Time]],Summary!$B$6/1440)</f>
        <v>0.55208333333333326</v>
      </c>
      <c r="I611">
        <f>INDEX(PeakCalc!$L$10:$L$303,MATCH(tblPivotData[[#This Row],[Time]],PeakCalc!$G$10:$G$303,0))</f>
        <v>1</v>
      </c>
    </row>
    <row r="612" spans="1:9" x14ac:dyDescent="0.25">
      <c r="A612" t="s">
        <v>96</v>
      </c>
      <c r="B612" t="s">
        <v>108</v>
      </c>
      <c r="C612" t="s">
        <v>94</v>
      </c>
      <c r="D612" t="s">
        <v>79</v>
      </c>
      <c r="E612" t="s">
        <v>91</v>
      </c>
      <c r="F612" s="6">
        <v>0.5625</v>
      </c>
      <c r="G612">
        <v>314</v>
      </c>
      <c r="H612" s="6">
        <f>FLOOR(tblPivotData[[#This Row],[Time]],Summary!$B$6/1440)</f>
        <v>0.5625</v>
      </c>
      <c r="I612">
        <f>INDEX(PeakCalc!$L$10:$L$303,MATCH(tblPivotData[[#This Row],[Time]],PeakCalc!$G$10:$G$303,0))</f>
        <v>1</v>
      </c>
    </row>
    <row r="613" spans="1:9" x14ac:dyDescent="0.25">
      <c r="A613" t="s">
        <v>96</v>
      </c>
      <c r="B613" t="s">
        <v>108</v>
      </c>
      <c r="C613" t="s">
        <v>94</v>
      </c>
      <c r="D613" t="s">
        <v>79</v>
      </c>
      <c r="E613" t="s">
        <v>91</v>
      </c>
      <c r="F613" s="6">
        <v>0.57291666666666663</v>
      </c>
      <c r="G613">
        <v>306</v>
      </c>
      <c r="H613" s="6">
        <f>FLOOR(tblPivotData[[#This Row],[Time]],Summary!$B$6/1440)</f>
        <v>0.57291666666666663</v>
      </c>
      <c r="I613">
        <f>INDEX(PeakCalc!$L$10:$L$303,MATCH(tblPivotData[[#This Row],[Time]],PeakCalc!$G$10:$G$303,0))</f>
        <v>1</v>
      </c>
    </row>
    <row r="614" spans="1:9" x14ac:dyDescent="0.25">
      <c r="A614" t="s">
        <v>96</v>
      </c>
      <c r="B614" t="s">
        <v>108</v>
      </c>
      <c r="C614" t="s">
        <v>94</v>
      </c>
      <c r="D614" t="s">
        <v>79</v>
      </c>
      <c r="E614" t="s">
        <v>44</v>
      </c>
      <c r="F614" s="6">
        <v>0.66666666666666663</v>
      </c>
      <c r="G614">
        <v>411</v>
      </c>
      <c r="H614" s="6">
        <f>FLOOR(tblPivotData[[#This Row],[Time]],Summary!$B$6/1440)</f>
        <v>0.66666666666666663</v>
      </c>
      <c r="I614">
        <f>INDEX(PeakCalc!$L$10:$L$303,MATCH(tblPivotData[[#This Row],[Time]],PeakCalc!$G$10:$G$303,0))</f>
        <v>0</v>
      </c>
    </row>
    <row r="615" spans="1:9" x14ac:dyDescent="0.25">
      <c r="A615" t="s">
        <v>96</v>
      </c>
      <c r="B615" t="s">
        <v>108</v>
      </c>
      <c r="C615" t="s">
        <v>94</v>
      </c>
      <c r="D615" t="s">
        <v>79</v>
      </c>
      <c r="E615" t="s">
        <v>44</v>
      </c>
      <c r="F615" s="6">
        <v>0.67708333333333337</v>
      </c>
      <c r="G615">
        <v>342</v>
      </c>
      <c r="H615" s="6">
        <f>FLOOR(tblPivotData[[#This Row],[Time]],Summary!$B$6/1440)</f>
        <v>0.67708333333333326</v>
      </c>
      <c r="I615">
        <f>INDEX(PeakCalc!$L$10:$L$303,MATCH(tblPivotData[[#This Row],[Time]],PeakCalc!$G$10:$G$303,0))</f>
        <v>0</v>
      </c>
    </row>
    <row r="616" spans="1:9" x14ac:dyDescent="0.25">
      <c r="A616" t="s">
        <v>96</v>
      </c>
      <c r="B616" t="s">
        <v>108</v>
      </c>
      <c r="C616" t="s">
        <v>94</v>
      </c>
      <c r="D616" t="s">
        <v>79</v>
      </c>
      <c r="E616" t="s">
        <v>44</v>
      </c>
      <c r="F616" s="6">
        <v>0.6875</v>
      </c>
      <c r="G616">
        <v>438</v>
      </c>
      <c r="H616" s="6">
        <f>FLOOR(tblPivotData[[#This Row],[Time]],Summary!$B$6/1440)</f>
        <v>0.6875</v>
      </c>
      <c r="I616">
        <f>INDEX(PeakCalc!$L$10:$L$303,MATCH(tblPivotData[[#This Row],[Time]],PeakCalc!$G$10:$G$303,0))</f>
        <v>1</v>
      </c>
    </row>
    <row r="617" spans="1:9" x14ac:dyDescent="0.25">
      <c r="A617" t="s">
        <v>96</v>
      </c>
      <c r="B617" t="s">
        <v>108</v>
      </c>
      <c r="C617" t="s">
        <v>94</v>
      </c>
      <c r="D617" t="s">
        <v>79</v>
      </c>
      <c r="E617" t="s">
        <v>44</v>
      </c>
      <c r="F617" s="6">
        <v>0.69791666666666663</v>
      </c>
      <c r="G617">
        <v>426</v>
      </c>
      <c r="H617" s="6">
        <f>FLOOR(tblPivotData[[#This Row],[Time]],Summary!$B$6/1440)</f>
        <v>0.69791666666666663</v>
      </c>
      <c r="I617">
        <f>INDEX(PeakCalc!$L$10:$L$303,MATCH(tblPivotData[[#This Row],[Time]],PeakCalc!$G$10:$G$303,0))</f>
        <v>1</v>
      </c>
    </row>
    <row r="618" spans="1:9" x14ac:dyDescent="0.25">
      <c r="A618" t="s">
        <v>96</v>
      </c>
      <c r="B618" t="s">
        <v>108</v>
      </c>
      <c r="C618" t="s">
        <v>94</v>
      </c>
      <c r="D618" t="s">
        <v>79</v>
      </c>
      <c r="E618" t="s">
        <v>44</v>
      </c>
      <c r="F618" s="6">
        <v>0.70833333333333337</v>
      </c>
      <c r="G618">
        <v>451</v>
      </c>
      <c r="H618" s="6">
        <f>FLOOR(tblPivotData[[#This Row],[Time]],Summary!$B$6/1440)</f>
        <v>0.70833333333333326</v>
      </c>
      <c r="I618">
        <f>INDEX(PeakCalc!$L$10:$L$303,MATCH(tblPivotData[[#This Row],[Time]],PeakCalc!$G$10:$G$303,0))</f>
        <v>1</v>
      </c>
    </row>
    <row r="619" spans="1:9" x14ac:dyDescent="0.25">
      <c r="A619" t="s">
        <v>96</v>
      </c>
      <c r="B619" t="s">
        <v>108</v>
      </c>
      <c r="C619" t="s">
        <v>94</v>
      </c>
      <c r="D619" t="s">
        <v>79</v>
      </c>
      <c r="E619" t="s">
        <v>44</v>
      </c>
      <c r="F619" s="6">
        <v>0.71875</v>
      </c>
      <c r="G619">
        <v>417</v>
      </c>
      <c r="H619" s="6">
        <f>FLOOR(tblPivotData[[#This Row],[Time]],Summary!$B$6/1440)</f>
        <v>0.71875</v>
      </c>
      <c r="I619">
        <f>INDEX(PeakCalc!$L$10:$L$303,MATCH(tblPivotData[[#This Row],[Time]],PeakCalc!$G$10:$G$303,0))</f>
        <v>1</v>
      </c>
    </row>
    <row r="620" spans="1:9" x14ac:dyDescent="0.25">
      <c r="A620" t="s">
        <v>96</v>
      </c>
      <c r="B620" t="s">
        <v>108</v>
      </c>
      <c r="C620" t="s">
        <v>94</v>
      </c>
      <c r="D620" t="s">
        <v>79</v>
      </c>
      <c r="E620" t="s">
        <v>44</v>
      </c>
      <c r="F620" s="6">
        <v>0.72916666666666663</v>
      </c>
      <c r="G620">
        <v>395</v>
      </c>
      <c r="H620" s="6">
        <f>FLOOR(tblPivotData[[#This Row],[Time]],Summary!$B$6/1440)</f>
        <v>0.72916666666666663</v>
      </c>
      <c r="I620">
        <f>INDEX(PeakCalc!$L$10:$L$303,MATCH(tblPivotData[[#This Row],[Time]],PeakCalc!$G$10:$G$303,0))</f>
        <v>0</v>
      </c>
    </row>
    <row r="621" spans="1:9" x14ac:dyDescent="0.25">
      <c r="A621" t="s">
        <v>96</v>
      </c>
      <c r="B621" t="s">
        <v>108</v>
      </c>
      <c r="C621" t="s">
        <v>94</v>
      </c>
      <c r="D621" t="s">
        <v>79</v>
      </c>
      <c r="E621" t="s">
        <v>44</v>
      </c>
      <c r="F621" s="6">
        <v>0.73958333333333337</v>
      </c>
      <c r="G621">
        <v>384</v>
      </c>
      <c r="H621" s="6">
        <f>FLOOR(tblPivotData[[#This Row],[Time]],Summary!$B$6/1440)</f>
        <v>0.73958333333333326</v>
      </c>
      <c r="I621">
        <f>INDEX(PeakCalc!$L$10:$L$303,MATCH(tblPivotData[[#This Row],[Time]],PeakCalc!$G$10:$G$303,0))</f>
        <v>0</v>
      </c>
    </row>
    <row r="622" spans="1:9" x14ac:dyDescent="0.25">
      <c r="A622" t="s">
        <v>96</v>
      </c>
      <c r="B622" t="s">
        <v>108</v>
      </c>
      <c r="C622" t="s">
        <v>94</v>
      </c>
      <c r="D622" t="s">
        <v>89</v>
      </c>
      <c r="E622" t="s">
        <v>43</v>
      </c>
      <c r="F622" s="6">
        <v>0.29166666666666669</v>
      </c>
      <c r="G622">
        <v>28</v>
      </c>
      <c r="H622" s="6">
        <f>FLOOR(tblPivotData[[#This Row],[Time]],Summary!$B$6/1440)</f>
        <v>0.29166666666666663</v>
      </c>
      <c r="I622">
        <f>INDEX(PeakCalc!$L$10:$L$303,MATCH(tblPivotData[[#This Row],[Time]],PeakCalc!$G$10:$G$303,0))</f>
        <v>1</v>
      </c>
    </row>
    <row r="623" spans="1:9" x14ac:dyDescent="0.25">
      <c r="A623" t="s">
        <v>96</v>
      </c>
      <c r="B623" t="s">
        <v>108</v>
      </c>
      <c r="C623" t="s">
        <v>94</v>
      </c>
      <c r="D623" t="s">
        <v>89</v>
      </c>
      <c r="E623" t="s">
        <v>43</v>
      </c>
      <c r="F623" s="6">
        <v>0.30208333333333331</v>
      </c>
      <c r="G623">
        <v>13</v>
      </c>
      <c r="H623" s="6">
        <f>FLOOR(tblPivotData[[#This Row],[Time]],Summary!$B$6/1440)</f>
        <v>0.30208333333333331</v>
      </c>
      <c r="I623">
        <f>INDEX(PeakCalc!$L$10:$L$303,MATCH(tblPivotData[[#This Row],[Time]],PeakCalc!$G$10:$G$303,0))</f>
        <v>1</v>
      </c>
    </row>
    <row r="624" spans="1:9" x14ac:dyDescent="0.25">
      <c r="A624" t="s">
        <v>96</v>
      </c>
      <c r="B624" t="s">
        <v>108</v>
      </c>
      <c r="C624" t="s">
        <v>94</v>
      </c>
      <c r="D624" t="s">
        <v>89</v>
      </c>
      <c r="E624" t="s">
        <v>43</v>
      </c>
      <c r="F624" s="6">
        <v>0.3125</v>
      </c>
      <c r="G624">
        <v>31</v>
      </c>
      <c r="H624" s="6">
        <f>FLOOR(tblPivotData[[#This Row],[Time]],Summary!$B$6/1440)</f>
        <v>0.3125</v>
      </c>
      <c r="I624">
        <f>INDEX(PeakCalc!$L$10:$L$303,MATCH(tblPivotData[[#This Row],[Time]],PeakCalc!$G$10:$G$303,0))</f>
        <v>1</v>
      </c>
    </row>
    <row r="625" spans="1:9" x14ac:dyDescent="0.25">
      <c r="A625" t="s">
        <v>96</v>
      </c>
      <c r="B625" t="s">
        <v>108</v>
      </c>
      <c r="C625" t="s">
        <v>94</v>
      </c>
      <c r="D625" t="s">
        <v>89</v>
      </c>
      <c r="E625" t="s">
        <v>43</v>
      </c>
      <c r="F625" s="6">
        <v>0.32291666666666669</v>
      </c>
      <c r="G625">
        <v>33</v>
      </c>
      <c r="H625" s="6">
        <f>FLOOR(tblPivotData[[#This Row],[Time]],Summary!$B$6/1440)</f>
        <v>0.32291666666666663</v>
      </c>
      <c r="I625">
        <f>INDEX(PeakCalc!$L$10:$L$303,MATCH(tblPivotData[[#This Row],[Time]],PeakCalc!$G$10:$G$303,0))</f>
        <v>1</v>
      </c>
    </row>
    <row r="626" spans="1:9" x14ac:dyDescent="0.25">
      <c r="A626" t="s">
        <v>96</v>
      </c>
      <c r="B626" t="s">
        <v>108</v>
      </c>
      <c r="C626" t="s">
        <v>94</v>
      </c>
      <c r="D626" t="s">
        <v>89</v>
      </c>
      <c r="E626" t="s">
        <v>43</v>
      </c>
      <c r="F626" s="6">
        <v>0.33333333333333331</v>
      </c>
      <c r="G626">
        <v>35</v>
      </c>
      <c r="H626" s="6">
        <f>FLOOR(tblPivotData[[#This Row],[Time]],Summary!$B$6/1440)</f>
        <v>0.33333333333333331</v>
      </c>
      <c r="I626">
        <f>INDEX(PeakCalc!$L$10:$L$303,MATCH(tblPivotData[[#This Row],[Time]],PeakCalc!$G$10:$G$303,0))</f>
        <v>0</v>
      </c>
    </row>
    <row r="627" spans="1:9" x14ac:dyDescent="0.25">
      <c r="A627" t="s">
        <v>96</v>
      </c>
      <c r="B627" t="s">
        <v>108</v>
      </c>
      <c r="C627" t="s">
        <v>94</v>
      </c>
      <c r="D627" t="s">
        <v>89</v>
      </c>
      <c r="E627" t="s">
        <v>43</v>
      </c>
      <c r="F627" s="6">
        <v>0.34375</v>
      </c>
      <c r="G627">
        <v>26</v>
      </c>
      <c r="H627" s="6">
        <f>FLOOR(tblPivotData[[#This Row],[Time]],Summary!$B$6/1440)</f>
        <v>0.34375</v>
      </c>
      <c r="I627">
        <f>INDEX(PeakCalc!$L$10:$L$303,MATCH(tblPivotData[[#This Row],[Time]],PeakCalc!$G$10:$G$303,0))</f>
        <v>0</v>
      </c>
    </row>
    <row r="628" spans="1:9" x14ac:dyDescent="0.25">
      <c r="A628" t="s">
        <v>96</v>
      </c>
      <c r="B628" t="s">
        <v>108</v>
      </c>
      <c r="C628" t="s">
        <v>94</v>
      </c>
      <c r="D628" t="s">
        <v>89</v>
      </c>
      <c r="E628" t="s">
        <v>43</v>
      </c>
      <c r="F628" s="6">
        <v>0.35416666666666669</v>
      </c>
      <c r="G628">
        <v>44</v>
      </c>
      <c r="H628" s="6">
        <f>FLOOR(tblPivotData[[#This Row],[Time]],Summary!$B$6/1440)</f>
        <v>0.35416666666666663</v>
      </c>
      <c r="I628">
        <f>INDEX(PeakCalc!$L$10:$L$303,MATCH(tblPivotData[[#This Row],[Time]],PeakCalc!$G$10:$G$303,0))</f>
        <v>0</v>
      </c>
    </row>
    <row r="629" spans="1:9" x14ac:dyDescent="0.25">
      <c r="A629" t="s">
        <v>96</v>
      </c>
      <c r="B629" t="s">
        <v>108</v>
      </c>
      <c r="C629" t="s">
        <v>94</v>
      </c>
      <c r="D629" t="s">
        <v>89</v>
      </c>
      <c r="E629" t="s">
        <v>43</v>
      </c>
      <c r="F629" s="6">
        <v>0.36458333333333331</v>
      </c>
      <c r="G629">
        <v>52</v>
      </c>
      <c r="H629" s="6">
        <f>FLOOR(tblPivotData[[#This Row],[Time]],Summary!$B$6/1440)</f>
        <v>0.36458333333333331</v>
      </c>
      <c r="I629">
        <f>INDEX(PeakCalc!$L$10:$L$303,MATCH(tblPivotData[[#This Row],[Time]],PeakCalc!$G$10:$G$303,0))</f>
        <v>0</v>
      </c>
    </row>
    <row r="630" spans="1:9" x14ac:dyDescent="0.25">
      <c r="A630" t="s">
        <v>96</v>
      </c>
      <c r="B630" t="s">
        <v>108</v>
      </c>
      <c r="C630" t="s">
        <v>94</v>
      </c>
      <c r="D630" t="s">
        <v>89</v>
      </c>
      <c r="E630" t="s">
        <v>91</v>
      </c>
      <c r="F630" s="6">
        <v>0.54166666666666663</v>
      </c>
      <c r="G630">
        <v>47</v>
      </c>
      <c r="H630" s="6">
        <f>FLOOR(tblPivotData[[#This Row],[Time]],Summary!$B$6/1440)</f>
        <v>0.54166666666666663</v>
      </c>
      <c r="I630">
        <f>INDEX(PeakCalc!$L$10:$L$303,MATCH(tblPivotData[[#This Row],[Time]],PeakCalc!$G$10:$G$303,0))</f>
        <v>1</v>
      </c>
    </row>
    <row r="631" spans="1:9" x14ac:dyDescent="0.25">
      <c r="A631" t="s">
        <v>96</v>
      </c>
      <c r="B631" t="s">
        <v>108</v>
      </c>
      <c r="C631" t="s">
        <v>94</v>
      </c>
      <c r="D631" t="s">
        <v>89</v>
      </c>
      <c r="E631" t="s">
        <v>91</v>
      </c>
      <c r="F631" s="6">
        <v>0.55208333333333337</v>
      </c>
      <c r="G631">
        <v>45</v>
      </c>
      <c r="H631" s="6">
        <f>FLOOR(tblPivotData[[#This Row],[Time]],Summary!$B$6/1440)</f>
        <v>0.55208333333333326</v>
      </c>
      <c r="I631">
        <f>INDEX(PeakCalc!$L$10:$L$303,MATCH(tblPivotData[[#This Row],[Time]],PeakCalc!$G$10:$G$303,0))</f>
        <v>1</v>
      </c>
    </row>
    <row r="632" spans="1:9" x14ac:dyDescent="0.25">
      <c r="A632" t="s">
        <v>96</v>
      </c>
      <c r="B632" t="s">
        <v>108</v>
      </c>
      <c r="C632" t="s">
        <v>94</v>
      </c>
      <c r="D632" t="s">
        <v>89</v>
      </c>
      <c r="E632" t="s">
        <v>91</v>
      </c>
      <c r="F632" s="6">
        <v>0.5625</v>
      </c>
      <c r="G632">
        <v>45</v>
      </c>
      <c r="H632" s="6">
        <f>FLOOR(tblPivotData[[#This Row],[Time]],Summary!$B$6/1440)</f>
        <v>0.5625</v>
      </c>
      <c r="I632">
        <f>INDEX(PeakCalc!$L$10:$L$303,MATCH(tblPivotData[[#This Row],[Time]],PeakCalc!$G$10:$G$303,0))</f>
        <v>1</v>
      </c>
    </row>
    <row r="633" spans="1:9" x14ac:dyDescent="0.25">
      <c r="A633" t="s">
        <v>96</v>
      </c>
      <c r="B633" t="s">
        <v>108</v>
      </c>
      <c r="C633" t="s">
        <v>94</v>
      </c>
      <c r="D633" t="s">
        <v>89</v>
      </c>
      <c r="E633" t="s">
        <v>91</v>
      </c>
      <c r="F633" s="6">
        <v>0.57291666666666663</v>
      </c>
      <c r="G633">
        <v>52</v>
      </c>
      <c r="H633" s="6">
        <f>FLOOR(tblPivotData[[#This Row],[Time]],Summary!$B$6/1440)</f>
        <v>0.57291666666666663</v>
      </c>
      <c r="I633">
        <f>INDEX(PeakCalc!$L$10:$L$303,MATCH(tblPivotData[[#This Row],[Time]],PeakCalc!$G$10:$G$303,0))</f>
        <v>1</v>
      </c>
    </row>
    <row r="634" spans="1:9" x14ac:dyDescent="0.25">
      <c r="A634" t="s">
        <v>96</v>
      </c>
      <c r="B634" t="s">
        <v>108</v>
      </c>
      <c r="C634" t="s">
        <v>94</v>
      </c>
      <c r="D634" t="s">
        <v>89</v>
      </c>
      <c r="E634" t="s">
        <v>44</v>
      </c>
      <c r="F634" s="6">
        <v>0.66666666666666663</v>
      </c>
      <c r="G634">
        <v>28</v>
      </c>
      <c r="H634" s="6">
        <f>FLOOR(tblPivotData[[#This Row],[Time]],Summary!$B$6/1440)</f>
        <v>0.66666666666666663</v>
      </c>
      <c r="I634">
        <f>INDEX(PeakCalc!$L$10:$L$303,MATCH(tblPivotData[[#This Row],[Time]],PeakCalc!$G$10:$G$303,0))</f>
        <v>0</v>
      </c>
    </row>
    <row r="635" spans="1:9" x14ac:dyDescent="0.25">
      <c r="A635" t="s">
        <v>96</v>
      </c>
      <c r="B635" t="s">
        <v>108</v>
      </c>
      <c r="C635" t="s">
        <v>94</v>
      </c>
      <c r="D635" t="s">
        <v>89</v>
      </c>
      <c r="E635" t="s">
        <v>44</v>
      </c>
      <c r="F635" s="6">
        <v>0.67708333333333337</v>
      </c>
      <c r="G635">
        <v>13</v>
      </c>
      <c r="H635" s="6">
        <f>FLOOR(tblPivotData[[#This Row],[Time]],Summary!$B$6/1440)</f>
        <v>0.67708333333333326</v>
      </c>
      <c r="I635">
        <f>INDEX(PeakCalc!$L$10:$L$303,MATCH(tblPivotData[[#This Row],[Time]],PeakCalc!$G$10:$G$303,0))</f>
        <v>0</v>
      </c>
    </row>
    <row r="636" spans="1:9" x14ac:dyDescent="0.25">
      <c r="A636" t="s">
        <v>96</v>
      </c>
      <c r="B636" t="s">
        <v>108</v>
      </c>
      <c r="C636" t="s">
        <v>94</v>
      </c>
      <c r="D636" t="s">
        <v>89</v>
      </c>
      <c r="E636" t="s">
        <v>44</v>
      </c>
      <c r="F636" s="6">
        <v>0.6875</v>
      </c>
      <c r="G636">
        <v>14</v>
      </c>
      <c r="H636" s="6">
        <f>FLOOR(tblPivotData[[#This Row],[Time]],Summary!$B$6/1440)</f>
        <v>0.6875</v>
      </c>
      <c r="I636">
        <f>INDEX(PeakCalc!$L$10:$L$303,MATCH(tblPivotData[[#This Row],[Time]],PeakCalc!$G$10:$G$303,0))</f>
        <v>1</v>
      </c>
    </row>
    <row r="637" spans="1:9" x14ac:dyDescent="0.25">
      <c r="A637" t="s">
        <v>96</v>
      </c>
      <c r="B637" t="s">
        <v>108</v>
      </c>
      <c r="C637" t="s">
        <v>94</v>
      </c>
      <c r="D637" t="s">
        <v>89</v>
      </c>
      <c r="E637" t="s">
        <v>44</v>
      </c>
      <c r="F637" s="6">
        <v>0.69791666666666663</v>
      </c>
      <c r="G637">
        <v>13</v>
      </c>
      <c r="H637" s="6">
        <f>FLOOR(tblPivotData[[#This Row],[Time]],Summary!$B$6/1440)</f>
        <v>0.69791666666666663</v>
      </c>
      <c r="I637">
        <f>INDEX(PeakCalc!$L$10:$L$303,MATCH(tblPivotData[[#This Row],[Time]],PeakCalc!$G$10:$G$303,0))</f>
        <v>1</v>
      </c>
    </row>
    <row r="638" spans="1:9" x14ac:dyDescent="0.25">
      <c r="A638" t="s">
        <v>96</v>
      </c>
      <c r="B638" t="s">
        <v>108</v>
      </c>
      <c r="C638" t="s">
        <v>94</v>
      </c>
      <c r="D638" t="s">
        <v>89</v>
      </c>
      <c r="E638" t="s">
        <v>44</v>
      </c>
      <c r="F638" s="6">
        <v>0.70833333333333337</v>
      </c>
      <c r="G638">
        <v>6</v>
      </c>
      <c r="H638" s="6">
        <f>FLOOR(tblPivotData[[#This Row],[Time]],Summary!$B$6/1440)</f>
        <v>0.70833333333333326</v>
      </c>
      <c r="I638">
        <f>INDEX(PeakCalc!$L$10:$L$303,MATCH(tblPivotData[[#This Row],[Time]],PeakCalc!$G$10:$G$303,0))</f>
        <v>1</v>
      </c>
    </row>
    <row r="639" spans="1:9" x14ac:dyDescent="0.25">
      <c r="A639" t="s">
        <v>96</v>
      </c>
      <c r="B639" t="s">
        <v>108</v>
      </c>
      <c r="C639" t="s">
        <v>94</v>
      </c>
      <c r="D639" t="s">
        <v>89</v>
      </c>
      <c r="E639" t="s">
        <v>44</v>
      </c>
      <c r="F639" s="6">
        <v>0.71875</v>
      </c>
      <c r="G639">
        <v>8</v>
      </c>
      <c r="H639" s="6">
        <f>FLOOR(tblPivotData[[#This Row],[Time]],Summary!$B$6/1440)</f>
        <v>0.71875</v>
      </c>
      <c r="I639">
        <f>INDEX(PeakCalc!$L$10:$L$303,MATCH(tblPivotData[[#This Row],[Time]],PeakCalc!$G$10:$G$303,0))</f>
        <v>1</v>
      </c>
    </row>
    <row r="640" spans="1:9" x14ac:dyDescent="0.25">
      <c r="A640" t="s">
        <v>96</v>
      </c>
      <c r="B640" t="s">
        <v>108</v>
      </c>
      <c r="C640" t="s">
        <v>94</v>
      </c>
      <c r="D640" t="s">
        <v>89</v>
      </c>
      <c r="E640" t="s">
        <v>44</v>
      </c>
      <c r="F640" s="6">
        <v>0.72916666666666663</v>
      </c>
      <c r="G640">
        <v>12</v>
      </c>
      <c r="H640" s="6">
        <f>FLOOR(tblPivotData[[#This Row],[Time]],Summary!$B$6/1440)</f>
        <v>0.72916666666666663</v>
      </c>
      <c r="I640">
        <f>INDEX(PeakCalc!$L$10:$L$303,MATCH(tblPivotData[[#This Row],[Time]],PeakCalc!$G$10:$G$303,0))</f>
        <v>0</v>
      </c>
    </row>
    <row r="641" spans="1:9" x14ac:dyDescent="0.25">
      <c r="A641" t="s">
        <v>96</v>
      </c>
      <c r="B641" t="s">
        <v>108</v>
      </c>
      <c r="C641" t="s">
        <v>94</v>
      </c>
      <c r="D641" t="s">
        <v>89</v>
      </c>
      <c r="E641" t="s">
        <v>44</v>
      </c>
      <c r="F641" s="6">
        <v>0.73958333333333337</v>
      </c>
      <c r="G641">
        <v>5</v>
      </c>
      <c r="H641" s="6">
        <f>FLOOR(tblPivotData[[#This Row],[Time]],Summary!$B$6/1440)</f>
        <v>0.73958333333333326</v>
      </c>
      <c r="I641">
        <f>INDEX(PeakCalc!$L$10:$L$303,MATCH(tblPivotData[[#This Row],[Time]],PeakCalc!$G$10:$G$303,0))</f>
        <v>0</v>
      </c>
    </row>
    <row r="642" spans="1:9" x14ac:dyDescent="0.25">
      <c r="A642" t="s">
        <v>96</v>
      </c>
      <c r="B642" t="s">
        <v>108</v>
      </c>
      <c r="C642" t="s">
        <v>94</v>
      </c>
      <c r="D642" t="s">
        <v>90</v>
      </c>
      <c r="E642" t="s">
        <v>43</v>
      </c>
      <c r="F642" s="6">
        <v>0.29166666666666669</v>
      </c>
      <c r="G642">
        <v>1</v>
      </c>
      <c r="H642" s="6">
        <f>FLOOR(tblPivotData[[#This Row],[Time]],Summary!$B$6/1440)</f>
        <v>0.29166666666666663</v>
      </c>
      <c r="I642">
        <f>INDEX(PeakCalc!$L$10:$L$303,MATCH(tblPivotData[[#This Row],[Time]],PeakCalc!$G$10:$G$303,0))</f>
        <v>1</v>
      </c>
    </row>
    <row r="643" spans="1:9" x14ac:dyDescent="0.25">
      <c r="A643" t="s">
        <v>96</v>
      </c>
      <c r="B643" t="s">
        <v>108</v>
      </c>
      <c r="C643" t="s">
        <v>94</v>
      </c>
      <c r="D643" t="s">
        <v>90</v>
      </c>
      <c r="E643" t="s">
        <v>43</v>
      </c>
      <c r="F643" s="6">
        <v>0.30208333333333331</v>
      </c>
      <c r="G643">
        <v>1</v>
      </c>
      <c r="H643" s="6">
        <f>FLOOR(tblPivotData[[#This Row],[Time]],Summary!$B$6/1440)</f>
        <v>0.30208333333333331</v>
      </c>
      <c r="I643">
        <f>INDEX(PeakCalc!$L$10:$L$303,MATCH(tblPivotData[[#This Row],[Time]],PeakCalc!$G$10:$G$303,0))</f>
        <v>1</v>
      </c>
    </row>
    <row r="644" spans="1:9" x14ac:dyDescent="0.25">
      <c r="A644" t="s">
        <v>96</v>
      </c>
      <c r="B644" t="s">
        <v>108</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108</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108</v>
      </c>
      <c r="C646" t="s">
        <v>94</v>
      </c>
      <c r="D646" t="s">
        <v>90</v>
      </c>
      <c r="E646" t="s">
        <v>43</v>
      </c>
      <c r="F646" s="6">
        <v>0.33333333333333331</v>
      </c>
      <c r="G646">
        <v>0</v>
      </c>
      <c r="H646" s="6">
        <f>FLOOR(tblPivotData[[#This Row],[Time]],Summary!$B$6/1440)</f>
        <v>0.33333333333333331</v>
      </c>
      <c r="I646">
        <f>INDEX(PeakCalc!$L$10:$L$303,MATCH(tblPivotData[[#This Row],[Time]],PeakCalc!$G$10:$G$303,0))</f>
        <v>0</v>
      </c>
    </row>
    <row r="647" spans="1:9" x14ac:dyDescent="0.25">
      <c r="A647" t="s">
        <v>96</v>
      </c>
      <c r="B647" t="s">
        <v>108</v>
      </c>
      <c r="C647" t="s">
        <v>94</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108</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108</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108</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108</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108</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108</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108</v>
      </c>
      <c r="C654" t="s">
        <v>94</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108</v>
      </c>
      <c r="C655" t="s">
        <v>94</v>
      </c>
      <c r="D655" t="s">
        <v>90</v>
      </c>
      <c r="E655" t="s">
        <v>44</v>
      </c>
      <c r="F655" s="6">
        <v>0.67708333333333337</v>
      </c>
      <c r="G655">
        <v>1</v>
      </c>
      <c r="H655" s="6">
        <f>FLOOR(tblPivotData[[#This Row],[Time]],Summary!$B$6/1440)</f>
        <v>0.67708333333333326</v>
      </c>
      <c r="I655">
        <f>INDEX(PeakCalc!$L$10:$L$303,MATCH(tblPivotData[[#This Row],[Time]],PeakCalc!$G$10:$G$303,0))</f>
        <v>0</v>
      </c>
    </row>
    <row r="656" spans="1:9" x14ac:dyDescent="0.25">
      <c r="A656" t="s">
        <v>96</v>
      </c>
      <c r="B656" t="s">
        <v>108</v>
      </c>
      <c r="C656" t="s">
        <v>94</v>
      </c>
      <c r="D656" t="s">
        <v>90</v>
      </c>
      <c r="E656" t="s">
        <v>44</v>
      </c>
      <c r="F656" s="6">
        <v>0.6875</v>
      </c>
      <c r="G656">
        <v>2</v>
      </c>
      <c r="H656" s="6">
        <f>FLOOR(tblPivotData[[#This Row],[Time]],Summary!$B$6/1440)</f>
        <v>0.6875</v>
      </c>
      <c r="I656">
        <f>INDEX(PeakCalc!$L$10:$L$303,MATCH(tblPivotData[[#This Row],[Time]],PeakCalc!$G$10:$G$303,0))</f>
        <v>1</v>
      </c>
    </row>
    <row r="657" spans="1:9" x14ac:dyDescent="0.25">
      <c r="A657" t="s">
        <v>96</v>
      </c>
      <c r="B657" t="s">
        <v>108</v>
      </c>
      <c r="C657" t="s">
        <v>94</v>
      </c>
      <c r="D657" t="s">
        <v>90</v>
      </c>
      <c r="E657" t="s">
        <v>44</v>
      </c>
      <c r="F657" s="6">
        <v>0.69791666666666663</v>
      </c>
      <c r="G657">
        <v>2</v>
      </c>
      <c r="H657" s="6">
        <f>FLOOR(tblPivotData[[#This Row],[Time]],Summary!$B$6/1440)</f>
        <v>0.69791666666666663</v>
      </c>
      <c r="I657">
        <f>INDEX(PeakCalc!$L$10:$L$303,MATCH(tblPivotData[[#This Row],[Time]],PeakCalc!$G$10:$G$303,0))</f>
        <v>1</v>
      </c>
    </row>
    <row r="658" spans="1:9" x14ac:dyDescent="0.25">
      <c r="A658" t="s">
        <v>96</v>
      </c>
      <c r="B658" t="s">
        <v>108</v>
      </c>
      <c r="C658" t="s">
        <v>94</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108</v>
      </c>
      <c r="C659" t="s">
        <v>94</v>
      </c>
      <c r="D659" t="s">
        <v>90</v>
      </c>
      <c r="E659" t="s">
        <v>44</v>
      </c>
      <c r="F659" s="6">
        <v>0.71875</v>
      </c>
      <c r="G659">
        <v>1</v>
      </c>
      <c r="H659" s="6">
        <f>FLOOR(tblPivotData[[#This Row],[Time]],Summary!$B$6/1440)</f>
        <v>0.71875</v>
      </c>
      <c r="I659">
        <f>INDEX(PeakCalc!$L$10:$L$303,MATCH(tblPivotData[[#This Row],[Time]],PeakCalc!$G$10:$G$303,0))</f>
        <v>1</v>
      </c>
    </row>
    <row r="660" spans="1:9" x14ac:dyDescent="0.25">
      <c r="A660" t="s">
        <v>96</v>
      </c>
      <c r="B660" t="s">
        <v>108</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108</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109</v>
      </c>
      <c r="C662" t="s">
        <v>95</v>
      </c>
      <c r="D662" t="s">
        <v>79</v>
      </c>
      <c r="E662" t="s">
        <v>43</v>
      </c>
      <c r="F662" s="6">
        <v>0.29166666666666669</v>
      </c>
      <c r="G662">
        <v>3</v>
      </c>
      <c r="H662" s="6">
        <f>FLOOR(tblPivotData[[#This Row],[Time]],Summary!$B$6/1440)</f>
        <v>0.29166666666666663</v>
      </c>
      <c r="I662">
        <f>INDEX(PeakCalc!$L$10:$L$303,MATCH(tblPivotData[[#This Row],[Time]],PeakCalc!$G$10:$G$303,0))</f>
        <v>1</v>
      </c>
    </row>
    <row r="663" spans="1:9" x14ac:dyDescent="0.25">
      <c r="A663" t="s">
        <v>96</v>
      </c>
      <c r="B663" t="s">
        <v>109</v>
      </c>
      <c r="C663" t="s">
        <v>95</v>
      </c>
      <c r="D663" t="s">
        <v>79</v>
      </c>
      <c r="E663" t="s">
        <v>43</v>
      </c>
      <c r="F663" s="6">
        <v>0.30208333333333331</v>
      </c>
      <c r="G663">
        <v>7</v>
      </c>
      <c r="H663" s="6">
        <f>FLOOR(tblPivotData[[#This Row],[Time]],Summary!$B$6/1440)</f>
        <v>0.30208333333333331</v>
      </c>
      <c r="I663">
        <f>INDEX(PeakCalc!$L$10:$L$303,MATCH(tblPivotData[[#This Row],[Time]],PeakCalc!$G$10:$G$303,0))</f>
        <v>1</v>
      </c>
    </row>
    <row r="664" spans="1:9" x14ac:dyDescent="0.25">
      <c r="A664" t="s">
        <v>96</v>
      </c>
      <c r="B664" t="s">
        <v>109</v>
      </c>
      <c r="C664" t="s">
        <v>95</v>
      </c>
      <c r="D664" t="s">
        <v>79</v>
      </c>
      <c r="E664" t="s">
        <v>43</v>
      </c>
      <c r="F664" s="6">
        <v>0.3125</v>
      </c>
      <c r="G664">
        <v>6</v>
      </c>
      <c r="H664" s="6">
        <f>FLOOR(tblPivotData[[#This Row],[Time]],Summary!$B$6/1440)</f>
        <v>0.3125</v>
      </c>
      <c r="I664">
        <f>INDEX(PeakCalc!$L$10:$L$303,MATCH(tblPivotData[[#This Row],[Time]],PeakCalc!$G$10:$G$303,0))</f>
        <v>1</v>
      </c>
    </row>
    <row r="665" spans="1:9" x14ac:dyDescent="0.25">
      <c r="A665" t="s">
        <v>96</v>
      </c>
      <c r="B665" t="s">
        <v>109</v>
      </c>
      <c r="C665" t="s">
        <v>95</v>
      </c>
      <c r="D665" t="s">
        <v>79</v>
      </c>
      <c r="E665" t="s">
        <v>43</v>
      </c>
      <c r="F665" s="6">
        <v>0.32291666666666669</v>
      </c>
      <c r="G665">
        <v>4</v>
      </c>
      <c r="H665" s="6">
        <f>FLOOR(tblPivotData[[#This Row],[Time]],Summary!$B$6/1440)</f>
        <v>0.32291666666666663</v>
      </c>
      <c r="I665">
        <f>INDEX(PeakCalc!$L$10:$L$303,MATCH(tblPivotData[[#This Row],[Time]],PeakCalc!$G$10:$G$303,0))</f>
        <v>1</v>
      </c>
    </row>
    <row r="666" spans="1:9" x14ac:dyDescent="0.25">
      <c r="A666" t="s">
        <v>96</v>
      </c>
      <c r="B666" t="s">
        <v>109</v>
      </c>
      <c r="C666" t="s">
        <v>95</v>
      </c>
      <c r="D666" t="s">
        <v>79</v>
      </c>
      <c r="E666" t="s">
        <v>43</v>
      </c>
      <c r="F666" s="6">
        <v>0.33333333333333331</v>
      </c>
      <c r="G666">
        <v>5</v>
      </c>
      <c r="H666" s="6">
        <f>FLOOR(tblPivotData[[#This Row],[Time]],Summary!$B$6/1440)</f>
        <v>0.33333333333333331</v>
      </c>
      <c r="I666">
        <f>INDEX(PeakCalc!$L$10:$L$303,MATCH(tblPivotData[[#This Row],[Time]],PeakCalc!$G$10:$G$303,0))</f>
        <v>0</v>
      </c>
    </row>
    <row r="667" spans="1:9" x14ac:dyDescent="0.25">
      <c r="A667" t="s">
        <v>96</v>
      </c>
      <c r="B667" t="s">
        <v>109</v>
      </c>
      <c r="C667" t="s">
        <v>95</v>
      </c>
      <c r="D667" t="s">
        <v>79</v>
      </c>
      <c r="E667" t="s">
        <v>43</v>
      </c>
      <c r="F667" s="6">
        <v>0.34375</v>
      </c>
      <c r="G667">
        <v>1</v>
      </c>
      <c r="H667" s="6">
        <f>FLOOR(tblPivotData[[#This Row],[Time]],Summary!$B$6/1440)</f>
        <v>0.34375</v>
      </c>
      <c r="I667">
        <f>INDEX(PeakCalc!$L$10:$L$303,MATCH(tblPivotData[[#This Row],[Time]],PeakCalc!$G$10:$G$303,0))</f>
        <v>0</v>
      </c>
    </row>
    <row r="668" spans="1:9" x14ac:dyDescent="0.25">
      <c r="A668" t="s">
        <v>96</v>
      </c>
      <c r="B668" t="s">
        <v>109</v>
      </c>
      <c r="C668" t="s">
        <v>95</v>
      </c>
      <c r="D668" t="s">
        <v>79</v>
      </c>
      <c r="E668" t="s">
        <v>43</v>
      </c>
      <c r="F668" s="6">
        <v>0.35416666666666669</v>
      </c>
      <c r="G668">
        <v>8</v>
      </c>
      <c r="H668" s="6">
        <f>FLOOR(tblPivotData[[#This Row],[Time]],Summary!$B$6/1440)</f>
        <v>0.35416666666666663</v>
      </c>
      <c r="I668">
        <f>INDEX(PeakCalc!$L$10:$L$303,MATCH(tblPivotData[[#This Row],[Time]],PeakCalc!$G$10:$G$303,0))</f>
        <v>0</v>
      </c>
    </row>
    <row r="669" spans="1:9" x14ac:dyDescent="0.25">
      <c r="A669" t="s">
        <v>96</v>
      </c>
      <c r="B669" t="s">
        <v>109</v>
      </c>
      <c r="C669" t="s">
        <v>95</v>
      </c>
      <c r="D669" t="s">
        <v>79</v>
      </c>
      <c r="E669" t="s">
        <v>43</v>
      </c>
      <c r="F669" s="6">
        <v>0.36458333333333331</v>
      </c>
      <c r="G669">
        <v>4</v>
      </c>
      <c r="H669" s="6">
        <f>FLOOR(tblPivotData[[#This Row],[Time]],Summary!$B$6/1440)</f>
        <v>0.36458333333333331</v>
      </c>
      <c r="I669">
        <f>INDEX(PeakCalc!$L$10:$L$303,MATCH(tblPivotData[[#This Row],[Time]],PeakCalc!$G$10:$G$303,0))</f>
        <v>0</v>
      </c>
    </row>
    <row r="670" spans="1:9" x14ac:dyDescent="0.25">
      <c r="A670" t="s">
        <v>96</v>
      </c>
      <c r="B670" t="s">
        <v>109</v>
      </c>
      <c r="C670" t="s">
        <v>95</v>
      </c>
      <c r="D670" t="s">
        <v>79</v>
      </c>
      <c r="E670" t="s">
        <v>91</v>
      </c>
      <c r="F670" s="6">
        <v>0.54166666666666663</v>
      </c>
      <c r="G670">
        <v>12</v>
      </c>
      <c r="H670" s="6">
        <f>FLOOR(tblPivotData[[#This Row],[Time]],Summary!$B$6/1440)</f>
        <v>0.54166666666666663</v>
      </c>
      <c r="I670">
        <f>INDEX(PeakCalc!$L$10:$L$303,MATCH(tblPivotData[[#This Row],[Time]],PeakCalc!$G$10:$G$303,0))</f>
        <v>1</v>
      </c>
    </row>
    <row r="671" spans="1:9" x14ac:dyDescent="0.25">
      <c r="A671" t="s">
        <v>96</v>
      </c>
      <c r="B671" t="s">
        <v>109</v>
      </c>
      <c r="C671" t="s">
        <v>95</v>
      </c>
      <c r="D671" t="s">
        <v>79</v>
      </c>
      <c r="E671" t="s">
        <v>91</v>
      </c>
      <c r="F671" s="6">
        <v>0.55208333333333337</v>
      </c>
      <c r="G671">
        <v>8</v>
      </c>
      <c r="H671" s="6">
        <f>FLOOR(tblPivotData[[#This Row],[Time]],Summary!$B$6/1440)</f>
        <v>0.55208333333333326</v>
      </c>
      <c r="I671">
        <f>INDEX(PeakCalc!$L$10:$L$303,MATCH(tblPivotData[[#This Row],[Time]],PeakCalc!$G$10:$G$303,0))</f>
        <v>1</v>
      </c>
    </row>
    <row r="672" spans="1:9" x14ac:dyDescent="0.25">
      <c r="A672" t="s">
        <v>96</v>
      </c>
      <c r="B672" t="s">
        <v>109</v>
      </c>
      <c r="C672" t="s">
        <v>95</v>
      </c>
      <c r="D672" t="s">
        <v>79</v>
      </c>
      <c r="E672" t="s">
        <v>91</v>
      </c>
      <c r="F672" s="6">
        <v>0.5625</v>
      </c>
      <c r="G672">
        <v>10</v>
      </c>
      <c r="H672" s="6">
        <f>FLOOR(tblPivotData[[#This Row],[Time]],Summary!$B$6/1440)</f>
        <v>0.5625</v>
      </c>
      <c r="I672">
        <f>INDEX(PeakCalc!$L$10:$L$303,MATCH(tblPivotData[[#This Row],[Time]],PeakCalc!$G$10:$G$303,0))</f>
        <v>1</v>
      </c>
    </row>
    <row r="673" spans="1:9" x14ac:dyDescent="0.25">
      <c r="A673" t="s">
        <v>96</v>
      </c>
      <c r="B673" t="s">
        <v>109</v>
      </c>
      <c r="C673" t="s">
        <v>95</v>
      </c>
      <c r="D673" t="s">
        <v>79</v>
      </c>
      <c r="E673" t="s">
        <v>91</v>
      </c>
      <c r="F673" s="6">
        <v>0.57291666666666663</v>
      </c>
      <c r="G673">
        <v>15</v>
      </c>
      <c r="H673" s="6">
        <f>FLOOR(tblPivotData[[#This Row],[Time]],Summary!$B$6/1440)</f>
        <v>0.57291666666666663</v>
      </c>
      <c r="I673">
        <f>INDEX(PeakCalc!$L$10:$L$303,MATCH(tblPivotData[[#This Row],[Time]],PeakCalc!$G$10:$G$303,0))</f>
        <v>1</v>
      </c>
    </row>
    <row r="674" spans="1:9" x14ac:dyDescent="0.25">
      <c r="A674" t="s">
        <v>96</v>
      </c>
      <c r="B674" t="s">
        <v>109</v>
      </c>
      <c r="C674" t="s">
        <v>95</v>
      </c>
      <c r="D674" t="s">
        <v>79</v>
      </c>
      <c r="E674" t="s">
        <v>44</v>
      </c>
      <c r="F674" s="6">
        <v>0.66666666666666663</v>
      </c>
      <c r="G674">
        <v>19</v>
      </c>
      <c r="H674" s="6">
        <f>FLOOR(tblPivotData[[#This Row],[Time]],Summary!$B$6/1440)</f>
        <v>0.66666666666666663</v>
      </c>
      <c r="I674">
        <f>INDEX(PeakCalc!$L$10:$L$303,MATCH(tblPivotData[[#This Row],[Time]],PeakCalc!$G$10:$G$303,0))</f>
        <v>0</v>
      </c>
    </row>
    <row r="675" spans="1:9" x14ac:dyDescent="0.25">
      <c r="A675" t="s">
        <v>96</v>
      </c>
      <c r="B675" t="s">
        <v>109</v>
      </c>
      <c r="C675" t="s">
        <v>95</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96</v>
      </c>
      <c r="B676" t="s">
        <v>109</v>
      </c>
      <c r="C676" t="s">
        <v>95</v>
      </c>
      <c r="D676" t="s">
        <v>79</v>
      </c>
      <c r="E676" t="s">
        <v>44</v>
      </c>
      <c r="F676" s="6">
        <v>0.6875</v>
      </c>
      <c r="G676">
        <v>20</v>
      </c>
      <c r="H676" s="6">
        <f>FLOOR(tblPivotData[[#This Row],[Time]],Summary!$B$6/1440)</f>
        <v>0.6875</v>
      </c>
      <c r="I676">
        <f>INDEX(PeakCalc!$L$10:$L$303,MATCH(tblPivotData[[#This Row],[Time]],PeakCalc!$G$10:$G$303,0))</f>
        <v>1</v>
      </c>
    </row>
    <row r="677" spans="1:9" x14ac:dyDescent="0.25">
      <c r="A677" t="s">
        <v>96</v>
      </c>
      <c r="B677" t="s">
        <v>109</v>
      </c>
      <c r="C677" t="s">
        <v>95</v>
      </c>
      <c r="D677" t="s">
        <v>79</v>
      </c>
      <c r="E677" t="s">
        <v>44</v>
      </c>
      <c r="F677" s="6">
        <v>0.69791666666666663</v>
      </c>
      <c r="G677">
        <v>16</v>
      </c>
      <c r="H677" s="6">
        <f>FLOOR(tblPivotData[[#This Row],[Time]],Summary!$B$6/1440)</f>
        <v>0.69791666666666663</v>
      </c>
      <c r="I677">
        <f>INDEX(PeakCalc!$L$10:$L$303,MATCH(tblPivotData[[#This Row],[Time]],PeakCalc!$G$10:$G$303,0))</f>
        <v>1</v>
      </c>
    </row>
    <row r="678" spans="1:9" x14ac:dyDescent="0.25">
      <c r="A678" t="s">
        <v>96</v>
      </c>
      <c r="B678" t="s">
        <v>109</v>
      </c>
      <c r="C678" t="s">
        <v>95</v>
      </c>
      <c r="D678" t="s">
        <v>79</v>
      </c>
      <c r="E678" t="s">
        <v>44</v>
      </c>
      <c r="F678" s="6">
        <v>0.70833333333333337</v>
      </c>
      <c r="G678">
        <v>10</v>
      </c>
      <c r="H678" s="6">
        <f>FLOOR(tblPivotData[[#This Row],[Time]],Summary!$B$6/1440)</f>
        <v>0.70833333333333326</v>
      </c>
      <c r="I678">
        <f>INDEX(PeakCalc!$L$10:$L$303,MATCH(tblPivotData[[#This Row],[Time]],PeakCalc!$G$10:$G$303,0))</f>
        <v>1</v>
      </c>
    </row>
    <row r="679" spans="1:9" x14ac:dyDescent="0.25">
      <c r="A679" t="s">
        <v>96</v>
      </c>
      <c r="B679" t="s">
        <v>109</v>
      </c>
      <c r="C679" t="s">
        <v>95</v>
      </c>
      <c r="D679" t="s">
        <v>79</v>
      </c>
      <c r="E679" t="s">
        <v>44</v>
      </c>
      <c r="F679" s="6">
        <v>0.71875</v>
      </c>
      <c r="G679">
        <v>18</v>
      </c>
      <c r="H679" s="6">
        <f>FLOOR(tblPivotData[[#This Row],[Time]],Summary!$B$6/1440)</f>
        <v>0.71875</v>
      </c>
      <c r="I679">
        <f>INDEX(PeakCalc!$L$10:$L$303,MATCH(tblPivotData[[#This Row],[Time]],PeakCalc!$G$10:$G$303,0))</f>
        <v>1</v>
      </c>
    </row>
    <row r="680" spans="1:9" x14ac:dyDescent="0.25">
      <c r="A680" t="s">
        <v>96</v>
      </c>
      <c r="B680" t="s">
        <v>109</v>
      </c>
      <c r="C680" t="s">
        <v>95</v>
      </c>
      <c r="D680" t="s">
        <v>79</v>
      </c>
      <c r="E680" t="s">
        <v>44</v>
      </c>
      <c r="F680" s="6">
        <v>0.72916666666666663</v>
      </c>
      <c r="G680">
        <v>10</v>
      </c>
      <c r="H680" s="6">
        <f>FLOOR(tblPivotData[[#This Row],[Time]],Summary!$B$6/1440)</f>
        <v>0.72916666666666663</v>
      </c>
      <c r="I680">
        <f>INDEX(PeakCalc!$L$10:$L$303,MATCH(tblPivotData[[#This Row],[Time]],PeakCalc!$G$10:$G$303,0))</f>
        <v>0</v>
      </c>
    </row>
    <row r="681" spans="1:9" x14ac:dyDescent="0.25">
      <c r="A681" t="s">
        <v>96</v>
      </c>
      <c r="B681" t="s">
        <v>109</v>
      </c>
      <c r="C681" t="s">
        <v>95</v>
      </c>
      <c r="D681" t="s">
        <v>79</v>
      </c>
      <c r="E681" t="s">
        <v>44</v>
      </c>
      <c r="F681" s="6">
        <v>0.73958333333333337</v>
      </c>
      <c r="G681">
        <v>16</v>
      </c>
      <c r="H681" s="6">
        <f>FLOOR(tblPivotData[[#This Row],[Time]],Summary!$B$6/1440)</f>
        <v>0.73958333333333326</v>
      </c>
      <c r="I681">
        <f>INDEX(PeakCalc!$L$10:$L$303,MATCH(tblPivotData[[#This Row],[Time]],PeakCalc!$G$10:$G$303,0))</f>
        <v>0</v>
      </c>
    </row>
    <row r="682" spans="1:9" x14ac:dyDescent="0.25">
      <c r="A682" t="s">
        <v>96</v>
      </c>
      <c r="B682" t="s">
        <v>109</v>
      </c>
      <c r="C682" t="s">
        <v>95</v>
      </c>
      <c r="D682" t="s">
        <v>89</v>
      </c>
      <c r="E682" t="s">
        <v>43</v>
      </c>
      <c r="F682" s="6">
        <v>0.29166666666666669</v>
      </c>
      <c r="G682">
        <v>0</v>
      </c>
      <c r="H682" s="6">
        <f>FLOOR(tblPivotData[[#This Row],[Time]],Summary!$B$6/1440)</f>
        <v>0.29166666666666663</v>
      </c>
      <c r="I682">
        <f>INDEX(PeakCalc!$L$10:$L$303,MATCH(tblPivotData[[#This Row],[Time]],PeakCalc!$G$10:$G$303,0))</f>
        <v>1</v>
      </c>
    </row>
    <row r="683" spans="1:9" x14ac:dyDescent="0.25">
      <c r="A683" t="s">
        <v>96</v>
      </c>
      <c r="B683" t="s">
        <v>109</v>
      </c>
      <c r="C683" t="s">
        <v>95</v>
      </c>
      <c r="D683" t="s">
        <v>89</v>
      </c>
      <c r="E683" t="s">
        <v>43</v>
      </c>
      <c r="F683" s="6">
        <v>0.30208333333333331</v>
      </c>
      <c r="G683">
        <v>1</v>
      </c>
      <c r="H683" s="6">
        <f>FLOOR(tblPivotData[[#This Row],[Time]],Summary!$B$6/1440)</f>
        <v>0.30208333333333331</v>
      </c>
      <c r="I683">
        <f>INDEX(PeakCalc!$L$10:$L$303,MATCH(tblPivotData[[#This Row],[Time]],PeakCalc!$G$10:$G$303,0))</f>
        <v>1</v>
      </c>
    </row>
    <row r="684" spans="1:9" x14ac:dyDescent="0.25">
      <c r="A684" t="s">
        <v>96</v>
      </c>
      <c r="B684" t="s">
        <v>109</v>
      </c>
      <c r="C684" t="s">
        <v>95</v>
      </c>
      <c r="D684" t="s">
        <v>89</v>
      </c>
      <c r="E684" t="s">
        <v>43</v>
      </c>
      <c r="F684" s="6">
        <v>0.3125</v>
      </c>
      <c r="G684">
        <v>0</v>
      </c>
      <c r="H684" s="6">
        <f>FLOOR(tblPivotData[[#This Row],[Time]],Summary!$B$6/1440)</f>
        <v>0.3125</v>
      </c>
      <c r="I684">
        <f>INDEX(PeakCalc!$L$10:$L$303,MATCH(tblPivotData[[#This Row],[Time]],PeakCalc!$G$10:$G$303,0))</f>
        <v>1</v>
      </c>
    </row>
    <row r="685" spans="1:9" x14ac:dyDescent="0.25">
      <c r="A685" t="s">
        <v>96</v>
      </c>
      <c r="B685" t="s">
        <v>109</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109</v>
      </c>
      <c r="C686" t="s">
        <v>95</v>
      </c>
      <c r="D686" t="s">
        <v>89</v>
      </c>
      <c r="E686" t="s">
        <v>43</v>
      </c>
      <c r="F686" s="6">
        <v>0.33333333333333331</v>
      </c>
      <c r="G686">
        <v>1</v>
      </c>
      <c r="H686" s="6">
        <f>FLOOR(tblPivotData[[#This Row],[Time]],Summary!$B$6/1440)</f>
        <v>0.33333333333333331</v>
      </c>
      <c r="I686">
        <f>INDEX(PeakCalc!$L$10:$L$303,MATCH(tblPivotData[[#This Row],[Time]],PeakCalc!$G$10:$G$303,0))</f>
        <v>0</v>
      </c>
    </row>
    <row r="687" spans="1:9" x14ac:dyDescent="0.25">
      <c r="A687" t="s">
        <v>96</v>
      </c>
      <c r="B687" t="s">
        <v>109</v>
      </c>
      <c r="C687" t="s">
        <v>95</v>
      </c>
      <c r="D687" t="s">
        <v>89</v>
      </c>
      <c r="E687" t="s">
        <v>43</v>
      </c>
      <c r="F687" s="6">
        <v>0.34375</v>
      </c>
      <c r="G687">
        <v>2</v>
      </c>
      <c r="H687" s="6">
        <f>FLOOR(tblPivotData[[#This Row],[Time]],Summary!$B$6/1440)</f>
        <v>0.34375</v>
      </c>
      <c r="I687">
        <f>INDEX(PeakCalc!$L$10:$L$303,MATCH(tblPivotData[[#This Row],[Time]],PeakCalc!$G$10:$G$303,0))</f>
        <v>0</v>
      </c>
    </row>
    <row r="688" spans="1:9" x14ac:dyDescent="0.25">
      <c r="A688" t="s">
        <v>96</v>
      </c>
      <c r="B688" t="s">
        <v>109</v>
      </c>
      <c r="C688" t="s">
        <v>95</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96</v>
      </c>
      <c r="B689" t="s">
        <v>109</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109</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109</v>
      </c>
      <c r="C691" t="s">
        <v>95</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109</v>
      </c>
      <c r="C692" t="s">
        <v>95</v>
      </c>
      <c r="D692" t="s">
        <v>89</v>
      </c>
      <c r="E692" t="s">
        <v>91</v>
      </c>
      <c r="F692" s="6">
        <v>0.5625</v>
      </c>
      <c r="G692">
        <v>2</v>
      </c>
      <c r="H692" s="6">
        <f>FLOOR(tblPivotData[[#This Row],[Time]],Summary!$B$6/1440)</f>
        <v>0.5625</v>
      </c>
      <c r="I692">
        <f>INDEX(PeakCalc!$L$10:$L$303,MATCH(tblPivotData[[#This Row],[Time]],PeakCalc!$G$10:$G$303,0))</f>
        <v>1</v>
      </c>
    </row>
    <row r="693" spans="1:9" x14ac:dyDescent="0.25">
      <c r="A693" t="s">
        <v>96</v>
      </c>
      <c r="B693" t="s">
        <v>109</v>
      </c>
      <c r="C693" t="s">
        <v>95</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96</v>
      </c>
      <c r="B694" t="s">
        <v>109</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109</v>
      </c>
      <c r="C695" t="s">
        <v>95</v>
      </c>
      <c r="D695" t="s">
        <v>89</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96</v>
      </c>
      <c r="B696" t="s">
        <v>109</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109</v>
      </c>
      <c r="C697" t="s">
        <v>95</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96</v>
      </c>
      <c r="B698" t="s">
        <v>109</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109</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109</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109</v>
      </c>
      <c r="C701" t="s">
        <v>95</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96</v>
      </c>
      <c r="B702" t="s">
        <v>109</v>
      </c>
      <c r="C702" t="s">
        <v>95</v>
      </c>
      <c r="D702" t="s">
        <v>90</v>
      </c>
      <c r="E702" t="s">
        <v>43</v>
      </c>
      <c r="F702" s="6">
        <v>0.29166666666666669</v>
      </c>
      <c r="G702">
        <v>0</v>
      </c>
      <c r="H702" s="6">
        <f>FLOOR(tblPivotData[[#This Row],[Time]],Summary!$B$6/1440)</f>
        <v>0.29166666666666663</v>
      </c>
      <c r="I702">
        <f>INDEX(PeakCalc!$L$10:$L$303,MATCH(tblPivotData[[#This Row],[Time]],PeakCalc!$G$10:$G$303,0))</f>
        <v>1</v>
      </c>
    </row>
    <row r="703" spans="1:9" x14ac:dyDescent="0.25">
      <c r="A703" t="s">
        <v>96</v>
      </c>
      <c r="B703" t="s">
        <v>109</v>
      </c>
      <c r="C703" t="s">
        <v>95</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96</v>
      </c>
      <c r="B704" t="s">
        <v>109</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109</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109</v>
      </c>
      <c r="C706" t="s">
        <v>95</v>
      </c>
      <c r="D706" t="s">
        <v>90</v>
      </c>
      <c r="E706" t="s">
        <v>43</v>
      </c>
      <c r="F706" s="6">
        <v>0.33333333333333331</v>
      </c>
      <c r="G706">
        <v>0</v>
      </c>
      <c r="H706" s="6">
        <f>FLOOR(tblPivotData[[#This Row],[Time]],Summary!$B$6/1440)</f>
        <v>0.33333333333333331</v>
      </c>
      <c r="I706">
        <f>INDEX(PeakCalc!$L$10:$L$303,MATCH(tblPivotData[[#This Row],[Time]],PeakCalc!$G$10:$G$303,0))</f>
        <v>0</v>
      </c>
    </row>
    <row r="707" spans="1:9" x14ac:dyDescent="0.25">
      <c r="A707" t="s">
        <v>96</v>
      </c>
      <c r="B707" t="s">
        <v>109</v>
      </c>
      <c r="C707" t="s">
        <v>95</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109</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109</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109</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109</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109</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109</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109</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109</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109</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109</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109</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109</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109</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109</v>
      </c>
      <c r="C721" t="s">
        <v>95</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97</v>
      </c>
      <c r="C722" t="s">
        <v>96</v>
      </c>
      <c r="D722" t="s">
        <v>79</v>
      </c>
      <c r="E722" t="s">
        <v>43</v>
      </c>
      <c r="F722" s="6">
        <v>0.29166666666666669</v>
      </c>
      <c r="G722">
        <v>1</v>
      </c>
      <c r="H722" s="6">
        <f>FLOOR(tblPivotData[[#This Row],[Time]],Summary!$B$6/1440)</f>
        <v>0.29166666666666663</v>
      </c>
      <c r="I722">
        <f>INDEX(PeakCalc!$L$10:$L$303,MATCH(tblPivotData[[#This Row],[Time]],PeakCalc!$G$10:$G$303,0))</f>
        <v>1</v>
      </c>
    </row>
    <row r="723" spans="1:9" x14ac:dyDescent="0.25">
      <c r="A723" t="s">
        <v>96</v>
      </c>
      <c r="B723" t="s">
        <v>97</v>
      </c>
      <c r="C723" t="s">
        <v>96</v>
      </c>
      <c r="D723" t="s">
        <v>79</v>
      </c>
      <c r="E723" t="s">
        <v>43</v>
      </c>
      <c r="F723" s="6">
        <v>0.30208333333333331</v>
      </c>
      <c r="G723">
        <v>4</v>
      </c>
      <c r="H723" s="6">
        <f>FLOOR(tblPivotData[[#This Row],[Time]],Summary!$B$6/1440)</f>
        <v>0.30208333333333331</v>
      </c>
      <c r="I723">
        <f>INDEX(PeakCalc!$L$10:$L$303,MATCH(tblPivotData[[#This Row],[Time]],PeakCalc!$G$10:$G$303,0))</f>
        <v>1</v>
      </c>
    </row>
    <row r="724" spans="1:9" x14ac:dyDescent="0.25">
      <c r="A724" t="s">
        <v>96</v>
      </c>
      <c r="B724" t="s">
        <v>97</v>
      </c>
      <c r="C724" t="s">
        <v>96</v>
      </c>
      <c r="D724" t="s">
        <v>79</v>
      </c>
      <c r="E724" t="s">
        <v>43</v>
      </c>
      <c r="F724" s="6">
        <v>0.3125</v>
      </c>
      <c r="G724">
        <v>4</v>
      </c>
      <c r="H724" s="6">
        <f>FLOOR(tblPivotData[[#This Row],[Time]],Summary!$B$6/1440)</f>
        <v>0.3125</v>
      </c>
      <c r="I724">
        <f>INDEX(PeakCalc!$L$10:$L$303,MATCH(tblPivotData[[#This Row],[Time]],PeakCalc!$G$10:$G$303,0))</f>
        <v>1</v>
      </c>
    </row>
    <row r="725" spans="1:9" x14ac:dyDescent="0.25">
      <c r="A725" t="s">
        <v>96</v>
      </c>
      <c r="B725" t="s">
        <v>97</v>
      </c>
      <c r="C725" t="s">
        <v>96</v>
      </c>
      <c r="D725" t="s">
        <v>79</v>
      </c>
      <c r="E725" t="s">
        <v>43</v>
      </c>
      <c r="F725" s="6">
        <v>0.32291666666666669</v>
      </c>
      <c r="G725">
        <v>2</v>
      </c>
      <c r="H725" s="6">
        <f>FLOOR(tblPivotData[[#This Row],[Time]],Summary!$B$6/1440)</f>
        <v>0.32291666666666663</v>
      </c>
      <c r="I725">
        <f>INDEX(PeakCalc!$L$10:$L$303,MATCH(tblPivotData[[#This Row],[Time]],PeakCalc!$G$10:$G$303,0))</f>
        <v>1</v>
      </c>
    </row>
    <row r="726" spans="1:9" x14ac:dyDescent="0.25">
      <c r="A726" t="s">
        <v>96</v>
      </c>
      <c r="B726" t="s">
        <v>97</v>
      </c>
      <c r="C726" t="s">
        <v>96</v>
      </c>
      <c r="D726" t="s">
        <v>79</v>
      </c>
      <c r="E726" t="s">
        <v>43</v>
      </c>
      <c r="F726" s="6">
        <v>0.33333333333333331</v>
      </c>
      <c r="G726">
        <v>0</v>
      </c>
      <c r="H726" s="6">
        <f>FLOOR(tblPivotData[[#This Row],[Time]],Summary!$B$6/1440)</f>
        <v>0.33333333333333331</v>
      </c>
      <c r="I726">
        <f>INDEX(PeakCalc!$L$10:$L$303,MATCH(tblPivotData[[#This Row],[Time]],PeakCalc!$G$10:$G$303,0))</f>
        <v>0</v>
      </c>
    </row>
    <row r="727" spans="1:9" x14ac:dyDescent="0.25">
      <c r="A727" t="s">
        <v>96</v>
      </c>
      <c r="B727" t="s">
        <v>97</v>
      </c>
      <c r="C727" t="s">
        <v>96</v>
      </c>
      <c r="D727" t="s">
        <v>79</v>
      </c>
      <c r="E727" t="s">
        <v>43</v>
      </c>
      <c r="F727" s="6">
        <v>0.34375</v>
      </c>
      <c r="G727">
        <v>1</v>
      </c>
      <c r="H727" s="6">
        <f>FLOOR(tblPivotData[[#This Row],[Time]],Summary!$B$6/1440)</f>
        <v>0.34375</v>
      </c>
      <c r="I727">
        <f>INDEX(PeakCalc!$L$10:$L$303,MATCH(tblPivotData[[#This Row],[Time]],PeakCalc!$G$10:$G$303,0))</f>
        <v>0</v>
      </c>
    </row>
    <row r="728" spans="1:9" x14ac:dyDescent="0.25">
      <c r="A728" t="s">
        <v>96</v>
      </c>
      <c r="B728" t="s">
        <v>97</v>
      </c>
      <c r="C728" t="s">
        <v>96</v>
      </c>
      <c r="D728" t="s">
        <v>79</v>
      </c>
      <c r="E728" t="s">
        <v>43</v>
      </c>
      <c r="F728" s="6">
        <v>0.35416666666666669</v>
      </c>
      <c r="G728">
        <v>0</v>
      </c>
      <c r="H728" s="6">
        <f>FLOOR(tblPivotData[[#This Row],[Time]],Summary!$B$6/1440)</f>
        <v>0.35416666666666663</v>
      </c>
      <c r="I728">
        <f>INDEX(PeakCalc!$L$10:$L$303,MATCH(tblPivotData[[#This Row],[Time]],PeakCalc!$G$10:$G$303,0))</f>
        <v>0</v>
      </c>
    </row>
    <row r="729" spans="1:9" x14ac:dyDescent="0.25">
      <c r="A729" t="s">
        <v>96</v>
      </c>
      <c r="B729" t="s">
        <v>97</v>
      </c>
      <c r="C729" t="s">
        <v>96</v>
      </c>
      <c r="D729" t="s">
        <v>79</v>
      </c>
      <c r="E729" t="s">
        <v>43</v>
      </c>
      <c r="F729" s="6">
        <v>0.36458333333333331</v>
      </c>
      <c r="G729">
        <v>1</v>
      </c>
      <c r="H729" s="6">
        <f>FLOOR(tblPivotData[[#This Row],[Time]],Summary!$B$6/1440)</f>
        <v>0.36458333333333331</v>
      </c>
      <c r="I729">
        <f>INDEX(PeakCalc!$L$10:$L$303,MATCH(tblPivotData[[#This Row],[Time]],PeakCalc!$G$10:$G$303,0))</f>
        <v>0</v>
      </c>
    </row>
    <row r="730" spans="1:9" x14ac:dyDescent="0.25">
      <c r="A730" t="s">
        <v>96</v>
      </c>
      <c r="B730" t="s">
        <v>97</v>
      </c>
      <c r="C730" t="s">
        <v>96</v>
      </c>
      <c r="D730" t="s">
        <v>79</v>
      </c>
      <c r="E730" t="s">
        <v>91</v>
      </c>
      <c r="F730" s="6">
        <v>0.54166666666666663</v>
      </c>
      <c r="G730">
        <v>2</v>
      </c>
      <c r="H730" s="6">
        <f>FLOOR(tblPivotData[[#This Row],[Time]],Summary!$B$6/1440)</f>
        <v>0.54166666666666663</v>
      </c>
      <c r="I730">
        <f>INDEX(PeakCalc!$L$10:$L$303,MATCH(tblPivotData[[#This Row],[Time]],PeakCalc!$G$10:$G$303,0))</f>
        <v>1</v>
      </c>
    </row>
    <row r="731" spans="1:9" x14ac:dyDescent="0.25">
      <c r="A731" t="s">
        <v>96</v>
      </c>
      <c r="B731" t="s">
        <v>97</v>
      </c>
      <c r="C731" t="s">
        <v>96</v>
      </c>
      <c r="D731" t="s">
        <v>79</v>
      </c>
      <c r="E731" t="s">
        <v>91</v>
      </c>
      <c r="F731" s="6">
        <v>0.55208333333333337</v>
      </c>
      <c r="G731">
        <v>2</v>
      </c>
      <c r="H731" s="6">
        <f>FLOOR(tblPivotData[[#This Row],[Time]],Summary!$B$6/1440)</f>
        <v>0.55208333333333326</v>
      </c>
      <c r="I731">
        <f>INDEX(PeakCalc!$L$10:$L$303,MATCH(tblPivotData[[#This Row],[Time]],PeakCalc!$G$10:$G$303,0))</f>
        <v>1</v>
      </c>
    </row>
    <row r="732" spans="1:9" x14ac:dyDescent="0.25">
      <c r="A732" t="s">
        <v>96</v>
      </c>
      <c r="B732" t="s">
        <v>97</v>
      </c>
      <c r="C732" t="s">
        <v>96</v>
      </c>
      <c r="D732" t="s">
        <v>79</v>
      </c>
      <c r="E732" t="s">
        <v>91</v>
      </c>
      <c r="F732" s="6">
        <v>0.5625</v>
      </c>
      <c r="G732">
        <v>0</v>
      </c>
      <c r="H732" s="6">
        <f>FLOOR(tblPivotData[[#This Row],[Time]],Summary!$B$6/1440)</f>
        <v>0.5625</v>
      </c>
      <c r="I732">
        <f>INDEX(PeakCalc!$L$10:$L$303,MATCH(tblPivotData[[#This Row],[Time]],PeakCalc!$G$10:$G$303,0))</f>
        <v>1</v>
      </c>
    </row>
    <row r="733" spans="1:9" x14ac:dyDescent="0.25">
      <c r="A733" t="s">
        <v>96</v>
      </c>
      <c r="B733" t="s">
        <v>97</v>
      </c>
      <c r="C733" t="s">
        <v>96</v>
      </c>
      <c r="D733" t="s">
        <v>79</v>
      </c>
      <c r="E733" t="s">
        <v>91</v>
      </c>
      <c r="F733" s="6">
        <v>0.57291666666666663</v>
      </c>
      <c r="G733">
        <v>0</v>
      </c>
      <c r="H733" s="6">
        <f>FLOOR(tblPivotData[[#This Row],[Time]],Summary!$B$6/1440)</f>
        <v>0.57291666666666663</v>
      </c>
      <c r="I733">
        <f>INDEX(PeakCalc!$L$10:$L$303,MATCH(tblPivotData[[#This Row],[Time]],PeakCalc!$G$10:$G$303,0))</f>
        <v>1</v>
      </c>
    </row>
    <row r="734" spans="1:9" x14ac:dyDescent="0.25">
      <c r="A734" t="s">
        <v>96</v>
      </c>
      <c r="B734" t="s">
        <v>97</v>
      </c>
      <c r="C734" t="s">
        <v>96</v>
      </c>
      <c r="D734" t="s">
        <v>79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96</v>
      </c>
      <c r="B735" t="s">
        <v>97</v>
      </c>
      <c r="C735" t="s">
        <v>96</v>
      </c>
      <c r="D735" t="s">
        <v>79</v>
      </c>
      <c r="E735" t="s">
        <v>44</v>
      </c>
      <c r="F735" s="6">
        <v>0.67708333333333337</v>
      </c>
      <c r="G735">
        <v>1</v>
      </c>
      <c r="H735" s="6">
        <f>FLOOR(tblPivotData[[#This Row],[Time]],Summary!$B$6/1440)</f>
        <v>0.67708333333333326</v>
      </c>
      <c r="I735">
        <f>INDEX(PeakCalc!$L$10:$L$303,MATCH(tblPivotData[[#This Row],[Time]],PeakCalc!$G$10:$G$303,0))</f>
        <v>0</v>
      </c>
    </row>
    <row r="736" spans="1:9" x14ac:dyDescent="0.25">
      <c r="A736" t="s">
        <v>96</v>
      </c>
      <c r="B736" t="s">
        <v>97</v>
      </c>
      <c r="C736" t="s">
        <v>96</v>
      </c>
      <c r="D736" t="s">
        <v>79</v>
      </c>
      <c r="E736" t="s">
        <v>44</v>
      </c>
      <c r="F736" s="6">
        <v>0.6875</v>
      </c>
      <c r="G736">
        <v>0</v>
      </c>
      <c r="H736" s="6">
        <f>FLOOR(tblPivotData[[#This Row],[Time]],Summary!$B$6/1440)</f>
        <v>0.6875</v>
      </c>
      <c r="I736">
        <f>INDEX(PeakCalc!$L$10:$L$303,MATCH(tblPivotData[[#This Row],[Time]],PeakCalc!$G$10:$G$303,0))</f>
        <v>1</v>
      </c>
    </row>
    <row r="737" spans="1:9" x14ac:dyDescent="0.25">
      <c r="A737" t="s">
        <v>96</v>
      </c>
      <c r="B737" t="s">
        <v>97</v>
      </c>
      <c r="C737" t="s">
        <v>96</v>
      </c>
      <c r="D737" t="s">
        <v>79</v>
      </c>
      <c r="E737" t="s">
        <v>44</v>
      </c>
      <c r="F737" s="6">
        <v>0.69791666666666663</v>
      </c>
      <c r="G737">
        <v>2</v>
      </c>
      <c r="H737" s="6">
        <f>FLOOR(tblPivotData[[#This Row],[Time]],Summary!$B$6/1440)</f>
        <v>0.69791666666666663</v>
      </c>
      <c r="I737">
        <f>INDEX(PeakCalc!$L$10:$L$303,MATCH(tblPivotData[[#This Row],[Time]],PeakCalc!$G$10:$G$303,0))</f>
        <v>1</v>
      </c>
    </row>
    <row r="738" spans="1:9" x14ac:dyDescent="0.25">
      <c r="A738" t="s">
        <v>96</v>
      </c>
      <c r="B738" t="s">
        <v>97</v>
      </c>
      <c r="C738" t="s">
        <v>96</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96</v>
      </c>
      <c r="B739" t="s">
        <v>97</v>
      </c>
      <c r="C739" t="s">
        <v>96</v>
      </c>
      <c r="D739" t="s">
        <v>79</v>
      </c>
      <c r="E739" t="s">
        <v>44</v>
      </c>
      <c r="F739" s="6">
        <v>0.71875</v>
      </c>
      <c r="G739">
        <v>0</v>
      </c>
      <c r="H739" s="6">
        <f>FLOOR(tblPivotData[[#This Row],[Time]],Summary!$B$6/1440)</f>
        <v>0.71875</v>
      </c>
      <c r="I739">
        <f>INDEX(PeakCalc!$L$10:$L$303,MATCH(tblPivotData[[#This Row],[Time]],PeakCalc!$G$10:$G$303,0))</f>
        <v>1</v>
      </c>
    </row>
    <row r="740" spans="1:9" x14ac:dyDescent="0.25">
      <c r="A740" t="s">
        <v>96</v>
      </c>
      <c r="B740" t="s">
        <v>97</v>
      </c>
      <c r="C740" t="s">
        <v>96</v>
      </c>
      <c r="D740" t="s">
        <v>79</v>
      </c>
      <c r="E740" t="s">
        <v>44</v>
      </c>
      <c r="F740" s="6">
        <v>0.72916666666666663</v>
      </c>
      <c r="G740">
        <v>2</v>
      </c>
      <c r="H740" s="6">
        <f>FLOOR(tblPivotData[[#This Row],[Time]],Summary!$B$6/1440)</f>
        <v>0.72916666666666663</v>
      </c>
      <c r="I740">
        <f>INDEX(PeakCalc!$L$10:$L$303,MATCH(tblPivotData[[#This Row],[Time]],PeakCalc!$G$10:$G$303,0))</f>
        <v>0</v>
      </c>
    </row>
    <row r="741" spans="1:9" x14ac:dyDescent="0.25">
      <c r="A741" t="s">
        <v>96</v>
      </c>
      <c r="B741" t="s">
        <v>97</v>
      </c>
      <c r="C741" t="s">
        <v>96</v>
      </c>
      <c r="D741" t="s">
        <v>79</v>
      </c>
      <c r="E741" t="s">
        <v>44</v>
      </c>
      <c r="F741" s="6">
        <v>0.73958333333333337</v>
      </c>
      <c r="G741">
        <v>1</v>
      </c>
      <c r="H741" s="6">
        <f>FLOOR(tblPivotData[[#This Row],[Time]],Summary!$B$6/1440)</f>
        <v>0.73958333333333326</v>
      </c>
      <c r="I741">
        <f>INDEX(PeakCalc!$L$10:$L$303,MATCH(tblPivotData[[#This Row],[Time]],PeakCalc!$G$10:$G$303,0))</f>
        <v>0</v>
      </c>
    </row>
    <row r="742" spans="1:9" x14ac:dyDescent="0.25">
      <c r="A742" t="s">
        <v>96</v>
      </c>
      <c r="B742" t="s">
        <v>97</v>
      </c>
      <c r="C742" t="s">
        <v>96</v>
      </c>
      <c r="D742" t="s">
        <v>89</v>
      </c>
      <c r="E742" t="s">
        <v>43</v>
      </c>
      <c r="F742" s="6">
        <v>0.29166666666666669</v>
      </c>
      <c r="G742">
        <v>0</v>
      </c>
      <c r="H742" s="6">
        <f>FLOOR(tblPivotData[[#This Row],[Time]],Summary!$B$6/1440)</f>
        <v>0.29166666666666663</v>
      </c>
      <c r="I742">
        <f>INDEX(PeakCalc!$L$10:$L$303,MATCH(tblPivotData[[#This Row],[Time]],PeakCalc!$G$10:$G$303,0))</f>
        <v>1</v>
      </c>
    </row>
    <row r="743" spans="1:9" x14ac:dyDescent="0.25">
      <c r="A743" t="s">
        <v>96</v>
      </c>
      <c r="B743" t="s">
        <v>97</v>
      </c>
      <c r="C743" t="s">
        <v>96</v>
      </c>
      <c r="D743" t="s">
        <v>89</v>
      </c>
      <c r="E743" t="s">
        <v>43</v>
      </c>
      <c r="F743" s="6">
        <v>0.30208333333333331</v>
      </c>
      <c r="G743">
        <v>0</v>
      </c>
      <c r="H743" s="6">
        <f>FLOOR(tblPivotData[[#This Row],[Time]],Summary!$B$6/1440)</f>
        <v>0.30208333333333331</v>
      </c>
      <c r="I743">
        <f>INDEX(PeakCalc!$L$10:$L$303,MATCH(tblPivotData[[#This Row],[Time]],PeakCalc!$G$10:$G$303,0))</f>
        <v>1</v>
      </c>
    </row>
    <row r="744" spans="1:9" x14ac:dyDescent="0.25">
      <c r="A744" t="s">
        <v>96</v>
      </c>
      <c r="B744" t="s">
        <v>97</v>
      </c>
      <c r="C744" t="s">
        <v>96</v>
      </c>
      <c r="D744" t="s">
        <v>89</v>
      </c>
      <c r="E744" t="s">
        <v>43</v>
      </c>
      <c r="F744" s="6">
        <v>0.3125</v>
      </c>
      <c r="G744">
        <v>0</v>
      </c>
      <c r="H744" s="6">
        <f>FLOOR(tblPivotData[[#This Row],[Time]],Summary!$B$6/1440)</f>
        <v>0.3125</v>
      </c>
      <c r="I744">
        <f>INDEX(PeakCalc!$L$10:$L$303,MATCH(tblPivotData[[#This Row],[Time]],PeakCalc!$G$10:$G$303,0))</f>
        <v>1</v>
      </c>
    </row>
    <row r="745" spans="1:9" x14ac:dyDescent="0.25">
      <c r="A745" t="s">
        <v>96</v>
      </c>
      <c r="B745" t="s">
        <v>97</v>
      </c>
      <c r="C745" t="s">
        <v>96</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96</v>
      </c>
      <c r="B746" t="s">
        <v>97</v>
      </c>
      <c r="C746" t="s">
        <v>96</v>
      </c>
      <c r="D746" t="s">
        <v>89</v>
      </c>
      <c r="E746" t="s">
        <v>43</v>
      </c>
      <c r="F746" s="6">
        <v>0.33333333333333331</v>
      </c>
      <c r="G746">
        <v>0</v>
      </c>
      <c r="H746" s="6">
        <f>FLOOR(tblPivotData[[#This Row],[Time]],Summary!$B$6/1440)</f>
        <v>0.33333333333333331</v>
      </c>
      <c r="I746">
        <f>INDEX(PeakCalc!$L$10:$L$303,MATCH(tblPivotData[[#This Row],[Time]],PeakCalc!$G$10:$G$303,0))</f>
        <v>0</v>
      </c>
    </row>
    <row r="747" spans="1:9" x14ac:dyDescent="0.25">
      <c r="A747" t="s">
        <v>96</v>
      </c>
      <c r="B747" t="s">
        <v>97</v>
      </c>
      <c r="C747" t="s">
        <v>96</v>
      </c>
      <c r="D747" t="s">
        <v>89</v>
      </c>
      <c r="E747" t="s">
        <v>43</v>
      </c>
      <c r="F747" s="6">
        <v>0.34375</v>
      </c>
      <c r="G747">
        <v>0</v>
      </c>
      <c r="H747" s="6">
        <f>FLOOR(tblPivotData[[#This Row],[Time]],Summary!$B$6/1440)</f>
        <v>0.34375</v>
      </c>
      <c r="I747">
        <f>INDEX(PeakCalc!$L$10:$L$303,MATCH(tblPivotData[[#This Row],[Time]],PeakCalc!$G$10:$G$303,0))</f>
        <v>0</v>
      </c>
    </row>
    <row r="748" spans="1:9" x14ac:dyDescent="0.25">
      <c r="A748" t="s">
        <v>96</v>
      </c>
      <c r="B748" t="s">
        <v>97</v>
      </c>
      <c r="C748" t="s">
        <v>96</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96</v>
      </c>
      <c r="B749" t="s">
        <v>97</v>
      </c>
      <c r="C749" t="s">
        <v>96</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96</v>
      </c>
      <c r="B750" t="s">
        <v>97</v>
      </c>
      <c r="C750" t="s">
        <v>96</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96</v>
      </c>
      <c r="B751" t="s">
        <v>97</v>
      </c>
      <c r="C751" t="s">
        <v>96</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96</v>
      </c>
      <c r="B752" t="s">
        <v>97</v>
      </c>
      <c r="C752" t="s">
        <v>96</v>
      </c>
      <c r="D752" t="s">
        <v>89</v>
      </c>
      <c r="E752" t="s">
        <v>91</v>
      </c>
      <c r="F752" s="6">
        <v>0.5625</v>
      </c>
      <c r="G752">
        <v>0</v>
      </c>
      <c r="H752" s="6">
        <f>FLOOR(tblPivotData[[#This Row],[Time]],Summary!$B$6/1440)</f>
        <v>0.5625</v>
      </c>
      <c r="I752">
        <f>INDEX(PeakCalc!$L$10:$L$303,MATCH(tblPivotData[[#This Row],[Time]],PeakCalc!$G$10:$G$303,0))</f>
        <v>1</v>
      </c>
    </row>
    <row r="753" spans="1:9" x14ac:dyDescent="0.25">
      <c r="A753" t="s">
        <v>96</v>
      </c>
      <c r="B753" t="s">
        <v>97</v>
      </c>
      <c r="C753" t="s">
        <v>96</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96</v>
      </c>
      <c r="B754" t="s">
        <v>97</v>
      </c>
      <c r="C754" t="s">
        <v>96</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96</v>
      </c>
      <c r="B755" t="s">
        <v>97</v>
      </c>
      <c r="C755" t="s">
        <v>96</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96</v>
      </c>
      <c r="B756" t="s">
        <v>97</v>
      </c>
      <c r="C756" t="s">
        <v>96</v>
      </c>
      <c r="D756" t="s">
        <v>89</v>
      </c>
      <c r="E756" t="s">
        <v>44</v>
      </c>
      <c r="F756" s="6">
        <v>0.6875</v>
      </c>
      <c r="G756">
        <v>0</v>
      </c>
      <c r="H756" s="6">
        <f>FLOOR(tblPivotData[[#This Row],[Time]],Summary!$B$6/1440)</f>
        <v>0.6875</v>
      </c>
      <c r="I756">
        <f>INDEX(PeakCalc!$L$10:$L$303,MATCH(tblPivotData[[#This Row],[Time]],PeakCalc!$G$10:$G$303,0))</f>
        <v>1</v>
      </c>
    </row>
    <row r="757" spans="1:9" x14ac:dyDescent="0.25">
      <c r="A757" t="s">
        <v>96</v>
      </c>
      <c r="B757" t="s">
        <v>97</v>
      </c>
      <c r="C757" t="s">
        <v>96</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96</v>
      </c>
      <c r="B758" t="s">
        <v>97</v>
      </c>
      <c r="C758" t="s">
        <v>96</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97</v>
      </c>
      <c r="C759" t="s">
        <v>96</v>
      </c>
      <c r="D759" t="s">
        <v>89</v>
      </c>
      <c r="E759" t="s">
        <v>44</v>
      </c>
      <c r="F759" s="6">
        <v>0.71875</v>
      </c>
      <c r="G759">
        <v>0</v>
      </c>
      <c r="H759" s="6">
        <f>FLOOR(tblPivotData[[#This Row],[Time]],Summary!$B$6/1440)</f>
        <v>0.71875</v>
      </c>
      <c r="I759">
        <f>INDEX(PeakCalc!$L$10:$L$303,MATCH(tblPivotData[[#This Row],[Time]],PeakCalc!$G$10:$G$303,0))</f>
        <v>1</v>
      </c>
    </row>
    <row r="760" spans="1:9" x14ac:dyDescent="0.25">
      <c r="A760" t="s">
        <v>96</v>
      </c>
      <c r="B760" t="s">
        <v>97</v>
      </c>
      <c r="C760" t="s">
        <v>96</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96</v>
      </c>
      <c r="B761" t="s">
        <v>97</v>
      </c>
      <c r="C761" t="s">
        <v>96</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97</v>
      </c>
      <c r="C762" t="s">
        <v>96</v>
      </c>
      <c r="D762" t="s">
        <v>90</v>
      </c>
      <c r="E762" t="s">
        <v>43</v>
      </c>
      <c r="F762" s="6">
        <v>0.29166666666666669</v>
      </c>
      <c r="G762">
        <v>0</v>
      </c>
      <c r="H762" s="6">
        <f>FLOOR(tblPivotData[[#This Row],[Time]],Summary!$B$6/1440)</f>
        <v>0.29166666666666663</v>
      </c>
      <c r="I762">
        <f>INDEX(PeakCalc!$L$10:$L$303,MATCH(tblPivotData[[#This Row],[Time]],PeakCalc!$G$10:$G$303,0))</f>
        <v>1</v>
      </c>
    </row>
    <row r="763" spans="1:9" x14ac:dyDescent="0.25">
      <c r="A763" t="s">
        <v>96</v>
      </c>
      <c r="B763" t="s">
        <v>97</v>
      </c>
      <c r="C763" t="s">
        <v>96</v>
      </c>
      <c r="D763" t="s">
        <v>90</v>
      </c>
      <c r="E763" t="s">
        <v>43</v>
      </c>
      <c r="F763" s="6">
        <v>0.30208333333333331</v>
      </c>
      <c r="G763">
        <v>0</v>
      </c>
      <c r="H763" s="6">
        <f>FLOOR(tblPivotData[[#This Row],[Time]],Summary!$B$6/1440)</f>
        <v>0.30208333333333331</v>
      </c>
      <c r="I763">
        <f>INDEX(PeakCalc!$L$10:$L$303,MATCH(tblPivotData[[#This Row],[Time]],PeakCalc!$G$10:$G$303,0))</f>
        <v>1</v>
      </c>
    </row>
    <row r="764" spans="1:9" x14ac:dyDescent="0.25">
      <c r="A764" t="s">
        <v>96</v>
      </c>
      <c r="B764" t="s">
        <v>97</v>
      </c>
      <c r="C764" t="s">
        <v>96</v>
      </c>
      <c r="D764" t="s">
        <v>90</v>
      </c>
      <c r="E764" t="s">
        <v>43</v>
      </c>
      <c r="F764" s="6">
        <v>0.3125</v>
      </c>
      <c r="G764">
        <v>0</v>
      </c>
      <c r="H764" s="6">
        <f>FLOOR(tblPivotData[[#This Row],[Time]],Summary!$B$6/1440)</f>
        <v>0.3125</v>
      </c>
      <c r="I764">
        <f>INDEX(PeakCalc!$L$10:$L$303,MATCH(tblPivotData[[#This Row],[Time]],PeakCalc!$G$10:$G$303,0))</f>
        <v>1</v>
      </c>
    </row>
    <row r="765" spans="1:9" x14ac:dyDescent="0.25">
      <c r="A765" t="s">
        <v>96</v>
      </c>
      <c r="B765" t="s">
        <v>97</v>
      </c>
      <c r="C765" t="s">
        <v>96</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96</v>
      </c>
      <c r="B766" t="s">
        <v>97</v>
      </c>
      <c r="C766" t="s">
        <v>96</v>
      </c>
      <c r="D766" t="s">
        <v>90</v>
      </c>
      <c r="E766" t="s">
        <v>43</v>
      </c>
      <c r="F766" s="6">
        <v>0.33333333333333331</v>
      </c>
      <c r="G766">
        <v>0</v>
      </c>
      <c r="H766" s="6">
        <f>FLOOR(tblPivotData[[#This Row],[Time]],Summary!$B$6/1440)</f>
        <v>0.33333333333333331</v>
      </c>
      <c r="I766">
        <f>INDEX(PeakCalc!$L$10:$L$303,MATCH(tblPivotData[[#This Row],[Time]],PeakCalc!$G$10:$G$303,0))</f>
        <v>0</v>
      </c>
    </row>
    <row r="767" spans="1:9" x14ac:dyDescent="0.25">
      <c r="A767" t="s">
        <v>96</v>
      </c>
      <c r="B767" t="s">
        <v>97</v>
      </c>
      <c r="C767" t="s">
        <v>96</v>
      </c>
      <c r="D767" t="s">
        <v>90</v>
      </c>
      <c r="E767" t="s">
        <v>43</v>
      </c>
      <c r="F767" s="6">
        <v>0.34375</v>
      </c>
      <c r="G767">
        <v>0</v>
      </c>
      <c r="H767" s="6">
        <f>FLOOR(tblPivotData[[#This Row],[Time]],Summary!$B$6/1440)</f>
        <v>0.34375</v>
      </c>
      <c r="I767">
        <f>INDEX(PeakCalc!$L$10:$L$303,MATCH(tblPivotData[[#This Row],[Time]],PeakCalc!$G$10:$G$303,0))</f>
        <v>0</v>
      </c>
    </row>
    <row r="768" spans="1:9" x14ac:dyDescent="0.25">
      <c r="A768" t="s">
        <v>96</v>
      </c>
      <c r="B768" t="s">
        <v>97</v>
      </c>
      <c r="C768" t="s">
        <v>96</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96</v>
      </c>
      <c r="B769" t="s">
        <v>97</v>
      </c>
      <c r="C769" t="s">
        <v>96</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96</v>
      </c>
      <c r="B770" t="s">
        <v>97</v>
      </c>
      <c r="C770" t="s">
        <v>96</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97</v>
      </c>
      <c r="C771" t="s">
        <v>96</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97</v>
      </c>
      <c r="C772" t="s">
        <v>96</v>
      </c>
      <c r="D772" t="s">
        <v>90</v>
      </c>
      <c r="E772" t="s">
        <v>91</v>
      </c>
      <c r="F772" s="6">
        <v>0.5625</v>
      </c>
      <c r="G772">
        <v>0</v>
      </c>
      <c r="H772" s="6">
        <f>FLOOR(tblPivotData[[#This Row],[Time]],Summary!$B$6/1440)</f>
        <v>0.5625</v>
      </c>
      <c r="I772">
        <f>INDEX(PeakCalc!$L$10:$L$303,MATCH(tblPivotData[[#This Row],[Time]],PeakCalc!$G$10:$G$303,0))</f>
        <v>1</v>
      </c>
    </row>
    <row r="773" spans="1:9" x14ac:dyDescent="0.25">
      <c r="A773" t="s">
        <v>96</v>
      </c>
      <c r="B773" t="s">
        <v>97</v>
      </c>
      <c r="C773" t="s">
        <v>96</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97</v>
      </c>
      <c r="C774" t="s">
        <v>96</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97</v>
      </c>
      <c r="C775" t="s">
        <v>96</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97</v>
      </c>
      <c r="C776" t="s">
        <v>96</v>
      </c>
      <c r="D776" t="s">
        <v>90</v>
      </c>
      <c r="E776" t="s">
        <v>44</v>
      </c>
      <c r="F776" s="6">
        <v>0.6875</v>
      </c>
      <c r="G776">
        <v>0</v>
      </c>
      <c r="H776" s="6">
        <f>FLOOR(tblPivotData[[#This Row],[Time]],Summary!$B$6/1440)</f>
        <v>0.6875</v>
      </c>
      <c r="I776">
        <f>INDEX(PeakCalc!$L$10:$L$303,MATCH(tblPivotData[[#This Row],[Time]],PeakCalc!$G$10:$G$303,0))</f>
        <v>1</v>
      </c>
    </row>
    <row r="777" spans="1:9" x14ac:dyDescent="0.25">
      <c r="A777" t="s">
        <v>96</v>
      </c>
      <c r="B777" t="s">
        <v>97</v>
      </c>
      <c r="C777" t="s">
        <v>96</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97</v>
      </c>
      <c r="C778" t="s">
        <v>96</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97</v>
      </c>
      <c r="C779" t="s">
        <v>96</v>
      </c>
      <c r="D779" t="s">
        <v>90</v>
      </c>
      <c r="E779" t="s">
        <v>44</v>
      </c>
      <c r="F779" s="6">
        <v>0.71875</v>
      </c>
      <c r="G779">
        <v>0</v>
      </c>
      <c r="H779" s="6">
        <f>FLOOR(tblPivotData[[#This Row],[Time]],Summary!$B$6/1440)</f>
        <v>0.71875</v>
      </c>
      <c r="I779">
        <f>INDEX(PeakCalc!$L$10:$L$303,MATCH(tblPivotData[[#This Row],[Time]],PeakCalc!$G$10:$G$303,0))</f>
        <v>1</v>
      </c>
    </row>
    <row r="780" spans="1:9" x14ac:dyDescent="0.25">
      <c r="A780" t="s">
        <v>96</v>
      </c>
      <c r="B780" t="s">
        <v>97</v>
      </c>
      <c r="C780" t="s">
        <v>96</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97</v>
      </c>
      <c r="C781" t="s">
        <v>96</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52"/>
      <c r="BC11" s="52"/>
      <c r="BD11" s="52"/>
      <c r="BE11" s="52"/>
      <c r="BF11" s="49" t="s">
        <v>113</v>
      </c>
      <c r="BG11" s="49" t="s">
        <v>49</v>
      </c>
    </row>
    <row r="12" spans="2:59" x14ac:dyDescent="0.25">
      <c r="B12" s="16"/>
      <c r="C12" s="49" t="s">
        <v>98</v>
      </c>
      <c r="D12" s="50"/>
      <c r="E12" s="50"/>
      <c r="F12" s="49" t="s">
        <v>114</v>
      </c>
      <c r="G12" s="49" t="s">
        <v>99</v>
      </c>
      <c r="H12" s="50"/>
      <c r="I12" s="50"/>
      <c r="J12" s="49" t="s">
        <v>115</v>
      </c>
      <c r="K12" s="49" t="s">
        <v>100</v>
      </c>
      <c r="L12" s="50"/>
      <c r="M12" s="50"/>
      <c r="N12" s="49" t="s">
        <v>116</v>
      </c>
      <c r="O12" s="50"/>
      <c r="P12" s="49" t="s">
        <v>101</v>
      </c>
      <c r="Q12" s="50"/>
      <c r="R12" s="50"/>
      <c r="S12" s="49" t="s">
        <v>117</v>
      </c>
      <c r="T12" s="49" t="s">
        <v>102</v>
      </c>
      <c r="U12" s="50"/>
      <c r="V12" s="50"/>
      <c r="W12" s="49" t="s">
        <v>118</v>
      </c>
      <c r="X12" s="49" t="s">
        <v>103</v>
      </c>
      <c r="Y12" s="50"/>
      <c r="Z12" s="50"/>
      <c r="AA12" s="49" t="s">
        <v>119</v>
      </c>
      <c r="AB12" s="50"/>
      <c r="AC12" s="49" t="s">
        <v>104</v>
      </c>
      <c r="AD12" s="50"/>
      <c r="AE12" s="50"/>
      <c r="AF12" s="49" t="s">
        <v>120</v>
      </c>
      <c r="AG12" s="49" t="s">
        <v>105</v>
      </c>
      <c r="AH12" s="50"/>
      <c r="AI12" s="50"/>
      <c r="AJ12" s="49" t="s">
        <v>121</v>
      </c>
      <c r="AK12" s="49" t="s">
        <v>106</v>
      </c>
      <c r="AL12" s="50"/>
      <c r="AM12" s="50"/>
      <c r="AN12" s="49" t="s">
        <v>122</v>
      </c>
      <c r="AO12" s="50"/>
      <c r="AP12" s="49" t="s">
        <v>107</v>
      </c>
      <c r="AQ12" s="50"/>
      <c r="AR12" s="50"/>
      <c r="AS12" s="49" t="s">
        <v>123</v>
      </c>
      <c r="AT12" s="49" t="s">
        <v>108</v>
      </c>
      <c r="AU12" s="50"/>
      <c r="AV12" s="50"/>
      <c r="AW12" s="49" t="s">
        <v>124</v>
      </c>
      <c r="AX12" s="49" t="s">
        <v>109</v>
      </c>
      <c r="AY12" s="50"/>
      <c r="AZ12" s="50"/>
      <c r="BA12" s="49" t="s">
        <v>125</v>
      </c>
      <c r="BB12" s="49" t="s">
        <v>97</v>
      </c>
      <c r="BC12" s="50"/>
      <c r="BD12" s="50"/>
      <c r="BE12" s="49" t="s">
        <v>126</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93</v>
      </c>
      <c r="D14">
        <v>10</v>
      </c>
      <c r="E14">
        <v>0</v>
      </c>
      <c r="F14">
        <v>103</v>
      </c>
      <c r="G14">
        <v>302</v>
      </c>
      <c r="H14">
        <v>18</v>
      </c>
      <c r="I14">
        <v>0</v>
      </c>
      <c r="J14">
        <v>320</v>
      </c>
      <c r="K14">
        <v>156</v>
      </c>
      <c r="L14">
        <v>6</v>
      </c>
      <c r="M14">
        <v>0</v>
      </c>
      <c r="N14">
        <v>162</v>
      </c>
      <c r="O14">
        <v>585</v>
      </c>
      <c r="P14">
        <v>63</v>
      </c>
      <c r="Q14">
        <v>11</v>
      </c>
      <c r="R14">
        <v>0</v>
      </c>
      <c r="S14">
        <v>74</v>
      </c>
      <c r="T14">
        <v>3425</v>
      </c>
      <c r="U14">
        <v>268</v>
      </c>
      <c r="V14">
        <v>5</v>
      </c>
      <c r="W14">
        <v>3698</v>
      </c>
      <c r="X14">
        <v>114</v>
      </c>
      <c r="Y14">
        <v>7</v>
      </c>
      <c r="Z14">
        <v>0</v>
      </c>
      <c r="AA14">
        <v>121</v>
      </c>
      <c r="AB14">
        <v>3893</v>
      </c>
      <c r="AC14">
        <v>175</v>
      </c>
      <c r="AD14">
        <v>4</v>
      </c>
      <c r="AE14">
        <v>0</v>
      </c>
      <c r="AF14">
        <v>179</v>
      </c>
      <c r="AG14">
        <v>652</v>
      </c>
      <c r="AH14">
        <v>9</v>
      </c>
      <c r="AI14">
        <v>26</v>
      </c>
      <c r="AJ14">
        <v>687</v>
      </c>
      <c r="AK14">
        <v>256</v>
      </c>
      <c r="AL14">
        <v>8</v>
      </c>
      <c r="AM14">
        <v>1</v>
      </c>
      <c r="AN14">
        <v>265</v>
      </c>
      <c r="AO14">
        <v>1131</v>
      </c>
      <c r="AP14">
        <v>214</v>
      </c>
      <c r="AQ14">
        <v>13</v>
      </c>
      <c r="AR14">
        <v>0</v>
      </c>
      <c r="AS14">
        <v>227</v>
      </c>
      <c r="AT14">
        <v>2981</v>
      </c>
      <c r="AU14">
        <v>262</v>
      </c>
      <c r="AV14">
        <v>2</v>
      </c>
      <c r="AW14">
        <v>3245</v>
      </c>
      <c r="AX14">
        <v>38</v>
      </c>
      <c r="AY14">
        <v>4</v>
      </c>
      <c r="AZ14">
        <v>0</v>
      </c>
      <c r="BA14">
        <v>42</v>
      </c>
      <c r="BB14">
        <v>13</v>
      </c>
      <c r="BC14">
        <v>0</v>
      </c>
      <c r="BD14">
        <v>0</v>
      </c>
      <c r="BE14">
        <v>13</v>
      </c>
      <c r="BF14">
        <v>3527</v>
      </c>
      <c r="BG14">
        <v>9136</v>
      </c>
    </row>
    <row r="15" spans="2:59" x14ac:dyDescent="0.25">
      <c r="B15" s="11">
        <v>0.29166666666666669</v>
      </c>
      <c r="C15">
        <v>9</v>
      </c>
      <c r="D15">
        <v>1</v>
      </c>
      <c r="E15">
        <v>0</v>
      </c>
      <c r="F15">
        <v>10</v>
      </c>
      <c r="G15">
        <v>24</v>
      </c>
      <c r="H15">
        <v>3</v>
      </c>
      <c r="I15">
        <v>0</v>
      </c>
      <c r="J15">
        <v>27</v>
      </c>
      <c r="K15">
        <v>21</v>
      </c>
      <c r="L15">
        <v>1</v>
      </c>
      <c r="M15">
        <v>0</v>
      </c>
      <c r="N15">
        <v>22</v>
      </c>
      <c r="O15">
        <v>59</v>
      </c>
      <c r="P15">
        <v>2</v>
      </c>
      <c r="Q15">
        <v>3</v>
      </c>
      <c r="R15">
        <v>0</v>
      </c>
      <c r="S15">
        <v>5</v>
      </c>
      <c r="T15">
        <v>486</v>
      </c>
      <c r="U15">
        <v>28</v>
      </c>
      <c r="V15">
        <v>0</v>
      </c>
      <c r="W15">
        <v>514</v>
      </c>
      <c r="X15">
        <v>9</v>
      </c>
      <c r="Y15">
        <v>1</v>
      </c>
      <c r="Z15">
        <v>0</v>
      </c>
      <c r="AA15">
        <v>10</v>
      </c>
      <c r="AB15">
        <v>529</v>
      </c>
      <c r="AC15">
        <v>28</v>
      </c>
      <c r="AD15">
        <v>1</v>
      </c>
      <c r="AE15">
        <v>0</v>
      </c>
      <c r="AF15">
        <v>29</v>
      </c>
      <c r="AG15">
        <v>63</v>
      </c>
      <c r="AH15">
        <v>1</v>
      </c>
      <c r="AI15">
        <v>0</v>
      </c>
      <c r="AJ15">
        <v>64</v>
      </c>
      <c r="AK15">
        <v>22</v>
      </c>
      <c r="AL15">
        <v>1</v>
      </c>
      <c r="AM15">
        <v>0</v>
      </c>
      <c r="AN15">
        <v>23</v>
      </c>
      <c r="AO15">
        <v>116</v>
      </c>
      <c r="AP15">
        <v>34</v>
      </c>
      <c r="AQ15">
        <v>3</v>
      </c>
      <c r="AR15">
        <v>0</v>
      </c>
      <c r="AS15">
        <v>37</v>
      </c>
      <c r="AT15">
        <v>395</v>
      </c>
      <c r="AU15">
        <v>28</v>
      </c>
      <c r="AV15">
        <v>1</v>
      </c>
      <c r="AW15">
        <v>424</v>
      </c>
      <c r="AX15">
        <v>3</v>
      </c>
      <c r="AY15">
        <v>0</v>
      </c>
      <c r="AZ15">
        <v>0</v>
      </c>
      <c r="BA15">
        <v>3</v>
      </c>
      <c r="BB15">
        <v>1</v>
      </c>
      <c r="BC15">
        <v>0</v>
      </c>
      <c r="BD15">
        <v>0</v>
      </c>
      <c r="BE15">
        <v>1</v>
      </c>
      <c r="BF15">
        <v>465</v>
      </c>
      <c r="BG15">
        <v>1169</v>
      </c>
    </row>
    <row r="16" spans="2:59" x14ac:dyDescent="0.25">
      <c r="B16" s="11">
        <v>0.30208333333333331</v>
      </c>
      <c r="C16">
        <v>11</v>
      </c>
      <c r="D16">
        <v>0</v>
      </c>
      <c r="E16">
        <v>0</v>
      </c>
      <c r="F16">
        <v>11</v>
      </c>
      <c r="G16">
        <v>26</v>
      </c>
      <c r="H16">
        <v>2</v>
      </c>
      <c r="I16">
        <v>0</v>
      </c>
      <c r="J16">
        <v>28</v>
      </c>
      <c r="K16">
        <v>31</v>
      </c>
      <c r="L16">
        <v>0</v>
      </c>
      <c r="M16">
        <v>0</v>
      </c>
      <c r="N16">
        <v>31</v>
      </c>
      <c r="O16">
        <v>70</v>
      </c>
      <c r="P16">
        <v>9</v>
      </c>
      <c r="Q16">
        <v>0</v>
      </c>
      <c r="R16">
        <v>0</v>
      </c>
      <c r="S16">
        <v>9</v>
      </c>
      <c r="T16">
        <v>482</v>
      </c>
      <c r="U16">
        <v>31</v>
      </c>
      <c r="V16">
        <v>0</v>
      </c>
      <c r="W16">
        <v>513</v>
      </c>
      <c r="X16">
        <v>14</v>
      </c>
      <c r="Y16">
        <v>1</v>
      </c>
      <c r="Z16">
        <v>0</v>
      </c>
      <c r="AA16">
        <v>15</v>
      </c>
      <c r="AB16">
        <v>537</v>
      </c>
      <c r="AC16">
        <v>22</v>
      </c>
      <c r="AD16">
        <v>0</v>
      </c>
      <c r="AE16">
        <v>0</v>
      </c>
      <c r="AF16">
        <v>22</v>
      </c>
      <c r="AG16">
        <v>64</v>
      </c>
      <c r="AH16">
        <v>0</v>
      </c>
      <c r="AI16">
        <v>0</v>
      </c>
      <c r="AJ16">
        <v>64</v>
      </c>
      <c r="AK16">
        <v>22</v>
      </c>
      <c r="AL16">
        <v>0</v>
      </c>
      <c r="AM16">
        <v>0</v>
      </c>
      <c r="AN16">
        <v>22</v>
      </c>
      <c r="AO16">
        <v>108</v>
      </c>
      <c r="AP16">
        <v>30</v>
      </c>
      <c r="AQ16">
        <v>1</v>
      </c>
      <c r="AR16">
        <v>0</v>
      </c>
      <c r="AS16">
        <v>31</v>
      </c>
      <c r="AT16">
        <v>410</v>
      </c>
      <c r="AU16">
        <v>13</v>
      </c>
      <c r="AV16">
        <v>1</v>
      </c>
      <c r="AW16">
        <v>424</v>
      </c>
      <c r="AX16">
        <v>7</v>
      </c>
      <c r="AY16">
        <v>1</v>
      </c>
      <c r="AZ16">
        <v>0</v>
      </c>
      <c r="BA16">
        <v>8</v>
      </c>
      <c r="BB16">
        <v>4</v>
      </c>
      <c r="BC16">
        <v>0</v>
      </c>
      <c r="BD16">
        <v>0</v>
      </c>
      <c r="BE16">
        <v>4</v>
      </c>
      <c r="BF16">
        <v>467</v>
      </c>
      <c r="BG16">
        <v>1182</v>
      </c>
    </row>
    <row r="17" spans="2:59" x14ac:dyDescent="0.25">
      <c r="B17" s="11">
        <v>0.3125</v>
      </c>
      <c r="C17">
        <v>18</v>
      </c>
      <c r="D17">
        <v>1</v>
      </c>
      <c r="E17">
        <v>0</v>
      </c>
      <c r="F17">
        <v>19</v>
      </c>
      <c r="G17">
        <v>21</v>
      </c>
      <c r="H17">
        <v>1</v>
      </c>
      <c r="I17">
        <v>0</v>
      </c>
      <c r="J17">
        <v>22</v>
      </c>
      <c r="K17">
        <v>23</v>
      </c>
      <c r="L17">
        <v>0</v>
      </c>
      <c r="M17">
        <v>0</v>
      </c>
      <c r="N17">
        <v>23</v>
      </c>
      <c r="O17">
        <v>64</v>
      </c>
      <c r="P17">
        <v>9</v>
      </c>
      <c r="Q17">
        <v>1</v>
      </c>
      <c r="R17">
        <v>0</v>
      </c>
      <c r="S17">
        <v>10</v>
      </c>
      <c r="T17">
        <v>428</v>
      </c>
      <c r="U17">
        <v>35</v>
      </c>
      <c r="V17">
        <v>1</v>
      </c>
      <c r="W17">
        <v>464</v>
      </c>
      <c r="X17">
        <v>11</v>
      </c>
      <c r="Y17">
        <v>1</v>
      </c>
      <c r="Z17">
        <v>0</v>
      </c>
      <c r="AA17">
        <v>12</v>
      </c>
      <c r="AB17">
        <v>486</v>
      </c>
      <c r="AC17">
        <v>19</v>
      </c>
      <c r="AD17">
        <v>0</v>
      </c>
      <c r="AE17">
        <v>0</v>
      </c>
      <c r="AF17">
        <v>19</v>
      </c>
      <c r="AG17">
        <v>70</v>
      </c>
      <c r="AH17">
        <v>1</v>
      </c>
      <c r="AI17">
        <v>5</v>
      </c>
      <c r="AJ17">
        <v>76</v>
      </c>
      <c r="AK17">
        <v>30</v>
      </c>
      <c r="AL17">
        <v>1</v>
      </c>
      <c r="AM17">
        <v>1</v>
      </c>
      <c r="AN17">
        <v>32</v>
      </c>
      <c r="AO17">
        <v>127</v>
      </c>
      <c r="AP17">
        <v>33</v>
      </c>
      <c r="AQ17">
        <v>1</v>
      </c>
      <c r="AR17">
        <v>0</v>
      </c>
      <c r="AS17">
        <v>34</v>
      </c>
      <c r="AT17">
        <v>391</v>
      </c>
      <c r="AU17">
        <v>31</v>
      </c>
      <c r="AV17">
        <v>0</v>
      </c>
      <c r="AW17">
        <v>422</v>
      </c>
      <c r="AX17">
        <v>6</v>
      </c>
      <c r="AY17">
        <v>0</v>
      </c>
      <c r="AZ17">
        <v>0</v>
      </c>
      <c r="BA17">
        <v>6</v>
      </c>
      <c r="BB17">
        <v>4</v>
      </c>
      <c r="BC17">
        <v>0</v>
      </c>
      <c r="BD17">
        <v>0</v>
      </c>
      <c r="BE17">
        <v>4</v>
      </c>
      <c r="BF17">
        <v>466</v>
      </c>
      <c r="BG17">
        <v>1143</v>
      </c>
    </row>
    <row r="18" spans="2:59" x14ac:dyDescent="0.25">
      <c r="B18" s="11">
        <v>0.32291666666666669</v>
      </c>
      <c r="C18">
        <v>14</v>
      </c>
      <c r="D18">
        <v>2</v>
      </c>
      <c r="E18">
        <v>0</v>
      </c>
      <c r="F18">
        <v>16</v>
      </c>
      <c r="G18">
        <v>31</v>
      </c>
      <c r="H18">
        <v>0</v>
      </c>
      <c r="I18">
        <v>0</v>
      </c>
      <c r="J18">
        <v>31</v>
      </c>
      <c r="K18">
        <v>21</v>
      </c>
      <c r="L18">
        <v>1</v>
      </c>
      <c r="M18">
        <v>0</v>
      </c>
      <c r="N18">
        <v>22</v>
      </c>
      <c r="O18">
        <v>69</v>
      </c>
      <c r="P18">
        <v>7</v>
      </c>
      <c r="Q18">
        <v>0</v>
      </c>
      <c r="R18">
        <v>0</v>
      </c>
      <c r="S18">
        <v>7</v>
      </c>
      <c r="T18">
        <v>438</v>
      </c>
      <c r="U18">
        <v>32</v>
      </c>
      <c r="V18">
        <v>1</v>
      </c>
      <c r="W18">
        <v>471</v>
      </c>
      <c r="X18">
        <v>14</v>
      </c>
      <c r="Y18">
        <v>1</v>
      </c>
      <c r="Z18">
        <v>0</v>
      </c>
      <c r="AA18">
        <v>15</v>
      </c>
      <c r="AB18">
        <v>493</v>
      </c>
      <c r="AC18">
        <v>20</v>
      </c>
      <c r="AD18">
        <v>0</v>
      </c>
      <c r="AE18">
        <v>0</v>
      </c>
      <c r="AF18">
        <v>20</v>
      </c>
      <c r="AG18">
        <v>94</v>
      </c>
      <c r="AH18">
        <v>2</v>
      </c>
      <c r="AI18">
        <v>7</v>
      </c>
      <c r="AJ18">
        <v>103</v>
      </c>
      <c r="AK18">
        <v>50</v>
      </c>
      <c r="AL18">
        <v>2</v>
      </c>
      <c r="AM18">
        <v>0</v>
      </c>
      <c r="AN18">
        <v>52</v>
      </c>
      <c r="AO18">
        <v>175</v>
      </c>
      <c r="AP18">
        <v>29</v>
      </c>
      <c r="AQ18">
        <v>0</v>
      </c>
      <c r="AR18">
        <v>0</v>
      </c>
      <c r="AS18">
        <v>29</v>
      </c>
      <c r="AT18">
        <v>373</v>
      </c>
      <c r="AU18">
        <v>33</v>
      </c>
      <c r="AV18">
        <v>0</v>
      </c>
      <c r="AW18">
        <v>406</v>
      </c>
      <c r="AX18">
        <v>4</v>
      </c>
      <c r="AY18">
        <v>0</v>
      </c>
      <c r="AZ18">
        <v>0</v>
      </c>
      <c r="BA18">
        <v>4</v>
      </c>
      <c r="BB18">
        <v>2</v>
      </c>
      <c r="BC18">
        <v>0</v>
      </c>
      <c r="BD18">
        <v>0</v>
      </c>
      <c r="BE18">
        <v>2</v>
      </c>
      <c r="BF18">
        <v>441</v>
      </c>
      <c r="BG18">
        <v>1178</v>
      </c>
    </row>
    <row r="19" spans="2:59" x14ac:dyDescent="0.25">
      <c r="B19" s="11">
        <v>0.33333333333333331</v>
      </c>
      <c r="C19">
        <v>5</v>
      </c>
      <c r="D19">
        <v>1</v>
      </c>
      <c r="E19">
        <v>0</v>
      </c>
      <c r="F19">
        <v>6</v>
      </c>
      <c r="G19">
        <v>32</v>
      </c>
      <c r="H19">
        <v>3</v>
      </c>
      <c r="I19">
        <v>0</v>
      </c>
      <c r="J19">
        <v>35</v>
      </c>
      <c r="K19">
        <v>12</v>
      </c>
      <c r="L19">
        <v>3</v>
      </c>
      <c r="M19">
        <v>0</v>
      </c>
      <c r="N19">
        <v>15</v>
      </c>
      <c r="O19">
        <v>56</v>
      </c>
      <c r="P19">
        <v>7</v>
      </c>
      <c r="Q19">
        <v>3</v>
      </c>
      <c r="R19">
        <v>0</v>
      </c>
      <c r="S19">
        <v>10</v>
      </c>
      <c r="T19">
        <v>415</v>
      </c>
      <c r="U19">
        <v>36</v>
      </c>
      <c r="V19">
        <v>1</v>
      </c>
      <c r="W19">
        <v>452</v>
      </c>
      <c r="X19">
        <v>11</v>
      </c>
      <c r="Y19">
        <v>0</v>
      </c>
      <c r="Z19">
        <v>0</v>
      </c>
      <c r="AA19">
        <v>11</v>
      </c>
      <c r="AB19">
        <v>473</v>
      </c>
      <c r="AC19">
        <v>20</v>
      </c>
      <c r="AD19">
        <v>2</v>
      </c>
      <c r="AE19">
        <v>0</v>
      </c>
      <c r="AF19">
        <v>22</v>
      </c>
      <c r="AG19">
        <v>89</v>
      </c>
      <c r="AH19">
        <v>1</v>
      </c>
      <c r="AI19">
        <v>3</v>
      </c>
      <c r="AJ19">
        <v>93</v>
      </c>
      <c r="AK19">
        <v>45</v>
      </c>
      <c r="AL19">
        <v>0</v>
      </c>
      <c r="AM19">
        <v>0</v>
      </c>
      <c r="AN19">
        <v>45</v>
      </c>
      <c r="AO19">
        <v>160</v>
      </c>
      <c r="AP19">
        <v>20</v>
      </c>
      <c r="AQ19">
        <v>1</v>
      </c>
      <c r="AR19">
        <v>0</v>
      </c>
      <c r="AS19">
        <v>21</v>
      </c>
      <c r="AT19">
        <v>377</v>
      </c>
      <c r="AU19">
        <v>35</v>
      </c>
      <c r="AV19">
        <v>0</v>
      </c>
      <c r="AW19">
        <v>412</v>
      </c>
      <c r="AX19">
        <v>5</v>
      </c>
      <c r="AY19">
        <v>1</v>
      </c>
      <c r="AZ19">
        <v>0</v>
      </c>
      <c r="BA19">
        <v>6</v>
      </c>
      <c r="BB19">
        <v>0</v>
      </c>
      <c r="BC19">
        <v>0</v>
      </c>
      <c r="BD19">
        <v>0</v>
      </c>
      <c r="BE19">
        <v>0</v>
      </c>
      <c r="BF19">
        <v>439</v>
      </c>
      <c r="BG19">
        <v>1128</v>
      </c>
    </row>
    <row r="20" spans="2:59" x14ac:dyDescent="0.25">
      <c r="B20" s="11">
        <v>0.34375</v>
      </c>
      <c r="C20">
        <v>15</v>
      </c>
      <c r="D20">
        <v>0</v>
      </c>
      <c r="E20">
        <v>0</v>
      </c>
      <c r="F20">
        <v>15</v>
      </c>
      <c r="G20">
        <v>55</v>
      </c>
      <c r="H20">
        <v>2</v>
      </c>
      <c r="I20">
        <v>0</v>
      </c>
      <c r="J20">
        <v>57</v>
      </c>
      <c r="K20">
        <v>19</v>
      </c>
      <c r="L20">
        <v>0</v>
      </c>
      <c r="M20">
        <v>0</v>
      </c>
      <c r="N20">
        <v>19</v>
      </c>
      <c r="O20">
        <v>91</v>
      </c>
      <c r="P20">
        <v>10</v>
      </c>
      <c r="Q20">
        <v>0</v>
      </c>
      <c r="R20">
        <v>0</v>
      </c>
      <c r="S20">
        <v>10</v>
      </c>
      <c r="T20">
        <v>362</v>
      </c>
      <c r="U20">
        <v>36</v>
      </c>
      <c r="V20">
        <v>0</v>
      </c>
      <c r="W20">
        <v>398</v>
      </c>
      <c r="X20">
        <v>22</v>
      </c>
      <c r="Y20">
        <v>2</v>
      </c>
      <c r="Z20">
        <v>0</v>
      </c>
      <c r="AA20">
        <v>24</v>
      </c>
      <c r="AB20">
        <v>432</v>
      </c>
      <c r="AC20">
        <v>23</v>
      </c>
      <c r="AD20">
        <v>1</v>
      </c>
      <c r="AE20">
        <v>0</v>
      </c>
      <c r="AF20">
        <v>24</v>
      </c>
      <c r="AG20">
        <v>89</v>
      </c>
      <c r="AH20">
        <v>1</v>
      </c>
      <c r="AI20">
        <v>6</v>
      </c>
      <c r="AJ20">
        <v>96</v>
      </c>
      <c r="AK20">
        <v>29</v>
      </c>
      <c r="AL20">
        <v>1</v>
      </c>
      <c r="AM20">
        <v>0</v>
      </c>
      <c r="AN20">
        <v>30</v>
      </c>
      <c r="AO20">
        <v>150</v>
      </c>
      <c r="AP20">
        <v>22</v>
      </c>
      <c r="AQ20">
        <v>3</v>
      </c>
      <c r="AR20">
        <v>0</v>
      </c>
      <c r="AS20">
        <v>25</v>
      </c>
      <c r="AT20">
        <v>358</v>
      </c>
      <c r="AU20">
        <v>26</v>
      </c>
      <c r="AV20">
        <v>0</v>
      </c>
      <c r="AW20">
        <v>384</v>
      </c>
      <c r="AX20">
        <v>1</v>
      </c>
      <c r="AY20">
        <v>2</v>
      </c>
      <c r="AZ20">
        <v>0</v>
      </c>
      <c r="BA20">
        <v>3</v>
      </c>
      <c r="BB20">
        <v>1</v>
      </c>
      <c r="BC20">
        <v>0</v>
      </c>
      <c r="BD20">
        <v>0</v>
      </c>
      <c r="BE20">
        <v>1</v>
      </c>
      <c r="BF20">
        <v>413</v>
      </c>
      <c r="BG20">
        <v>1086</v>
      </c>
    </row>
    <row r="21" spans="2:59" x14ac:dyDescent="0.25">
      <c r="B21" s="11">
        <v>0.35416666666666669</v>
      </c>
      <c r="C21">
        <v>12</v>
      </c>
      <c r="D21">
        <v>3</v>
      </c>
      <c r="E21">
        <v>0</v>
      </c>
      <c r="F21">
        <v>15</v>
      </c>
      <c r="G21">
        <v>63</v>
      </c>
      <c r="H21">
        <v>3</v>
      </c>
      <c r="I21">
        <v>0</v>
      </c>
      <c r="J21">
        <v>66</v>
      </c>
      <c r="K21">
        <v>14</v>
      </c>
      <c r="L21">
        <v>1</v>
      </c>
      <c r="M21">
        <v>0</v>
      </c>
      <c r="N21">
        <v>15</v>
      </c>
      <c r="O21">
        <v>96</v>
      </c>
      <c r="P21">
        <v>10</v>
      </c>
      <c r="Q21">
        <v>0</v>
      </c>
      <c r="R21">
        <v>0</v>
      </c>
      <c r="S21">
        <v>10</v>
      </c>
      <c r="T21">
        <v>378</v>
      </c>
      <c r="U21">
        <v>33</v>
      </c>
      <c r="V21">
        <v>2</v>
      </c>
      <c r="W21">
        <v>413</v>
      </c>
      <c r="X21">
        <v>14</v>
      </c>
      <c r="Y21">
        <v>0</v>
      </c>
      <c r="Z21">
        <v>0</v>
      </c>
      <c r="AA21">
        <v>14</v>
      </c>
      <c r="AB21">
        <v>437</v>
      </c>
      <c r="AC21">
        <v>19</v>
      </c>
      <c r="AD21">
        <v>0</v>
      </c>
      <c r="AE21">
        <v>0</v>
      </c>
      <c r="AF21">
        <v>19</v>
      </c>
      <c r="AG21">
        <v>96</v>
      </c>
      <c r="AH21">
        <v>1</v>
      </c>
      <c r="AI21">
        <v>3</v>
      </c>
      <c r="AJ21">
        <v>100</v>
      </c>
      <c r="AK21">
        <v>24</v>
      </c>
      <c r="AL21">
        <v>2</v>
      </c>
      <c r="AM21">
        <v>0</v>
      </c>
      <c r="AN21">
        <v>26</v>
      </c>
      <c r="AO21">
        <v>145</v>
      </c>
      <c r="AP21">
        <v>21</v>
      </c>
      <c r="AQ21">
        <v>3</v>
      </c>
      <c r="AR21">
        <v>0</v>
      </c>
      <c r="AS21">
        <v>24</v>
      </c>
      <c r="AT21">
        <v>353</v>
      </c>
      <c r="AU21">
        <v>44</v>
      </c>
      <c r="AV21">
        <v>0</v>
      </c>
      <c r="AW21">
        <v>397</v>
      </c>
      <c r="AX21">
        <v>8</v>
      </c>
      <c r="AY21">
        <v>0</v>
      </c>
      <c r="AZ21">
        <v>0</v>
      </c>
      <c r="BA21">
        <v>8</v>
      </c>
      <c r="BB21">
        <v>0</v>
      </c>
      <c r="BC21">
        <v>0</v>
      </c>
      <c r="BD21">
        <v>0</v>
      </c>
      <c r="BE21">
        <v>0</v>
      </c>
      <c r="BF21">
        <v>429</v>
      </c>
      <c r="BG21">
        <v>1107</v>
      </c>
    </row>
    <row r="22" spans="2:59" x14ac:dyDescent="0.25">
      <c r="B22" s="11">
        <v>0.36458333333333331</v>
      </c>
      <c r="C22">
        <v>9</v>
      </c>
      <c r="D22">
        <v>2</v>
      </c>
      <c r="E22">
        <v>0</v>
      </c>
      <c r="F22">
        <v>11</v>
      </c>
      <c r="G22">
        <v>50</v>
      </c>
      <c r="H22">
        <v>4</v>
      </c>
      <c r="I22">
        <v>0</v>
      </c>
      <c r="J22">
        <v>54</v>
      </c>
      <c r="K22">
        <v>15</v>
      </c>
      <c r="L22">
        <v>0</v>
      </c>
      <c r="M22">
        <v>0</v>
      </c>
      <c r="N22">
        <v>15</v>
      </c>
      <c r="O22">
        <v>80</v>
      </c>
      <c r="P22">
        <v>9</v>
      </c>
      <c r="Q22">
        <v>4</v>
      </c>
      <c r="R22">
        <v>0</v>
      </c>
      <c r="S22">
        <v>13</v>
      </c>
      <c r="T22">
        <v>436</v>
      </c>
      <c r="U22">
        <v>37</v>
      </c>
      <c r="V22">
        <v>0</v>
      </c>
      <c r="W22">
        <v>473</v>
      </c>
      <c r="X22">
        <v>19</v>
      </c>
      <c r="Y22">
        <v>1</v>
      </c>
      <c r="Z22">
        <v>0</v>
      </c>
      <c r="AA22">
        <v>20</v>
      </c>
      <c r="AB22">
        <v>506</v>
      </c>
      <c r="AC22">
        <v>24</v>
      </c>
      <c r="AD22">
        <v>0</v>
      </c>
      <c r="AE22">
        <v>0</v>
      </c>
      <c r="AF22">
        <v>24</v>
      </c>
      <c r="AG22">
        <v>87</v>
      </c>
      <c r="AH22">
        <v>2</v>
      </c>
      <c r="AI22">
        <v>2</v>
      </c>
      <c r="AJ22">
        <v>91</v>
      </c>
      <c r="AK22">
        <v>34</v>
      </c>
      <c r="AL22">
        <v>1</v>
      </c>
      <c r="AM22">
        <v>0</v>
      </c>
      <c r="AN22">
        <v>35</v>
      </c>
      <c r="AO22">
        <v>150</v>
      </c>
      <c r="AP22">
        <v>25</v>
      </c>
      <c r="AQ22">
        <v>1</v>
      </c>
      <c r="AR22">
        <v>0</v>
      </c>
      <c r="AS22">
        <v>26</v>
      </c>
      <c r="AT22">
        <v>324</v>
      </c>
      <c r="AU22">
        <v>52</v>
      </c>
      <c r="AV22">
        <v>0</v>
      </c>
      <c r="AW22">
        <v>376</v>
      </c>
      <c r="AX22">
        <v>4</v>
      </c>
      <c r="AY22">
        <v>0</v>
      </c>
      <c r="AZ22">
        <v>0</v>
      </c>
      <c r="BA22">
        <v>4</v>
      </c>
      <c r="BB22">
        <v>1</v>
      </c>
      <c r="BC22">
        <v>0</v>
      </c>
      <c r="BD22">
        <v>0</v>
      </c>
      <c r="BE22">
        <v>1</v>
      </c>
      <c r="BF22">
        <v>407</v>
      </c>
      <c r="BG22">
        <v>1143</v>
      </c>
    </row>
    <row r="23" spans="2:59" x14ac:dyDescent="0.25">
      <c r="B23" s="10" t="s">
        <v>44</v>
      </c>
      <c r="C23">
        <v>56</v>
      </c>
      <c r="D23">
        <v>0</v>
      </c>
      <c r="E23">
        <v>0</v>
      </c>
      <c r="F23">
        <v>56</v>
      </c>
      <c r="G23">
        <v>710</v>
      </c>
      <c r="H23">
        <v>10</v>
      </c>
      <c r="I23">
        <v>33</v>
      </c>
      <c r="J23">
        <v>753</v>
      </c>
      <c r="K23">
        <v>326</v>
      </c>
      <c r="L23">
        <v>6</v>
      </c>
      <c r="M23">
        <v>0</v>
      </c>
      <c r="N23">
        <v>332</v>
      </c>
      <c r="O23">
        <v>1141</v>
      </c>
      <c r="P23">
        <v>71</v>
      </c>
      <c r="Q23">
        <v>4</v>
      </c>
      <c r="R23">
        <v>1</v>
      </c>
      <c r="S23">
        <v>76</v>
      </c>
      <c r="T23">
        <v>3372</v>
      </c>
      <c r="U23">
        <v>130</v>
      </c>
      <c r="V23">
        <v>2</v>
      </c>
      <c r="W23">
        <v>3504</v>
      </c>
      <c r="X23">
        <v>55</v>
      </c>
      <c r="Y23">
        <v>1</v>
      </c>
      <c r="Z23">
        <v>0</v>
      </c>
      <c r="AA23">
        <v>56</v>
      </c>
      <c r="AB23">
        <v>3636</v>
      </c>
      <c r="AC23">
        <v>214</v>
      </c>
      <c r="AD23">
        <v>0</v>
      </c>
      <c r="AE23">
        <v>0</v>
      </c>
      <c r="AF23">
        <v>214</v>
      </c>
      <c r="AG23">
        <v>404</v>
      </c>
      <c r="AH23">
        <v>6</v>
      </c>
      <c r="AI23">
        <v>0</v>
      </c>
      <c r="AJ23">
        <v>410</v>
      </c>
      <c r="AK23">
        <v>123</v>
      </c>
      <c r="AL23">
        <v>7</v>
      </c>
      <c r="AM23">
        <v>0</v>
      </c>
      <c r="AN23">
        <v>130</v>
      </c>
      <c r="AO23">
        <v>754</v>
      </c>
      <c r="AP23">
        <v>178</v>
      </c>
      <c r="AQ23">
        <v>0</v>
      </c>
      <c r="AR23">
        <v>0</v>
      </c>
      <c r="AS23">
        <v>178</v>
      </c>
      <c r="AT23">
        <v>3264</v>
      </c>
      <c r="AU23">
        <v>99</v>
      </c>
      <c r="AV23">
        <v>6</v>
      </c>
      <c r="AW23">
        <v>3369</v>
      </c>
      <c r="AX23">
        <v>121</v>
      </c>
      <c r="AY23">
        <v>3</v>
      </c>
      <c r="AZ23">
        <v>0</v>
      </c>
      <c r="BA23">
        <v>124</v>
      </c>
      <c r="BB23">
        <v>6</v>
      </c>
      <c r="BC23">
        <v>0</v>
      </c>
      <c r="BD23">
        <v>0</v>
      </c>
      <c r="BE23">
        <v>6</v>
      </c>
      <c r="BF23">
        <v>3677</v>
      </c>
      <c r="BG23">
        <v>9208</v>
      </c>
    </row>
    <row r="24" spans="2:59" x14ac:dyDescent="0.25">
      <c r="B24" s="11">
        <v>0.66666666666666663</v>
      </c>
      <c r="C24">
        <v>8</v>
      </c>
      <c r="D24">
        <v>0</v>
      </c>
      <c r="E24">
        <v>0</v>
      </c>
      <c r="F24">
        <v>8</v>
      </c>
      <c r="G24">
        <v>88</v>
      </c>
      <c r="H24">
        <v>0</v>
      </c>
      <c r="I24">
        <v>3</v>
      </c>
      <c r="J24">
        <v>91</v>
      </c>
      <c r="K24">
        <v>37</v>
      </c>
      <c r="L24">
        <v>0</v>
      </c>
      <c r="M24">
        <v>0</v>
      </c>
      <c r="N24">
        <v>37</v>
      </c>
      <c r="O24">
        <v>136</v>
      </c>
      <c r="P24">
        <v>9</v>
      </c>
      <c r="Q24">
        <v>1</v>
      </c>
      <c r="R24">
        <v>0</v>
      </c>
      <c r="S24">
        <v>10</v>
      </c>
      <c r="T24">
        <v>413</v>
      </c>
      <c r="U24">
        <v>14</v>
      </c>
      <c r="V24">
        <v>0</v>
      </c>
      <c r="W24">
        <v>427</v>
      </c>
      <c r="X24">
        <v>6</v>
      </c>
      <c r="Y24">
        <v>0</v>
      </c>
      <c r="Z24">
        <v>0</v>
      </c>
      <c r="AA24">
        <v>6</v>
      </c>
      <c r="AB24">
        <v>443</v>
      </c>
      <c r="AC24">
        <v>28</v>
      </c>
      <c r="AD24">
        <v>0</v>
      </c>
      <c r="AE24">
        <v>0</v>
      </c>
      <c r="AF24">
        <v>28</v>
      </c>
      <c r="AG24">
        <v>54</v>
      </c>
      <c r="AH24">
        <v>1</v>
      </c>
      <c r="AI24">
        <v>0</v>
      </c>
      <c r="AJ24">
        <v>55</v>
      </c>
      <c r="AK24">
        <v>15</v>
      </c>
      <c r="AL24">
        <v>1</v>
      </c>
      <c r="AM24">
        <v>0</v>
      </c>
      <c r="AN24">
        <v>16</v>
      </c>
      <c r="AO24">
        <v>99</v>
      </c>
      <c r="AP24">
        <v>14</v>
      </c>
      <c r="AQ24">
        <v>0</v>
      </c>
      <c r="AR24">
        <v>0</v>
      </c>
      <c r="AS24">
        <v>14</v>
      </c>
      <c r="AT24">
        <v>411</v>
      </c>
      <c r="AU24">
        <v>28</v>
      </c>
      <c r="AV24">
        <v>0</v>
      </c>
      <c r="AW24">
        <v>439</v>
      </c>
      <c r="AX24">
        <v>19</v>
      </c>
      <c r="AY24">
        <v>0</v>
      </c>
      <c r="AZ24">
        <v>0</v>
      </c>
      <c r="BA24">
        <v>19</v>
      </c>
      <c r="BB24">
        <v>0</v>
      </c>
      <c r="BC24">
        <v>0</v>
      </c>
      <c r="BD24">
        <v>0</v>
      </c>
      <c r="BE24">
        <v>0</v>
      </c>
      <c r="BF24">
        <v>472</v>
      </c>
      <c r="BG24">
        <v>1150</v>
      </c>
    </row>
    <row r="25" spans="2:59" x14ac:dyDescent="0.25">
      <c r="B25" s="11">
        <v>0.67708333333333337</v>
      </c>
      <c r="C25">
        <v>11</v>
      </c>
      <c r="D25">
        <v>0</v>
      </c>
      <c r="E25">
        <v>0</v>
      </c>
      <c r="F25">
        <v>11</v>
      </c>
      <c r="G25">
        <v>67</v>
      </c>
      <c r="H25">
        <v>2</v>
      </c>
      <c r="I25">
        <v>8</v>
      </c>
      <c r="J25">
        <v>77</v>
      </c>
      <c r="K25">
        <v>41</v>
      </c>
      <c r="L25">
        <v>1</v>
      </c>
      <c r="M25">
        <v>0</v>
      </c>
      <c r="N25">
        <v>42</v>
      </c>
      <c r="O25">
        <v>130</v>
      </c>
      <c r="P25">
        <v>0</v>
      </c>
      <c r="Q25">
        <v>0</v>
      </c>
      <c r="R25">
        <v>0</v>
      </c>
      <c r="S25">
        <v>0</v>
      </c>
      <c r="T25">
        <v>387</v>
      </c>
      <c r="U25">
        <v>26</v>
      </c>
      <c r="V25">
        <v>0</v>
      </c>
      <c r="W25">
        <v>413</v>
      </c>
      <c r="X25">
        <v>7</v>
      </c>
      <c r="Y25">
        <v>0</v>
      </c>
      <c r="Z25">
        <v>0</v>
      </c>
      <c r="AA25">
        <v>7</v>
      </c>
      <c r="AB25">
        <v>420</v>
      </c>
      <c r="AC25">
        <v>32</v>
      </c>
      <c r="AD25">
        <v>0</v>
      </c>
      <c r="AE25">
        <v>0</v>
      </c>
      <c r="AF25">
        <v>32</v>
      </c>
      <c r="AG25">
        <v>44</v>
      </c>
      <c r="AH25">
        <v>0</v>
      </c>
      <c r="AI25">
        <v>0</v>
      </c>
      <c r="AJ25">
        <v>44</v>
      </c>
      <c r="AK25">
        <v>24</v>
      </c>
      <c r="AL25">
        <v>0</v>
      </c>
      <c r="AM25">
        <v>0</v>
      </c>
      <c r="AN25">
        <v>24</v>
      </c>
      <c r="AO25">
        <v>100</v>
      </c>
      <c r="AP25">
        <v>25</v>
      </c>
      <c r="AQ25">
        <v>0</v>
      </c>
      <c r="AR25">
        <v>0</v>
      </c>
      <c r="AS25">
        <v>25</v>
      </c>
      <c r="AT25">
        <v>342</v>
      </c>
      <c r="AU25">
        <v>13</v>
      </c>
      <c r="AV25">
        <v>1</v>
      </c>
      <c r="AW25">
        <v>356</v>
      </c>
      <c r="AX25">
        <v>12</v>
      </c>
      <c r="AY25">
        <v>1</v>
      </c>
      <c r="AZ25">
        <v>0</v>
      </c>
      <c r="BA25">
        <v>13</v>
      </c>
      <c r="BB25">
        <v>1</v>
      </c>
      <c r="BC25">
        <v>0</v>
      </c>
      <c r="BD25">
        <v>0</v>
      </c>
      <c r="BE25">
        <v>1</v>
      </c>
      <c r="BF25">
        <v>395</v>
      </c>
      <c r="BG25">
        <v>1045</v>
      </c>
    </row>
    <row r="26" spans="2:59" x14ac:dyDescent="0.25">
      <c r="B26" s="11">
        <v>0.6875</v>
      </c>
      <c r="C26">
        <v>5</v>
      </c>
      <c r="D26">
        <v>0</v>
      </c>
      <c r="E26">
        <v>0</v>
      </c>
      <c r="F26">
        <v>5</v>
      </c>
      <c r="G26">
        <v>84</v>
      </c>
      <c r="H26">
        <v>1</v>
      </c>
      <c r="I26">
        <v>7</v>
      </c>
      <c r="J26">
        <v>92</v>
      </c>
      <c r="K26">
        <v>33</v>
      </c>
      <c r="L26">
        <v>1</v>
      </c>
      <c r="M26">
        <v>0</v>
      </c>
      <c r="N26">
        <v>34</v>
      </c>
      <c r="O26">
        <v>131</v>
      </c>
      <c r="P26">
        <v>6</v>
      </c>
      <c r="Q26">
        <v>0</v>
      </c>
      <c r="R26">
        <v>0</v>
      </c>
      <c r="S26">
        <v>6</v>
      </c>
      <c r="T26">
        <v>416</v>
      </c>
      <c r="U26">
        <v>20</v>
      </c>
      <c r="V26">
        <v>0</v>
      </c>
      <c r="W26">
        <v>436</v>
      </c>
      <c r="X26">
        <v>8</v>
      </c>
      <c r="Y26">
        <v>1</v>
      </c>
      <c r="Z26">
        <v>0</v>
      </c>
      <c r="AA26">
        <v>9</v>
      </c>
      <c r="AB26">
        <v>451</v>
      </c>
      <c r="AC26">
        <v>27</v>
      </c>
      <c r="AD26">
        <v>0</v>
      </c>
      <c r="AE26">
        <v>0</v>
      </c>
      <c r="AF26">
        <v>27</v>
      </c>
      <c r="AG26">
        <v>54</v>
      </c>
      <c r="AH26">
        <v>1</v>
      </c>
      <c r="AI26">
        <v>0</v>
      </c>
      <c r="AJ26">
        <v>55</v>
      </c>
      <c r="AK26">
        <v>18</v>
      </c>
      <c r="AL26">
        <v>2</v>
      </c>
      <c r="AM26">
        <v>0</v>
      </c>
      <c r="AN26">
        <v>20</v>
      </c>
      <c r="AO26">
        <v>102</v>
      </c>
      <c r="AP26">
        <v>31</v>
      </c>
      <c r="AQ26">
        <v>0</v>
      </c>
      <c r="AR26">
        <v>0</v>
      </c>
      <c r="AS26">
        <v>31</v>
      </c>
      <c r="AT26">
        <v>438</v>
      </c>
      <c r="AU26">
        <v>14</v>
      </c>
      <c r="AV26">
        <v>2</v>
      </c>
      <c r="AW26">
        <v>454</v>
      </c>
      <c r="AX26">
        <v>20</v>
      </c>
      <c r="AY26">
        <v>0</v>
      </c>
      <c r="AZ26">
        <v>0</v>
      </c>
      <c r="BA26">
        <v>20</v>
      </c>
      <c r="BB26">
        <v>0</v>
      </c>
      <c r="BC26">
        <v>0</v>
      </c>
      <c r="BD26">
        <v>0</v>
      </c>
      <c r="BE26">
        <v>0</v>
      </c>
      <c r="BF26">
        <v>505</v>
      </c>
      <c r="BG26">
        <v>1189</v>
      </c>
    </row>
    <row r="27" spans="2:59" x14ac:dyDescent="0.25">
      <c r="B27" s="11">
        <v>0.69791666666666663</v>
      </c>
      <c r="C27">
        <v>10</v>
      </c>
      <c r="D27">
        <v>0</v>
      </c>
      <c r="E27">
        <v>0</v>
      </c>
      <c r="F27">
        <v>10</v>
      </c>
      <c r="G27">
        <v>100</v>
      </c>
      <c r="H27">
        <v>1</v>
      </c>
      <c r="I27">
        <v>5</v>
      </c>
      <c r="J27">
        <v>106</v>
      </c>
      <c r="K27">
        <v>33</v>
      </c>
      <c r="L27">
        <v>1</v>
      </c>
      <c r="M27">
        <v>0</v>
      </c>
      <c r="N27">
        <v>34</v>
      </c>
      <c r="O27">
        <v>150</v>
      </c>
      <c r="P27">
        <v>4</v>
      </c>
      <c r="Q27">
        <v>1</v>
      </c>
      <c r="R27">
        <v>0</v>
      </c>
      <c r="S27">
        <v>5</v>
      </c>
      <c r="T27">
        <v>417</v>
      </c>
      <c r="U27">
        <v>20</v>
      </c>
      <c r="V27">
        <v>0</v>
      </c>
      <c r="W27">
        <v>437</v>
      </c>
      <c r="X27">
        <v>5</v>
      </c>
      <c r="Y27">
        <v>0</v>
      </c>
      <c r="Z27">
        <v>0</v>
      </c>
      <c r="AA27">
        <v>5</v>
      </c>
      <c r="AB27">
        <v>447</v>
      </c>
      <c r="AC27">
        <v>27</v>
      </c>
      <c r="AD27">
        <v>0</v>
      </c>
      <c r="AE27">
        <v>0</v>
      </c>
      <c r="AF27">
        <v>27</v>
      </c>
      <c r="AG27">
        <v>68</v>
      </c>
      <c r="AH27">
        <v>1</v>
      </c>
      <c r="AI27">
        <v>0</v>
      </c>
      <c r="AJ27">
        <v>69</v>
      </c>
      <c r="AK27">
        <v>16</v>
      </c>
      <c r="AL27">
        <v>0</v>
      </c>
      <c r="AM27">
        <v>0</v>
      </c>
      <c r="AN27">
        <v>16</v>
      </c>
      <c r="AO27">
        <v>112</v>
      </c>
      <c r="AP27">
        <v>17</v>
      </c>
      <c r="AQ27">
        <v>0</v>
      </c>
      <c r="AR27">
        <v>0</v>
      </c>
      <c r="AS27">
        <v>17</v>
      </c>
      <c r="AT27">
        <v>426</v>
      </c>
      <c r="AU27">
        <v>13</v>
      </c>
      <c r="AV27">
        <v>2</v>
      </c>
      <c r="AW27">
        <v>441</v>
      </c>
      <c r="AX27">
        <v>16</v>
      </c>
      <c r="AY27">
        <v>1</v>
      </c>
      <c r="AZ27">
        <v>0</v>
      </c>
      <c r="BA27">
        <v>17</v>
      </c>
      <c r="BB27">
        <v>2</v>
      </c>
      <c r="BC27">
        <v>0</v>
      </c>
      <c r="BD27">
        <v>0</v>
      </c>
      <c r="BE27">
        <v>2</v>
      </c>
      <c r="BF27">
        <v>477</v>
      </c>
      <c r="BG27">
        <v>1186</v>
      </c>
    </row>
    <row r="28" spans="2:59" x14ac:dyDescent="0.25">
      <c r="B28" s="11">
        <v>0.70833333333333337</v>
      </c>
      <c r="C28">
        <v>4</v>
      </c>
      <c r="D28">
        <v>0</v>
      </c>
      <c r="E28">
        <v>0</v>
      </c>
      <c r="F28">
        <v>4</v>
      </c>
      <c r="G28">
        <v>89</v>
      </c>
      <c r="H28">
        <v>3</v>
      </c>
      <c r="I28">
        <v>2</v>
      </c>
      <c r="J28">
        <v>94</v>
      </c>
      <c r="K28">
        <v>37</v>
      </c>
      <c r="L28">
        <v>1</v>
      </c>
      <c r="M28">
        <v>0</v>
      </c>
      <c r="N28">
        <v>38</v>
      </c>
      <c r="O28">
        <v>136</v>
      </c>
      <c r="P28">
        <v>13</v>
      </c>
      <c r="Q28">
        <v>0</v>
      </c>
      <c r="R28">
        <v>1</v>
      </c>
      <c r="S28">
        <v>14</v>
      </c>
      <c r="T28">
        <v>411</v>
      </c>
      <c r="U28">
        <v>21</v>
      </c>
      <c r="V28">
        <v>0</v>
      </c>
      <c r="W28">
        <v>432</v>
      </c>
      <c r="X28">
        <v>7</v>
      </c>
      <c r="Y28">
        <v>0</v>
      </c>
      <c r="Z28">
        <v>0</v>
      </c>
      <c r="AA28">
        <v>7</v>
      </c>
      <c r="AB28">
        <v>453</v>
      </c>
      <c r="AC28">
        <v>31</v>
      </c>
      <c r="AD28">
        <v>0</v>
      </c>
      <c r="AE28">
        <v>0</v>
      </c>
      <c r="AF28">
        <v>31</v>
      </c>
      <c r="AG28">
        <v>60</v>
      </c>
      <c r="AH28">
        <v>0</v>
      </c>
      <c r="AI28">
        <v>0</v>
      </c>
      <c r="AJ28">
        <v>60</v>
      </c>
      <c r="AK28">
        <v>14</v>
      </c>
      <c r="AL28">
        <v>2</v>
      </c>
      <c r="AM28">
        <v>0</v>
      </c>
      <c r="AN28">
        <v>16</v>
      </c>
      <c r="AO28">
        <v>107</v>
      </c>
      <c r="AP28">
        <v>19</v>
      </c>
      <c r="AQ28">
        <v>0</v>
      </c>
      <c r="AR28">
        <v>0</v>
      </c>
      <c r="AS28">
        <v>19</v>
      </c>
      <c r="AT28">
        <v>451</v>
      </c>
      <c r="AU28">
        <v>6</v>
      </c>
      <c r="AV28">
        <v>0</v>
      </c>
      <c r="AW28">
        <v>457</v>
      </c>
      <c r="AX28">
        <v>10</v>
      </c>
      <c r="AY28">
        <v>0</v>
      </c>
      <c r="AZ28">
        <v>0</v>
      </c>
      <c r="BA28">
        <v>10</v>
      </c>
      <c r="BB28">
        <v>0</v>
      </c>
      <c r="BC28">
        <v>0</v>
      </c>
      <c r="BD28">
        <v>0</v>
      </c>
      <c r="BE28">
        <v>0</v>
      </c>
      <c r="BF28">
        <v>486</v>
      </c>
      <c r="BG28">
        <v>1182</v>
      </c>
    </row>
    <row r="29" spans="2:59" x14ac:dyDescent="0.25">
      <c r="B29" s="11">
        <v>0.71875</v>
      </c>
      <c r="C29">
        <v>8</v>
      </c>
      <c r="D29">
        <v>0</v>
      </c>
      <c r="E29">
        <v>0</v>
      </c>
      <c r="F29">
        <v>8</v>
      </c>
      <c r="G29">
        <v>101</v>
      </c>
      <c r="H29">
        <v>1</v>
      </c>
      <c r="I29">
        <v>5</v>
      </c>
      <c r="J29">
        <v>107</v>
      </c>
      <c r="K29">
        <v>47</v>
      </c>
      <c r="L29">
        <v>1</v>
      </c>
      <c r="M29">
        <v>0</v>
      </c>
      <c r="N29">
        <v>48</v>
      </c>
      <c r="O29">
        <v>163</v>
      </c>
      <c r="P29">
        <v>8</v>
      </c>
      <c r="Q29">
        <v>1</v>
      </c>
      <c r="R29">
        <v>0</v>
      </c>
      <c r="S29">
        <v>9</v>
      </c>
      <c r="T29">
        <v>472</v>
      </c>
      <c r="U29">
        <v>4</v>
      </c>
      <c r="V29">
        <v>1</v>
      </c>
      <c r="W29">
        <v>477</v>
      </c>
      <c r="X29">
        <v>8</v>
      </c>
      <c r="Y29">
        <v>0</v>
      </c>
      <c r="Z29">
        <v>0</v>
      </c>
      <c r="AA29">
        <v>8</v>
      </c>
      <c r="AB29">
        <v>494</v>
      </c>
      <c r="AC29">
        <v>31</v>
      </c>
      <c r="AD29">
        <v>0</v>
      </c>
      <c r="AE29">
        <v>0</v>
      </c>
      <c r="AF29">
        <v>31</v>
      </c>
      <c r="AG29">
        <v>37</v>
      </c>
      <c r="AH29">
        <v>2</v>
      </c>
      <c r="AI29">
        <v>0</v>
      </c>
      <c r="AJ29">
        <v>39</v>
      </c>
      <c r="AK29">
        <v>11</v>
      </c>
      <c r="AL29">
        <v>0</v>
      </c>
      <c r="AM29">
        <v>0</v>
      </c>
      <c r="AN29">
        <v>11</v>
      </c>
      <c r="AO29">
        <v>81</v>
      </c>
      <c r="AP29">
        <v>19</v>
      </c>
      <c r="AQ29">
        <v>0</v>
      </c>
      <c r="AR29">
        <v>0</v>
      </c>
      <c r="AS29">
        <v>19</v>
      </c>
      <c r="AT29">
        <v>417</v>
      </c>
      <c r="AU29">
        <v>8</v>
      </c>
      <c r="AV29">
        <v>1</v>
      </c>
      <c r="AW29">
        <v>426</v>
      </c>
      <c r="AX29">
        <v>18</v>
      </c>
      <c r="AY29">
        <v>0</v>
      </c>
      <c r="AZ29">
        <v>0</v>
      </c>
      <c r="BA29">
        <v>18</v>
      </c>
      <c r="BB29">
        <v>0</v>
      </c>
      <c r="BC29">
        <v>0</v>
      </c>
      <c r="BD29">
        <v>0</v>
      </c>
      <c r="BE29">
        <v>0</v>
      </c>
      <c r="BF29">
        <v>463</v>
      </c>
      <c r="BG29">
        <v>1201</v>
      </c>
    </row>
    <row r="30" spans="2:59" x14ac:dyDescent="0.25">
      <c r="B30" s="11">
        <v>0.72916666666666663</v>
      </c>
      <c r="C30">
        <v>6</v>
      </c>
      <c r="D30">
        <v>0</v>
      </c>
      <c r="E30">
        <v>0</v>
      </c>
      <c r="F30">
        <v>6</v>
      </c>
      <c r="G30">
        <v>94</v>
      </c>
      <c r="H30">
        <v>1</v>
      </c>
      <c r="I30">
        <v>2</v>
      </c>
      <c r="J30">
        <v>97</v>
      </c>
      <c r="K30">
        <v>48</v>
      </c>
      <c r="L30">
        <v>0</v>
      </c>
      <c r="M30">
        <v>0</v>
      </c>
      <c r="N30">
        <v>48</v>
      </c>
      <c r="O30">
        <v>151</v>
      </c>
      <c r="P30">
        <v>16</v>
      </c>
      <c r="Q30">
        <v>0</v>
      </c>
      <c r="R30">
        <v>0</v>
      </c>
      <c r="S30">
        <v>16</v>
      </c>
      <c r="T30">
        <v>444</v>
      </c>
      <c r="U30">
        <v>14</v>
      </c>
      <c r="V30">
        <v>0</v>
      </c>
      <c r="W30">
        <v>458</v>
      </c>
      <c r="X30">
        <v>7</v>
      </c>
      <c r="Y30">
        <v>0</v>
      </c>
      <c r="Z30">
        <v>0</v>
      </c>
      <c r="AA30">
        <v>7</v>
      </c>
      <c r="AB30">
        <v>481</v>
      </c>
      <c r="AC30">
        <v>21</v>
      </c>
      <c r="AD30">
        <v>0</v>
      </c>
      <c r="AE30">
        <v>0</v>
      </c>
      <c r="AF30">
        <v>21</v>
      </c>
      <c r="AG30">
        <v>40</v>
      </c>
      <c r="AH30">
        <v>1</v>
      </c>
      <c r="AI30">
        <v>0</v>
      </c>
      <c r="AJ30">
        <v>41</v>
      </c>
      <c r="AK30">
        <v>14</v>
      </c>
      <c r="AL30">
        <v>1</v>
      </c>
      <c r="AM30">
        <v>0</v>
      </c>
      <c r="AN30">
        <v>15</v>
      </c>
      <c r="AO30">
        <v>77</v>
      </c>
      <c r="AP30">
        <v>29</v>
      </c>
      <c r="AQ30">
        <v>0</v>
      </c>
      <c r="AR30">
        <v>0</v>
      </c>
      <c r="AS30">
        <v>29</v>
      </c>
      <c r="AT30">
        <v>395</v>
      </c>
      <c r="AU30">
        <v>12</v>
      </c>
      <c r="AV30">
        <v>0</v>
      </c>
      <c r="AW30">
        <v>407</v>
      </c>
      <c r="AX30">
        <v>10</v>
      </c>
      <c r="AY30">
        <v>0</v>
      </c>
      <c r="AZ30">
        <v>0</v>
      </c>
      <c r="BA30">
        <v>10</v>
      </c>
      <c r="BB30">
        <v>2</v>
      </c>
      <c r="BC30">
        <v>0</v>
      </c>
      <c r="BD30">
        <v>0</v>
      </c>
      <c r="BE30">
        <v>2</v>
      </c>
      <c r="BF30">
        <v>448</v>
      </c>
      <c r="BG30">
        <v>1157</v>
      </c>
    </row>
    <row r="31" spans="2:59" x14ac:dyDescent="0.25">
      <c r="B31" s="11">
        <v>0.73958333333333337</v>
      </c>
      <c r="C31">
        <v>4</v>
      </c>
      <c r="D31">
        <v>0</v>
      </c>
      <c r="E31">
        <v>0</v>
      </c>
      <c r="F31">
        <v>4</v>
      </c>
      <c r="G31">
        <v>87</v>
      </c>
      <c r="H31">
        <v>1</v>
      </c>
      <c r="I31">
        <v>1</v>
      </c>
      <c r="J31">
        <v>89</v>
      </c>
      <c r="K31">
        <v>50</v>
      </c>
      <c r="L31">
        <v>1</v>
      </c>
      <c r="M31">
        <v>0</v>
      </c>
      <c r="N31">
        <v>51</v>
      </c>
      <c r="O31">
        <v>144</v>
      </c>
      <c r="P31">
        <v>15</v>
      </c>
      <c r="Q31">
        <v>1</v>
      </c>
      <c r="R31">
        <v>0</v>
      </c>
      <c r="S31">
        <v>16</v>
      </c>
      <c r="T31">
        <v>412</v>
      </c>
      <c r="U31">
        <v>11</v>
      </c>
      <c r="V31">
        <v>1</v>
      </c>
      <c r="W31">
        <v>424</v>
      </c>
      <c r="X31">
        <v>7</v>
      </c>
      <c r="Y31">
        <v>0</v>
      </c>
      <c r="Z31">
        <v>0</v>
      </c>
      <c r="AA31">
        <v>7</v>
      </c>
      <c r="AB31">
        <v>447</v>
      </c>
      <c r="AC31">
        <v>17</v>
      </c>
      <c r="AD31">
        <v>0</v>
      </c>
      <c r="AE31">
        <v>0</v>
      </c>
      <c r="AF31">
        <v>17</v>
      </c>
      <c r="AG31">
        <v>47</v>
      </c>
      <c r="AH31">
        <v>0</v>
      </c>
      <c r="AI31">
        <v>0</v>
      </c>
      <c r="AJ31">
        <v>47</v>
      </c>
      <c r="AK31">
        <v>11</v>
      </c>
      <c r="AL31">
        <v>1</v>
      </c>
      <c r="AM31">
        <v>0</v>
      </c>
      <c r="AN31">
        <v>12</v>
      </c>
      <c r="AO31">
        <v>76</v>
      </c>
      <c r="AP31">
        <v>24</v>
      </c>
      <c r="AQ31">
        <v>0</v>
      </c>
      <c r="AR31">
        <v>0</v>
      </c>
      <c r="AS31">
        <v>24</v>
      </c>
      <c r="AT31">
        <v>384</v>
      </c>
      <c r="AU31">
        <v>5</v>
      </c>
      <c r="AV31">
        <v>0</v>
      </c>
      <c r="AW31">
        <v>389</v>
      </c>
      <c r="AX31">
        <v>16</v>
      </c>
      <c r="AY31">
        <v>1</v>
      </c>
      <c r="AZ31">
        <v>0</v>
      </c>
      <c r="BA31">
        <v>17</v>
      </c>
      <c r="BB31">
        <v>1</v>
      </c>
      <c r="BC31">
        <v>0</v>
      </c>
      <c r="BD31">
        <v>0</v>
      </c>
      <c r="BE31">
        <v>1</v>
      </c>
      <c r="BF31">
        <v>431</v>
      </c>
      <c r="BG31">
        <v>1098</v>
      </c>
    </row>
    <row r="32" spans="2:59" x14ac:dyDescent="0.25">
      <c r="B32" s="10" t="s">
        <v>91</v>
      </c>
      <c r="C32">
        <v>68</v>
      </c>
      <c r="D32">
        <v>1</v>
      </c>
      <c r="E32">
        <v>0</v>
      </c>
      <c r="F32">
        <v>69</v>
      </c>
      <c r="G32">
        <v>168</v>
      </c>
      <c r="H32">
        <v>4</v>
      </c>
      <c r="I32">
        <v>2</v>
      </c>
      <c r="J32">
        <v>174</v>
      </c>
      <c r="K32">
        <v>116</v>
      </c>
      <c r="L32">
        <v>5</v>
      </c>
      <c r="M32">
        <v>0</v>
      </c>
      <c r="N32">
        <v>121</v>
      </c>
      <c r="O32">
        <v>364</v>
      </c>
      <c r="P32">
        <v>90</v>
      </c>
      <c r="Q32">
        <v>5</v>
      </c>
      <c r="R32">
        <v>0</v>
      </c>
      <c r="S32">
        <v>95</v>
      </c>
      <c r="T32">
        <v>1305</v>
      </c>
      <c r="U32">
        <v>209</v>
      </c>
      <c r="V32">
        <v>0</v>
      </c>
      <c r="W32">
        <v>1514</v>
      </c>
      <c r="X32">
        <v>67</v>
      </c>
      <c r="Y32">
        <v>3</v>
      </c>
      <c r="Z32">
        <v>0</v>
      </c>
      <c r="AA32">
        <v>70</v>
      </c>
      <c r="AB32">
        <v>1679</v>
      </c>
      <c r="AC32">
        <v>42</v>
      </c>
      <c r="AD32">
        <v>3</v>
      </c>
      <c r="AE32">
        <v>0</v>
      </c>
      <c r="AF32">
        <v>45</v>
      </c>
      <c r="AG32">
        <v>170</v>
      </c>
      <c r="AH32">
        <v>9</v>
      </c>
      <c r="AI32">
        <v>3</v>
      </c>
      <c r="AJ32">
        <v>182</v>
      </c>
      <c r="AK32">
        <v>89</v>
      </c>
      <c r="AL32">
        <v>4</v>
      </c>
      <c r="AM32">
        <v>0</v>
      </c>
      <c r="AN32">
        <v>93</v>
      </c>
      <c r="AO32">
        <v>320</v>
      </c>
      <c r="AP32">
        <v>131</v>
      </c>
      <c r="AQ32">
        <v>4</v>
      </c>
      <c r="AR32">
        <v>0</v>
      </c>
      <c r="AS32">
        <v>135</v>
      </c>
      <c r="AT32">
        <v>1225</v>
      </c>
      <c r="AU32">
        <v>189</v>
      </c>
      <c r="AV32">
        <v>0</v>
      </c>
      <c r="AW32">
        <v>1414</v>
      </c>
      <c r="AX32">
        <v>45</v>
      </c>
      <c r="AY32">
        <v>6</v>
      </c>
      <c r="AZ32">
        <v>0</v>
      </c>
      <c r="BA32">
        <v>51</v>
      </c>
      <c r="BB32">
        <v>4</v>
      </c>
      <c r="BC32">
        <v>0</v>
      </c>
      <c r="BD32">
        <v>0</v>
      </c>
      <c r="BE32">
        <v>4</v>
      </c>
      <c r="BF32">
        <v>1604</v>
      </c>
      <c r="BG32">
        <v>3967</v>
      </c>
    </row>
    <row r="33" spans="2:59" x14ac:dyDescent="0.25">
      <c r="B33" s="11">
        <v>0.54166666666666663</v>
      </c>
      <c r="C33">
        <v>14</v>
      </c>
      <c r="D33">
        <v>0</v>
      </c>
      <c r="E33">
        <v>0</v>
      </c>
      <c r="F33">
        <v>14</v>
      </c>
      <c r="G33">
        <v>39</v>
      </c>
      <c r="H33">
        <v>2</v>
      </c>
      <c r="I33">
        <v>0</v>
      </c>
      <c r="J33">
        <v>41</v>
      </c>
      <c r="K33">
        <v>26</v>
      </c>
      <c r="L33">
        <v>0</v>
      </c>
      <c r="M33">
        <v>0</v>
      </c>
      <c r="N33">
        <v>26</v>
      </c>
      <c r="O33">
        <v>81</v>
      </c>
      <c r="P33">
        <v>36</v>
      </c>
      <c r="Q33">
        <v>1</v>
      </c>
      <c r="R33">
        <v>0</v>
      </c>
      <c r="S33">
        <v>37</v>
      </c>
      <c r="T33">
        <v>353</v>
      </c>
      <c r="U33">
        <v>42</v>
      </c>
      <c r="V33">
        <v>0</v>
      </c>
      <c r="W33">
        <v>395</v>
      </c>
      <c r="X33">
        <v>22</v>
      </c>
      <c r="Y33">
        <v>0</v>
      </c>
      <c r="Z33">
        <v>0</v>
      </c>
      <c r="AA33">
        <v>22</v>
      </c>
      <c r="AB33">
        <v>454</v>
      </c>
      <c r="AC33">
        <v>13</v>
      </c>
      <c r="AD33">
        <v>0</v>
      </c>
      <c r="AE33">
        <v>0</v>
      </c>
      <c r="AF33">
        <v>13</v>
      </c>
      <c r="AG33">
        <v>39</v>
      </c>
      <c r="AH33">
        <v>2</v>
      </c>
      <c r="AI33">
        <v>0</v>
      </c>
      <c r="AJ33">
        <v>41</v>
      </c>
      <c r="AK33">
        <v>28</v>
      </c>
      <c r="AL33">
        <v>1</v>
      </c>
      <c r="AM33">
        <v>0</v>
      </c>
      <c r="AN33">
        <v>29</v>
      </c>
      <c r="AO33">
        <v>83</v>
      </c>
      <c r="AP33">
        <v>34</v>
      </c>
      <c r="AQ33">
        <v>1</v>
      </c>
      <c r="AR33">
        <v>0</v>
      </c>
      <c r="AS33">
        <v>35</v>
      </c>
      <c r="AT33">
        <v>288</v>
      </c>
      <c r="AU33">
        <v>47</v>
      </c>
      <c r="AV33">
        <v>0</v>
      </c>
      <c r="AW33">
        <v>335</v>
      </c>
      <c r="AX33">
        <v>12</v>
      </c>
      <c r="AY33">
        <v>1</v>
      </c>
      <c r="AZ33">
        <v>0</v>
      </c>
      <c r="BA33">
        <v>13</v>
      </c>
      <c r="BB33">
        <v>2</v>
      </c>
      <c r="BC33">
        <v>0</v>
      </c>
      <c r="BD33">
        <v>0</v>
      </c>
      <c r="BE33">
        <v>2</v>
      </c>
      <c r="BF33">
        <v>385</v>
      </c>
      <c r="BG33">
        <v>1003</v>
      </c>
    </row>
    <row r="34" spans="2:59" x14ac:dyDescent="0.25">
      <c r="B34" s="11">
        <v>0.55208333333333337</v>
      </c>
      <c r="C34">
        <v>18</v>
      </c>
      <c r="D34">
        <v>0</v>
      </c>
      <c r="E34">
        <v>0</v>
      </c>
      <c r="F34">
        <v>18</v>
      </c>
      <c r="G34">
        <v>43</v>
      </c>
      <c r="H34">
        <v>1</v>
      </c>
      <c r="I34">
        <v>0</v>
      </c>
      <c r="J34">
        <v>44</v>
      </c>
      <c r="K34">
        <v>27</v>
      </c>
      <c r="L34">
        <v>0</v>
      </c>
      <c r="M34">
        <v>0</v>
      </c>
      <c r="N34">
        <v>27</v>
      </c>
      <c r="O34">
        <v>89</v>
      </c>
      <c r="P34">
        <v>23</v>
      </c>
      <c r="Q34">
        <v>0</v>
      </c>
      <c r="R34">
        <v>0</v>
      </c>
      <c r="S34">
        <v>23</v>
      </c>
      <c r="T34">
        <v>309</v>
      </c>
      <c r="U34">
        <v>60</v>
      </c>
      <c r="V34">
        <v>0</v>
      </c>
      <c r="W34">
        <v>369</v>
      </c>
      <c r="X34">
        <v>10</v>
      </c>
      <c r="Y34">
        <v>1</v>
      </c>
      <c r="Z34">
        <v>0</v>
      </c>
      <c r="AA34">
        <v>11</v>
      </c>
      <c r="AB34">
        <v>403</v>
      </c>
      <c r="AC34">
        <v>10</v>
      </c>
      <c r="AD34">
        <v>1</v>
      </c>
      <c r="AE34">
        <v>0</v>
      </c>
      <c r="AF34">
        <v>11</v>
      </c>
      <c r="AG34">
        <v>46</v>
      </c>
      <c r="AH34">
        <v>1</v>
      </c>
      <c r="AI34">
        <v>2</v>
      </c>
      <c r="AJ34">
        <v>49</v>
      </c>
      <c r="AK34">
        <v>23</v>
      </c>
      <c r="AL34">
        <v>2</v>
      </c>
      <c r="AM34">
        <v>0</v>
      </c>
      <c r="AN34">
        <v>25</v>
      </c>
      <c r="AO34">
        <v>85</v>
      </c>
      <c r="AP34">
        <v>35</v>
      </c>
      <c r="AQ34">
        <v>2</v>
      </c>
      <c r="AR34">
        <v>0</v>
      </c>
      <c r="AS34">
        <v>37</v>
      </c>
      <c r="AT34">
        <v>317</v>
      </c>
      <c r="AU34">
        <v>45</v>
      </c>
      <c r="AV34">
        <v>0</v>
      </c>
      <c r="AW34">
        <v>362</v>
      </c>
      <c r="AX34">
        <v>8</v>
      </c>
      <c r="AY34">
        <v>1</v>
      </c>
      <c r="AZ34">
        <v>0</v>
      </c>
      <c r="BA34">
        <v>9</v>
      </c>
      <c r="BB34">
        <v>2</v>
      </c>
      <c r="BC34">
        <v>0</v>
      </c>
      <c r="BD34">
        <v>0</v>
      </c>
      <c r="BE34">
        <v>2</v>
      </c>
      <c r="BF34">
        <v>410</v>
      </c>
      <c r="BG34">
        <v>987</v>
      </c>
    </row>
    <row r="35" spans="2:59" x14ac:dyDescent="0.25">
      <c r="B35" s="11">
        <v>0.5625</v>
      </c>
      <c r="C35">
        <v>18</v>
      </c>
      <c r="D35">
        <v>1</v>
      </c>
      <c r="E35">
        <v>0</v>
      </c>
      <c r="F35">
        <v>19</v>
      </c>
      <c r="G35">
        <v>47</v>
      </c>
      <c r="H35">
        <v>1</v>
      </c>
      <c r="I35">
        <v>1</v>
      </c>
      <c r="J35">
        <v>49</v>
      </c>
      <c r="K35">
        <v>30</v>
      </c>
      <c r="L35">
        <v>3</v>
      </c>
      <c r="M35">
        <v>0</v>
      </c>
      <c r="N35">
        <v>33</v>
      </c>
      <c r="O35">
        <v>101</v>
      </c>
      <c r="P35">
        <v>19</v>
      </c>
      <c r="Q35">
        <v>1</v>
      </c>
      <c r="R35">
        <v>0</v>
      </c>
      <c r="S35">
        <v>20</v>
      </c>
      <c r="T35">
        <v>322</v>
      </c>
      <c r="U35">
        <v>59</v>
      </c>
      <c r="V35">
        <v>0</v>
      </c>
      <c r="W35">
        <v>381</v>
      </c>
      <c r="X35">
        <v>13</v>
      </c>
      <c r="Y35">
        <v>2</v>
      </c>
      <c r="Z35">
        <v>0</v>
      </c>
      <c r="AA35">
        <v>15</v>
      </c>
      <c r="AB35">
        <v>416</v>
      </c>
      <c r="AC35">
        <v>13</v>
      </c>
      <c r="AD35">
        <v>1</v>
      </c>
      <c r="AE35">
        <v>0</v>
      </c>
      <c r="AF35">
        <v>14</v>
      </c>
      <c r="AG35">
        <v>44</v>
      </c>
      <c r="AH35">
        <v>5</v>
      </c>
      <c r="AI35">
        <v>0</v>
      </c>
      <c r="AJ35">
        <v>49</v>
      </c>
      <c r="AK35">
        <v>22</v>
      </c>
      <c r="AL35">
        <v>1</v>
      </c>
      <c r="AM35">
        <v>0</v>
      </c>
      <c r="AN35">
        <v>23</v>
      </c>
      <c r="AO35">
        <v>86</v>
      </c>
      <c r="AP35">
        <v>28</v>
      </c>
      <c r="AQ35">
        <v>1</v>
      </c>
      <c r="AR35">
        <v>0</v>
      </c>
      <c r="AS35">
        <v>29</v>
      </c>
      <c r="AT35">
        <v>314</v>
      </c>
      <c r="AU35">
        <v>45</v>
      </c>
      <c r="AV35">
        <v>0</v>
      </c>
      <c r="AW35">
        <v>359</v>
      </c>
      <c r="AX35">
        <v>10</v>
      </c>
      <c r="AY35">
        <v>2</v>
      </c>
      <c r="AZ35">
        <v>0</v>
      </c>
      <c r="BA35">
        <v>12</v>
      </c>
      <c r="BB35">
        <v>0</v>
      </c>
      <c r="BC35">
        <v>0</v>
      </c>
      <c r="BD35">
        <v>0</v>
      </c>
      <c r="BE35">
        <v>0</v>
      </c>
      <c r="BF35">
        <v>400</v>
      </c>
      <c r="BG35">
        <v>1003</v>
      </c>
    </row>
    <row r="36" spans="2:59" x14ac:dyDescent="0.25">
      <c r="B36" s="11">
        <v>0.57291666666666663</v>
      </c>
      <c r="C36">
        <v>18</v>
      </c>
      <c r="D36">
        <v>0</v>
      </c>
      <c r="E36">
        <v>0</v>
      </c>
      <c r="F36">
        <v>18</v>
      </c>
      <c r="G36">
        <v>39</v>
      </c>
      <c r="H36">
        <v>0</v>
      </c>
      <c r="I36">
        <v>1</v>
      </c>
      <c r="J36">
        <v>40</v>
      </c>
      <c r="K36">
        <v>33</v>
      </c>
      <c r="L36">
        <v>2</v>
      </c>
      <c r="M36">
        <v>0</v>
      </c>
      <c r="N36">
        <v>35</v>
      </c>
      <c r="O36">
        <v>93</v>
      </c>
      <c r="P36">
        <v>12</v>
      </c>
      <c r="Q36">
        <v>3</v>
      </c>
      <c r="R36">
        <v>0</v>
      </c>
      <c r="S36">
        <v>15</v>
      </c>
      <c r="T36">
        <v>321</v>
      </c>
      <c r="U36">
        <v>48</v>
      </c>
      <c r="V36">
        <v>0</v>
      </c>
      <c r="W36">
        <v>369</v>
      </c>
      <c r="X36">
        <v>22</v>
      </c>
      <c r="Y36">
        <v>0</v>
      </c>
      <c r="Z36">
        <v>0</v>
      </c>
      <c r="AA36">
        <v>22</v>
      </c>
      <c r="AB36">
        <v>406</v>
      </c>
      <c r="AC36">
        <v>6</v>
      </c>
      <c r="AD36">
        <v>1</v>
      </c>
      <c r="AE36">
        <v>0</v>
      </c>
      <c r="AF36">
        <v>7</v>
      </c>
      <c r="AG36">
        <v>41</v>
      </c>
      <c r="AH36">
        <v>1</v>
      </c>
      <c r="AI36">
        <v>1</v>
      </c>
      <c r="AJ36">
        <v>43</v>
      </c>
      <c r="AK36">
        <v>16</v>
      </c>
      <c r="AL36">
        <v>0</v>
      </c>
      <c r="AM36">
        <v>0</v>
      </c>
      <c r="AN36">
        <v>16</v>
      </c>
      <c r="AO36">
        <v>66</v>
      </c>
      <c r="AP36">
        <v>34</v>
      </c>
      <c r="AQ36">
        <v>0</v>
      </c>
      <c r="AR36">
        <v>0</v>
      </c>
      <c r="AS36">
        <v>34</v>
      </c>
      <c r="AT36">
        <v>306</v>
      </c>
      <c r="AU36">
        <v>52</v>
      </c>
      <c r="AV36">
        <v>0</v>
      </c>
      <c r="AW36">
        <v>358</v>
      </c>
      <c r="AX36">
        <v>15</v>
      </c>
      <c r="AY36">
        <v>2</v>
      </c>
      <c r="AZ36">
        <v>0</v>
      </c>
      <c r="BA36">
        <v>17</v>
      </c>
      <c r="BB36">
        <v>0</v>
      </c>
      <c r="BC36">
        <v>0</v>
      </c>
      <c r="BD36">
        <v>0</v>
      </c>
      <c r="BE36">
        <v>0</v>
      </c>
      <c r="BF36">
        <v>409</v>
      </c>
      <c r="BG36">
        <v>974</v>
      </c>
    </row>
  </sheetData>
  <mergeCells count="35">
    <mergeCell ref="AX12:AZ12"/>
    <mergeCell ref="BA12:BA13"/>
    <mergeCell ref="BB12:BD12"/>
    <mergeCell ref="BE12:BE13"/>
    <mergeCell ref="BF11:BF13"/>
    <mergeCell ref="AP11:BE11"/>
    <mergeCell ref="AP12:AR12"/>
    <mergeCell ref="AS12:AS13"/>
    <mergeCell ref="AT12:AV12"/>
    <mergeCell ref="AW12:AW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G12:AI12"/>
    <mergeCell ref="AJ12:AJ13"/>
    <mergeCell ref="AK12:AM12"/>
    <mergeCell ref="AN12:AN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4672</v>
      </c>
      <c r="I5">
        <f>MAX(I11:I303)</f>
        <v>3967</v>
      </c>
      <c r="J5">
        <f>MAX(J11:J303)</f>
        <v>4758</v>
      </c>
      <c r="K5">
        <f>MAX(K11:K303)</f>
        <v>0</v>
      </c>
      <c r="N5" t="s">
        <v>53</v>
      </c>
      <c r="O5">
        <f>INDEX($H5:$K5,1,MATCH($O$4,$H$10:$K$10,0))</f>
        <v>0</v>
      </c>
    </row>
    <row r="6" spans="1:21" x14ac:dyDescent="0.25">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4672 vehicles between 07:00 and 08:00</v>
      </c>
      <c r="I8" s="6" t="str">
        <f>IF(I5=0,"","The peak hour for " &amp;I10&amp;" is "&amp;I5&amp;" vehicles between " &amp; TEXT(I6, "hh:mm")&amp; " and " &amp;TEXT(I7,"hh:mm"))</f>
        <v>The peak hour for INT is 3967 vehicles between 13:00 and 14:00</v>
      </c>
      <c r="J8" s="6" t="str">
        <f>IF(J5=0,"","The peak hour for " &amp;J10&amp;" is "&amp;J5&amp;" vehicles between " &amp; TEXT(J6, "hh:mm")&amp; " and " &amp;TEXT(J7,"hh:mm"))</f>
        <v>The peak hour for PM is 4758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1169</v>
      </c>
      <c r="G11" s="7">
        <f>A11</f>
        <v>0.29166666666666669</v>
      </c>
      <c r="H11">
        <f>IF(B11&lt;&gt;0,SUMIF($G$11:$G11,"&gt;"&amp;$G11-1/24,B$11:B11),0)</f>
        <v>1169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1169</v>
      </c>
      <c r="Q11">
        <f>P11*L11</f>
        <v>1169</v>
      </c>
      <c r="S11" s="9">
        <v>0.29166666666666669</v>
      </c>
      <c r="T11">
        <v>1169</v>
      </c>
      <c r="U11">
        <v>1169</v>
      </c>
    </row>
    <row r="12" spans="1:21" x14ac:dyDescent="0.25">
      <c r="A12" s="9">
        <v>0.30208333333333331</v>
      </c>
      <c r="B12">
        <v>1182</v>
      </c>
      <c r="G12" s="7">
        <f t="shared" ref="G12:G26" si="3">A12</f>
        <v>0.30208333333333331</v>
      </c>
      <c r="H12">
        <f>IF(B12&lt;&gt;0,SUMIF($G$11:$G12,"&gt;"&amp;$G12-1/24,B$11:B12),0)</f>
        <v>2351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1182</v>
      </c>
      <c r="Q12">
        <f t="shared" ref="Q12:Q75" si="7">P12*L12</f>
        <v>1182</v>
      </c>
      <c r="S12" s="9">
        <v>0.30208333333333331</v>
      </c>
      <c r="T12">
        <v>1182</v>
      </c>
      <c r="U12">
        <v>1182</v>
      </c>
    </row>
    <row r="13" spans="1:21" x14ac:dyDescent="0.25">
      <c r="A13" s="9">
        <v>0.3125</v>
      </c>
      <c r="B13">
        <v>1143</v>
      </c>
      <c r="G13" s="7">
        <f t="shared" si="3"/>
        <v>0.3125</v>
      </c>
      <c r="H13">
        <f>IF(B13&lt;&gt;0,SUMIF($G$11:$G13,"&gt;"&amp;$G13-1/24,B$11:B13),0)</f>
        <v>3494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1143</v>
      </c>
      <c r="Q13">
        <f t="shared" si="7"/>
        <v>1143</v>
      </c>
      <c r="S13" s="9">
        <v>0.3125</v>
      </c>
      <c r="T13">
        <v>1143</v>
      </c>
      <c r="U13">
        <v>1143</v>
      </c>
    </row>
    <row r="14" spans="1:21" x14ac:dyDescent="0.25">
      <c r="A14" s="9">
        <v>0.32291666666666669</v>
      </c>
      <c r="B14">
        <v>1178</v>
      </c>
      <c r="G14" s="7">
        <f t="shared" si="3"/>
        <v>0.32291666666666669</v>
      </c>
      <c r="H14">
        <f>IF(B14&lt;&gt;0,SUMIF($G$11:$G14,"&gt;"&amp;$G14-1/24,B$11:B14),0)</f>
        <v>4672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1178</v>
      </c>
      <c r="Q14">
        <f t="shared" si="7"/>
        <v>1178</v>
      </c>
      <c r="S14" s="9">
        <v>0.32291666666666669</v>
      </c>
      <c r="T14">
        <v>1178</v>
      </c>
      <c r="U14">
        <v>1178</v>
      </c>
    </row>
    <row r="15" spans="1:21" x14ac:dyDescent="0.25">
      <c r="A15" s="9">
        <v>0.33333333333333331</v>
      </c>
      <c r="B15">
        <v>1128</v>
      </c>
      <c r="G15" s="7">
        <f t="shared" si="3"/>
        <v>0.33333333333333331</v>
      </c>
      <c r="H15">
        <f>IF(B15&lt;&gt;0,SUMIF($G$11:$G15,"&gt;"&amp;$G15-1/24,B$11:B15),0)</f>
        <v>4631</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1128</v>
      </c>
      <c r="Q15">
        <f t="shared" si="7"/>
        <v>0</v>
      </c>
      <c r="S15" s="9">
        <v>0.33333333333333331</v>
      </c>
      <c r="T15">
        <v>1128</v>
      </c>
      <c r="U15">
        <v>0</v>
      </c>
    </row>
    <row r="16" spans="1:21" x14ac:dyDescent="0.25">
      <c r="A16" s="9">
        <v>0.34375</v>
      </c>
      <c r="B16">
        <v>1086</v>
      </c>
      <c r="G16" s="7">
        <f t="shared" si="3"/>
        <v>0.34375</v>
      </c>
      <c r="H16">
        <f>IF(B16&lt;&gt;0,SUMIF($G$11:$G16,"&gt;"&amp;$G16-1/24,B$11:B16),0)</f>
        <v>4535</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1086</v>
      </c>
      <c r="Q16">
        <f t="shared" si="7"/>
        <v>0</v>
      </c>
      <c r="S16" s="9">
        <v>0.34375</v>
      </c>
      <c r="T16">
        <v>1086</v>
      </c>
      <c r="U16">
        <v>0</v>
      </c>
    </row>
    <row r="17" spans="1:21" x14ac:dyDescent="0.25">
      <c r="A17" s="9">
        <v>0.35416666666666669</v>
      </c>
      <c r="B17">
        <v>1107</v>
      </c>
      <c r="G17" s="7">
        <f t="shared" si="3"/>
        <v>0.35416666666666669</v>
      </c>
      <c r="H17">
        <f>IF(B17&lt;&gt;0,SUMIF($G$11:$G17,"&gt;"&amp;$G17-1/24,B$11:B17),0)</f>
        <v>4499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1107</v>
      </c>
      <c r="Q17">
        <f t="shared" si="7"/>
        <v>0</v>
      </c>
      <c r="S17" s="9">
        <v>0.35416666666666669</v>
      </c>
      <c r="T17">
        <v>1107</v>
      </c>
      <c r="U17">
        <v>0</v>
      </c>
    </row>
    <row r="18" spans="1:21" x14ac:dyDescent="0.25">
      <c r="A18" s="9">
        <v>0.36458333333333331</v>
      </c>
      <c r="B18">
        <v>1143</v>
      </c>
      <c r="G18" s="7">
        <f t="shared" si="3"/>
        <v>0.36458333333333331</v>
      </c>
      <c r="H18">
        <f>IF(B18&lt;&gt;0,SUMIF($G$11:$G18,"&gt;"&amp;$G18-1/24,B$11:B18),0)</f>
        <v>4464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1143</v>
      </c>
      <c r="Q18">
        <f t="shared" si="7"/>
        <v>0</v>
      </c>
      <c r="S18" s="9">
        <v>0.36458333333333331</v>
      </c>
      <c r="T18">
        <v>1143</v>
      </c>
      <c r="U18">
        <v>0</v>
      </c>
    </row>
    <row r="19" spans="1:21" x14ac:dyDescent="0.25">
      <c r="A19" s="9">
        <v>0.54166666666666663</v>
      </c>
      <c r="C19">
        <v>1003</v>
      </c>
      <c r="G19" s="7">
        <f t="shared" si="3"/>
        <v>0.54166666666666663</v>
      </c>
      <c r="H19">
        <f>IF(B19&lt;&gt;0,SUMIF($G$11:$G19,"&gt;"&amp;$G19-1/24,B$11:B19),0)</f>
        <v>0</v>
      </c>
      <c r="I19">
        <f>IF(C19&lt;&gt;0,SUMIF($G$11:$G19,"&gt;"&amp;$G19-1/24,C$11:C19),0)</f>
        <v>1003</v>
      </c>
      <c r="J19">
        <f>IF(D19&lt;&gt;0,SUMIF($G$11:$G19,"&gt;"&amp;$G19-1/24,D$11:D19),0)</f>
        <v>0</v>
      </c>
      <c r="K19">
        <f>IF(E19&lt;&gt;0,SUMIF($G$11:$G19,"&gt;"&amp;$G19-1/24,E$11:E19),0)</f>
        <v>0</v>
      </c>
      <c r="L19">
        <f t="shared" si="4"/>
        <v>1</v>
      </c>
      <c r="N19" t="str">
        <f t="shared" si="5"/>
        <v>INT</v>
      </c>
      <c r="O19" s="7">
        <f t="shared" si="2"/>
        <v>0.54166666666666663</v>
      </c>
      <c r="P19">
        <f t="shared" si="6"/>
        <v>1003</v>
      </c>
      <c r="Q19">
        <f t="shared" si="7"/>
        <v>1003</v>
      </c>
      <c r="S19" s="9" t="s">
        <v>49</v>
      </c>
      <c r="T19">
        <v>9136</v>
      </c>
      <c r="U19">
        <v>4672</v>
      </c>
    </row>
    <row r="20" spans="1:21" x14ac:dyDescent="0.25">
      <c r="A20" s="9">
        <v>0.55208333333333337</v>
      </c>
      <c r="C20">
        <v>987</v>
      </c>
      <c r="G20" s="7">
        <f t="shared" si="3"/>
        <v>0.55208333333333337</v>
      </c>
      <c r="H20">
        <f>IF(B20&lt;&gt;0,SUMIF($G$11:$G20,"&gt;"&amp;$G20-1/24,B$11:B20),0)</f>
        <v>0</v>
      </c>
      <c r="I20">
        <f>IF(C20&lt;&gt;0,SUMIF($G$11:$G20,"&gt;"&amp;$G20-1/24,C$11:C20),0)</f>
        <v>1990</v>
      </c>
      <c r="J20">
        <f>IF(D20&lt;&gt;0,SUMIF($G$11:$G20,"&gt;"&amp;$G20-1/24,D$11:D20),0)</f>
        <v>0</v>
      </c>
      <c r="K20">
        <f>IF(E20&lt;&gt;0,SUMIF($G$11:$G20,"&gt;"&amp;$G20-1/24,E$11:E20),0)</f>
        <v>0</v>
      </c>
      <c r="L20">
        <f t="shared" si="4"/>
        <v>1</v>
      </c>
      <c r="N20" t="str">
        <f t="shared" si="5"/>
        <v>INT</v>
      </c>
      <c r="O20" s="7">
        <f t="shared" si="2"/>
        <v>0.55208333333333337</v>
      </c>
      <c r="P20">
        <f t="shared" si="6"/>
        <v>987</v>
      </c>
      <c r="Q20">
        <f t="shared" si="7"/>
        <v>987</v>
      </c>
    </row>
    <row r="21" spans="1:21" x14ac:dyDescent="0.25">
      <c r="A21" s="9">
        <v>0.5625</v>
      </c>
      <c r="C21">
        <v>1003</v>
      </c>
      <c r="G21" s="7">
        <f t="shared" si="3"/>
        <v>0.5625</v>
      </c>
      <c r="H21">
        <f>IF(B21&lt;&gt;0,SUMIF($G$11:$G21,"&gt;"&amp;$G21-1/24,B$11:B21),0)</f>
        <v>0</v>
      </c>
      <c r="I21">
        <f>IF(C21&lt;&gt;0,SUMIF($G$11:$G21,"&gt;"&amp;$G21-1/24,C$11:C21),0)</f>
        <v>2993</v>
      </c>
      <c r="J21">
        <f>IF(D21&lt;&gt;0,SUMIF($G$11:$G21,"&gt;"&amp;$G21-1/24,D$11:D21),0)</f>
        <v>0</v>
      </c>
      <c r="K21">
        <f>IF(E21&lt;&gt;0,SUMIF($G$11:$G21,"&gt;"&amp;$G21-1/24,E$11:E21),0)</f>
        <v>0</v>
      </c>
      <c r="L21">
        <f t="shared" si="4"/>
        <v>1</v>
      </c>
      <c r="N21" t="str">
        <f t="shared" si="5"/>
        <v>INT</v>
      </c>
      <c r="O21" s="7">
        <f t="shared" si="2"/>
        <v>0.5625</v>
      </c>
      <c r="P21">
        <f t="shared" si="6"/>
        <v>1003</v>
      </c>
      <c r="Q21">
        <f t="shared" si="7"/>
        <v>1003</v>
      </c>
    </row>
    <row r="22" spans="1:21" x14ac:dyDescent="0.25">
      <c r="A22" s="9">
        <v>0.57291666666666663</v>
      </c>
      <c r="C22">
        <v>974</v>
      </c>
      <c r="G22" s="7">
        <f t="shared" si="3"/>
        <v>0.57291666666666663</v>
      </c>
      <c r="H22">
        <f>IF(B22&lt;&gt;0,SUMIF($G$11:$G22,"&gt;"&amp;$G22-1/24,B$11:B22),0)</f>
        <v>0</v>
      </c>
      <c r="I22">
        <f>IF(C22&lt;&gt;0,SUMIF($G$11:$G22,"&gt;"&amp;$G22-1/24,C$11:C22),0)</f>
        <v>3967</v>
      </c>
      <c r="J22">
        <f>IF(D22&lt;&gt;0,SUMIF($G$11:$G22,"&gt;"&amp;$G22-1/24,D$11:D22),0)</f>
        <v>0</v>
      </c>
      <c r="K22">
        <f>IF(E22&lt;&gt;0,SUMIF($G$11:$G22,"&gt;"&amp;$G22-1/24,E$11:E22),0)</f>
        <v>0</v>
      </c>
      <c r="L22">
        <f t="shared" si="4"/>
        <v>1</v>
      </c>
      <c r="N22" t="str">
        <f t="shared" si="5"/>
        <v>INT</v>
      </c>
      <c r="O22" s="7">
        <f t="shared" si="2"/>
        <v>0.57291666666666663</v>
      </c>
      <c r="P22">
        <f t="shared" si="6"/>
        <v>974</v>
      </c>
      <c r="Q22">
        <f t="shared" si="7"/>
        <v>974</v>
      </c>
    </row>
    <row r="23" spans="1:21" x14ac:dyDescent="0.25">
      <c r="A23" s="9">
        <v>0.66666666666666663</v>
      </c>
      <c r="D23">
        <v>1150</v>
      </c>
      <c r="G23" s="7">
        <f t="shared" si="3"/>
        <v>0.66666666666666663</v>
      </c>
      <c r="H23">
        <f>IF(B23&lt;&gt;0,SUMIF($G$11:$G23,"&gt;"&amp;$G23-1/24,B$11:B23),0)</f>
        <v>0</v>
      </c>
      <c r="I23">
        <f>IF(C23&lt;&gt;0,SUMIF($G$11:$G23,"&gt;"&amp;$G23-1/24,C$11:C23),0)</f>
        <v>0</v>
      </c>
      <c r="J23">
        <f>IF(D23&lt;&gt;0,SUMIF($G$11:$G23,"&gt;"&amp;$G23-1/24,D$11:D23),0)</f>
        <v>1150</v>
      </c>
      <c r="K23">
        <f>IF(E23&lt;&gt;0,SUMIF($G$11:$G23,"&gt;"&amp;$G23-1/24,E$11:E23),0)</f>
        <v>0</v>
      </c>
      <c r="L23">
        <f t="shared" si="4"/>
        <v>0</v>
      </c>
      <c r="N23" t="str">
        <f t="shared" si="5"/>
        <v>PM</v>
      </c>
      <c r="O23" s="7">
        <f t="shared" si="2"/>
        <v>0.66666666666666663</v>
      </c>
      <c r="P23">
        <f t="shared" si="6"/>
        <v>1150</v>
      </c>
      <c r="Q23">
        <f t="shared" si="7"/>
        <v>0</v>
      </c>
    </row>
    <row r="24" spans="1:21" x14ac:dyDescent="0.25">
      <c r="A24" s="9">
        <v>0.67708333333333337</v>
      </c>
      <c r="D24">
        <v>1045</v>
      </c>
      <c r="G24" s="7">
        <f t="shared" si="3"/>
        <v>0.67708333333333337</v>
      </c>
      <c r="H24">
        <f>IF(B24&lt;&gt;0,SUMIF($G$11:$G24,"&gt;"&amp;$G24-1/24,B$11:B24),0)</f>
        <v>0</v>
      </c>
      <c r="I24">
        <f>IF(C24&lt;&gt;0,SUMIF($G$11:$G24,"&gt;"&amp;$G24-1/24,C$11:C24),0)</f>
        <v>0</v>
      </c>
      <c r="J24">
        <f>IF(D24&lt;&gt;0,SUMIF($G$11:$G24,"&gt;"&amp;$G24-1/24,D$11:D24),0)</f>
        <v>2195</v>
      </c>
      <c r="K24">
        <f>IF(E24&lt;&gt;0,SUMIF($G$11:$G24,"&gt;"&amp;$G24-1/24,E$11:E24),0)</f>
        <v>0</v>
      </c>
      <c r="L24">
        <f t="shared" si="4"/>
        <v>0</v>
      </c>
      <c r="N24" t="str">
        <f t="shared" si="5"/>
        <v>PM</v>
      </c>
      <c r="O24" s="7">
        <f t="shared" si="2"/>
        <v>0.67708333333333337</v>
      </c>
      <c r="P24">
        <f t="shared" si="6"/>
        <v>1045</v>
      </c>
      <c r="Q24">
        <f t="shared" si="7"/>
        <v>0</v>
      </c>
    </row>
    <row r="25" spans="1:21" x14ac:dyDescent="0.25">
      <c r="A25" s="9">
        <v>0.6875</v>
      </c>
      <c r="D25">
        <v>1189</v>
      </c>
      <c r="G25" s="7">
        <f t="shared" si="3"/>
        <v>0.6875</v>
      </c>
      <c r="H25">
        <f>IF(B25&lt;&gt;0,SUMIF($G$11:$G25,"&gt;"&amp;$G25-1/24,B$11:B25),0)</f>
        <v>0</v>
      </c>
      <c r="I25">
        <f>IF(C25&lt;&gt;0,SUMIF($G$11:$G25,"&gt;"&amp;$G25-1/24,C$11:C25),0)</f>
        <v>0</v>
      </c>
      <c r="J25">
        <f>IF(D25&lt;&gt;0,SUMIF($G$11:$G25,"&gt;"&amp;$G25-1/24,D$11:D25),0)</f>
        <v>3384</v>
      </c>
      <c r="K25">
        <f>IF(E25&lt;&gt;0,SUMIF($G$11:$G25,"&gt;"&amp;$G25-1/24,E$11:E25),0)</f>
        <v>0</v>
      </c>
      <c r="L25">
        <f t="shared" si="4"/>
        <v>1</v>
      </c>
      <c r="N25" t="str">
        <f t="shared" si="5"/>
        <v>PM</v>
      </c>
      <c r="O25" s="7">
        <f t="shared" si="2"/>
        <v>0.6875</v>
      </c>
      <c r="P25">
        <f t="shared" si="6"/>
        <v>1189</v>
      </c>
      <c r="Q25">
        <f t="shared" si="7"/>
        <v>1189</v>
      </c>
    </row>
    <row r="26" spans="1:21" x14ac:dyDescent="0.25">
      <c r="A26" s="9">
        <v>0.69791666666666663</v>
      </c>
      <c r="D26">
        <v>1186</v>
      </c>
      <c r="G26" s="7">
        <f t="shared" si="3"/>
        <v>0.69791666666666663</v>
      </c>
      <c r="H26">
        <f>IF(B26&lt;&gt;0,SUMIF($G$11:$G26,"&gt;"&amp;$G26-1/24,B$11:B26),0)</f>
        <v>0</v>
      </c>
      <c r="I26">
        <f>IF(C26&lt;&gt;0,SUMIF($G$11:$G26,"&gt;"&amp;$G26-1/24,C$11:C26),0)</f>
        <v>0</v>
      </c>
      <c r="J26">
        <f>IF(D26&lt;&gt;0,SUMIF($G$11:$G26,"&gt;"&amp;$G26-1/24,D$11:D26),0)</f>
        <v>4570</v>
      </c>
      <c r="K26">
        <f>IF(E26&lt;&gt;0,SUMIF($G$11:$G26,"&gt;"&amp;$G26-1/24,E$11:E26),0)</f>
        <v>0</v>
      </c>
      <c r="L26">
        <f t="shared" si="4"/>
        <v>1</v>
      </c>
      <c r="N26" t="str">
        <f t="shared" si="5"/>
        <v>PM</v>
      </c>
      <c r="O26" s="7">
        <f t="shared" si="2"/>
        <v>0.69791666666666663</v>
      </c>
      <c r="P26">
        <f t="shared" si="6"/>
        <v>1186</v>
      </c>
      <c r="Q26">
        <f t="shared" si="7"/>
        <v>1186</v>
      </c>
    </row>
    <row r="27" spans="1:21" x14ac:dyDescent="0.25">
      <c r="A27" s="9">
        <v>0.70833333333333337</v>
      </c>
      <c r="D27">
        <v>1182</v>
      </c>
      <c r="G27" s="7">
        <f t="shared" ref="G27:G90" si="8">A27</f>
        <v>0.70833333333333337</v>
      </c>
      <c r="H27">
        <f>IF(B27&lt;&gt;0,SUMIF($G$11:$G27,"&gt;"&amp;$G27-1/24,B$11:B27),0)</f>
        <v>0</v>
      </c>
      <c r="I27">
        <f>IF(C27&lt;&gt;0,SUMIF($G$11:$G27,"&gt;"&amp;$G27-1/24,C$11:C27),0)</f>
        <v>0</v>
      </c>
      <c r="J27">
        <f>IF(D27&lt;&gt;0,SUMIF($G$11:$G27,"&gt;"&amp;$G27-1/24,D$11:D27),0)</f>
        <v>4602</v>
      </c>
      <c r="K27">
        <f>IF(E27&lt;&gt;0,SUMIF($G$11:$G27,"&gt;"&amp;$G27-1/24,E$11:E27),0)</f>
        <v>0</v>
      </c>
      <c r="L27">
        <f t="shared" si="4"/>
        <v>1</v>
      </c>
      <c r="N27" t="str">
        <f t="shared" si="5"/>
        <v>PM</v>
      </c>
      <c r="O27" s="7">
        <f t="shared" si="2"/>
        <v>0.70833333333333337</v>
      </c>
      <c r="P27">
        <f t="shared" si="6"/>
        <v>1182</v>
      </c>
      <c r="Q27">
        <f t="shared" si="7"/>
        <v>1182</v>
      </c>
    </row>
    <row r="28" spans="1:21" x14ac:dyDescent="0.25">
      <c r="A28" s="9">
        <v>0.71875</v>
      </c>
      <c r="D28">
        <v>1201</v>
      </c>
      <c r="G28" s="7">
        <f t="shared" si="8"/>
        <v>0.71875</v>
      </c>
      <c r="H28">
        <f>IF(B28&lt;&gt;0,SUMIF($G$11:$G28,"&gt;"&amp;$G28-1/24,B$11:B28),0)</f>
        <v>0</v>
      </c>
      <c r="I28">
        <f>IF(C28&lt;&gt;0,SUMIF($G$11:$G28,"&gt;"&amp;$G28-1/24,C$11:C28),0)</f>
        <v>0</v>
      </c>
      <c r="J28">
        <f>IF(D28&lt;&gt;0,SUMIF($G$11:$G28,"&gt;"&amp;$G28-1/24,D$11:D28),0)</f>
        <v>4758</v>
      </c>
      <c r="K28">
        <f>IF(E28&lt;&gt;0,SUMIF($G$11:$G28,"&gt;"&amp;$G28-1/24,E$11:E28),0)</f>
        <v>0</v>
      </c>
      <c r="L28">
        <f t="shared" si="4"/>
        <v>1</v>
      </c>
      <c r="N28" t="str">
        <f t="shared" si="5"/>
        <v>PM</v>
      </c>
      <c r="O28" s="7">
        <f t="shared" si="2"/>
        <v>0.71875</v>
      </c>
      <c r="P28">
        <f t="shared" si="6"/>
        <v>1201</v>
      </c>
      <c r="Q28">
        <f t="shared" si="7"/>
        <v>1201</v>
      </c>
    </row>
    <row r="29" spans="1:21" x14ac:dyDescent="0.25">
      <c r="A29" s="9">
        <v>0.72916666666666663</v>
      </c>
      <c r="D29">
        <v>1157</v>
      </c>
      <c r="G29" s="7">
        <f t="shared" si="8"/>
        <v>0.72916666666666663</v>
      </c>
      <c r="H29">
        <f>IF(B29&lt;&gt;0,SUMIF($G$11:$G29,"&gt;"&amp;$G29-1/24,B$11:B29),0)</f>
        <v>0</v>
      </c>
      <c r="I29">
        <f>IF(C29&lt;&gt;0,SUMIF($G$11:$G29,"&gt;"&amp;$G29-1/24,C$11:C29),0)</f>
        <v>0</v>
      </c>
      <c r="J29">
        <f>IF(D29&lt;&gt;0,SUMIF($G$11:$G29,"&gt;"&amp;$G29-1/24,D$11:D29),0)</f>
        <v>4726</v>
      </c>
      <c r="K29">
        <f>IF(E29&lt;&gt;0,SUMIF($G$11:$G29,"&gt;"&amp;$G29-1/24,E$11:E29),0)</f>
        <v>0</v>
      </c>
      <c r="L29">
        <f t="shared" si="4"/>
        <v>0</v>
      </c>
      <c r="N29" t="str">
        <f t="shared" si="5"/>
        <v>PM</v>
      </c>
      <c r="O29" s="7">
        <f t="shared" si="2"/>
        <v>0.72916666666666663</v>
      </c>
      <c r="P29">
        <f t="shared" si="6"/>
        <v>1157</v>
      </c>
      <c r="Q29">
        <f t="shared" si="7"/>
        <v>0</v>
      </c>
    </row>
    <row r="30" spans="1:21" x14ac:dyDescent="0.25">
      <c r="A30" s="9">
        <v>0.73958333333333337</v>
      </c>
      <c r="D30">
        <v>1098</v>
      </c>
      <c r="G30" s="7">
        <f t="shared" si="8"/>
        <v>0.73958333333333337</v>
      </c>
      <c r="H30">
        <f>IF(B30&lt;&gt;0,SUMIF($G$11:$G30,"&gt;"&amp;$G30-1/24,B$11:B30),0)</f>
        <v>0</v>
      </c>
      <c r="I30">
        <f>IF(C30&lt;&gt;0,SUMIF($G$11:$G30,"&gt;"&amp;$G30-1/24,C$11:C30),0)</f>
        <v>0</v>
      </c>
      <c r="J30">
        <f>IF(D30&lt;&gt;0,SUMIF($G$11:$G30,"&gt;"&amp;$G30-1/24,D$11:D30),0)</f>
        <v>4638</v>
      </c>
      <c r="K30">
        <f>IF(E30&lt;&gt;0,SUMIF($G$11:$G30,"&gt;"&amp;$G30-1/24,E$11:E30),0)</f>
        <v>0</v>
      </c>
      <c r="L30">
        <f t="shared" si="4"/>
        <v>0</v>
      </c>
      <c r="N30" t="str">
        <f t="shared" si="5"/>
        <v>PM</v>
      </c>
      <c r="O30" s="7">
        <f t="shared" si="2"/>
        <v>0.73958333333333337</v>
      </c>
      <c r="P30">
        <f t="shared" si="6"/>
        <v>1098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1169</v>
      </c>
      <c r="E5" t="str">
        <f>"Vehicle Count by Exit Leg for "&amp;C2&amp;" Period"</f>
        <v>Vehicle Count by Exit Leg for AM Period</v>
      </c>
    </row>
    <row r="6" spans="2:5" x14ac:dyDescent="0.25">
      <c r="B6" s="9">
        <v>0.30208333333333331</v>
      </c>
      <c r="C6">
        <v>1182</v>
      </c>
    </row>
    <row r="7" spans="2:5" x14ac:dyDescent="0.25">
      <c r="B7" s="9">
        <v>0.3125</v>
      </c>
      <c r="C7">
        <v>1143</v>
      </c>
    </row>
    <row r="8" spans="2:5" x14ac:dyDescent="0.25">
      <c r="B8" s="9">
        <v>0.32291666666666669</v>
      </c>
      <c r="C8">
        <v>1178</v>
      </c>
    </row>
    <row r="9" spans="2:5" x14ac:dyDescent="0.25">
      <c r="B9" s="9">
        <v>0.33333333333333331</v>
      </c>
      <c r="C9">
        <v>1128</v>
      </c>
    </row>
    <row r="10" spans="2:5" x14ac:dyDescent="0.25">
      <c r="B10" s="9">
        <v>0.34375</v>
      </c>
      <c r="C10">
        <v>1086</v>
      </c>
    </row>
    <row r="11" spans="2:5" x14ac:dyDescent="0.25">
      <c r="B11" s="9">
        <v>0.35416666666666669</v>
      </c>
      <c r="C11">
        <v>1107</v>
      </c>
    </row>
    <row r="12" spans="2:5" x14ac:dyDescent="0.25">
      <c r="B12" s="9">
        <v>0.36458333333333331</v>
      </c>
      <c r="C12">
        <v>1143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21.42578125" bestFit="1" customWidth="1"/>
    <col min="13" max="14" width="19.140625" bestFit="1" customWidth="1"/>
    <col min="15" max="15" width="5.5703125" customWidth="1"/>
    <col min="16" max="18" width="3.28515625" customWidth="1"/>
    <col min="19" max="19" width="11.28515625" bestFit="1" customWidth="1"/>
    <col min="20" max="20" width="20.140625" bestFit="1" customWidth="1"/>
    <col min="21" max="21" width="21.42578125" bestFit="1" customWidth="1"/>
    <col min="22" max="23" width="19.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96</v>
      </c>
      <c r="M25" s="16" t="s">
        <v>93</v>
      </c>
      <c r="N25" s="16" t="s">
        <v>95</v>
      </c>
      <c r="T25" s="16" t="s">
        <v>94</v>
      </c>
      <c r="U25" s="16" t="s">
        <v>96</v>
      </c>
      <c r="V25" s="16" t="s">
        <v>93</v>
      </c>
      <c r="W25" s="16" t="s">
        <v>95</v>
      </c>
      <c r="X25" s="13"/>
    </row>
    <row r="26" spans="2:24" x14ac:dyDescent="0.25">
      <c r="B26" s="9">
        <v>0.29166666666666669</v>
      </c>
      <c r="C26" s="16">
        <v>1169</v>
      </c>
      <c r="J26" s="9">
        <v>0.29166666666666669</v>
      </c>
      <c r="K26" s="16">
        <v>529</v>
      </c>
      <c r="L26" s="16">
        <v>465</v>
      </c>
      <c r="M26" s="16">
        <v>59</v>
      </c>
      <c r="N26" s="16">
        <v>116</v>
      </c>
      <c r="S26" s="9">
        <v>0.29166666666666669</v>
      </c>
      <c r="T26" s="16">
        <v>457</v>
      </c>
      <c r="U26" s="16">
        <v>566</v>
      </c>
      <c r="V26" s="16">
        <v>111</v>
      </c>
      <c r="W26" s="16">
        <v>35</v>
      </c>
    </row>
    <row r="27" spans="2:24" x14ac:dyDescent="0.25">
      <c r="B27" s="9">
        <v>0.30208333333333331</v>
      </c>
      <c r="C27" s="16">
        <v>1182</v>
      </c>
      <c r="J27" s="9">
        <v>0.30208333333333331</v>
      </c>
      <c r="K27" s="16">
        <v>537</v>
      </c>
      <c r="L27" s="16">
        <v>467</v>
      </c>
      <c r="M27" s="16">
        <v>70</v>
      </c>
      <c r="N27" s="16">
        <v>108</v>
      </c>
      <c r="S27" s="9">
        <v>0.30208333333333331</v>
      </c>
      <c r="T27" s="16">
        <v>457</v>
      </c>
      <c r="U27" s="16">
        <v>570</v>
      </c>
      <c r="V27" s="16">
        <v>110</v>
      </c>
      <c r="W27" s="16">
        <v>45</v>
      </c>
    </row>
    <row r="28" spans="2:24" x14ac:dyDescent="0.25">
      <c r="B28" s="9">
        <v>0.3125</v>
      </c>
      <c r="C28" s="16">
        <v>1143</v>
      </c>
      <c r="J28" s="9">
        <v>0.3125</v>
      </c>
      <c r="K28" s="16">
        <v>486</v>
      </c>
      <c r="L28" s="16">
        <v>466</v>
      </c>
      <c r="M28" s="16">
        <v>64</v>
      </c>
      <c r="N28" s="16">
        <v>127</v>
      </c>
      <c r="S28" s="9">
        <v>0.3125</v>
      </c>
      <c r="T28" s="16">
        <v>473</v>
      </c>
      <c r="U28" s="16">
        <v>510</v>
      </c>
      <c r="V28" s="16">
        <v>122</v>
      </c>
      <c r="W28" s="16">
        <v>38</v>
      </c>
    </row>
    <row r="29" spans="2:24" x14ac:dyDescent="0.25">
      <c r="B29" s="9">
        <v>0.32291666666666669</v>
      </c>
      <c r="C29" s="16">
        <v>1178</v>
      </c>
      <c r="J29" s="9">
        <v>0.32291666666666669</v>
      </c>
      <c r="K29" s="16">
        <v>493</v>
      </c>
      <c r="L29" s="16">
        <v>441</v>
      </c>
      <c r="M29" s="16">
        <v>69</v>
      </c>
      <c r="N29" s="16">
        <v>175</v>
      </c>
      <c r="S29" s="9">
        <v>0.32291666666666669</v>
      </c>
      <c r="T29" s="16">
        <v>474</v>
      </c>
      <c r="U29" s="16">
        <v>515</v>
      </c>
      <c r="V29" s="16">
        <v>147</v>
      </c>
      <c r="W29" s="16">
        <v>42</v>
      </c>
    </row>
    <row r="30" spans="2:24" x14ac:dyDescent="0.25">
      <c r="B30" s="9">
        <v>0.33333333333333331</v>
      </c>
      <c r="C30" s="16">
        <v>1128</v>
      </c>
      <c r="J30" s="9">
        <v>0.33333333333333331</v>
      </c>
      <c r="K30" s="16">
        <v>473</v>
      </c>
      <c r="L30" s="16">
        <v>439</v>
      </c>
      <c r="M30" s="16">
        <v>56</v>
      </c>
      <c r="N30" s="16">
        <v>160</v>
      </c>
      <c r="S30" s="9">
        <v>0.33333333333333331</v>
      </c>
      <c r="T30" s="16">
        <v>463</v>
      </c>
      <c r="U30" s="16">
        <v>489</v>
      </c>
      <c r="V30" s="16">
        <v>125</v>
      </c>
      <c r="W30" s="16">
        <v>51</v>
      </c>
    </row>
    <row r="31" spans="2:24" x14ac:dyDescent="0.25">
      <c r="B31" s="9">
        <v>0.34375</v>
      </c>
      <c r="C31" s="16">
        <v>1086</v>
      </c>
      <c r="J31" s="9">
        <v>0.34375</v>
      </c>
      <c r="K31" s="16">
        <v>432</v>
      </c>
      <c r="L31" s="16">
        <v>413</v>
      </c>
      <c r="M31" s="16">
        <v>91</v>
      </c>
      <c r="N31" s="16">
        <v>150</v>
      </c>
      <c r="S31" s="9">
        <v>0.34375</v>
      </c>
      <c r="T31" s="16">
        <v>429</v>
      </c>
      <c r="U31" s="16">
        <v>442</v>
      </c>
      <c r="V31" s="16">
        <v>145</v>
      </c>
      <c r="W31" s="16">
        <v>70</v>
      </c>
    </row>
    <row r="32" spans="2:24" x14ac:dyDescent="0.25">
      <c r="B32" s="9">
        <v>0.35416666666666669</v>
      </c>
      <c r="C32" s="16">
        <v>1107</v>
      </c>
      <c r="J32" s="9">
        <v>0.35416666666666669</v>
      </c>
      <c r="K32" s="16">
        <v>437</v>
      </c>
      <c r="L32" s="16">
        <v>429</v>
      </c>
      <c r="M32" s="16">
        <v>96</v>
      </c>
      <c r="N32" s="16">
        <v>145</v>
      </c>
      <c r="S32" s="9">
        <v>0.35416666666666669</v>
      </c>
      <c r="T32" s="16">
        <v>438</v>
      </c>
      <c r="U32" s="16">
        <v>447</v>
      </c>
      <c r="V32" s="16">
        <v>138</v>
      </c>
      <c r="W32" s="16">
        <v>84</v>
      </c>
    </row>
    <row r="33" spans="2:23" x14ac:dyDescent="0.25">
      <c r="B33" s="9">
        <v>0.36458333333333331</v>
      </c>
      <c r="C33" s="16">
        <v>1143</v>
      </c>
      <c r="J33" s="9">
        <v>0.36458333333333331</v>
      </c>
      <c r="K33" s="16">
        <v>506</v>
      </c>
      <c r="L33" s="16">
        <v>407</v>
      </c>
      <c r="M33" s="16">
        <v>80</v>
      </c>
      <c r="N33" s="16">
        <v>150</v>
      </c>
      <c r="S33" s="9">
        <v>0.36458333333333331</v>
      </c>
      <c r="T33" s="16">
        <v>422</v>
      </c>
      <c r="U33" s="16">
        <v>513</v>
      </c>
      <c r="V33" s="16">
        <v>137</v>
      </c>
      <c r="W33" s="16">
        <v>71</v>
      </c>
    </row>
    <row r="34" spans="2:23" x14ac:dyDescent="0.25">
      <c r="B34" s="9" t="s">
        <v>49</v>
      </c>
      <c r="C34" s="16">
        <v>9136</v>
      </c>
      <c r="J34" s="9" t="s">
        <v>49</v>
      </c>
      <c r="K34" s="16">
        <v>3893</v>
      </c>
      <c r="L34" s="16">
        <v>3527</v>
      </c>
      <c r="M34" s="16">
        <v>585</v>
      </c>
      <c r="N34" s="16">
        <v>1131</v>
      </c>
      <c r="S34" s="9" t="s">
        <v>49</v>
      </c>
      <c r="T34" s="16">
        <v>3613</v>
      </c>
      <c r="U34" s="16">
        <v>4052</v>
      </c>
      <c r="V34" s="16">
        <v>1035</v>
      </c>
      <c r="W34" s="16">
        <v>436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4672 vehicles between 07:00 and 08:00</v>
      </c>
    </row>
    <row r="5" spans="2:2" x14ac:dyDescent="0.25">
      <c r="B5" s="6" t="str">
        <f>PeakCalc!I8</f>
        <v>The peak hour for INT is 3967 vehicles between 13:00 and 14:00</v>
      </c>
    </row>
    <row r="6" spans="2:2" x14ac:dyDescent="0.25">
      <c r="B6" s="6" t="str">
        <f>PeakCalc!J8</f>
        <v>The peak hour for PM is 4758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127</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250</v>
      </c>
      <c r="D32">
        <v>12</v>
      </c>
      <c r="E32">
        <v>0</v>
      </c>
      <c r="F32">
        <v>262</v>
      </c>
      <c r="G32">
        <v>551</v>
      </c>
      <c r="H32">
        <v>10</v>
      </c>
      <c r="I32">
        <v>19</v>
      </c>
      <c r="J32">
        <v>580</v>
      </c>
      <c r="K32">
        <v>352</v>
      </c>
      <c r="L32">
        <v>10</v>
      </c>
      <c r="M32">
        <v>2</v>
      </c>
      <c r="N32">
        <v>364</v>
      </c>
    </row>
    <row r="33" spans="2:14" x14ac:dyDescent="0.25">
      <c r="B33" s="14" t="s">
        <v>98</v>
      </c>
      <c r="C33">
        <v>52</v>
      </c>
      <c r="D33">
        <v>4</v>
      </c>
      <c r="E33">
        <v>0</v>
      </c>
      <c r="F33">
        <v>56</v>
      </c>
      <c r="G33">
        <v>27</v>
      </c>
      <c r="H33">
        <v>0</v>
      </c>
      <c r="I33">
        <v>0</v>
      </c>
      <c r="J33">
        <v>27</v>
      </c>
      <c r="K33">
        <v>68</v>
      </c>
      <c r="L33">
        <v>1</v>
      </c>
      <c r="M33">
        <v>0</v>
      </c>
      <c r="N33">
        <v>69</v>
      </c>
    </row>
    <row r="34" spans="2:14" x14ac:dyDescent="0.25">
      <c r="B34" s="14" t="s">
        <v>99</v>
      </c>
      <c r="C34">
        <v>102</v>
      </c>
      <c r="D34">
        <v>6</v>
      </c>
      <c r="E34">
        <v>0</v>
      </c>
      <c r="F34">
        <v>108</v>
      </c>
      <c r="G34">
        <v>374</v>
      </c>
      <c r="H34">
        <v>6</v>
      </c>
      <c r="I34">
        <v>19</v>
      </c>
      <c r="J34">
        <v>399</v>
      </c>
      <c r="K34">
        <v>168</v>
      </c>
      <c r="L34">
        <v>4</v>
      </c>
      <c r="M34">
        <v>2</v>
      </c>
      <c r="N34">
        <v>174</v>
      </c>
    </row>
    <row r="35" spans="2:14" x14ac:dyDescent="0.25">
      <c r="B35" s="14" t="s">
        <v>100</v>
      </c>
      <c r="C35">
        <v>96</v>
      </c>
      <c r="D35">
        <v>2</v>
      </c>
      <c r="E35">
        <v>0</v>
      </c>
      <c r="F35">
        <v>98</v>
      </c>
      <c r="G35">
        <v>150</v>
      </c>
      <c r="H35">
        <v>4</v>
      </c>
      <c r="I35">
        <v>0</v>
      </c>
      <c r="J35">
        <v>154</v>
      </c>
      <c r="K35">
        <v>116</v>
      </c>
      <c r="L35">
        <v>5</v>
      </c>
      <c r="M35">
        <v>0</v>
      </c>
      <c r="N35">
        <v>121</v>
      </c>
    </row>
    <row r="36" spans="2:14" x14ac:dyDescent="0.25">
      <c r="B36" s="10" t="s">
        <v>94</v>
      </c>
      <c r="C36">
        <v>1909</v>
      </c>
      <c r="D36">
        <v>134</v>
      </c>
      <c r="E36">
        <v>2</v>
      </c>
      <c r="F36">
        <v>2045</v>
      </c>
      <c r="G36">
        <v>1775</v>
      </c>
      <c r="H36">
        <v>68</v>
      </c>
      <c r="I36">
        <v>2</v>
      </c>
      <c r="J36">
        <v>1845</v>
      </c>
      <c r="K36">
        <v>1462</v>
      </c>
      <c r="L36">
        <v>217</v>
      </c>
      <c r="M36">
        <v>0</v>
      </c>
      <c r="N36">
        <v>1679</v>
      </c>
    </row>
    <row r="37" spans="2:14" x14ac:dyDescent="0.25">
      <c r="B37" s="14" t="s">
        <v>101</v>
      </c>
      <c r="C37">
        <v>27</v>
      </c>
      <c r="D37">
        <v>4</v>
      </c>
      <c r="E37">
        <v>0</v>
      </c>
      <c r="F37">
        <v>31</v>
      </c>
      <c r="G37">
        <v>31</v>
      </c>
      <c r="H37">
        <v>2</v>
      </c>
      <c r="I37">
        <v>1</v>
      </c>
      <c r="J37">
        <v>34</v>
      </c>
      <c r="K37">
        <v>90</v>
      </c>
      <c r="L37">
        <v>5</v>
      </c>
      <c r="M37">
        <v>0</v>
      </c>
      <c r="N37">
        <v>95</v>
      </c>
    </row>
    <row r="38" spans="2:14" x14ac:dyDescent="0.25">
      <c r="B38" s="14" t="s">
        <v>102</v>
      </c>
      <c r="C38">
        <v>1834</v>
      </c>
      <c r="D38">
        <v>126</v>
      </c>
      <c r="E38">
        <v>2</v>
      </c>
      <c r="F38">
        <v>1962</v>
      </c>
      <c r="G38">
        <v>1716</v>
      </c>
      <c r="H38">
        <v>65</v>
      </c>
      <c r="I38">
        <v>1</v>
      </c>
      <c r="J38">
        <v>1782</v>
      </c>
      <c r="K38">
        <v>1305</v>
      </c>
      <c r="L38">
        <v>209</v>
      </c>
      <c r="M38">
        <v>0</v>
      </c>
      <c r="N38">
        <v>1514</v>
      </c>
    </row>
    <row r="39" spans="2:14" x14ac:dyDescent="0.25">
      <c r="B39" s="14" t="s">
        <v>103</v>
      </c>
      <c r="C39">
        <v>48</v>
      </c>
      <c r="D39">
        <v>4</v>
      </c>
      <c r="E39">
        <v>0</v>
      </c>
      <c r="F39">
        <v>52</v>
      </c>
      <c r="G39">
        <v>28</v>
      </c>
      <c r="H39">
        <v>1</v>
      </c>
      <c r="I39">
        <v>0</v>
      </c>
      <c r="J39">
        <v>29</v>
      </c>
      <c r="K39">
        <v>67</v>
      </c>
      <c r="L39">
        <v>3</v>
      </c>
      <c r="M39">
        <v>0</v>
      </c>
      <c r="N39">
        <v>70</v>
      </c>
    </row>
    <row r="40" spans="2:14" x14ac:dyDescent="0.25">
      <c r="B40" s="10" t="s">
        <v>95</v>
      </c>
      <c r="C40">
        <v>504</v>
      </c>
      <c r="D40">
        <v>9</v>
      </c>
      <c r="E40">
        <v>13</v>
      </c>
      <c r="F40">
        <v>526</v>
      </c>
      <c r="G40">
        <v>394</v>
      </c>
      <c r="H40">
        <v>8</v>
      </c>
      <c r="I40">
        <v>0</v>
      </c>
      <c r="J40">
        <v>402</v>
      </c>
      <c r="K40">
        <v>301</v>
      </c>
      <c r="L40">
        <v>16</v>
      </c>
      <c r="M40">
        <v>3</v>
      </c>
      <c r="N40">
        <v>320</v>
      </c>
    </row>
    <row r="41" spans="2:14" x14ac:dyDescent="0.25">
      <c r="B41" s="14" t="s">
        <v>104</v>
      </c>
      <c r="C41">
        <v>89</v>
      </c>
      <c r="D41">
        <v>1</v>
      </c>
      <c r="E41">
        <v>0</v>
      </c>
      <c r="F41">
        <v>90</v>
      </c>
      <c r="G41">
        <v>116</v>
      </c>
      <c r="H41">
        <v>0</v>
      </c>
      <c r="I41">
        <v>0</v>
      </c>
      <c r="J41">
        <v>116</v>
      </c>
      <c r="K41">
        <v>42</v>
      </c>
      <c r="L41">
        <v>3</v>
      </c>
      <c r="M41">
        <v>0</v>
      </c>
      <c r="N41">
        <v>45</v>
      </c>
    </row>
    <row r="42" spans="2:14" x14ac:dyDescent="0.25">
      <c r="B42" s="14" t="s">
        <v>105</v>
      </c>
      <c r="C42">
        <v>291</v>
      </c>
      <c r="D42">
        <v>4</v>
      </c>
      <c r="E42">
        <v>12</v>
      </c>
      <c r="F42">
        <v>307</v>
      </c>
      <c r="G42">
        <v>219</v>
      </c>
      <c r="H42">
        <v>4</v>
      </c>
      <c r="I42">
        <v>0</v>
      </c>
      <c r="J42">
        <v>223</v>
      </c>
      <c r="K42">
        <v>170</v>
      </c>
      <c r="L42">
        <v>9</v>
      </c>
      <c r="M42">
        <v>3</v>
      </c>
      <c r="N42">
        <v>182</v>
      </c>
    </row>
    <row r="43" spans="2:14" x14ac:dyDescent="0.25">
      <c r="B43" s="14" t="s">
        <v>106</v>
      </c>
      <c r="C43">
        <v>124</v>
      </c>
      <c r="D43">
        <v>4</v>
      </c>
      <c r="E43">
        <v>1</v>
      </c>
      <c r="F43">
        <v>129</v>
      </c>
      <c r="G43">
        <v>59</v>
      </c>
      <c r="H43">
        <v>4</v>
      </c>
      <c r="I43">
        <v>0</v>
      </c>
      <c r="J43">
        <v>63</v>
      </c>
      <c r="K43">
        <v>89</v>
      </c>
      <c r="L43">
        <v>4</v>
      </c>
      <c r="M43">
        <v>0</v>
      </c>
      <c r="N43">
        <v>93</v>
      </c>
    </row>
    <row r="44" spans="2:14" x14ac:dyDescent="0.25">
      <c r="B44" s="10" t="s">
        <v>96</v>
      </c>
      <c r="C44">
        <v>1726</v>
      </c>
      <c r="D44">
        <v>111</v>
      </c>
      <c r="E44">
        <v>2</v>
      </c>
      <c r="F44">
        <v>1839</v>
      </c>
      <c r="G44">
        <v>1884</v>
      </c>
      <c r="H44">
        <v>42</v>
      </c>
      <c r="I44">
        <v>5</v>
      </c>
      <c r="J44">
        <v>1931</v>
      </c>
      <c r="K44">
        <v>1405</v>
      </c>
      <c r="L44">
        <v>199</v>
      </c>
      <c r="M44">
        <v>0</v>
      </c>
      <c r="N44">
        <v>1604</v>
      </c>
    </row>
    <row r="45" spans="2:14" x14ac:dyDescent="0.25">
      <c r="B45" s="14" t="s">
        <v>107</v>
      </c>
      <c r="C45">
        <v>126</v>
      </c>
      <c r="D45">
        <v>5</v>
      </c>
      <c r="E45">
        <v>0</v>
      </c>
      <c r="F45">
        <v>131</v>
      </c>
      <c r="G45">
        <v>86</v>
      </c>
      <c r="H45">
        <v>0</v>
      </c>
      <c r="I45">
        <v>0</v>
      </c>
      <c r="J45">
        <v>86</v>
      </c>
      <c r="K45">
        <v>131</v>
      </c>
      <c r="L45">
        <v>4</v>
      </c>
      <c r="M45">
        <v>0</v>
      </c>
      <c r="N45">
        <v>135</v>
      </c>
    </row>
    <row r="46" spans="2:14" x14ac:dyDescent="0.25">
      <c r="B46" s="14" t="s">
        <v>108</v>
      </c>
      <c r="C46">
        <v>1569</v>
      </c>
      <c r="D46">
        <v>105</v>
      </c>
      <c r="E46">
        <v>2</v>
      </c>
      <c r="F46">
        <v>1676</v>
      </c>
      <c r="G46">
        <v>1732</v>
      </c>
      <c r="H46">
        <v>41</v>
      </c>
      <c r="I46">
        <v>5</v>
      </c>
      <c r="J46">
        <v>1778</v>
      </c>
      <c r="K46">
        <v>1225</v>
      </c>
      <c r="L46">
        <v>189</v>
      </c>
      <c r="M46">
        <v>0</v>
      </c>
      <c r="N46">
        <v>1414</v>
      </c>
    </row>
    <row r="47" spans="2:14" x14ac:dyDescent="0.25">
      <c r="B47" s="14" t="s">
        <v>109</v>
      </c>
      <c r="C47">
        <v>20</v>
      </c>
      <c r="D47">
        <v>1</v>
      </c>
      <c r="E47">
        <v>0</v>
      </c>
      <c r="F47">
        <v>21</v>
      </c>
      <c r="G47">
        <v>64</v>
      </c>
      <c r="H47">
        <v>1</v>
      </c>
      <c r="I47">
        <v>0</v>
      </c>
      <c r="J47">
        <v>65</v>
      </c>
      <c r="K47">
        <v>45</v>
      </c>
      <c r="L47">
        <v>6</v>
      </c>
      <c r="M47">
        <v>0</v>
      </c>
      <c r="N47">
        <v>51</v>
      </c>
    </row>
    <row r="48" spans="2:14" x14ac:dyDescent="0.25">
      <c r="B48" s="14" t="s">
        <v>97</v>
      </c>
      <c r="C48">
        <v>11</v>
      </c>
      <c r="D48">
        <v>0</v>
      </c>
      <c r="E48">
        <v>0</v>
      </c>
      <c r="F48">
        <v>11</v>
      </c>
      <c r="G48">
        <v>2</v>
      </c>
      <c r="H48">
        <v>0</v>
      </c>
      <c r="I48">
        <v>0</v>
      </c>
      <c r="J48">
        <v>2</v>
      </c>
      <c r="K48">
        <v>4</v>
      </c>
      <c r="L48">
        <v>0</v>
      </c>
      <c r="M48">
        <v>0</v>
      </c>
      <c r="N48">
        <v>4</v>
      </c>
    </row>
    <row r="49" spans="2:14" x14ac:dyDescent="0.25">
      <c r="B49" s="10" t="s">
        <v>49</v>
      </c>
      <c r="C49">
        <v>4389</v>
      </c>
      <c r="D49">
        <v>266</v>
      </c>
      <c r="E49">
        <v>17</v>
      </c>
      <c r="F49">
        <v>4672</v>
      </c>
      <c r="G49">
        <v>4604</v>
      </c>
      <c r="H49">
        <v>128</v>
      </c>
      <c r="I49">
        <v>26</v>
      </c>
      <c r="J49">
        <v>4758</v>
      </c>
      <c r="K49">
        <v>3520</v>
      </c>
      <c r="L49">
        <v>442</v>
      </c>
      <c r="M49">
        <v>5</v>
      </c>
      <c r="N49">
        <v>3967</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344D-F98D-4045-8CD8-4DCCB9BA1B4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97</v>
      </c>
      <c r="J14" s="54" t="s">
        <v>158</v>
      </c>
      <c r="K14" s="54" t="s">
        <v>157</v>
      </c>
      <c r="L14" s="54" t="s">
        <v>156</v>
      </c>
      <c r="M14" s="54" t="s">
        <v>155</v>
      </c>
      <c r="N14" s="54" t="s">
        <v>154</v>
      </c>
      <c r="O14" s="54" t="s">
        <v>153</v>
      </c>
      <c r="P14" s="54" t="s">
        <v>152</v>
      </c>
      <c r="Q14" s="54" t="s">
        <v>97</v>
      </c>
      <c r="R14" s="54" t="s">
        <v>158</v>
      </c>
      <c r="S14" s="54" t="s">
        <v>157</v>
      </c>
      <c r="T14" s="54" t="s">
        <v>156</v>
      </c>
      <c r="U14" s="54" t="s">
        <v>155</v>
      </c>
      <c r="V14" s="54" t="s">
        <v>154</v>
      </c>
      <c r="W14" s="54" t="s">
        <v>153</v>
      </c>
      <c r="X14" s="54" t="s">
        <v>152</v>
      </c>
      <c r="Y14" s="54" t="s">
        <v>97</v>
      </c>
      <c r="Z14" s="54" t="s">
        <v>158</v>
      </c>
      <c r="AA14" s="54" t="s">
        <v>157</v>
      </c>
      <c r="AB14" s="54" t="s">
        <v>156</v>
      </c>
      <c r="AC14" s="54" t="s">
        <v>155</v>
      </c>
      <c r="AD14" s="54" t="s">
        <v>154</v>
      </c>
      <c r="AE14" s="54" t="s">
        <v>153</v>
      </c>
      <c r="AF14" s="54" t="s">
        <v>152</v>
      </c>
      <c r="AG14" s="54" t="s">
        <v>97</v>
      </c>
      <c r="AH14" s="54" t="s">
        <v>158</v>
      </c>
      <c r="AI14" s="54" t="s">
        <v>157</v>
      </c>
      <c r="AJ14" s="54" t="s">
        <v>156</v>
      </c>
      <c r="AK14" s="54" t="s">
        <v>155</v>
      </c>
      <c r="AL14" s="54" t="s">
        <v>154</v>
      </c>
      <c r="AM14" s="54" t="s">
        <v>153</v>
      </c>
      <c r="AN14" s="54" t="s">
        <v>152</v>
      </c>
      <c r="AO14" s="54" t="s">
        <v>97</v>
      </c>
      <c r="AP14" s="54" t="s">
        <v>158</v>
      </c>
      <c r="AQ14" s="54" t="s">
        <v>157</v>
      </c>
      <c r="AR14" s="54" t="s">
        <v>156</v>
      </c>
      <c r="AS14" s="54" t="s">
        <v>155</v>
      </c>
      <c r="AT14" s="54" t="s">
        <v>154</v>
      </c>
      <c r="AU14" s="54" t="s">
        <v>153</v>
      </c>
      <c r="AV14" s="54" t="s">
        <v>152</v>
      </c>
      <c r="AW14" s="54" t="s">
        <v>97</v>
      </c>
      <c r="AX14" s="54" t="s">
        <v>158</v>
      </c>
      <c r="AY14" s="54" t="s">
        <v>157</v>
      </c>
      <c r="AZ14" s="54" t="s">
        <v>156</v>
      </c>
      <c r="BA14" s="54" t="s">
        <v>155</v>
      </c>
      <c r="BB14" s="54" t="s">
        <v>154</v>
      </c>
      <c r="BC14" s="54" t="s">
        <v>153</v>
      </c>
      <c r="BD14" s="54" t="s">
        <v>152</v>
      </c>
      <c r="BE14" s="54" t="s">
        <v>97</v>
      </c>
      <c r="BF14" s="54" t="s">
        <v>158</v>
      </c>
      <c r="BG14" s="54" t="s">
        <v>157</v>
      </c>
      <c r="BH14" s="54" t="s">
        <v>156</v>
      </c>
      <c r="BI14" s="54" t="s">
        <v>155</v>
      </c>
      <c r="BJ14" s="54" t="s">
        <v>154</v>
      </c>
      <c r="BK14" s="54" t="s">
        <v>153</v>
      </c>
      <c r="BL14" s="54" t="s">
        <v>152</v>
      </c>
      <c r="BM14" s="54" t="s">
        <v>97</v>
      </c>
    </row>
    <row r="15" spans="1:65" ht="15" customHeight="1" x14ac:dyDescent="0.2">
      <c r="A15" s="53" t="s">
        <v>151</v>
      </c>
      <c r="B15" s="53" t="s">
        <v>129</v>
      </c>
      <c r="C15" s="53">
        <v>9</v>
      </c>
      <c r="D15" s="53" t="s">
        <v>129</v>
      </c>
      <c r="E15" s="53">
        <v>24</v>
      </c>
      <c r="F15" s="53" t="s">
        <v>129</v>
      </c>
      <c r="G15" s="53">
        <v>21</v>
      </c>
      <c r="H15" s="53" t="s">
        <v>129</v>
      </c>
      <c r="I15" s="53">
        <v>0</v>
      </c>
      <c r="J15" s="53" t="s">
        <v>129</v>
      </c>
      <c r="K15" s="53" t="s">
        <v>129</v>
      </c>
      <c r="L15" s="53" t="s">
        <v>129</v>
      </c>
      <c r="M15" s="53" t="s">
        <v>129</v>
      </c>
      <c r="N15" s="53" t="s">
        <v>129</v>
      </c>
      <c r="O15" s="53" t="s">
        <v>129</v>
      </c>
      <c r="P15" s="53" t="s">
        <v>129</v>
      </c>
      <c r="Q15" s="53" t="s">
        <v>129</v>
      </c>
      <c r="R15" s="53" t="s">
        <v>129</v>
      </c>
      <c r="S15" s="53">
        <v>2</v>
      </c>
      <c r="T15" s="53" t="s">
        <v>129</v>
      </c>
      <c r="U15" s="53">
        <v>486</v>
      </c>
      <c r="V15" s="53" t="s">
        <v>129</v>
      </c>
      <c r="W15" s="53">
        <v>9</v>
      </c>
      <c r="X15" s="53" t="s">
        <v>129</v>
      </c>
      <c r="Y15" s="53">
        <v>0</v>
      </c>
      <c r="Z15" s="53" t="s">
        <v>129</v>
      </c>
      <c r="AA15" s="53" t="s">
        <v>129</v>
      </c>
      <c r="AB15" s="53" t="s">
        <v>129</v>
      </c>
      <c r="AC15" s="53" t="s">
        <v>129</v>
      </c>
      <c r="AD15" s="53" t="s">
        <v>129</v>
      </c>
      <c r="AE15" s="53" t="s">
        <v>129</v>
      </c>
      <c r="AF15" s="53" t="s">
        <v>129</v>
      </c>
      <c r="AG15" s="53" t="s">
        <v>129</v>
      </c>
      <c r="AH15" s="53" t="s">
        <v>129</v>
      </c>
      <c r="AI15" s="53">
        <v>28</v>
      </c>
      <c r="AJ15" s="53" t="s">
        <v>129</v>
      </c>
      <c r="AK15" s="53">
        <v>63</v>
      </c>
      <c r="AL15" s="53" t="s">
        <v>129</v>
      </c>
      <c r="AM15" s="53">
        <v>22</v>
      </c>
      <c r="AN15" s="53" t="s">
        <v>129</v>
      </c>
      <c r="AO15" s="53">
        <v>0</v>
      </c>
      <c r="AP15" s="53" t="s">
        <v>129</v>
      </c>
      <c r="AQ15" s="53" t="s">
        <v>129</v>
      </c>
      <c r="AR15" s="53" t="s">
        <v>129</v>
      </c>
      <c r="AS15" s="53" t="s">
        <v>129</v>
      </c>
      <c r="AT15" s="53" t="s">
        <v>129</v>
      </c>
      <c r="AU15" s="53" t="s">
        <v>129</v>
      </c>
      <c r="AV15" s="53" t="s">
        <v>129</v>
      </c>
      <c r="AW15" s="53" t="s">
        <v>129</v>
      </c>
      <c r="AX15" s="53" t="s">
        <v>129</v>
      </c>
      <c r="AY15" s="53">
        <v>34</v>
      </c>
      <c r="AZ15" s="53" t="s">
        <v>129</v>
      </c>
      <c r="BA15" s="53">
        <v>395</v>
      </c>
      <c r="BB15" s="53" t="s">
        <v>129</v>
      </c>
      <c r="BC15" s="53">
        <v>3</v>
      </c>
      <c r="BD15" s="53" t="s">
        <v>129</v>
      </c>
      <c r="BE15" s="53">
        <v>1</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11</v>
      </c>
      <c r="D16" s="53" t="s">
        <v>129</v>
      </c>
      <c r="E16" s="53">
        <v>26</v>
      </c>
      <c r="F16" s="53" t="s">
        <v>129</v>
      </c>
      <c r="G16" s="53">
        <v>31</v>
      </c>
      <c r="H16" s="53" t="s">
        <v>129</v>
      </c>
      <c r="I16" s="53">
        <v>0</v>
      </c>
      <c r="J16" s="53" t="s">
        <v>129</v>
      </c>
      <c r="K16" s="53" t="s">
        <v>129</v>
      </c>
      <c r="L16" s="53" t="s">
        <v>129</v>
      </c>
      <c r="M16" s="53" t="s">
        <v>129</v>
      </c>
      <c r="N16" s="53" t="s">
        <v>129</v>
      </c>
      <c r="O16" s="53" t="s">
        <v>129</v>
      </c>
      <c r="P16" s="53" t="s">
        <v>129</v>
      </c>
      <c r="Q16" s="53" t="s">
        <v>129</v>
      </c>
      <c r="R16" s="53" t="s">
        <v>129</v>
      </c>
      <c r="S16" s="53">
        <v>9</v>
      </c>
      <c r="T16" s="53" t="s">
        <v>129</v>
      </c>
      <c r="U16" s="53">
        <v>482</v>
      </c>
      <c r="V16" s="53" t="s">
        <v>129</v>
      </c>
      <c r="W16" s="53">
        <v>14</v>
      </c>
      <c r="X16" s="53" t="s">
        <v>129</v>
      </c>
      <c r="Y16" s="53">
        <v>0</v>
      </c>
      <c r="Z16" s="53" t="s">
        <v>129</v>
      </c>
      <c r="AA16" s="53" t="s">
        <v>129</v>
      </c>
      <c r="AB16" s="53" t="s">
        <v>129</v>
      </c>
      <c r="AC16" s="53" t="s">
        <v>129</v>
      </c>
      <c r="AD16" s="53" t="s">
        <v>129</v>
      </c>
      <c r="AE16" s="53" t="s">
        <v>129</v>
      </c>
      <c r="AF16" s="53" t="s">
        <v>129</v>
      </c>
      <c r="AG16" s="53" t="s">
        <v>129</v>
      </c>
      <c r="AH16" s="53" t="s">
        <v>129</v>
      </c>
      <c r="AI16" s="53">
        <v>22</v>
      </c>
      <c r="AJ16" s="53" t="s">
        <v>129</v>
      </c>
      <c r="AK16" s="53">
        <v>64</v>
      </c>
      <c r="AL16" s="53" t="s">
        <v>129</v>
      </c>
      <c r="AM16" s="53">
        <v>22</v>
      </c>
      <c r="AN16" s="53" t="s">
        <v>129</v>
      </c>
      <c r="AO16" s="53">
        <v>0</v>
      </c>
      <c r="AP16" s="53" t="s">
        <v>129</v>
      </c>
      <c r="AQ16" s="53" t="s">
        <v>129</v>
      </c>
      <c r="AR16" s="53" t="s">
        <v>129</v>
      </c>
      <c r="AS16" s="53" t="s">
        <v>129</v>
      </c>
      <c r="AT16" s="53" t="s">
        <v>129</v>
      </c>
      <c r="AU16" s="53" t="s">
        <v>129</v>
      </c>
      <c r="AV16" s="53" t="s">
        <v>129</v>
      </c>
      <c r="AW16" s="53" t="s">
        <v>129</v>
      </c>
      <c r="AX16" s="53" t="s">
        <v>129</v>
      </c>
      <c r="AY16" s="53">
        <v>30</v>
      </c>
      <c r="AZ16" s="53" t="s">
        <v>129</v>
      </c>
      <c r="BA16" s="53">
        <v>410</v>
      </c>
      <c r="BB16" s="53" t="s">
        <v>129</v>
      </c>
      <c r="BC16" s="53">
        <v>7</v>
      </c>
      <c r="BD16" s="53" t="s">
        <v>129</v>
      </c>
      <c r="BE16" s="53">
        <v>4</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18</v>
      </c>
      <c r="D17" s="53" t="s">
        <v>129</v>
      </c>
      <c r="E17" s="53">
        <v>21</v>
      </c>
      <c r="F17" s="53" t="s">
        <v>129</v>
      </c>
      <c r="G17" s="53">
        <v>23</v>
      </c>
      <c r="H17" s="53" t="s">
        <v>129</v>
      </c>
      <c r="I17" s="53">
        <v>0</v>
      </c>
      <c r="J17" s="53" t="s">
        <v>129</v>
      </c>
      <c r="K17" s="53" t="s">
        <v>129</v>
      </c>
      <c r="L17" s="53" t="s">
        <v>129</v>
      </c>
      <c r="M17" s="53" t="s">
        <v>129</v>
      </c>
      <c r="N17" s="53" t="s">
        <v>129</v>
      </c>
      <c r="O17" s="53" t="s">
        <v>129</v>
      </c>
      <c r="P17" s="53" t="s">
        <v>129</v>
      </c>
      <c r="Q17" s="53" t="s">
        <v>129</v>
      </c>
      <c r="R17" s="53" t="s">
        <v>129</v>
      </c>
      <c r="S17" s="53">
        <v>9</v>
      </c>
      <c r="T17" s="53" t="s">
        <v>129</v>
      </c>
      <c r="U17" s="53">
        <v>428</v>
      </c>
      <c r="V17" s="53" t="s">
        <v>129</v>
      </c>
      <c r="W17" s="53">
        <v>11</v>
      </c>
      <c r="X17" s="53" t="s">
        <v>129</v>
      </c>
      <c r="Y17" s="53">
        <v>0</v>
      </c>
      <c r="Z17" s="53" t="s">
        <v>129</v>
      </c>
      <c r="AA17" s="53" t="s">
        <v>129</v>
      </c>
      <c r="AB17" s="53" t="s">
        <v>129</v>
      </c>
      <c r="AC17" s="53" t="s">
        <v>129</v>
      </c>
      <c r="AD17" s="53" t="s">
        <v>129</v>
      </c>
      <c r="AE17" s="53" t="s">
        <v>129</v>
      </c>
      <c r="AF17" s="53" t="s">
        <v>129</v>
      </c>
      <c r="AG17" s="53" t="s">
        <v>129</v>
      </c>
      <c r="AH17" s="53" t="s">
        <v>129</v>
      </c>
      <c r="AI17" s="53">
        <v>19</v>
      </c>
      <c r="AJ17" s="53" t="s">
        <v>129</v>
      </c>
      <c r="AK17" s="53">
        <v>70</v>
      </c>
      <c r="AL17" s="53" t="s">
        <v>129</v>
      </c>
      <c r="AM17" s="53">
        <v>30</v>
      </c>
      <c r="AN17" s="53" t="s">
        <v>129</v>
      </c>
      <c r="AO17" s="53">
        <v>0</v>
      </c>
      <c r="AP17" s="53" t="s">
        <v>129</v>
      </c>
      <c r="AQ17" s="53" t="s">
        <v>129</v>
      </c>
      <c r="AR17" s="53" t="s">
        <v>129</v>
      </c>
      <c r="AS17" s="53" t="s">
        <v>129</v>
      </c>
      <c r="AT17" s="53" t="s">
        <v>129</v>
      </c>
      <c r="AU17" s="53" t="s">
        <v>129</v>
      </c>
      <c r="AV17" s="53" t="s">
        <v>129</v>
      </c>
      <c r="AW17" s="53" t="s">
        <v>129</v>
      </c>
      <c r="AX17" s="53" t="s">
        <v>129</v>
      </c>
      <c r="AY17" s="53">
        <v>33</v>
      </c>
      <c r="AZ17" s="53" t="s">
        <v>129</v>
      </c>
      <c r="BA17" s="53">
        <v>391</v>
      </c>
      <c r="BB17" s="53" t="s">
        <v>129</v>
      </c>
      <c r="BC17" s="53">
        <v>6</v>
      </c>
      <c r="BD17" s="53" t="s">
        <v>129</v>
      </c>
      <c r="BE17" s="53">
        <v>4</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14</v>
      </c>
      <c r="D18" s="53" t="s">
        <v>129</v>
      </c>
      <c r="E18" s="53">
        <v>31</v>
      </c>
      <c r="F18" s="53" t="s">
        <v>129</v>
      </c>
      <c r="G18" s="53">
        <v>21</v>
      </c>
      <c r="H18" s="53" t="s">
        <v>129</v>
      </c>
      <c r="I18" s="53">
        <v>0</v>
      </c>
      <c r="J18" s="53" t="s">
        <v>129</v>
      </c>
      <c r="K18" s="53" t="s">
        <v>129</v>
      </c>
      <c r="L18" s="53" t="s">
        <v>129</v>
      </c>
      <c r="M18" s="53" t="s">
        <v>129</v>
      </c>
      <c r="N18" s="53" t="s">
        <v>129</v>
      </c>
      <c r="O18" s="53" t="s">
        <v>129</v>
      </c>
      <c r="P18" s="53" t="s">
        <v>129</v>
      </c>
      <c r="Q18" s="53" t="s">
        <v>129</v>
      </c>
      <c r="R18" s="53" t="s">
        <v>129</v>
      </c>
      <c r="S18" s="53">
        <v>7</v>
      </c>
      <c r="T18" s="53" t="s">
        <v>129</v>
      </c>
      <c r="U18" s="53">
        <v>438</v>
      </c>
      <c r="V18" s="53" t="s">
        <v>129</v>
      </c>
      <c r="W18" s="53">
        <v>14</v>
      </c>
      <c r="X18" s="53" t="s">
        <v>129</v>
      </c>
      <c r="Y18" s="53">
        <v>0</v>
      </c>
      <c r="Z18" s="53" t="s">
        <v>129</v>
      </c>
      <c r="AA18" s="53" t="s">
        <v>129</v>
      </c>
      <c r="AB18" s="53" t="s">
        <v>129</v>
      </c>
      <c r="AC18" s="53" t="s">
        <v>129</v>
      </c>
      <c r="AD18" s="53" t="s">
        <v>129</v>
      </c>
      <c r="AE18" s="53" t="s">
        <v>129</v>
      </c>
      <c r="AF18" s="53" t="s">
        <v>129</v>
      </c>
      <c r="AG18" s="53" t="s">
        <v>129</v>
      </c>
      <c r="AH18" s="53" t="s">
        <v>129</v>
      </c>
      <c r="AI18" s="53">
        <v>20</v>
      </c>
      <c r="AJ18" s="53" t="s">
        <v>129</v>
      </c>
      <c r="AK18" s="53">
        <v>94</v>
      </c>
      <c r="AL18" s="53" t="s">
        <v>129</v>
      </c>
      <c r="AM18" s="53">
        <v>50</v>
      </c>
      <c r="AN18" s="53" t="s">
        <v>129</v>
      </c>
      <c r="AO18" s="53">
        <v>0</v>
      </c>
      <c r="AP18" s="53" t="s">
        <v>129</v>
      </c>
      <c r="AQ18" s="53" t="s">
        <v>129</v>
      </c>
      <c r="AR18" s="53" t="s">
        <v>129</v>
      </c>
      <c r="AS18" s="53" t="s">
        <v>129</v>
      </c>
      <c r="AT18" s="53" t="s">
        <v>129</v>
      </c>
      <c r="AU18" s="53" t="s">
        <v>129</v>
      </c>
      <c r="AV18" s="53" t="s">
        <v>129</v>
      </c>
      <c r="AW18" s="53" t="s">
        <v>129</v>
      </c>
      <c r="AX18" s="53" t="s">
        <v>129</v>
      </c>
      <c r="AY18" s="53">
        <v>29</v>
      </c>
      <c r="AZ18" s="53" t="s">
        <v>129</v>
      </c>
      <c r="BA18" s="53">
        <v>373</v>
      </c>
      <c r="BB18" s="53" t="s">
        <v>129</v>
      </c>
      <c r="BC18" s="53">
        <v>4</v>
      </c>
      <c r="BD18" s="53" t="s">
        <v>129</v>
      </c>
      <c r="BE18" s="53">
        <v>2</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5</v>
      </c>
      <c r="D19" s="53" t="s">
        <v>129</v>
      </c>
      <c r="E19" s="53">
        <v>32</v>
      </c>
      <c r="F19" s="53" t="s">
        <v>129</v>
      </c>
      <c r="G19" s="53">
        <v>12</v>
      </c>
      <c r="H19" s="53" t="s">
        <v>129</v>
      </c>
      <c r="I19" s="53">
        <v>0</v>
      </c>
      <c r="J19" s="53" t="s">
        <v>129</v>
      </c>
      <c r="K19" s="53" t="s">
        <v>129</v>
      </c>
      <c r="L19" s="53" t="s">
        <v>129</v>
      </c>
      <c r="M19" s="53" t="s">
        <v>129</v>
      </c>
      <c r="N19" s="53" t="s">
        <v>129</v>
      </c>
      <c r="O19" s="53" t="s">
        <v>129</v>
      </c>
      <c r="P19" s="53" t="s">
        <v>129</v>
      </c>
      <c r="Q19" s="53" t="s">
        <v>129</v>
      </c>
      <c r="R19" s="53" t="s">
        <v>129</v>
      </c>
      <c r="S19" s="53">
        <v>7</v>
      </c>
      <c r="T19" s="53" t="s">
        <v>129</v>
      </c>
      <c r="U19" s="53">
        <v>415</v>
      </c>
      <c r="V19" s="53" t="s">
        <v>129</v>
      </c>
      <c r="W19" s="53">
        <v>11</v>
      </c>
      <c r="X19" s="53" t="s">
        <v>129</v>
      </c>
      <c r="Y19" s="53">
        <v>0</v>
      </c>
      <c r="Z19" s="53" t="s">
        <v>129</v>
      </c>
      <c r="AA19" s="53" t="s">
        <v>129</v>
      </c>
      <c r="AB19" s="53" t="s">
        <v>129</v>
      </c>
      <c r="AC19" s="53" t="s">
        <v>129</v>
      </c>
      <c r="AD19" s="53" t="s">
        <v>129</v>
      </c>
      <c r="AE19" s="53" t="s">
        <v>129</v>
      </c>
      <c r="AF19" s="53" t="s">
        <v>129</v>
      </c>
      <c r="AG19" s="53" t="s">
        <v>129</v>
      </c>
      <c r="AH19" s="53" t="s">
        <v>129</v>
      </c>
      <c r="AI19" s="53">
        <v>20</v>
      </c>
      <c r="AJ19" s="53" t="s">
        <v>129</v>
      </c>
      <c r="AK19" s="53">
        <v>89</v>
      </c>
      <c r="AL19" s="53" t="s">
        <v>129</v>
      </c>
      <c r="AM19" s="53">
        <v>45</v>
      </c>
      <c r="AN19" s="53" t="s">
        <v>129</v>
      </c>
      <c r="AO19" s="53">
        <v>0</v>
      </c>
      <c r="AP19" s="53" t="s">
        <v>129</v>
      </c>
      <c r="AQ19" s="53" t="s">
        <v>129</v>
      </c>
      <c r="AR19" s="53" t="s">
        <v>129</v>
      </c>
      <c r="AS19" s="53" t="s">
        <v>129</v>
      </c>
      <c r="AT19" s="53" t="s">
        <v>129</v>
      </c>
      <c r="AU19" s="53" t="s">
        <v>129</v>
      </c>
      <c r="AV19" s="53" t="s">
        <v>129</v>
      </c>
      <c r="AW19" s="53" t="s">
        <v>129</v>
      </c>
      <c r="AX19" s="53" t="s">
        <v>129</v>
      </c>
      <c r="AY19" s="53">
        <v>20</v>
      </c>
      <c r="AZ19" s="53" t="s">
        <v>129</v>
      </c>
      <c r="BA19" s="53">
        <v>377</v>
      </c>
      <c r="BB19" s="53" t="s">
        <v>129</v>
      </c>
      <c r="BC19" s="53">
        <v>5</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15</v>
      </c>
      <c r="D20" s="53" t="s">
        <v>129</v>
      </c>
      <c r="E20" s="53">
        <v>55</v>
      </c>
      <c r="F20" s="53" t="s">
        <v>129</v>
      </c>
      <c r="G20" s="53">
        <v>19</v>
      </c>
      <c r="H20" s="53" t="s">
        <v>129</v>
      </c>
      <c r="I20" s="53">
        <v>0</v>
      </c>
      <c r="J20" s="53" t="s">
        <v>129</v>
      </c>
      <c r="K20" s="53" t="s">
        <v>129</v>
      </c>
      <c r="L20" s="53" t="s">
        <v>129</v>
      </c>
      <c r="M20" s="53" t="s">
        <v>129</v>
      </c>
      <c r="N20" s="53" t="s">
        <v>129</v>
      </c>
      <c r="O20" s="53" t="s">
        <v>129</v>
      </c>
      <c r="P20" s="53" t="s">
        <v>129</v>
      </c>
      <c r="Q20" s="53" t="s">
        <v>129</v>
      </c>
      <c r="R20" s="53" t="s">
        <v>129</v>
      </c>
      <c r="S20" s="53">
        <v>10</v>
      </c>
      <c r="T20" s="53" t="s">
        <v>129</v>
      </c>
      <c r="U20" s="53">
        <v>362</v>
      </c>
      <c r="V20" s="53" t="s">
        <v>129</v>
      </c>
      <c r="W20" s="53">
        <v>22</v>
      </c>
      <c r="X20" s="53" t="s">
        <v>129</v>
      </c>
      <c r="Y20" s="53">
        <v>0</v>
      </c>
      <c r="Z20" s="53" t="s">
        <v>129</v>
      </c>
      <c r="AA20" s="53" t="s">
        <v>129</v>
      </c>
      <c r="AB20" s="53" t="s">
        <v>129</v>
      </c>
      <c r="AC20" s="53" t="s">
        <v>129</v>
      </c>
      <c r="AD20" s="53" t="s">
        <v>129</v>
      </c>
      <c r="AE20" s="53" t="s">
        <v>129</v>
      </c>
      <c r="AF20" s="53" t="s">
        <v>129</v>
      </c>
      <c r="AG20" s="53" t="s">
        <v>129</v>
      </c>
      <c r="AH20" s="53" t="s">
        <v>129</v>
      </c>
      <c r="AI20" s="53">
        <v>23</v>
      </c>
      <c r="AJ20" s="53" t="s">
        <v>129</v>
      </c>
      <c r="AK20" s="53">
        <v>89</v>
      </c>
      <c r="AL20" s="53" t="s">
        <v>129</v>
      </c>
      <c r="AM20" s="53">
        <v>29</v>
      </c>
      <c r="AN20" s="53" t="s">
        <v>129</v>
      </c>
      <c r="AO20" s="53">
        <v>0</v>
      </c>
      <c r="AP20" s="53" t="s">
        <v>129</v>
      </c>
      <c r="AQ20" s="53" t="s">
        <v>129</v>
      </c>
      <c r="AR20" s="53" t="s">
        <v>129</v>
      </c>
      <c r="AS20" s="53" t="s">
        <v>129</v>
      </c>
      <c r="AT20" s="53" t="s">
        <v>129</v>
      </c>
      <c r="AU20" s="53" t="s">
        <v>129</v>
      </c>
      <c r="AV20" s="53" t="s">
        <v>129</v>
      </c>
      <c r="AW20" s="53" t="s">
        <v>129</v>
      </c>
      <c r="AX20" s="53" t="s">
        <v>129</v>
      </c>
      <c r="AY20" s="53">
        <v>22</v>
      </c>
      <c r="AZ20" s="53" t="s">
        <v>129</v>
      </c>
      <c r="BA20" s="53">
        <v>358</v>
      </c>
      <c r="BB20" s="53" t="s">
        <v>129</v>
      </c>
      <c r="BC20" s="53">
        <v>1</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12</v>
      </c>
      <c r="D21" s="53" t="s">
        <v>129</v>
      </c>
      <c r="E21" s="53">
        <v>63</v>
      </c>
      <c r="F21" s="53" t="s">
        <v>129</v>
      </c>
      <c r="G21" s="53">
        <v>14</v>
      </c>
      <c r="H21" s="53" t="s">
        <v>129</v>
      </c>
      <c r="I21" s="53">
        <v>0</v>
      </c>
      <c r="J21" s="53" t="s">
        <v>129</v>
      </c>
      <c r="K21" s="53" t="s">
        <v>129</v>
      </c>
      <c r="L21" s="53" t="s">
        <v>129</v>
      </c>
      <c r="M21" s="53" t="s">
        <v>129</v>
      </c>
      <c r="N21" s="53" t="s">
        <v>129</v>
      </c>
      <c r="O21" s="53" t="s">
        <v>129</v>
      </c>
      <c r="P21" s="53" t="s">
        <v>129</v>
      </c>
      <c r="Q21" s="53" t="s">
        <v>129</v>
      </c>
      <c r="R21" s="53" t="s">
        <v>129</v>
      </c>
      <c r="S21" s="53">
        <v>10</v>
      </c>
      <c r="T21" s="53" t="s">
        <v>129</v>
      </c>
      <c r="U21" s="53">
        <v>378</v>
      </c>
      <c r="V21" s="53" t="s">
        <v>129</v>
      </c>
      <c r="W21" s="53">
        <v>14</v>
      </c>
      <c r="X21" s="53" t="s">
        <v>129</v>
      </c>
      <c r="Y21" s="53">
        <v>0</v>
      </c>
      <c r="Z21" s="53" t="s">
        <v>129</v>
      </c>
      <c r="AA21" s="53" t="s">
        <v>129</v>
      </c>
      <c r="AB21" s="53" t="s">
        <v>129</v>
      </c>
      <c r="AC21" s="53" t="s">
        <v>129</v>
      </c>
      <c r="AD21" s="53" t="s">
        <v>129</v>
      </c>
      <c r="AE21" s="53" t="s">
        <v>129</v>
      </c>
      <c r="AF21" s="53" t="s">
        <v>129</v>
      </c>
      <c r="AG21" s="53" t="s">
        <v>129</v>
      </c>
      <c r="AH21" s="53" t="s">
        <v>129</v>
      </c>
      <c r="AI21" s="53">
        <v>19</v>
      </c>
      <c r="AJ21" s="53" t="s">
        <v>129</v>
      </c>
      <c r="AK21" s="53">
        <v>96</v>
      </c>
      <c r="AL21" s="53" t="s">
        <v>129</v>
      </c>
      <c r="AM21" s="53">
        <v>24</v>
      </c>
      <c r="AN21" s="53" t="s">
        <v>129</v>
      </c>
      <c r="AO21" s="53">
        <v>0</v>
      </c>
      <c r="AP21" s="53" t="s">
        <v>129</v>
      </c>
      <c r="AQ21" s="53" t="s">
        <v>129</v>
      </c>
      <c r="AR21" s="53" t="s">
        <v>129</v>
      </c>
      <c r="AS21" s="53" t="s">
        <v>129</v>
      </c>
      <c r="AT21" s="53" t="s">
        <v>129</v>
      </c>
      <c r="AU21" s="53" t="s">
        <v>129</v>
      </c>
      <c r="AV21" s="53" t="s">
        <v>129</v>
      </c>
      <c r="AW21" s="53" t="s">
        <v>129</v>
      </c>
      <c r="AX21" s="53" t="s">
        <v>129</v>
      </c>
      <c r="AY21" s="53">
        <v>21</v>
      </c>
      <c r="AZ21" s="53" t="s">
        <v>129</v>
      </c>
      <c r="BA21" s="53">
        <v>353</v>
      </c>
      <c r="BB21" s="53" t="s">
        <v>129</v>
      </c>
      <c r="BC21" s="53">
        <v>8</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9</v>
      </c>
      <c r="D22" s="53" t="s">
        <v>129</v>
      </c>
      <c r="E22" s="53">
        <v>50</v>
      </c>
      <c r="F22" s="53" t="s">
        <v>129</v>
      </c>
      <c r="G22" s="53">
        <v>15</v>
      </c>
      <c r="H22" s="53" t="s">
        <v>129</v>
      </c>
      <c r="I22" s="53">
        <v>0</v>
      </c>
      <c r="J22" s="53" t="s">
        <v>129</v>
      </c>
      <c r="K22" s="53" t="s">
        <v>129</v>
      </c>
      <c r="L22" s="53" t="s">
        <v>129</v>
      </c>
      <c r="M22" s="53" t="s">
        <v>129</v>
      </c>
      <c r="N22" s="53" t="s">
        <v>129</v>
      </c>
      <c r="O22" s="53" t="s">
        <v>129</v>
      </c>
      <c r="P22" s="53" t="s">
        <v>129</v>
      </c>
      <c r="Q22" s="53" t="s">
        <v>129</v>
      </c>
      <c r="R22" s="53" t="s">
        <v>129</v>
      </c>
      <c r="S22" s="53">
        <v>9</v>
      </c>
      <c r="T22" s="53" t="s">
        <v>129</v>
      </c>
      <c r="U22" s="53">
        <v>436</v>
      </c>
      <c r="V22" s="53" t="s">
        <v>129</v>
      </c>
      <c r="W22" s="53">
        <v>19</v>
      </c>
      <c r="X22" s="53" t="s">
        <v>129</v>
      </c>
      <c r="Y22" s="53">
        <v>0</v>
      </c>
      <c r="Z22" s="53" t="s">
        <v>129</v>
      </c>
      <c r="AA22" s="53" t="s">
        <v>129</v>
      </c>
      <c r="AB22" s="53" t="s">
        <v>129</v>
      </c>
      <c r="AC22" s="53" t="s">
        <v>129</v>
      </c>
      <c r="AD22" s="53" t="s">
        <v>129</v>
      </c>
      <c r="AE22" s="53" t="s">
        <v>129</v>
      </c>
      <c r="AF22" s="53" t="s">
        <v>129</v>
      </c>
      <c r="AG22" s="53" t="s">
        <v>129</v>
      </c>
      <c r="AH22" s="53" t="s">
        <v>129</v>
      </c>
      <c r="AI22" s="53">
        <v>24</v>
      </c>
      <c r="AJ22" s="53" t="s">
        <v>129</v>
      </c>
      <c r="AK22" s="53">
        <v>87</v>
      </c>
      <c r="AL22" s="53" t="s">
        <v>129</v>
      </c>
      <c r="AM22" s="53">
        <v>34</v>
      </c>
      <c r="AN22" s="53" t="s">
        <v>129</v>
      </c>
      <c r="AO22" s="53">
        <v>0</v>
      </c>
      <c r="AP22" s="53" t="s">
        <v>129</v>
      </c>
      <c r="AQ22" s="53" t="s">
        <v>129</v>
      </c>
      <c r="AR22" s="53" t="s">
        <v>129</v>
      </c>
      <c r="AS22" s="53" t="s">
        <v>129</v>
      </c>
      <c r="AT22" s="53" t="s">
        <v>129</v>
      </c>
      <c r="AU22" s="53" t="s">
        <v>129</v>
      </c>
      <c r="AV22" s="53" t="s">
        <v>129</v>
      </c>
      <c r="AW22" s="53" t="s">
        <v>129</v>
      </c>
      <c r="AX22" s="53" t="s">
        <v>129</v>
      </c>
      <c r="AY22" s="53">
        <v>25</v>
      </c>
      <c r="AZ22" s="53" t="s">
        <v>129</v>
      </c>
      <c r="BA22" s="53">
        <v>324</v>
      </c>
      <c r="BB22" s="53" t="s">
        <v>129</v>
      </c>
      <c r="BC22" s="53">
        <v>4</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14</v>
      </c>
      <c r="D24" s="53" t="s">
        <v>129</v>
      </c>
      <c r="E24" s="53">
        <v>39</v>
      </c>
      <c r="F24" s="53" t="s">
        <v>129</v>
      </c>
      <c r="G24" s="53">
        <v>26</v>
      </c>
      <c r="H24" s="53" t="s">
        <v>129</v>
      </c>
      <c r="I24" s="53">
        <v>0</v>
      </c>
      <c r="J24" s="53" t="s">
        <v>129</v>
      </c>
      <c r="K24" s="53" t="s">
        <v>129</v>
      </c>
      <c r="L24" s="53" t="s">
        <v>129</v>
      </c>
      <c r="M24" s="53" t="s">
        <v>129</v>
      </c>
      <c r="N24" s="53" t="s">
        <v>129</v>
      </c>
      <c r="O24" s="53" t="s">
        <v>129</v>
      </c>
      <c r="P24" s="53" t="s">
        <v>129</v>
      </c>
      <c r="Q24" s="53" t="s">
        <v>129</v>
      </c>
      <c r="R24" s="53" t="s">
        <v>129</v>
      </c>
      <c r="S24" s="53">
        <v>36</v>
      </c>
      <c r="T24" s="53" t="s">
        <v>129</v>
      </c>
      <c r="U24" s="53">
        <v>353</v>
      </c>
      <c r="V24" s="53" t="s">
        <v>129</v>
      </c>
      <c r="W24" s="53">
        <v>22</v>
      </c>
      <c r="X24" s="53" t="s">
        <v>129</v>
      </c>
      <c r="Y24" s="53">
        <v>0</v>
      </c>
      <c r="Z24" s="53" t="s">
        <v>129</v>
      </c>
      <c r="AA24" s="53" t="s">
        <v>129</v>
      </c>
      <c r="AB24" s="53" t="s">
        <v>129</v>
      </c>
      <c r="AC24" s="53" t="s">
        <v>129</v>
      </c>
      <c r="AD24" s="53" t="s">
        <v>129</v>
      </c>
      <c r="AE24" s="53" t="s">
        <v>129</v>
      </c>
      <c r="AF24" s="53" t="s">
        <v>129</v>
      </c>
      <c r="AG24" s="53" t="s">
        <v>129</v>
      </c>
      <c r="AH24" s="53" t="s">
        <v>129</v>
      </c>
      <c r="AI24" s="53">
        <v>13</v>
      </c>
      <c r="AJ24" s="53" t="s">
        <v>129</v>
      </c>
      <c r="AK24" s="53">
        <v>39</v>
      </c>
      <c r="AL24" s="53" t="s">
        <v>129</v>
      </c>
      <c r="AM24" s="53">
        <v>28</v>
      </c>
      <c r="AN24" s="53" t="s">
        <v>129</v>
      </c>
      <c r="AO24" s="53">
        <v>0</v>
      </c>
      <c r="AP24" s="53" t="s">
        <v>129</v>
      </c>
      <c r="AQ24" s="53" t="s">
        <v>129</v>
      </c>
      <c r="AR24" s="53" t="s">
        <v>129</v>
      </c>
      <c r="AS24" s="53" t="s">
        <v>129</v>
      </c>
      <c r="AT24" s="53" t="s">
        <v>129</v>
      </c>
      <c r="AU24" s="53" t="s">
        <v>129</v>
      </c>
      <c r="AV24" s="53" t="s">
        <v>129</v>
      </c>
      <c r="AW24" s="53" t="s">
        <v>129</v>
      </c>
      <c r="AX24" s="53" t="s">
        <v>129</v>
      </c>
      <c r="AY24" s="53">
        <v>34</v>
      </c>
      <c r="AZ24" s="53" t="s">
        <v>129</v>
      </c>
      <c r="BA24" s="53">
        <v>288</v>
      </c>
      <c r="BB24" s="53" t="s">
        <v>129</v>
      </c>
      <c r="BC24" s="53">
        <v>12</v>
      </c>
      <c r="BD24" s="53" t="s">
        <v>129</v>
      </c>
      <c r="BE24" s="53">
        <v>2</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18</v>
      </c>
      <c r="D25" s="53" t="s">
        <v>129</v>
      </c>
      <c r="E25" s="53">
        <v>43</v>
      </c>
      <c r="F25" s="53" t="s">
        <v>129</v>
      </c>
      <c r="G25" s="53">
        <v>27</v>
      </c>
      <c r="H25" s="53" t="s">
        <v>129</v>
      </c>
      <c r="I25" s="53">
        <v>0</v>
      </c>
      <c r="J25" s="53" t="s">
        <v>129</v>
      </c>
      <c r="K25" s="53" t="s">
        <v>129</v>
      </c>
      <c r="L25" s="53" t="s">
        <v>129</v>
      </c>
      <c r="M25" s="53" t="s">
        <v>129</v>
      </c>
      <c r="N25" s="53" t="s">
        <v>129</v>
      </c>
      <c r="O25" s="53" t="s">
        <v>129</v>
      </c>
      <c r="P25" s="53" t="s">
        <v>129</v>
      </c>
      <c r="Q25" s="53" t="s">
        <v>129</v>
      </c>
      <c r="R25" s="53" t="s">
        <v>129</v>
      </c>
      <c r="S25" s="53">
        <v>23</v>
      </c>
      <c r="T25" s="53" t="s">
        <v>129</v>
      </c>
      <c r="U25" s="53">
        <v>309</v>
      </c>
      <c r="V25" s="53" t="s">
        <v>129</v>
      </c>
      <c r="W25" s="53">
        <v>10</v>
      </c>
      <c r="X25" s="53" t="s">
        <v>129</v>
      </c>
      <c r="Y25" s="53">
        <v>0</v>
      </c>
      <c r="Z25" s="53" t="s">
        <v>129</v>
      </c>
      <c r="AA25" s="53" t="s">
        <v>129</v>
      </c>
      <c r="AB25" s="53" t="s">
        <v>129</v>
      </c>
      <c r="AC25" s="53" t="s">
        <v>129</v>
      </c>
      <c r="AD25" s="53" t="s">
        <v>129</v>
      </c>
      <c r="AE25" s="53" t="s">
        <v>129</v>
      </c>
      <c r="AF25" s="53" t="s">
        <v>129</v>
      </c>
      <c r="AG25" s="53" t="s">
        <v>129</v>
      </c>
      <c r="AH25" s="53" t="s">
        <v>129</v>
      </c>
      <c r="AI25" s="53">
        <v>10</v>
      </c>
      <c r="AJ25" s="53" t="s">
        <v>129</v>
      </c>
      <c r="AK25" s="53">
        <v>46</v>
      </c>
      <c r="AL25" s="53" t="s">
        <v>129</v>
      </c>
      <c r="AM25" s="53">
        <v>23</v>
      </c>
      <c r="AN25" s="53" t="s">
        <v>129</v>
      </c>
      <c r="AO25" s="53">
        <v>0</v>
      </c>
      <c r="AP25" s="53" t="s">
        <v>129</v>
      </c>
      <c r="AQ25" s="53" t="s">
        <v>129</v>
      </c>
      <c r="AR25" s="53" t="s">
        <v>129</v>
      </c>
      <c r="AS25" s="53" t="s">
        <v>129</v>
      </c>
      <c r="AT25" s="53" t="s">
        <v>129</v>
      </c>
      <c r="AU25" s="53" t="s">
        <v>129</v>
      </c>
      <c r="AV25" s="53" t="s">
        <v>129</v>
      </c>
      <c r="AW25" s="53" t="s">
        <v>129</v>
      </c>
      <c r="AX25" s="53" t="s">
        <v>129</v>
      </c>
      <c r="AY25" s="53">
        <v>35</v>
      </c>
      <c r="AZ25" s="53" t="s">
        <v>129</v>
      </c>
      <c r="BA25" s="53">
        <v>317</v>
      </c>
      <c r="BB25" s="53" t="s">
        <v>129</v>
      </c>
      <c r="BC25" s="53">
        <v>8</v>
      </c>
      <c r="BD25" s="53" t="s">
        <v>129</v>
      </c>
      <c r="BE25" s="53">
        <v>2</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18</v>
      </c>
      <c r="D26" s="53" t="s">
        <v>129</v>
      </c>
      <c r="E26" s="53">
        <v>47</v>
      </c>
      <c r="F26" s="53" t="s">
        <v>129</v>
      </c>
      <c r="G26" s="53">
        <v>30</v>
      </c>
      <c r="H26" s="53" t="s">
        <v>129</v>
      </c>
      <c r="I26" s="53">
        <v>0</v>
      </c>
      <c r="J26" s="53" t="s">
        <v>129</v>
      </c>
      <c r="K26" s="53" t="s">
        <v>129</v>
      </c>
      <c r="L26" s="53" t="s">
        <v>129</v>
      </c>
      <c r="M26" s="53" t="s">
        <v>129</v>
      </c>
      <c r="N26" s="53" t="s">
        <v>129</v>
      </c>
      <c r="O26" s="53" t="s">
        <v>129</v>
      </c>
      <c r="P26" s="53" t="s">
        <v>129</v>
      </c>
      <c r="Q26" s="53" t="s">
        <v>129</v>
      </c>
      <c r="R26" s="53" t="s">
        <v>129</v>
      </c>
      <c r="S26" s="53">
        <v>19</v>
      </c>
      <c r="T26" s="53" t="s">
        <v>129</v>
      </c>
      <c r="U26" s="53">
        <v>322</v>
      </c>
      <c r="V26" s="53" t="s">
        <v>129</v>
      </c>
      <c r="W26" s="53">
        <v>13</v>
      </c>
      <c r="X26" s="53" t="s">
        <v>129</v>
      </c>
      <c r="Y26" s="53">
        <v>0</v>
      </c>
      <c r="Z26" s="53" t="s">
        <v>129</v>
      </c>
      <c r="AA26" s="53" t="s">
        <v>129</v>
      </c>
      <c r="AB26" s="53" t="s">
        <v>129</v>
      </c>
      <c r="AC26" s="53" t="s">
        <v>129</v>
      </c>
      <c r="AD26" s="53" t="s">
        <v>129</v>
      </c>
      <c r="AE26" s="53" t="s">
        <v>129</v>
      </c>
      <c r="AF26" s="53" t="s">
        <v>129</v>
      </c>
      <c r="AG26" s="53" t="s">
        <v>129</v>
      </c>
      <c r="AH26" s="53" t="s">
        <v>129</v>
      </c>
      <c r="AI26" s="53">
        <v>13</v>
      </c>
      <c r="AJ26" s="53" t="s">
        <v>129</v>
      </c>
      <c r="AK26" s="53">
        <v>44</v>
      </c>
      <c r="AL26" s="53" t="s">
        <v>129</v>
      </c>
      <c r="AM26" s="53">
        <v>22</v>
      </c>
      <c r="AN26" s="53" t="s">
        <v>129</v>
      </c>
      <c r="AO26" s="53">
        <v>0</v>
      </c>
      <c r="AP26" s="53" t="s">
        <v>129</v>
      </c>
      <c r="AQ26" s="53" t="s">
        <v>129</v>
      </c>
      <c r="AR26" s="53" t="s">
        <v>129</v>
      </c>
      <c r="AS26" s="53" t="s">
        <v>129</v>
      </c>
      <c r="AT26" s="53" t="s">
        <v>129</v>
      </c>
      <c r="AU26" s="53" t="s">
        <v>129</v>
      </c>
      <c r="AV26" s="53" t="s">
        <v>129</v>
      </c>
      <c r="AW26" s="53" t="s">
        <v>129</v>
      </c>
      <c r="AX26" s="53" t="s">
        <v>129</v>
      </c>
      <c r="AY26" s="53">
        <v>28</v>
      </c>
      <c r="AZ26" s="53" t="s">
        <v>129</v>
      </c>
      <c r="BA26" s="53">
        <v>314</v>
      </c>
      <c r="BB26" s="53" t="s">
        <v>129</v>
      </c>
      <c r="BC26" s="53">
        <v>10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18</v>
      </c>
      <c r="D27" s="53" t="s">
        <v>129</v>
      </c>
      <c r="E27" s="53">
        <v>39</v>
      </c>
      <c r="F27" s="53" t="s">
        <v>129</v>
      </c>
      <c r="G27" s="53">
        <v>33</v>
      </c>
      <c r="H27" s="53" t="s">
        <v>129</v>
      </c>
      <c r="I27" s="53">
        <v>0</v>
      </c>
      <c r="J27" s="53" t="s">
        <v>129</v>
      </c>
      <c r="K27" s="53" t="s">
        <v>129</v>
      </c>
      <c r="L27" s="53" t="s">
        <v>129</v>
      </c>
      <c r="M27" s="53" t="s">
        <v>129</v>
      </c>
      <c r="N27" s="53" t="s">
        <v>129</v>
      </c>
      <c r="O27" s="53" t="s">
        <v>129</v>
      </c>
      <c r="P27" s="53" t="s">
        <v>129</v>
      </c>
      <c r="Q27" s="53" t="s">
        <v>129</v>
      </c>
      <c r="R27" s="53" t="s">
        <v>129</v>
      </c>
      <c r="S27" s="53">
        <v>12</v>
      </c>
      <c r="T27" s="53" t="s">
        <v>129</v>
      </c>
      <c r="U27" s="53">
        <v>321</v>
      </c>
      <c r="V27" s="53" t="s">
        <v>129</v>
      </c>
      <c r="W27" s="53">
        <v>22</v>
      </c>
      <c r="X27" s="53" t="s">
        <v>129</v>
      </c>
      <c r="Y27" s="53">
        <v>0</v>
      </c>
      <c r="Z27" s="53" t="s">
        <v>129</v>
      </c>
      <c r="AA27" s="53" t="s">
        <v>129</v>
      </c>
      <c r="AB27" s="53" t="s">
        <v>129</v>
      </c>
      <c r="AC27" s="53" t="s">
        <v>129</v>
      </c>
      <c r="AD27" s="53" t="s">
        <v>129</v>
      </c>
      <c r="AE27" s="53" t="s">
        <v>129</v>
      </c>
      <c r="AF27" s="53" t="s">
        <v>129</v>
      </c>
      <c r="AG27" s="53" t="s">
        <v>129</v>
      </c>
      <c r="AH27" s="53" t="s">
        <v>129</v>
      </c>
      <c r="AI27" s="53">
        <v>6</v>
      </c>
      <c r="AJ27" s="53" t="s">
        <v>129</v>
      </c>
      <c r="AK27" s="53">
        <v>41</v>
      </c>
      <c r="AL27" s="53" t="s">
        <v>129</v>
      </c>
      <c r="AM27" s="53">
        <v>16</v>
      </c>
      <c r="AN27" s="53" t="s">
        <v>129</v>
      </c>
      <c r="AO27" s="53">
        <v>0</v>
      </c>
      <c r="AP27" s="53" t="s">
        <v>129</v>
      </c>
      <c r="AQ27" s="53" t="s">
        <v>129</v>
      </c>
      <c r="AR27" s="53" t="s">
        <v>129</v>
      </c>
      <c r="AS27" s="53" t="s">
        <v>129</v>
      </c>
      <c r="AT27" s="53" t="s">
        <v>129</v>
      </c>
      <c r="AU27" s="53" t="s">
        <v>129</v>
      </c>
      <c r="AV27" s="53" t="s">
        <v>129</v>
      </c>
      <c r="AW27" s="53" t="s">
        <v>129</v>
      </c>
      <c r="AX27" s="53" t="s">
        <v>129</v>
      </c>
      <c r="AY27" s="53">
        <v>34</v>
      </c>
      <c r="AZ27" s="53" t="s">
        <v>129</v>
      </c>
      <c r="BA27" s="53">
        <v>306</v>
      </c>
      <c r="BB27" s="53" t="s">
        <v>129</v>
      </c>
      <c r="BC27" s="53">
        <v>15</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8</v>
      </c>
      <c r="D29" s="53" t="s">
        <v>129</v>
      </c>
      <c r="E29" s="53">
        <v>88</v>
      </c>
      <c r="F29" s="53" t="s">
        <v>129</v>
      </c>
      <c r="G29" s="53">
        <v>37</v>
      </c>
      <c r="H29" s="53" t="s">
        <v>129</v>
      </c>
      <c r="I29" s="53">
        <v>0</v>
      </c>
      <c r="J29" s="53" t="s">
        <v>129</v>
      </c>
      <c r="K29" s="53" t="s">
        <v>129</v>
      </c>
      <c r="L29" s="53" t="s">
        <v>129</v>
      </c>
      <c r="M29" s="53" t="s">
        <v>129</v>
      </c>
      <c r="N29" s="53" t="s">
        <v>129</v>
      </c>
      <c r="O29" s="53" t="s">
        <v>129</v>
      </c>
      <c r="P29" s="53" t="s">
        <v>129</v>
      </c>
      <c r="Q29" s="53" t="s">
        <v>129</v>
      </c>
      <c r="R29" s="53" t="s">
        <v>129</v>
      </c>
      <c r="S29" s="53">
        <v>9</v>
      </c>
      <c r="T29" s="53" t="s">
        <v>129</v>
      </c>
      <c r="U29" s="53">
        <v>413</v>
      </c>
      <c r="V29" s="53" t="s">
        <v>129</v>
      </c>
      <c r="W29" s="53">
        <v>6</v>
      </c>
      <c r="X29" s="53" t="s">
        <v>129</v>
      </c>
      <c r="Y29" s="53">
        <v>0</v>
      </c>
      <c r="Z29" s="53" t="s">
        <v>129</v>
      </c>
      <c r="AA29" s="53" t="s">
        <v>129</v>
      </c>
      <c r="AB29" s="53" t="s">
        <v>129</v>
      </c>
      <c r="AC29" s="53" t="s">
        <v>129</v>
      </c>
      <c r="AD29" s="53" t="s">
        <v>129</v>
      </c>
      <c r="AE29" s="53" t="s">
        <v>129</v>
      </c>
      <c r="AF29" s="53" t="s">
        <v>129</v>
      </c>
      <c r="AG29" s="53" t="s">
        <v>129</v>
      </c>
      <c r="AH29" s="53" t="s">
        <v>129</v>
      </c>
      <c r="AI29" s="53">
        <v>28</v>
      </c>
      <c r="AJ29" s="53" t="s">
        <v>129</v>
      </c>
      <c r="AK29" s="53">
        <v>54</v>
      </c>
      <c r="AL29" s="53" t="s">
        <v>129</v>
      </c>
      <c r="AM29" s="53">
        <v>15</v>
      </c>
      <c r="AN29" s="53" t="s">
        <v>129</v>
      </c>
      <c r="AO29" s="53">
        <v>0</v>
      </c>
      <c r="AP29" s="53" t="s">
        <v>129</v>
      </c>
      <c r="AQ29" s="53" t="s">
        <v>129</v>
      </c>
      <c r="AR29" s="53" t="s">
        <v>129</v>
      </c>
      <c r="AS29" s="53" t="s">
        <v>129</v>
      </c>
      <c r="AT29" s="53" t="s">
        <v>129</v>
      </c>
      <c r="AU29" s="53" t="s">
        <v>129</v>
      </c>
      <c r="AV29" s="53" t="s">
        <v>129</v>
      </c>
      <c r="AW29" s="53" t="s">
        <v>129</v>
      </c>
      <c r="AX29" s="53" t="s">
        <v>129</v>
      </c>
      <c r="AY29" s="53">
        <v>14</v>
      </c>
      <c r="AZ29" s="53" t="s">
        <v>129</v>
      </c>
      <c r="BA29" s="53">
        <v>411</v>
      </c>
      <c r="BB29" s="53" t="s">
        <v>129</v>
      </c>
      <c r="BC29" s="53">
        <v>19</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11</v>
      </c>
      <c r="D30" s="53" t="s">
        <v>129</v>
      </c>
      <c r="E30" s="53">
        <v>67</v>
      </c>
      <c r="F30" s="53" t="s">
        <v>129</v>
      </c>
      <c r="G30" s="53">
        <v>41</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387</v>
      </c>
      <c r="V30" s="53" t="s">
        <v>129</v>
      </c>
      <c r="W30" s="53">
        <v>7</v>
      </c>
      <c r="X30" s="53" t="s">
        <v>129</v>
      </c>
      <c r="Y30" s="53">
        <v>0</v>
      </c>
      <c r="Z30" s="53" t="s">
        <v>129</v>
      </c>
      <c r="AA30" s="53" t="s">
        <v>129</v>
      </c>
      <c r="AB30" s="53" t="s">
        <v>129</v>
      </c>
      <c r="AC30" s="53" t="s">
        <v>129</v>
      </c>
      <c r="AD30" s="53" t="s">
        <v>129</v>
      </c>
      <c r="AE30" s="53" t="s">
        <v>129</v>
      </c>
      <c r="AF30" s="53" t="s">
        <v>129</v>
      </c>
      <c r="AG30" s="53" t="s">
        <v>129</v>
      </c>
      <c r="AH30" s="53" t="s">
        <v>129</v>
      </c>
      <c r="AI30" s="53">
        <v>32</v>
      </c>
      <c r="AJ30" s="53" t="s">
        <v>129</v>
      </c>
      <c r="AK30" s="53">
        <v>44</v>
      </c>
      <c r="AL30" s="53" t="s">
        <v>129</v>
      </c>
      <c r="AM30" s="53">
        <v>24</v>
      </c>
      <c r="AN30" s="53" t="s">
        <v>129</v>
      </c>
      <c r="AO30" s="53">
        <v>0</v>
      </c>
      <c r="AP30" s="53" t="s">
        <v>129</v>
      </c>
      <c r="AQ30" s="53" t="s">
        <v>129</v>
      </c>
      <c r="AR30" s="53" t="s">
        <v>129</v>
      </c>
      <c r="AS30" s="53" t="s">
        <v>129</v>
      </c>
      <c r="AT30" s="53" t="s">
        <v>129</v>
      </c>
      <c r="AU30" s="53" t="s">
        <v>129</v>
      </c>
      <c r="AV30" s="53" t="s">
        <v>129</v>
      </c>
      <c r="AW30" s="53" t="s">
        <v>129</v>
      </c>
      <c r="AX30" s="53" t="s">
        <v>129</v>
      </c>
      <c r="AY30" s="53">
        <v>25</v>
      </c>
      <c r="AZ30" s="53" t="s">
        <v>129</v>
      </c>
      <c r="BA30" s="53">
        <v>342</v>
      </c>
      <c r="BB30" s="53" t="s">
        <v>129</v>
      </c>
      <c r="BC30" s="53">
        <v>12</v>
      </c>
      <c r="BD30" s="53" t="s">
        <v>129</v>
      </c>
      <c r="BE30" s="53">
        <v>1</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5</v>
      </c>
      <c r="D31" s="53" t="s">
        <v>129</v>
      </c>
      <c r="E31" s="53">
        <v>84</v>
      </c>
      <c r="F31" s="53" t="s">
        <v>129</v>
      </c>
      <c r="G31" s="53">
        <v>33</v>
      </c>
      <c r="H31" s="53" t="s">
        <v>129</v>
      </c>
      <c r="I31" s="53">
        <v>0</v>
      </c>
      <c r="J31" s="53" t="s">
        <v>129</v>
      </c>
      <c r="K31" s="53" t="s">
        <v>129</v>
      </c>
      <c r="L31" s="53" t="s">
        <v>129</v>
      </c>
      <c r="M31" s="53" t="s">
        <v>129</v>
      </c>
      <c r="N31" s="53" t="s">
        <v>129</v>
      </c>
      <c r="O31" s="53" t="s">
        <v>129</v>
      </c>
      <c r="P31" s="53" t="s">
        <v>129</v>
      </c>
      <c r="Q31" s="53" t="s">
        <v>129</v>
      </c>
      <c r="R31" s="53" t="s">
        <v>129</v>
      </c>
      <c r="S31" s="53">
        <v>6</v>
      </c>
      <c r="T31" s="53" t="s">
        <v>129</v>
      </c>
      <c r="U31" s="53">
        <v>416</v>
      </c>
      <c r="V31" s="53" t="s">
        <v>129</v>
      </c>
      <c r="W31" s="53">
        <v>8</v>
      </c>
      <c r="X31" s="53" t="s">
        <v>129</v>
      </c>
      <c r="Y31" s="53">
        <v>0</v>
      </c>
      <c r="Z31" s="53" t="s">
        <v>129</v>
      </c>
      <c r="AA31" s="53" t="s">
        <v>129</v>
      </c>
      <c r="AB31" s="53" t="s">
        <v>129</v>
      </c>
      <c r="AC31" s="53" t="s">
        <v>129</v>
      </c>
      <c r="AD31" s="53" t="s">
        <v>129</v>
      </c>
      <c r="AE31" s="53" t="s">
        <v>129</v>
      </c>
      <c r="AF31" s="53" t="s">
        <v>129</v>
      </c>
      <c r="AG31" s="53" t="s">
        <v>129</v>
      </c>
      <c r="AH31" s="53" t="s">
        <v>129</v>
      </c>
      <c r="AI31" s="53">
        <v>27</v>
      </c>
      <c r="AJ31" s="53" t="s">
        <v>129</v>
      </c>
      <c r="AK31" s="53">
        <v>54</v>
      </c>
      <c r="AL31" s="53" t="s">
        <v>129</v>
      </c>
      <c r="AM31" s="53">
        <v>18</v>
      </c>
      <c r="AN31" s="53" t="s">
        <v>129</v>
      </c>
      <c r="AO31" s="53">
        <v>0</v>
      </c>
      <c r="AP31" s="53" t="s">
        <v>129</v>
      </c>
      <c r="AQ31" s="53" t="s">
        <v>129</v>
      </c>
      <c r="AR31" s="53" t="s">
        <v>129</v>
      </c>
      <c r="AS31" s="53" t="s">
        <v>129</v>
      </c>
      <c r="AT31" s="53" t="s">
        <v>129</v>
      </c>
      <c r="AU31" s="53" t="s">
        <v>129</v>
      </c>
      <c r="AV31" s="53" t="s">
        <v>129</v>
      </c>
      <c r="AW31" s="53" t="s">
        <v>129</v>
      </c>
      <c r="AX31" s="53" t="s">
        <v>129</v>
      </c>
      <c r="AY31" s="53">
        <v>31</v>
      </c>
      <c r="AZ31" s="53" t="s">
        <v>129</v>
      </c>
      <c r="BA31" s="53">
        <v>438</v>
      </c>
      <c r="BB31" s="53" t="s">
        <v>129</v>
      </c>
      <c r="BC31" s="53">
        <v>20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10</v>
      </c>
      <c r="D32" s="53" t="s">
        <v>129</v>
      </c>
      <c r="E32" s="53">
        <v>100</v>
      </c>
      <c r="F32" s="53" t="s">
        <v>129</v>
      </c>
      <c r="G32" s="53">
        <v>33</v>
      </c>
      <c r="H32" s="53" t="s">
        <v>129</v>
      </c>
      <c r="I32" s="53">
        <v>0</v>
      </c>
      <c r="J32" s="53" t="s">
        <v>129</v>
      </c>
      <c r="K32" s="53" t="s">
        <v>129</v>
      </c>
      <c r="L32" s="53" t="s">
        <v>129</v>
      </c>
      <c r="M32" s="53" t="s">
        <v>129</v>
      </c>
      <c r="N32" s="53" t="s">
        <v>129</v>
      </c>
      <c r="O32" s="53" t="s">
        <v>129</v>
      </c>
      <c r="P32" s="53" t="s">
        <v>129</v>
      </c>
      <c r="Q32" s="53" t="s">
        <v>129</v>
      </c>
      <c r="R32" s="53" t="s">
        <v>129</v>
      </c>
      <c r="S32" s="53">
        <v>4</v>
      </c>
      <c r="T32" s="53" t="s">
        <v>129</v>
      </c>
      <c r="U32" s="53">
        <v>417</v>
      </c>
      <c r="V32" s="53" t="s">
        <v>129</v>
      </c>
      <c r="W32" s="53">
        <v>5</v>
      </c>
      <c r="X32" s="53" t="s">
        <v>129</v>
      </c>
      <c r="Y32" s="53">
        <v>1</v>
      </c>
      <c r="Z32" s="53" t="s">
        <v>129</v>
      </c>
      <c r="AA32" s="53" t="s">
        <v>129</v>
      </c>
      <c r="AB32" s="53" t="s">
        <v>129</v>
      </c>
      <c r="AC32" s="53" t="s">
        <v>129</v>
      </c>
      <c r="AD32" s="53" t="s">
        <v>129</v>
      </c>
      <c r="AE32" s="53" t="s">
        <v>129</v>
      </c>
      <c r="AF32" s="53" t="s">
        <v>129</v>
      </c>
      <c r="AG32" s="53" t="s">
        <v>129</v>
      </c>
      <c r="AH32" s="53" t="s">
        <v>129</v>
      </c>
      <c r="AI32" s="53">
        <v>27</v>
      </c>
      <c r="AJ32" s="53" t="s">
        <v>129</v>
      </c>
      <c r="AK32" s="53">
        <v>68</v>
      </c>
      <c r="AL32" s="53" t="s">
        <v>129</v>
      </c>
      <c r="AM32" s="53">
        <v>16</v>
      </c>
      <c r="AN32" s="53" t="s">
        <v>129</v>
      </c>
      <c r="AO32" s="53">
        <v>0</v>
      </c>
      <c r="AP32" s="53" t="s">
        <v>129</v>
      </c>
      <c r="AQ32" s="53" t="s">
        <v>129</v>
      </c>
      <c r="AR32" s="53" t="s">
        <v>129</v>
      </c>
      <c r="AS32" s="53" t="s">
        <v>129</v>
      </c>
      <c r="AT32" s="53" t="s">
        <v>129</v>
      </c>
      <c r="AU32" s="53" t="s">
        <v>129</v>
      </c>
      <c r="AV32" s="53" t="s">
        <v>129</v>
      </c>
      <c r="AW32" s="53" t="s">
        <v>129</v>
      </c>
      <c r="AX32" s="53" t="s">
        <v>129</v>
      </c>
      <c r="AY32" s="53">
        <v>17</v>
      </c>
      <c r="AZ32" s="53" t="s">
        <v>129</v>
      </c>
      <c r="BA32" s="53">
        <v>426</v>
      </c>
      <c r="BB32" s="53" t="s">
        <v>129</v>
      </c>
      <c r="BC32" s="53">
        <v>16</v>
      </c>
      <c r="BD32" s="53" t="s">
        <v>129</v>
      </c>
      <c r="BE32" s="53">
        <v>2</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4</v>
      </c>
      <c r="D33" s="53" t="s">
        <v>129</v>
      </c>
      <c r="E33" s="53">
        <v>89</v>
      </c>
      <c r="F33" s="53" t="s">
        <v>129</v>
      </c>
      <c r="G33" s="53">
        <v>37</v>
      </c>
      <c r="H33" s="53" t="s">
        <v>129</v>
      </c>
      <c r="I33" s="53">
        <v>0</v>
      </c>
      <c r="J33" s="53" t="s">
        <v>129</v>
      </c>
      <c r="K33" s="53" t="s">
        <v>129</v>
      </c>
      <c r="L33" s="53" t="s">
        <v>129</v>
      </c>
      <c r="M33" s="53" t="s">
        <v>129</v>
      </c>
      <c r="N33" s="53" t="s">
        <v>129</v>
      </c>
      <c r="O33" s="53" t="s">
        <v>129</v>
      </c>
      <c r="P33" s="53" t="s">
        <v>129</v>
      </c>
      <c r="Q33" s="53" t="s">
        <v>129</v>
      </c>
      <c r="R33" s="53" t="s">
        <v>129</v>
      </c>
      <c r="S33" s="53">
        <v>13</v>
      </c>
      <c r="T33" s="53" t="s">
        <v>129</v>
      </c>
      <c r="U33" s="53">
        <v>411</v>
      </c>
      <c r="V33" s="53" t="s">
        <v>129</v>
      </c>
      <c r="W33" s="53">
        <v>7</v>
      </c>
      <c r="X33" s="53" t="s">
        <v>129</v>
      </c>
      <c r="Y33" s="53">
        <v>0</v>
      </c>
      <c r="Z33" s="53" t="s">
        <v>129</v>
      </c>
      <c r="AA33" s="53" t="s">
        <v>129</v>
      </c>
      <c r="AB33" s="53" t="s">
        <v>129</v>
      </c>
      <c r="AC33" s="53" t="s">
        <v>129</v>
      </c>
      <c r="AD33" s="53" t="s">
        <v>129</v>
      </c>
      <c r="AE33" s="53" t="s">
        <v>129</v>
      </c>
      <c r="AF33" s="53" t="s">
        <v>129</v>
      </c>
      <c r="AG33" s="53" t="s">
        <v>129</v>
      </c>
      <c r="AH33" s="53" t="s">
        <v>129</v>
      </c>
      <c r="AI33" s="53">
        <v>31</v>
      </c>
      <c r="AJ33" s="53" t="s">
        <v>129</v>
      </c>
      <c r="AK33" s="53">
        <v>60</v>
      </c>
      <c r="AL33" s="53" t="s">
        <v>129</v>
      </c>
      <c r="AM33" s="53">
        <v>14</v>
      </c>
      <c r="AN33" s="53" t="s">
        <v>129</v>
      </c>
      <c r="AO33" s="53">
        <v>0</v>
      </c>
      <c r="AP33" s="53" t="s">
        <v>129</v>
      </c>
      <c r="AQ33" s="53" t="s">
        <v>129</v>
      </c>
      <c r="AR33" s="53" t="s">
        <v>129</v>
      </c>
      <c r="AS33" s="53" t="s">
        <v>129</v>
      </c>
      <c r="AT33" s="53" t="s">
        <v>129</v>
      </c>
      <c r="AU33" s="53" t="s">
        <v>129</v>
      </c>
      <c r="AV33" s="53" t="s">
        <v>129</v>
      </c>
      <c r="AW33" s="53" t="s">
        <v>129</v>
      </c>
      <c r="AX33" s="53" t="s">
        <v>129</v>
      </c>
      <c r="AY33" s="53">
        <v>19</v>
      </c>
      <c r="AZ33" s="53" t="s">
        <v>129</v>
      </c>
      <c r="BA33" s="53">
        <v>451</v>
      </c>
      <c r="BB33" s="53" t="s">
        <v>129</v>
      </c>
      <c r="BC33" s="53">
        <v>10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8</v>
      </c>
      <c r="D34" s="53" t="s">
        <v>129</v>
      </c>
      <c r="E34" s="53">
        <v>101</v>
      </c>
      <c r="F34" s="53" t="s">
        <v>129</v>
      </c>
      <c r="G34" s="53">
        <v>47</v>
      </c>
      <c r="H34" s="53" t="s">
        <v>129</v>
      </c>
      <c r="I34" s="53">
        <v>0</v>
      </c>
      <c r="J34" s="53" t="s">
        <v>129</v>
      </c>
      <c r="K34" s="53" t="s">
        <v>129</v>
      </c>
      <c r="L34" s="53" t="s">
        <v>129</v>
      </c>
      <c r="M34" s="53" t="s">
        <v>129</v>
      </c>
      <c r="N34" s="53" t="s">
        <v>129</v>
      </c>
      <c r="O34" s="53" t="s">
        <v>129</v>
      </c>
      <c r="P34" s="53" t="s">
        <v>129</v>
      </c>
      <c r="Q34" s="53" t="s">
        <v>129</v>
      </c>
      <c r="R34" s="53" t="s">
        <v>129</v>
      </c>
      <c r="S34" s="53">
        <v>8</v>
      </c>
      <c r="T34" s="53" t="s">
        <v>129</v>
      </c>
      <c r="U34" s="53">
        <v>472</v>
      </c>
      <c r="V34" s="53" t="s">
        <v>129</v>
      </c>
      <c r="W34" s="53">
        <v>8</v>
      </c>
      <c r="X34" s="53" t="s">
        <v>129</v>
      </c>
      <c r="Y34" s="53">
        <v>0</v>
      </c>
      <c r="Z34" s="53" t="s">
        <v>129</v>
      </c>
      <c r="AA34" s="53" t="s">
        <v>129</v>
      </c>
      <c r="AB34" s="53" t="s">
        <v>129</v>
      </c>
      <c r="AC34" s="53" t="s">
        <v>129</v>
      </c>
      <c r="AD34" s="53" t="s">
        <v>129</v>
      </c>
      <c r="AE34" s="53" t="s">
        <v>129</v>
      </c>
      <c r="AF34" s="53" t="s">
        <v>129</v>
      </c>
      <c r="AG34" s="53" t="s">
        <v>129</v>
      </c>
      <c r="AH34" s="53" t="s">
        <v>129</v>
      </c>
      <c r="AI34" s="53">
        <v>31</v>
      </c>
      <c r="AJ34" s="53" t="s">
        <v>129</v>
      </c>
      <c r="AK34" s="53">
        <v>37</v>
      </c>
      <c r="AL34" s="53" t="s">
        <v>129</v>
      </c>
      <c r="AM34" s="53">
        <v>11</v>
      </c>
      <c r="AN34" s="53" t="s">
        <v>129</v>
      </c>
      <c r="AO34" s="53">
        <v>0</v>
      </c>
      <c r="AP34" s="53" t="s">
        <v>129</v>
      </c>
      <c r="AQ34" s="53" t="s">
        <v>129</v>
      </c>
      <c r="AR34" s="53" t="s">
        <v>129</v>
      </c>
      <c r="AS34" s="53" t="s">
        <v>129</v>
      </c>
      <c r="AT34" s="53" t="s">
        <v>129</v>
      </c>
      <c r="AU34" s="53" t="s">
        <v>129</v>
      </c>
      <c r="AV34" s="53" t="s">
        <v>129</v>
      </c>
      <c r="AW34" s="53" t="s">
        <v>129</v>
      </c>
      <c r="AX34" s="53" t="s">
        <v>129</v>
      </c>
      <c r="AY34" s="53">
        <v>19</v>
      </c>
      <c r="AZ34" s="53" t="s">
        <v>129</v>
      </c>
      <c r="BA34" s="53">
        <v>417</v>
      </c>
      <c r="BB34" s="53" t="s">
        <v>129</v>
      </c>
      <c r="BC34" s="53">
        <v>18</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6</v>
      </c>
      <c r="D35" s="53" t="s">
        <v>129</v>
      </c>
      <c r="E35" s="53">
        <v>94</v>
      </c>
      <c r="F35" s="53" t="s">
        <v>129</v>
      </c>
      <c r="G35" s="53">
        <v>48</v>
      </c>
      <c r="H35" s="53" t="s">
        <v>129</v>
      </c>
      <c r="I35" s="53">
        <v>0</v>
      </c>
      <c r="J35" s="53" t="s">
        <v>129</v>
      </c>
      <c r="K35" s="53" t="s">
        <v>129</v>
      </c>
      <c r="L35" s="53" t="s">
        <v>129</v>
      </c>
      <c r="M35" s="53" t="s">
        <v>129</v>
      </c>
      <c r="N35" s="53" t="s">
        <v>129</v>
      </c>
      <c r="O35" s="53" t="s">
        <v>129</v>
      </c>
      <c r="P35" s="53" t="s">
        <v>129</v>
      </c>
      <c r="Q35" s="53" t="s">
        <v>129</v>
      </c>
      <c r="R35" s="53" t="s">
        <v>129</v>
      </c>
      <c r="S35" s="53">
        <v>16</v>
      </c>
      <c r="T35" s="53" t="s">
        <v>129</v>
      </c>
      <c r="U35" s="53">
        <v>444</v>
      </c>
      <c r="V35" s="53" t="s">
        <v>129</v>
      </c>
      <c r="W35" s="53">
        <v>7</v>
      </c>
      <c r="X35" s="53" t="s">
        <v>129</v>
      </c>
      <c r="Y35" s="53">
        <v>0</v>
      </c>
      <c r="Z35" s="53" t="s">
        <v>129</v>
      </c>
      <c r="AA35" s="53" t="s">
        <v>129</v>
      </c>
      <c r="AB35" s="53" t="s">
        <v>129</v>
      </c>
      <c r="AC35" s="53" t="s">
        <v>129</v>
      </c>
      <c r="AD35" s="53" t="s">
        <v>129</v>
      </c>
      <c r="AE35" s="53" t="s">
        <v>129</v>
      </c>
      <c r="AF35" s="53" t="s">
        <v>129</v>
      </c>
      <c r="AG35" s="53" t="s">
        <v>129</v>
      </c>
      <c r="AH35" s="53" t="s">
        <v>129</v>
      </c>
      <c r="AI35" s="53">
        <v>21</v>
      </c>
      <c r="AJ35" s="53" t="s">
        <v>129</v>
      </c>
      <c r="AK35" s="53">
        <v>40</v>
      </c>
      <c r="AL35" s="53" t="s">
        <v>129</v>
      </c>
      <c r="AM35" s="53">
        <v>14</v>
      </c>
      <c r="AN35" s="53" t="s">
        <v>129</v>
      </c>
      <c r="AO35" s="53">
        <v>0</v>
      </c>
      <c r="AP35" s="53" t="s">
        <v>129</v>
      </c>
      <c r="AQ35" s="53" t="s">
        <v>129</v>
      </c>
      <c r="AR35" s="53" t="s">
        <v>129</v>
      </c>
      <c r="AS35" s="53" t="s">
        <v>129</v>
      </c>
      <c r="AT35" s="53" t="s">
        <v>129</v>
      </c>
      <c r="AU35" s="53" t="s">
        <v>129</v>
      </c>
      <c r="AV35" s="53" t="s">
        <v>129</v>
      </c>
      <c r="AW35" s="53" t="s">
        <v>129</v>
      </c>
      <c r="AX35" s="53" t="s">
        <v>129</v>
      </c>
      <c r="AY35" s="53">
        <v>29</v>
      </c>
      <c r="AZ35" s="53" t="s">
        <v>129</v>
      </c>
      <c r="BA35" s="53">
        <v>395</v>
      </c>
      <c r="BB35" s="53" t="s">
        <v>129</v>
      </c>
      <c r="BC35" s="53">
        <v>10</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4</v>
      </c>
      <c r="D36" s="53" t="s">
        <v>129</v>
      </c>
      <c r="E36" s="53">
        <v>87</v>
      </c>
      <c r="F36" s="53" t="s">
        <v>129</v>
      </c>
      <c r="G36" s="53">
        <v>50</v>
      </c>
      <c r="H36" s="53" t="s">
        <v>129</v>
      </c>
      <c r="I36" s="53">
        <v>0</v>
      </c>
      <c r="J36" s="53" t="s">
        <v>129</v>
      </c>
      <c r="K36" s="53" t="s">
        <v>129</v>
      </c>
      <c r="L36" s="53" t="s">
        <v>129</v>
      </c>
      <c r="M36" s="53" t="s">
        <v>129</v>
      </c>
      <c r="N36" s="53" t="s">
        <v>129</v>
      </c>
      <c r="O36" s="53" t="s">
        <v>129</v>
      </c>
      <c r="P36" s="53" t="s">
        <v>129</v>
      </c>
      <c r="Q36" s="53" t="s">
        <v>129</v>
      </c>
      <c r="R36" s="53" t="s">
        <v>129</v>
      </c>
      <c r="S36" s="53">
        <v>15</v>
      </c>
      <c r="T36" s="53" t="s">
        <v>129</v>
      </c>
      <c r="U36" s="53">
        <v>412</v>
      </c>
      <c r="V36" s="53" t="s">
        <v>129</v>
      </c>
      <c r="W36" s="53">
        <v>7</v>
      </c>
      <c r="X36" s="53" t="s">
        <v>129</v>
      </c>
      <c r="Y36" s="53">
        <v>0</v>
      </c>
      <c r="Z36" s="53" t="s">
        <v>129</v>
      </c>
      <c r="AA36" s="53" t="s">
        <v>129</v>
      </c>
      <c r="AB36" s="53" t="s">
        <v>129</v>
      </c>
      <c r="AC36" s="53" t="s">
        <v>129</v>
      </c>
      <c r="AD36" s="53" t="s">
        <v>129</v>
      </c>
      <c r="AE36" s="53" t="s">
        <v>129</v>
      </c>
      <c r="AF36" s="53" t="s">
        <v>129</v>
      </c>
      <c r="AG36" s="53" t="s">
        <v>129</v>
      </c>
      <c r="AH36" s="53" t="s">
        <v>129</v>
      </c>
      <c r="AI36" s="53">
        <v>17</v>
      </c>
      <c r="AJ36" s="53" t="s">
        <v>129</v>
      </c>
      <c r="AK36" s="53">
        <v>47</v>
      </c>
      <c r="AL36" s="53" t="s">
        <v>129</v>
      </c>
      <c r="AM36" s="53">
        <v>11</v>
      </c>
      <c r="AN36" s="53" t="s">
        <v>129</v>
      </c>
      <c r="AO36" s="53">
        <v>0</v>
      </c>
      <c r="AP36" s="53" t="s">
        <v>129</v>
      </c>
      <c r="AQ36" s="53" t="s">
        <v>129</v>
      </c>
      <c r="AR36" s="53" t="s">
        <v>129</v>
      </c>
      <c r="AS36" s="53" t="s">
        <v>129</v>
      </c>
      <c r="AT36" s="53" t="s">
        <v>129</v>
      </c>
      <c r="AU36" s="53" t="s">
        <v>129</v>
      </c>
      <c r="AV36" s="53" t="s">
        <v>129</v>
      </c>
      <c r="AW36" s="53" t="s">
        <v>129</v>
      </c>
      <c r="AX36" s="53" t="s">
        <v>129</v>
      </c>
      <c r="AY36" s="53">
        <v>24</v>
      </c>
      <c r="AZ36" s="53" t="s">
        <v>129</v>
      </c>
      <c r="BA36" s="53">
        <v>384</v>
      </c>
      <c r="BB36" s="53" t="s">
        <v>129</v>
      </c>
      <c r="BC36" s="53">
        <v>16</v>
      </c>
      <c r="BD36" s="53" t="s">
        <v>129</v>
      </c>
      <c r="BE36" s="53">
        <v>1</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91BF-9267-4ADA-8E74-219FBB14526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97</v>
      </c>
      <c r="J14" s="54" t="s">
        <v>158</v>
      </c>
      <c r="K14" s="54" t="s">
        <v>157</v>
      </c>
      <c r="L14" s="54" t="s">
        <v>156</v>
      </c>
      <c r="M14" s="54" t="s">
        <v>155</v>
      </c>
      <c r="N14" s="54" t="s">
        <v>154</v>
      </c>
      <c r="O14" s="54" t="s">
        <v>153</v>
      </c>
      <c r="P14" s="54" t="s">
        <v>152</v>
      </c>
      <c r="Q14" s="54" t="s">
        <v>97</v>
      </c>
      <c r="R14" s="54" t="s">
        <v>158</v>
      </c>
      <c r="S14" s="54" t="s">
        <v>157</v>
      </c>
      <c r="T14" s="54" t="s">
        <v>156</v>
      </c>
      <c r="U14" s="54" t="s">
        <v>155</v>
      </c>
      <c r="V14" s="54" t="s">
        <v>154</v>
      </c>
      <c r="W14" s="54" t="s">
        <v>153</v>
      </c>
      <c r="X14" s="54" t="s">
        <v>152</v>
      </c>
      <c r="Y14" s="54" t="s">
        <v>97</v>
      </c>
      <c r="Z14" s="54" t="s">
        <v>158</v>
      </c>
      <c r="AA14" s="54" t="s">
        <v>157</v>
      </c>
      <c r="AB14" s="54" t="s">
        <v>156</v>
      </c>
      <c r="AC14" s="54" t="s">
        <v>155</v>
      </c>
      <c r="AD14" s="54" t="s">
        <v>154</v>
      </c>
      <c r="AE14" s="54" t="s">
        <v>153</v>
      </c>
      <c r="AF14" s="54" t="s">
        <v>152</v>
      </c>
      <c r="AG14" s="54" t="s">
        <v>97</v>
      </c>
      <c r="AH14" s="54" t="s">
        <v>158</v>
      </c>
      <c r="AI14" s="54" t="s">
        <v>157</v>
      </c>
      <c r="AJ14" s="54" t="s">
        <v>156</v>
      </c>
      <c r="AK14" s="54" t="s">
        <v>155</v>
      </c>
      <c r="AL14" s="54" t="s">
        <v>154</v>
      </c>
      <c r="AM14" s="54" t="s">
        <v>153</v>
      </c>
      <c r="AN14" s="54" t="s">
        <v>152</v>
      </c>
      <c r="AO14" s="54" t="s">
        <v>97</v>
      </c>
      <c r="AP14" s="54" t="s">
        <v>158</v>
      </c>
      <c r="AQ14" s="54" t="s">
        <v>157</v>
      </c>
      <c r="AR14" s="54" t="s">
        <v>156</v>
      </c>
      <c r="AS14" s="54" t="s">
        <v>155</v>
      </c>
      <c r="AT14" s="54" t="s">
        <v>154</v>
      </c>
      <c r="AU14" s="54" t="s">
        <v>153</v>
      </c>
      <c r="AV14" s="54" t="s">
        <v>152</v>
      </c>
      <c r="AW14" s="54" t="s">
        <v>97</v>
      </c>
      <c r="AX14" s="54" t="s">
        <v>158</v>
      </c>
      <c r="AY14" s="54" t="s">
        <v>157</v>
      </c>
      <c r="AZ14" s="54" t="s">
        <v>156</v>
      </c>
      <c r="BA14" s="54" t="s">
        <v>155</v>
      </c>
      <c r="BB14" s="54" t="s">
        <v>154</v>
      </c>
      <c r="BC14" s="54" t="s">
        <v>153</v>
      </c>
      <c r="BD14" s="54" t="s">
        <v>152</v>
      </c>
      <c r="BE14" s="54" t="s">
        <v>97</v>
      </c>
      <c r="BF14" s="54" t="s">
        <v>158</v>
      </c>
      <c r="BG14" s="54" t="s">
        <v>157</v>
      </c>
      <c r="BH14" s="54" t="s">
        <v>156</v>
      </c>
      <c r="BI14" s="54" t="s">
        <v>155</v>
      </c>
      <c r="BJ14" s="54" t="s">
        <v>154</v>
      </c>
      <c r="BK14" s="54" t="s">
        <v>153</v>
      </c>
      <c r="BL14" s="54" t="s">
        <v>152</v>
      </c>
      <c r="BM14" s="54" t="s">
        <v>97</v>
      </c>
    </row>
    <row r="15" spans="1:65" ht="15" customHeight="1" x14ac:dyDescent="0.2">
      <c r="A15" s="53" t="s">
        <v>151</v>
      </c>
      <c r="B15" s="53" t="s">
        <v>129</v>
      </c>
      <c r="C15" s="53">
        <v>1</v>
      </c>
      <c r="D15" s="53" t="s">
        <v>129</v>
      </c>
      <c r="E15" s="53">
        <v>3</v>
      </c>
      <c r="F15" s="53" t="s">
        <v>129</v>
      </c>
      <c r="G15" s="53">
        <v>1</v>
      </c>
      <c r="H15" s="53" t="s">
        <v>129</v>
      </c>
      <c r="I15" s="53">
        <v>0</v>
      </c>
      <c r="J15" s="53" t="s">
        <v>129</v>
      </c>
      <c r="K15" s="53" t="s">
        <v>129</v>
      </c>
      <c r="L15" s="53" t="s">
        <v>129</v>
      </c>
      <c r="M15" s="53" t="s">
        <v>129</v>
      </c>
      <c r="N15" s="53" t="s">
        <v>129</v>
      </c>
      <c r="O15" s="53" t="s">
        <v>129</v>
      </c>
      <c r="P15" s="53" t="s">
        <v>129</v>
      </c>
      <c r="Q15" s="53" t="s">
        <v>129</v>
      </c>
      <c r="R15" s="53" t="s">
        <v>129</v>
      </c>
      <c r="S15" s="53">
        <v>3</v>
      </c>
      <c r="T15" s="53" t="s">
        <v>129</v>
      </c>
      <c r="U15" s="53">
        <v>28</v>
      </c>
      <c r="V15" s="53" t="s">
        <v>129</v>
      </c>
      <c r="W15" s="53">
        <v>1</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1</v>
      </c>
      <c r="AL15" s="53" t="s">
        <v>129</v>
      </c>
      <c r="AM15" s="53">
        <v>1</v>
      </c>
      <c r="AN15" s="53" t="s">
        <v>129</v>
      </c>
      <c r="AO15" s="53">
        <v>0</v>
      </c>
      <c r="AP15" s="53" t="s">
        <v>129</v>
      </c>
      <c r="AQ15" s="53" t="s">
        <v>129</v>
      </c>
      <c r="AR15" s="53" t="s">
        <v>129</v>
      </c>
      <c r="AS15" s="53" t="s">
        <v>129</v>
      </c>
      <c r="AT15" s="53" t="s">
        <v>129</v>
      </c>
      <c r="AU15" s="53" t="s">
        <v>129</v>
      </c>
      <c r="AV15" s="53" t="s">
        <v>129</v>
      </c>
      <c r="AW15" s="53" t="s">
        <v>129</v>
      </c>
      <c r="AX15" s="53" t="s">
        <v>129</v>
      </c>
      <c r="AY15" s="53">
        <v>3</v>
      </c>
      <c r="AZ15" s="53" t="s">
        <v>129</v>
      </c>
      <c r="BA15" s="53">
        <v>28</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2</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31</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13</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v>
      </c>
      <c r="D17" s="53" t="s">
        <v>129</v>
      </c>
      <c r="E17" s="53">
        <v>1</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1</v>
      </c>
      <c r="T17" s="53" t="s">
        <v>129</v>
      </c>
      <c r="U17" s="53">
        <v>35</v>
      </c>
      <c r="V17" s="53" t="s">
        <v>129</v>
      </c>
      <c r="W17" s="53">
        <v>1</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1</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v>1</v>
      </c>
      <c r="AZ17" s="53" t="s">
        <v>129</v>
      </c>
      <c r="BA17" s="53">
        <v>31</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2</v>
      </c>
      <c r="D18" s="53" t="s">
        <v>129</v>
      </c>
      <c r="E18" s="53">
        <v>0</v>
      </c>
      <c r="F18" s="53" t="s">
        <v>129</v>
      </c>
      <c r="G18" s="53">
        <v>1</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32</v>
      </c>
      <c r="V18" s="53" t="s">
        <v>129</v>
      </c>
      <c r="W18" s="53">
        <v>1</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2</v>
      </c>
      <c r="AL18" s="53" t="s">
        <v>129</v>
      </c>
      <c r="AM18" s="53">
        <v>2</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33</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1</v>
      </c>
      <c r="D19" s="53" t="s">
        <v>129</v>
      </c>
      <c r="E19" s="53">
        <v>3</v>
      </c>
      <c r="F19" s="53" t="s">
        <v>129</v>
      </c>
      <c r="G19" s="53">
        <v>3</v>
      </c>
      <c r="H19" s="53" t="s">
        <v>129</v>
      </c>
      <c r="I19" s="53">
        <v>0</v>
      </c>
      <c r="J19" s="53" t="s">
        <v>129</v>
      </c>
      <c r="K19" s="53" t="s">
        <v>129</v>
      </c>
      <c r="L19" s="53" t="s">
        <v>129</v>
      </c>
      <c r="M19" s="53" t="s">
        <v>129</v>
      </c>
      <c r="N19" s="53" t="s">
        <v>129</v>
      </c>
      <c r="O19" s="53" t="s">
        <v>129</v>
      </c>
      <c r="P19" s="53" t="s">
        <v>129</v>
      </c>
      <c r="Q19" s="53" t="s">
        <v>129</v>
      </c>
      <c r="R19" s="53" t="s">
        <v>129</v>
      </c>
      <c r="S19" s="53">
        <v>3</v>
      </c>
      <c r="T19" s="53" t="s">
        <v>129</v>
      </c>
      <c r="U19" s="53">
        <v>36</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2</v>
      </c>
      <c r="AJ19" s="53" t="s">
        <v>129</v>
      </c>
      <c r="AK19" s="53">
        <v>1</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1</v>
      </c>
      <c r="AZ19" s="53" t="s">
        <v>129</v>
      </c>
      <c r="BA19" s="53">
        <v>35</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0</v>
      </c>
      <c r="D20" s="53" t="s">
        <v>129</v>
      </c>
      <c r="E20" s="53">
        <v>2</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36</v>
      </c>
      <c r="V20" s="53" t="s">
        <v>129</v>
      </c>
      <c r="W20" s="53">
        <v>2</v>
      </c>
      <c r="X20" s="53" t="s">
        <v>129</v>
      </c>
      <c r="Y20" s="53">
        <v>0</v>
      </c>
      <c r="Z20" s="53" t="s">
        <v>129</v>
      </c>
      <c r="AA20" s="53" t="s">
        <v>129</v>
      </c>
      <c r="AB20" s="53" t="s">
        <v>129</v>
      </c>
      <c r="AC20" s="53" t="s">
        <v>129</v>
      </c>
      <c r="AD20" s="53" t="s">
        <v>129</v>
      </c>
      <c r="AE20" s="53" t="s">
        <v>129</v>
      </c>
      <c r="AF20" s="53" t="s">
        <v>129</v>
      </c>
      <c r="AG20" s="53" t="s">
        <v>129</v>
      </c>
      <c r="AH20" s="53" t="s">
        <v>129</v>
      </c>
      <c r="AI20" s="53">
        <v>1</v>
      </c>
      <c r="AJ20" s="53" t="s">
        <v>129</v>
      </c>
      <c r="AK20" s="53">
        <v>1</v>
      </c>
      <c r="AL20" s="53" t="s">
        <v>129</v>
      </c>
      <c r="AM20" s="53">
        <v>1</v>
      </c>
      <c r="AN20" s="53" t="s">
        <v>129</v>
      </c>
      <c r="AO20" s="53">
        <v>0</v>
      </c>
      <c r="AP20" s="53" t="s">
        <v>129</v>
      </c>
      <c r="AQ20" s="53" t="s">
        <v>129</v>
      </c>
      <c r="AR20" s="53" t="s">
        <v>129</v>
      </c>
      <c r="AS20" s="53" t="s">
        <v>129</v>
      </c>
      <c r="AT20" s="53" t="s">
        <v>129</v>
      </c>
      <c r="AU20" s="53" t="s">
        <v>129</v>
      </c>
      <c r="AV20" s="53" t="s">
        <v>129</v>
      </c>
      <c r="AW20" s="53" t="s">
        <v>129</v>
      </c>
      <c r="AX20" s="53" t="s">
        <v>129</v>
      </c>
      <c r="AY20" s="53">
        <v>3</v>
      </c>
      <c r="AZ20" s="53" t="s">
        <v>129</v>
      </c>
      <c r="BA20" s="53">
        <v>26</v>
      </c>
      <c r="BB20" s="53" t="s">
        <v>129</v>
      </c>
      <c r="BC20" s="53">
        <v>2</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3</v>
      </c>
      <c r="D21" s="53" t="s">
        <v>129</v>
      </c>
      <c r="E21" s="53">
        <v>3</v>
      </c>
      <c r="F21" s="53" t="s">
        <v>129</v>
      </c>
      <c r="G21" s="53">
        <v>1</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33</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1</v>
      </c>
      <c r="AL21" s="53" t="s">
        <v>129</v>
      </c>
      <c r="AM21" s="53">
        <v>2</v>
      </c>
      <c r="AN21" s="53" t="s">
        <v>129</v>
      </c>
      <c r="AO21" s="53">
        <v>0</v>
      </c>
      <c r="AP21" s="53" t="s">
        <v>129</v>
      </c>
      <c r="AQ21" s="53" t="s">
        <v>129</v>
      </c>
      <c r="AR21" s="53" t="s">
        <v>129</v>
      </c>
      <c r="AS21" s="53" t="s">
        <v>129</v>
      </c>
      <c r="AT21" s="53" t="s">
        <v>129</v>
      </c>
      <c r="AU21" s="53" t="s">
        <v>129</v>
      </c>
      <c r="AV21" s="53" t="s">
        <v>129</v>
      </c>
      <c r="AW21" s="53" t="s">
        <v>129</v>
      </c>
      <c r="AX21" s="53" t="s">
        <v>129</v>
      </c>
      <c r="AY21" s="53">
        <v>3</v>
      </c>
      <c r="AZ21" s="53" t="s">
        <v>129</v>
      </c>
      <c r="BA21" s="53">
        <v>44</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2</v>
      </c>
      <c r="D22" s="53" t="s">
        <v>129</v>
      </c>
      <c r="E22" s="53">
        <v>4</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4</v>
      </c>
      <c r="T22" s="53" t="s">
        <v>129</v>
      </c>
      <c r="U22" s="53">
        <v>37</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1</v>
      </c>
      <c r="AZ22" s="53" t="s">
        <v>129</v>
      </c>
      <c r="BA22" s="53">
        <v>52</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0</v>
      </c>
      <c r="D24" s="53" t="s">
        <v>129</v>
      </c>
      <c r="E24" s="53">
        <v>2</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1</v>
      </c>
      <c r="T24" s="53" t="s">
        <v>129</v>
      </c>
      <c r="U24" s="53">
        <v>42</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2</v>
      </c>
      <c r="AL24" s="53" t="s">
        <v>129</v>
      </c>
      <c r="AM24" s="53">
        <v>1</v>
      </c>
      <c r="AN24" s="53" t="s">
        <v>129</v>
      </c>
      <c r="AO24" s="53">
        <v>0</v>
      </c>
      <c r="AP24" s="53" t="s">
        <v>129</v>
      </c>
      <c r="AQ24" s="53" t="s">
        <v>129</v>
      </c>
      <c r="AR24" s="53" t="s">
        <v>129</v>
      </c>
      <c r="AS24" s="53" t="s">
        <v>129</v>
      </c>
      <c r="AT24" s="53" t="s">
        <v>129</v>
      </c>
      <c r="AU24" s="53" t="s">
        <v>129</v>
      </c>
      <c r="AV24" s="53" t="s">
        <v>129</v>
      </c>
      <c r="AW24" s="53" t="s">
        <v>129</v>
      </c>
      <c r="AX24" s="53" t="s">
        <v>129</v>
      </c>
      <c r="AY24" s="53">
        <v>1</v>
      </c>
      <c r="AZ24" s="53" t="s">
        <v>129</v>
      </c>
      <c r="BA24" s="53">
        <v>47</v>
      </c>
      <c r="BB24" s="53" t="s">
        <v>129</v>
      </c>
      <c r="BC24" s="53">
        <v>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0</v>
      </c>
      <c r="D25" s="53" t="s">
        <v>129</v>
      </c>
      <c r="E25" s="53">
        <v>1</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60</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1</v>
      </c>
      <c r="AL25" s="53" t="s">
        <v>129</v>
      </c>
      <c r="AM25" s="53">
        <v>2</v>
      </c>
      <c r="AN25" s="53" t="s">
        <v>129</v>
      </c>
      <c r="AO25" s="53">
        <v>0</v>
      </c>
      <c r="AP25" s="53" t="s">
        <v>129</v>
      </c>
      <c r="AQ25" s="53" t="s">
        <v>129</v>
      </c>
      <c r="AR25" s="53" t="s">
        <v>129</v>
      </c>
      <c r="AS25" s="53" t="s">
        <v>129</v>
      </c>
      <c r="AT25" s="53" t="s">
        <v>129</v>
      </c>
      <c r="AU25" s="53" t="s">
        <v>129</v>
      </c>
      <c r="AV25" s="53" t="s">
        <v>129</v>
      </c>
      <c r="AW25" s="53" t="s">
        <v>129</v>
      </c>
      <c r="AX25" s="53" t="s">
        <v>129</v>
      </c>
      <c r="AY25" s="53">
        <v>2</v>
      </c>
      <c r="AZ25" s="53" t="s">
        <v>129</v>
      </c>
      <c r="BA25" s="53">
        <v>45</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v>
      </c>
      <c r="D26" s="53" t="s">
        <v>129</v>
      </c>
      <c r="E26" s="53">
        <v>1</v>
      </c>
      <c r="F26" s="53" t="s">
        <v>129</v>
      </c>
      <c r="G26" s="53">
        <v>3</v>
      </c>
      <c r="H26" s="53" t="s">
        <v>129</v>
      </c>
      <c r="I26" s="53">
        <v>0</v>
      </c>
      <c r="J26" s="53" t="s">
        <v>129</v>
      </c>
      <c r="K26" s="53" t="s">
        <v>129</v>
      </c>
      <c r="L26" s="53" t="s">
        <v>129</v>
      </c>
      <c r="M26" s="53" t="s">
        <v>129</v>
      </c>
      <c r="N26" s="53" t="s">
        <v>129</v>
      </c>
      <c r="O26" s="53" t="s">
        <v>129</v>
      </c>
      <c r="P26" s="53" t="s">
        <v>129</v>
      </c>
      <c r="Q26" s="53" t="s">
        <v>129</v>
      </c>
      <c r="R26" s="53" t="s">
        <v>129</v>
      </c>
      <c r="S26" s="53">
        <v>1</v>
      </c>
      <c r="T26" s="53" t="s">
        <v>129</v>
      </c>
      <c r="U26" s="53">
        <v>59</v>
      </c>
      <c r="V26" s="53" t="s">
        <v>129</v>
      </c>
      <c r="W26" s="53">
        <v>2</v>
      </c>
      <c r="X26" s="53" t="s">
        <v>129</v>
      </c>
      <c r="Y26" s="53">
        <v>0</v>
      </c>
      <c r="Z26" s="53" t="s">
        <v>129</v>
      </c>
      <c r="AA26" s="53" t="s">
        <v>129</v>
      </c>
      <c r="AB26" s="53" t="s">
        <v>129</v>
      </c>
      <c r="AC26" s="53" t="s">
        <v>129</v>
      </c>
      <c r="AD26" s="53" t="s">
        <v>129</v>
      </c>
      <c r="AE26" s="53" t="s">
        <v>129</v>
      </c>
      <c r="AF26" s="53" t="s">
        <v>129</v>
      </c>
      <c r="AG26" s="53" t="s">
        <v>129</v>
      </c>
      <c r="AH26" s="53" t="s">
        <v>129</v>
      </c>
      <c r="AI26" s="53">
        <v>1</v>
      </c>
      <c r="AJ26" s="53" t="s">
        <v>129</v>
      </c>
      <c r="AK26" s="53">
        <v>5</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1</v>
      </c>
      <c r="AZ26" s="53" t="s">
        <v>129</v>
      </c>
      <c r="BA26" s="53">
        <v>45</v>
      </c>
      <c r="BB26" s="53" t="s">
        <v>129</v>
      </c>
      <c r="BC26" s="53">
        <v>2</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2</v>
      </c>
      <c r="H27" s="53" t="s">
        <v>129</v>
      </c>
      <c r="I27" s="53">
        <v>0</v>
      </c>
      <c r="J27" s="53" t="s">
        <v>129</v>
      </c>
      <c r="K27" s="53" t="s">
        <v>129</v>
      </c>
      <c r="L27" s="53" t="s">
        <v>129</v>
      </c>
      <c r="M27" s="53" t="s">
        <v>129</v>
      </c>
      <c r="N27" s="53" t="s">
        <v>129</v>
      </c>
      <c r="O27" s="53" t="s">
        <v>129</v>
      </c>
      <c r="P27" s="53" t="s">
        <v>129</v>
      </c>
      <c r="Q27" s="53" t="s">
        <v>129</v>
      </c>
      <c r="R27" s="53" t="s">
        <v>129</v>
      </c>
      <c r="S27" s="53">
        <v>3</v>
      </c>
      <c r="T27" s="53" t="s">
        <v>129</v>
      </c>
      <c r="U27" s="53">
        <v>48</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1</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52</v>
      </c>
      <c r="BB27" s="53" t="s">
        <v>129</v>
      </c>
      <c r="BC27" s="53">
        <v>2</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1</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0</v>
      </c>
      <c r="D29" s="53" t="s">
        <v>129</v>
      </c>
      <c r="E29" s="53">
        <v>0</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1</v>
      </c>
      <c r="T29" s="53" t="s">
        <v>129</v>
      </c>
      <c r="U29" s="53">
        <v>14</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v>
      </c>
      <c r="AL29" s="53" t="s">
        <v>129</v>
      </c>
      <c r="AM29" s="53">
        <v>1</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28</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0</v>
      </c>
      <c r="D30" s="53" t="s">
        <v>129</v>
      </c>
      <c r="E30" s="53">
        <v>2</v>
      </c>
      <c r="F30" s="53" t="s">
        <v>129</v>
      </c>
      <c r="G30" s="53">
        <v>1</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26</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13</v>
      </c>
      <c r="BB30" s="53" t="s">
        <v>129</v>
      </c>
      <c r="BC30" s="53">
        <v>1</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0</v>
      </c>
      <c r="D31" s="53" t="s">
        <v>129</v>
      </c>
      <c r="E31" s="53">
        <v>1</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20</v>
      </c>
      <c r="V31" s="53" t="s">
        <v>129</v>
      </c>
      <c r="W31" s="53">
        <v>1</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1</v>
      </c>
      <c r="AL31" s="53" t="s">
        <v>129</v>
      </c>
      <c r="AM31" s="53">
        <v>2</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14</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1</v>
      </c>
      <c r="F32" s="53" t="s">
        <v>129</v>
      </c>
      <c r="G32" s="53">
        <v>1</v>
      </c>
      <c r="H32" s="53" t="s">
        <v>129</v>
      </c>
      <c r="I32" s="53">
        <v>0</v>
      </c>
      <c r="J32" s="53" t="s">
        <v>129</v>
      </c>
      <c r="K32" s="53" t="s">
        <v>129</v>
      </c>
      <c r="L32" s="53" t="s">
        <v>129</v>
      </c>
      <c r="M32" s="53" t="s">
        <v>129</v>
      </c>
      <c r="N32" s="53" t="s">
        <v>129</v>
      </c>
      <c r="O32" s="53" t="s">
        <v>129</v>
      </c>
      <c r="P32" s="53" t="s">
        <v>129</v>
      </c>
      <c r="Q32" s="53" t="s">
        <v>129</v>
      </c>
      <c r="R32" s="53" t="s">
        <v>129</v>
      </c>
      <c r="S32" s="53">
        <v>1</v>
      </c>
      <c r="T32" s="53" t="s">
        <v>129</v>
      </c>
      <c r="U32" s="53">
        <v>20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1</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13</v>
      </c>
      <c r="BB32" s="53" t="s">
        <v>129</v>
      </c>
      <c r="BC32" s="53">
        <v>1</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3</v>
      </c>
      <c r="F33" s="53" t="s">
        <v>129</v>
      </c>
      <c r="G33" s="53">
        <v>1</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21</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2</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6</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0</v>
      </c>
      <c r="D34" s="53" t="s">
        <v>129</v>
      </c>
      <c r="E34" s="53">
        <v>1</v>
      </c>
      <c r="F34" s="53" t="s">
        <v>129</v>
      </c>
      <c r="G34" s="53">
        <v>1</v>
      </c>
      <c r="H34" s="53" t="s">
        <v>129</v>
      </c>
      <c r="I34" s="53">
        <v>0</v>
      </c>
      <c r="J34" s="53" t="s">
        <v>129</v>
      </c>
      <c r="K34" s="53" t="s">
        <v>129</v>
      </c>
      <c r="L34" s="53" t="s">
        <v>129</v>
      </c>
      <c r="M34" s="53" t="s">
        <v>129</v>
      </c>
      <c r="N34" s="53" t="s">
        <v>129</v>
      </c>
      <c r="O34" s="53" t="s">
        <v>129</v>
      </c>
      <c r="P34" s="53" t="s">
        <v>129</v>
      </c>
      <c r="Q34" s="53" t="s">
        <v>129</v>
      </c>
      <c r="R34" s="53" t="s">
        <v>129</v>
      </c>
      <c r="S34" s="53">
        <v>1</v>
      </c>
      <c r="T34" s="53" t="s">
        <v>129</v>
      </c>
      <c r="U34" s="53">
        <v>4</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2</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8</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1</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14</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1</v>
      </c>
      <c r="AL35" s="53" t="s">
        <v>129</v>
      </c>
      <c r="AM35" s="53">
        <v>1</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12</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1</v>
      </c>
      <c r="F36" s="53" t="s">
        <v>129</v>
      </c>
      <c r="G36" s="53">
        <v>1</v>
      </c>
      <c r="H36" s="53" t="s">
        <v>129</v>
      </c>
      <c r="I36" s="53">
        <v>0</v>
      </c>
      <c r="J36" s="53" t="s">
        <v>129</v>
      </c>
      <c r="K36" s="53" t="s">
        <v>129</v>
      </c>
      <c r="L36" s="53" t="s">
        <v>129</v>
      </c>
      <c r="M36" s="53" t="s">
        <v>129</v>
      </c>
      <c r="N36" s="53" t="s">
        <v>129</v>
      </c>
      <c r="O36" s="53" t="s">
        <v>129</v>
      </c>
      <c r="P36" s="53" t="s">
        <v>129</v>
      </c>
      <c r="Q36" s="53" t="s">
        <v>129</v>
      </c>
      <c r="R36" s="53" t="s">
        <v>129</v>
      </c>
      <c r="S36" s="53">
        <v>1</v>
      </c>
      <c r="T36" s="53" t="s">
        <v>129</v>
      </c>
      <c r="U36" s="53">
        <v>11</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1</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5</v>
      </c>
      <c r="BB36" s="53" t="s">
        <v>129</v>
      </c>
      <c r="BC36" s="53">
        <v>1</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8BC3-FB3A-418F-BFDB-B86F8337ECF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97</v>
      </c>
      <c r="J14" s="54" t="s">
        <v>158</v>
      </c>
      <c r="K14" s="54" t="s">
        <v>157</v>
      </c>
      <c r="L14" s="54" t="s">
        <v>156</v>
      </c>
      <c r="M14" s="54" t="s">
        <v>155</v>
      </c>
      <c r="N14" s="54" t="s">
        <v>154</v>
      </c>
      <c r="O14" s="54" t="s">
        <v>153</v>
      </c>
      <c r="P14" s="54" t="s">
        <v>152</v>
      </c>
      <c r="Q14" s="54" t="s">
        <v>97</v>
      </c>
      <c r="R14" s="54" t="s">
        <v>158</v>
      </c>
      <c r="S14" s="54" t="s">
        <v>157</v>
      </c>
      <c r="T14" s="54" t="s">
        <v>156</v>
      </c>
      <c r="U14" s="54" t="s">
        <v>155</v>
      </c>
      <c r="V14" s="54" t="s">
        <v>154</v>
      </c>
      <c r="W14" s="54" t="s">
        <v>153</v>
      </c>
      <c r="X14" s="54" t="s">
        <v>152</v>
      </c>
      <c r="Y14" s="54" t="s">
        <v>97</v>
      </c>
      <c r="Z14" s="54" t="s">
        <v>158</v>
      </c>
      <c r="AA14" s="54" t="s">
        <v>157</v>
      </c>
      <c r="AB14" s="54" t="s">
        <v>156</v>
      </c>
      <c r="AC14" s="54" t="s">
        <v>155</v>
      </c>
      <c r="AD14" s="54" t="s">
        <v>154</v>
      </c>
      <c r="AE14" s="54" t="s">
        <v>153</v>
      </c>
      <c r="AF14" s="54" t="s">
        <v>152</v>
      </c>
      <c r="AG14" s="54" t="s">
        <v>97</v>
      </c>
      <c r="AH14" s="54" t="s">
        <v>158</v>
      </c>
      <c r="AI14" s="54" t="s">
        <v>157</v>
      </c>
      <c r="AJ14" s="54" t="s">
        <v>156</v>
      </c>
      <c r="AK14" s="54" t="s">
        <v>155</v>
      </c>
      <c r="AL14" s="54" t="s">
        <v>154</v>
      </c>
      <c r="AM14" s="54" t="s">
        <v>153</v>
      </c>
      <c r="AN14" s="54" t="s">
        <v>152</v>
      </c>
      <c r="AO14" s="54" t="s">
        <v>97</v>
      </c>
      <c r="AP14" s="54" t="s">
        <v>158</v>
      </c>
      <c r="AQ14" s="54" t="s">
        <v>157</v>
      </c>
      <c r="AR14" s="54" t="s">
        <v>156</v>
      </c>
      <c r="AS14" s="54" t="s">
        <v>155</v>
      </c>
      <c r="AT14" s="54" t="s">
        <v>154</v>
      </c>
      <c r="AU14" s="54" t="s">
        <v>153</v>
      </c>
      <c r="AV14" s="54" t="s">
        <v>152</v>
      </c>
      <c r="AW14" s="54" t="s">
        <v>97</v>
      </c>
      <c r="AX14" s="54" t="s">
        <v>158</v>
      </c>
      <c r="AY14" s="54" t="s">
        <v>157</v>
      </c>
      <c r="AZ14" s="54" t="s">
        <v>156</v>
      </c>
      <c r="BA14" s="54" t="s">
        <v>155</v>
      </c>
      <c r="BB14" s="54" t="s">
        <v>154</v>
      </c>
      <c r="BC14" s="54" t="s">
        <v>153</v>
      </c>
      <c r="BD14" s="54" t="s">
        <v>152</v>
      </c>
      <c r="BE14" s="54" t="s">
        <v>97</v>
      </c>
      <c r="BF14" s="54" t="s">
        <v>158</v>
      </c>
      <c r="BG14" s="54" t="s">
        <v>157</v>
      </c>
      <c r="BH14" s="54" t="s">
        <v>156</v>
      </c>
      <c r="BI14" s="54" t="s">
        <v>155</v>
      </c>
      <c r="BJ14" s="54" t="s">
        <v>154</v>
      </c>
      <c r="BK14" s="54" t="s">
        <v>153</v>
      </c>
      <c r="BL14" s="54" t="s">
        <v>152</v>
      </c>
      <c r="BM14" s="54" t="s">
        <v>97</v>
      </c>
    </row>
    <row r="15" spans="1:65" ht="15" customHeight="1" x14ac:dyDescent="0.2">
      <c r="A15" s="53" t="s">
        <v>151</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1</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0</v>
      </c>
      <c r="D17" s="53" t="s">
        <v>129</v>
      </c>
      <c r="E17" s="53">
        <v>0</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5</v>
      </c>
      <c r="AL17" s="53" t="s">
        <v>129</v>
      </c>
      <c r="AM17" s="53">
        <v>1</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0</v>
      </c>
      <c r="D18" s="53" t="s">
        <v>129</v>
      </c>
      <c r="E18" s="53">
        <v>0</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7</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0</v>
      </c>
      <c r="D19" s="53" t="s">
        <v>129</v>
      </c>
      <c r="E19" s="53">
        <v>0</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1</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3</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6</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0</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2</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3</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2</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0</v>
      </c>
      <c r="D26" s="53" t="s">
        <v>129</v>
      </c>
      <c r="E26" s="53">
        <v>1</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1</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1</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0</v>
      </c>
      <c r="D29" s="53" t="s">
        <v>129</v>
      </c>
      <c r="E29" s="53">
        <v>3</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0</v>
      </c>
      <c r="D30" s="53" t="s">
        <v>129</v>
      </c>
      <c r="E30" s="53">
        <v>8</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0</v>
      </c>
      <c r="D31" s="53" t="s">
        <v>129</v>
      </c>
      <c r="E31" s="53">
        <v>7</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2</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5</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0</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2</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2</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1</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0</v>
      </c>
      <c r="D34" s="53" t="s">
        <v>129</v>
      </c>
      <c r="E34" s="53">
        <v>5</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1</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2</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1</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1</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B8AA-7D45-41B2-BDEF-47965F6FEF9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97</v>
      </c>
      <c r="J14" s="54" t="s">
        <v>158</v>
      </c>
      <c r="K14" s="54" t="s">
        <v>157</v>
      </c>
      <c r="L14" s="54" t="s">
        <v>156</v>
      </c>
      <c r="M14" s="54" t="s">
        <v>155</v>
      </c>
      <c r="N14" s="54" t="s">
        <v>154</v>
      </c>
      <c r="O14" s="54" t="s">
        <v>153</v>
      </c>
      <c r="P14" s="54" t="s">
        <v>152</v>
      </c>
      <c r="Q14" s="54" t="s">
        <v>97</v>
      </c>
      <c r="R14" s="54" t="s">
        <v>158</v>
      </c>
      <c r="S14" s="54" t="s">
        <v>157</v>
      </c>
      <c r="T14" s="54" t="s">
        <v>156</v>
      </c>
      <c r="U14" s="54" t="s">
        <v>155</v>
      </c>
      <c r="V14" s="54" t="s">
        <v>154</v>
      </c>
      <c r="W14" s="54" t="s">
        <v>153</v>
      </c>
      <c r="X14" s="54" t="s">
        <v>152</v>
      </c>
      <c r="Y14" s="54" t="s">
        <v>97</v>
      </c>
      <c r="Z14" s="54" t="s">
        <v>158</v>
      </c>
      <c r="AA14" s="54" t="s">
        <v>157</v>
      </c>
      <c r="AB14" s="54" t="s">
        <v>156</v>
      </c>
      <c r="AC14" s="54" t="s">
        <v>155</v>
      </c>
      <c r="AD14" s="54" t="s">
        <v>154</v>
      </c>
      <c r="AE14" s="54" t="s">
        <v>153</v>
      </c>
      <c r="AF14" s="54" t="s">
        <v>152</v>
      </c>
      <c r="AG14" s="54" t="s">
        <v>97</v>
      </c>
      <c r="AH14" s="54" t="s">
        <v>158</v>
      </c>
      <c r="AI14" s="54" t="s">
        <v>157</v>
      </c>
      <c r="AJ14" s="54" t="s">
        <v>156</v>
      </c>
      <c r="AK14" s="54" t="s">
        <v>155</v>
      </c>
      <c r="AL14" s="54" t="s">
        <v>154</v>
      </c>
      <c r="AM14" s="54" t="s">
        <v>153</v>
      </c>
      <c r="AN14" s="54" t="s">
        <v>152</v>
      </c>
      <c r="AO14" s="54" t="s">
        <v>97</v>
      </c>
      <c r="AP14" s="54" t="s">
        <v>158</v>
      </c>
      <c r="AQ14" s="54" t="s">
        <v>157</v>
      </c>
      <c r="AR14" s="54" t="s">
        <v>156</v>
      </c>
      <c r="AS14" s="54" t="s">
        <v>155</v>
      </c>
      <c r="AT14" s="54" t="s">
        <v>154</v>
      </c>
      <c r="AU14" s="54" t="s">
        <v>153</v>
      </c>
      <c r="AV14" s="54" t="s">
        <v>152</v>
      </c>
      <c r="AW14" s="54" t="s">
        <v>97</v>
      </c>
      <c r="AX14" s="54" t="s">
        <v>158</v>
      </c>
      <c r="AY14" s="54" t="s">
        <v>157</v>
      </c>
      <c r="AZ14" s="54" t="s">
        <v>156</v>
      </c>
      <c r="BA14" s="54" t="s">
        <v>155</v>
      </c>
      <c r="BB14" s="54" t="s">
        <v>154</v>
      </c>
      <c r="BC14" s="54" t="s">
        <v>153</v>
      </c>
      <c r="BD14" s="54" t="s">
        <v>152</v>
      </c>
      <c r="BE14" s="54" t="s">
        <v>97</v>
      </c>
      <c r="BF14" s="54" t="s">
        <v>158</v>
      </c>
      <c r="BG14" s="54" t="s">
        <v>157</v>
      </c>
      <c r="BH14" s="54" t="s">
        <v>156</v>
      </c>
      <c r="BI14" s="54" t="s">
        <v>155</v>
      </c>
      <c r="BJ14" s="54" t="s">
        <v>154</v>
      </c>
      <c r="BK14" s="54" t="s">
        <v>153</v>
      </c>
      <c r="BL14" s="54" t="s">
        <v>152</v>
      </c>
      <c r="BM14" s="54" t="s">
        <v>97</v>
      </c>
    </row>
    <row r="15" spans="1:65" ht="15" customHeight="1" x14ac:dyDescent="0.2">
      <c r="A15" s="53" t="s">
        <v>151</v>
      </c>
      <c r="B15" s="53" t="s">
        <v>129</v>
      </c>
      <c r="C15" s="53">
        <v>10</v>
      </c>
      <c r="D15" s="53" t="s">
        <v>129</v>
      </c>
      <c r="E15" s="53">
        <v>27</v>
      </c>
      <c r="F15" s="53" t="s">
        <v>129</v>
      </c>
      <c r="G15" s="53">
        <v>22</v>
      </c>
      <c r="H15" s="53" t="s">
        <v>129</v>
      </c>
      <c r="I15" s="53">
        <v>0</v>
      </c>
      <c r="J15" s="53" t="s">
        <v>129</v>
      </c>
      <c r="K15" s="53" t="s">
        <v>129</v>
      </c>
      <c r="L15" s="53" t="s">
        <v>129</v>
      </c>
      <c r="M15" s="53" t="s">
        <v>129</v>
      </c>
      <c r="N15" s="53" t="s">
        <v>129</v>
      </c>
      <c r="O15" s="53" t="s">
        <v>129</v>
      </c>
      <c r="P15" s="53" t="s">
        <v>129</v>
      </c>
      <c r="Q15" s="53" t="s">
        <v>129</v>
      </c>
      <c r="R15" s="53" t="s">
        <v>129</v>
      </c>
      <c r="S15" s="53">
        <v>5</v>
      </c>
      <c r="T15" s="53" t="s">
        <v>129</v>
      </c>
      <c r="U15" s="53">
        <v>514</v>
      </c>
      <c r="V15" s="53" t="s">
        <v>129</v>
      </c>
      <c r="W15" s="53">
        <v>10</v>
      </c>
      <c r="X15" s="53" t="s">
        <v>129</v>
      </c>
      <c r="Y15" s="53">
        <v>0</v>
      </c>
      <c r="Z15" s="53" t="s">
        <v>129</v>
      </c>
      <c r="AA15" s="53" t="s">
        <v>129</v>
      </c>
      <c r="AB15" s="53" t="s">
        <v>129</v>
      </c>
      <c r="AC15" s="53" t="s">
        <v>129</v>
      </c>
      <c r="AD15" s="53" t="s">
        <v>129</v>
      </c>
      <c r="AE15" s="53" t="s">
        <v>129</v>
      </c>
      <c r="AF15" s="53" t="s">
        <v>129</v>
      </c>
      <c r="AG15" s="53" t="s">
        <v>129</v>
      </c>
      <c r="AH15" s="53" t="s">
        <v>129</v>
      </c>
      <c r="AI15" s="53">
        <v>29</v>
      </c>
      <c r="AJ15" s="53" t="s">
        <v>129</v>
      </c>
      <c r="AK15" s="53">
        <v>64</v>
      </c>
      <c r="AL15" s="53" t="s">
        <v>129</v>
      </c>
      <c r="AM15" s="53">
        <v>23</v>
      </c>
      <c r="AN15" s="53" t="s">
        <v>129</v>
      </c>
      <c r="AO15" s="53">
        <v>0</v>
      </c>
      <c r="AP15" s="53" t="s">
        <v>129</v>
      </c>
      <c r="AQ15" s="53" t="s">
        <v>129</v>
      </c>
      <c r="AR15" s="53" t="s">
        <v>129</v>
      </c>
      <c r="AS15" s="53" t="s">
        <v>129</v>
      </c>
      <c r="AT15" s="53" t="s">
        <v>129</v>
      </c>
      <c r="AU15" s="53" t="s">
        <v>129</v>
      </c>
      <c r="AV15" s="53" t="s">
        <v>129</v>
      </c>
      <c r="AW15" s="53" t="s">
        <v>129</v>
      </c>
      <c r="AX15" s="53" t="s">
        <v>129</v>
      </c>
      <c r="AY15" s="53">
        <v>37</v>
      </c>
      <c r="AZ15" s="53" t="s">
        <v>129</v>
      </c>
      <c r="BA15" s="53">
        <v>424</v>
      </c>
      <c r="BB15" s="53" t="s">
        <v>129</v>
      </c>
      <c r="BC15" s="53">
        <v>3</v>
      </c>
      <c r="BD15" s="53" t="s">
        <v>129</v>
      </c>
      <c r="BE15" s="53">
        <v>1</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11</v>
      </c>
      <c r="D16" s="53" t="s">
        <v>129</v>
      </c>
      <c r="E16" s="53">
        <v>28</v>
      </c>
      <c r="F16" s="53" t="s">
        <v>129</v>
      </c>
      <c r="G16" s="53">
        <v>31</v>
      </c>
      <c r="H16" s="53" t="s">
        <v>129</v>
      </c>
      <c r="I16" s="53">
        <v>0</v>
      </c>
      <c r="J16" s="53" t="s">
        <v>129</v>
      </c>
      <c r="K16" s="53" t="s">
        <v>129</v>
      </c>
      <c r="L16" s="53" t="s">
        <v>129</v>
      </c>
      <c r="M16" s="53" t="s">
        <v>129</v>
      </c>
      <c r="N16" s="53" t="s">
        <v>129</v>
      </c>
      <c r="O16" s="53" t="s">
        <v>129</v>
      </c>
      <c r="P16" s="53" t="s">
        <v>129</v>
      </c>
      <c r="Q16" s="53" t="s">
        <v>129</v>
      </c>
      <c r="R16" s="53" t="s">
        <v>129</v>
      </c>
      <c r="S16" s="53">
        <v>9</v>
      </c>
      <c r="T16" s="53" t="s">
        <v>129</v>
      </c>
      <c r="U16" s="53">
        <v>513</v>
      </c>
      <c r="V16" s="53" t="s">
        <v>129</v>
      </c>
      <c r="W16" s="53">
        <v>15</v>
      </c>
      <c r="X16" s="53" t="s">
        <v>129</v>
      </c>
      <c r="Y16" s="53">
        <v>0</v>
      </c>
      <c r="Z16" s="53" t="s">
        <v>129</v>
      </c>
      <c r="AA16" s="53" t="s">
        <v>129</v>
      </c>
      <c r="AB16" s="53" t="s">
        <v>129</v>
      </c>
      <c r="AC16" s="53" t="s">
        <v>129</v>
      </c>
      <c r="AD16" s="53" t="s">
        <v>129</v>
      </c>
      <c r="AE16" s="53" t="s">
        <v>129</v>
      </c>
      <c r="AF16" s="53" t="s">
        <v>129</v>
      </c>
      <c r="AG16" s="53" t="s">
        <v>129</v>
      </c>
      <c r="AH16" s="53" t="s">
        <v>129</v>
      </c>
      <c r="AI16" s="53">
        <v>22</v>
      </c>
      <c r="AJ16" s="53" t="s">
        <v>129</v>
      </c>
      <c r="AK16" s="53">
        <v>64</v>
      </c>
      <c r="AL16" s="53" t="s">
        <v>129</v>
      </c>
      <c r="AM16" s="53">
        <v>22</v>
      </c>
      <c r="AN16" s="53" t="s">
        <v>129</v>
      </c>
      <c r="AO16" s="53">
        <v>0</v>
      </c>
      <c r="AP16" s="53" t="s">
        <v>129</v>
      </c>
      <c r="AQ16" s="53" t="s">
        <v>129</v>
      </c>
      <c r="AR16" s="53" t="s">
        <v>129</v>
      </c>
      <c r="AS16" s="53" t="s">
        <v>129</v>
      </c>
      <c r="AT16" s="53" t="s">
        <v>129</v>
      </c>
      <c r="AU16" s="53" t="s">
        <v>129</v>
      </c>
      <c r="AV16" s="53" t="s">
        <v>129</v>
      </c>
      <c r="AW16" s="53" t="s">
        <v>129</v>
      </c>
      <c r="AX16" s="53" t="s">
        <v>129</v>
      </c>
      <c r="AY16" s="53">
        <v>31</v>
      </c>
      <c r="AZ16" s="53" t="s">
        <v>129</v>
      </c>
      <c r="BA16" s="53">
        <v>424</v>
      </c>
      <c r="BB16" s="53" t="s">
        <v>129</v>
      </c>
      <c r="BC16" s="53">
        <v>8</v>
      </c>
      <c r="BD16" s="53" t="s">
        <v>129</v>
      </c>
      <c r="BE16" s="53">
        <v>4</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19</v>
      </c>
      <c r="D17" s="53" t="s">
        <v>129</v>
      </c>
      <c r="E17" s="53">
        <v>22</v>
      </c>
      <c r="F17" s="53" t="s">
        <v>129</v>
      </c>
      <c r="G17" s="53">
        <v>23</v>
      </c>
      <c r="H17" s="53" t="s">
        <v>129</v>
      </c>
      <c r="I17" s="53">
        <v>0</v>
      </c>
      <c r="J17" s="53" t="s">
        <v>129</v>
      </c>
      <c r="K17" s="53" t="s">
        <v>129</v>
      </c>
      <c r="L17" s="53" t="s">
        <v>129</v>
      </c>
      <c r="M17" s="53" t="s">
        <v>129</v>
      </c>
      <c r="N17" s="53" t="s">
        <v>129</v>
      </c>
      <c r="O17" s="53" t="s">
        <v>129</v>
      </c>
      <c r="P17" s="53" t="s">
        <v>129</v>
      </c>
      <c r="Q17" s="53" t="s">
        <v>129</v>
      </c>
      <c r="R17" s="53" t="s">
        <v>129</v>
      </c>
      <c r="S17" s="53">
        <v>10</v>
      </c>
      <c r="T17" s="53" t="s">
        <v>129</v>
      </c>
      <c r="U17" s="53">
        <v>464</v>
      </c>
      <c r="V17" s="53" t="s">
        <v>129</v>
      </c>
      <c r="W17" s="53">
        <v>12</v>
      </c>
      <c r="X17" s="53" t="s">
        <v>129</v>
      </c>
      <c r="Y17" s="53">
        <v>0</v>
      </c>
      <c r="Z17" s="53" t="s">
        <v>129</v>
      </c>
      <c r="AA17" s="53" t="s">
        <v>129</v>
      </c>
      <c r="AB17" s="53" t="s">
        <v>129</v>
      </c>
      <c r="AC17" s="53" t="s">
        <v>129</v>
      </c>
      <c r="AD17" s="53" t="s">
        <v>129</v>
      </c>
      <c r="AE17" s="53" t="s">
        <v>129</v>
      </c>
      <c r="AF17" s="53" t="s">
        <v>129</v>
      </c>
      <c r="AG17" s="53" t="s">
        <v>129</v>
      </c>
      <c r="AH17" s="53" t="s">
        <v>129</v>
      </c>
      <c r="AI17" s="53">
        <v>19</v>
      </c>
      <c r="AJ17" s="53" t="s">
        <v>129</v>
      </c>
      <c r="AK17" s="53">
        <v>76</v>
      </c>
      <c r="AL17" s="53" t="s">
        <v>129</v>
      </c>
      <c r="AM17" s="53">
        <v>32</v>
      </c>
      <c r="AN17" s="53" t="s">
        <v>129</v>
      </c>
      <c r="AO17" s="53">
        <v>0</v>
      </c>
      <c r="AP17" s="53" t="s">
        <v>129</v>
      </c>
      <c r="AQ17" s="53" t="s">
        <v>129</v>
      </c>
      <c r="AR17" s="53" t="s">
        <v>129</v>
      </c>
      <c r="AS17" s="53" t="s">
        <v>129</v>
      </c>
      <c r="AT17" s="53" t="s">
        <v>129</v>
      </c>
      <c r="AU17" s="53" t="s">
        <v>129</v>
      </c>
      <c r="AV17" s="53" t="s">
        <v>129</v>
      </c>
      <c r="AW17" s="53" t="s">
        <v>129</v>
      </c>
      <c r="AX17" s="53" t="s">
        <v>129</v>
      </c>
      <c r="AY17" s="53">
        <v>34</v>
      </c>
      <c r="AZ17" s="53" t="s">
        <v>129</v>
      </c>
      <c r="BA17" s="53">
        <v>422</v>
      </c>
      <c r="BB17" s="53" t="s">
        <v>129</v>
      </c>
      <c r="BC17" s="53">
        <v>6</v>
      </c>
      <c r="BD17" s="53" t="s">
        <v>129</v>
      </c>
      <c r="BE17" s="53">
        <v>4</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16</v>
      </c>
      <c r="D18" s="53" t="s">
        <v>129</v>
      </c>
      <c r="E18" s="53">
        <v>31</v>
      </c>
      <c r="F18" s="53" t="s">
        <v>129</v>
      </c>
      <c r="G18" s="53">
        <v>22</v>
      </c>
      <c r="H18" s="53" t="s">
        <v>129</v>
      </c>
      <c r="I18" s="53">
        <v>0</v>
      </c>
      <c r="J18" s="53" t="s">
        <v>129</v>
      </c>
      <c r="K18" s="53" t="s">
        <v>129</v>
      </c>
      <c r="L18" s="53" t="s">
        <v>129</v>
      </c>
      <c r="M18" s="53" t="s">
        <v>129</v>
      </c>
      <c r="N18" s="53" t="s">
        <v>129</v>
      </c>
      <c r="O18" s="53" t="s">
        <v>129</v>
      </c>
      <c r="P18" s="53" t="s">
        <v>129</v>
      </c>
      <c r="Q18" s="53" t="s">
        <v>129</v>
      </c>
      <c r="R18" s="53" t="s">
        <v>129</v>
      </c>
      <c r="S18" s="53">
        <v>7</v>
      </c>
      <c r="T18" s="53" t="s">
        <v>129</v>
      </c>
      <c r="U18" s="53">
        <v>471</v>
      </c>
      <c r="V18" s="53" t="s">
        <v>129</v>
      </c>
      <c r="W18" s="53">
        <v>15</v>
      </c>
      <c r="X18" s="53" t="s">
        <v>129</v>
      </c>
      <c r="Y18" s="53">
        <v>0</v>
      </c>
      <c r="Z18" s="53" t="s">
        <v>129</v>
      </c>
      <c r="AA18" s="53" t="s">
        <v>129</v>
      </c>
      <c r="AB18" s="53" t="s">
        <v>129</v>
      </c>
      <c r="AC18" s="53" t="s">
        <v>129</v>
      </c>
      <c r="AD18" s="53" t="s">
        <v>129</v>
      </c>
      <c r="AE18" s="53" t="s">
        <v>129</v>
      </c>
      <c r="AF18" s="53" t="s">
        <v>129</v>
      </c>
      <c r="AG18" s="53" t="s">
        <v>129</v>
      </c>
      <c r="AH18" s="53" t="s">
        <v>129</v>
      </c>
      <c r="AI18" s="53">
        <v>20</v>
      </c>
      <c r="AJ18" s="53" t="s">
        <v>129</v>
      </c>
      <c r="AK18" s="53">
        <v>103</v>
      </c>
      <c r="AL18" s="53" t="s">
        <v>129</v>
      </c>
      <c r="AM18" s="53">
        <v>52</v>
      </c>
      <c r="AN18" s="53" t="s">
        <v>129</v>
      </c>
      <c r="AO18" s="53">
        <v>0</v>
      </c>
      <c r="AP18" s="53" t="s">
        <v>129</v>
      </c>
      <c r="AQ18" s="53" t="s">
        <v>129</v>
      </c>
      <c r="AR18" s="53" t="s">
        <v>129</v>
      </c>
      <c r="AS18" s="53" t="s">
        <v>129</v>
      </c>
      <c r="AT18" s="53" t="s">
        <v>129</v>
      </c>
      <c r="AU18" s="53" t="s">
        <v>129</v>
      </c>
      <c r="AV18" s="53" t="s">
        <v>129</v>
      </c>
      <c r="AW18" s="53" t="s">
        <v>129</v>
      </c>
      <c r="AX18" s="53" t="s">
        <v>129</v>
      </c>
      <c r="AY18" s="53">
        <v>29</v>
      </c>
      <c r="AZ18" s="53" t="s">
        <v>129</v>
      </c>
      <c r="BA18" s="53">
        <v>406</v>
      </c>
      <c r="BB18" s="53" t="s">
        <v>129</v>
      </c>
      <c r="BC18" s="53">
        <v>4</v>
      </c>
      <c r="BD18" s="53" t="s">
        <v>129</v>
      </c>
      <c r="BE18" s="53">
        <v>2</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6</v>
      </c>
      <c r="D19" s="53" t="s">
        <v>129</v>
      </c>
      <c r="E19" s="53">
        <v>35</v>
      </c>
      <c r="F19" s="53" t="s">
        <v>129</v>
      </c>
      <c r="G19" s="53">
        <v>15</v>
      </c>
      <c r="H19" s="53" t="s">
        <v>129</v>
      </c>
      <c r="I19" s="53">
        <v>0</v>
      </c>
      <c r="J19" s="53" t="s">
        <v>129</v>
      </c>
      <c r="K19" s="53" t="s">
        <v>129</v>
      </c>
      <c r="L19" s="53" t="s">
        <v>129</v>
      </c>
      <c r="M19" s="53" t="s">
        <v>129</v>
      </c>
      <c r="N19" s="53" t="s">
        <v>129</v>
      </c>
      <c r="O19" s="53" t="s">
        <v>129</v>
      </c>
      <c r="P19" s="53" t="s">
        <v>129</v>
      </c>
      <c r="Q19" s="53" t="s">
        <v>129</v>
      </c>
      <c r="R19" s="53" t="s">
        <v>129</v>
      </c>
      <c r="S19" s="53">
        <v>10</v>
      </c>
      <c r="T19" s="53" t="s">
        <v>129</v>
      </c>
      <c r="U19" s="53">
        <v>452</v>
      </c>
      <c r="V19" s="53" t="s">
        <v>129</v>
      </c>
      <c r="W19" s="53">
        <v>11</v>
      </c>
      <c r="X19" s="53" t="s">
        <v>129</v>
      </c>
      <c r="Y19" s="53">
        <v>0</v>
      </c>
      <c r="Z19" s="53" t="s">
        <v>129</v>
      </c>
      <c r="AA19" s="53" t="s">
        <v>129</v>
      </c>
      <c r="AB19" s="53" t="s">
        <v>129</v>
      </c>
      <c r="AC19" s="53" t="s">
        <v>129</v>
      </c>
      <c r="AD19" s="53" t="s">
        <v>129</v>
      </c>
      <c r="AE19" s="53" t="s">
        <v>129</v>
      </c>
      <c r="AF19" s="53" t="s">
        <v>129</v>
      </c>
      <c r="AG19" s="53" t="s">
        <v>129</v>
      </c>
      <c r="AH19" s="53" t="s">
        <v>129</v>
      </c>
      <c r="AI19" s="53">
        <v>22</v>
      </c>
      <c r="AJ19" s="53" t="s">
        <v>129</v>
      </c>
      <c r="AK19" s="53">
        <v>93</v>
      </c>
      <c r="AL19" s="53" t="s">
        <v>129</v>
      </c>
      <c r="AM19" s="53">
        <v>45</v>
      </c>
      <c r="AN19" s="53" t="s">
        <v>129</v>
      </c>
      <c r="AO19" s="53">
        <v>0</v>
      </c>
      <c r="AP19" s="53" t="s">
        <v>129</v>
      </c>
      <c r="AQ19" s="53" t="s">
        <v>129</v>
      </c>
      <c r="AR19" s="53" t="s">
        <v>129</v>
      </c>
      <c r="AS19" s="53" t="s">
        <v>129</v>
      </c>
      <c r="AT19" s="53" t="s">
        <v>129</v>
      </c>
      <c r="AU19" s="53" t="s">
        <v>129</v>
      </c>
      <c r="AV19" s="53" t="s">
        <v>129</v>
      </c>
      <c r="AW19" s="53" t="s">
        <v>129</v>
      </c>
      <c r="AX19" s="53" t="s">
        <v>129</v>
      </c>
      <c r="AY19" s="53">
        <v>21</v>
      </c>
      <c r="AZ19" s="53" t="s">
        <v>129</v>
      </c>
      <c r="BA19" s="53">
        <v>412</v>
      </c>
      <c r="BB19" s="53" t="s">
        <v>129</v>
      </c>
      <c r="BC19" s="53">
        <v>6</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15</v>
      </c>
      <c r="D20" s="53" t="s">
        <v>129</v>
      </c>
      <c r="E20" s="53">
        <v>57</v>
      </c>
      <c r="F20" s="53" t="s">
        <v>129</v>
      </c>
      <c r="G20" s="53">
        <v>19</v>
      </c>
      <c r="H20" s="53" t="s">
        <v>129</v>
      </c>
      <c r="I20" s="53">
        <v>0</v>
      </c>
      <c r="J20" s="53" t="s">
        <v>129</v>
      </c>
      <c r="K20" s="53" t="s">
        <v>129</v>
      </c>
      <c r="L20" s="53" t="s">
        <v>129</v>
      </c>
      <c r="M20" s="53" t="s">
        <v>129</v>
      </c>
      <c r="N20" s="53" t="s">
        <v>129</v>
      </c>
      <c r="O20" s="53" t="s">
        <v>129</v>
      </c>
      <c r="P20" s="53" t="s">
        <v>129</v>
      </c>
      <c r="Q20" s="53" t="s">
        <v>129</v>
      </c>
      <c r="R20" s="53" t="s">
        <v>129</v>
      </c>
      <c r="S20" s="53">
        <v>10</v>
      </c>
      <c r="T20" s="53" t="s">
        <v>129</v>
      </c>
      <c r="U20" s="53">
        <v>398</v>
      </c>
      <c r="V20" s="53" t="s">
        <v>129</v>
      </c>
      <c r="W20" s="53">
        <v>24</v>
      </c>
      <c r="X20" s="53" t="s">
        <v>129</v>
      </c>
      <c r="Y20" s="53">
        <v>0</v>
      </c>
      <c r="Z20" s="53" t="s">
        <v>129</v>
      </c>
      <c r="AA20" s="53" t="s">
        <v>129</v>
      </c>
      <c r="AB20" s="53" t="s">
        <v>129</v>
      </c>
      <c r="AC20" s="53" t="s">
        <v>129</v>
      </c>
      <c r="AD20" s="53" t="s">
        <v>129</v>
      </c>
      <c r="AE20" s="53" t="s">
        <v>129</v>
      </c>
      <c r="AF20" s="53" t="s">
        <v>129</v>
      </c>
      <c r="AG20" s="53" t="s">
        <v>129</v>
      </c>
      <c r="AH20" s="53" t="s">
        <v>129</v>
      </c>
      <c r="AI20" s="53">
        <v>24</v>
      </c>
      <c r="AJ20" s="53" t="s">
        <v>129</v>
      </c>
      <c r="AK20" s="53">
        <v>96</v>
      </c>
      <c r="AL20" s="53" t="s">
        <v>129</v>
      </c>
      <c r="AM20" s="53">
        <v>30</v>
      </c>
      <c r="AN20" s="53" t="s">
        <v>129</v>
      </c>
      <c r="AO20" s="53">
        <v>0</v>
      </c>
      <c r="AP20" s="53" t="s">
        <v>129</v>
      </c>
      <c r="AQ20" s="53" t="s">
        <v>129</v>
      </c>
      <c r="AR20" s="53" t="s">
        <v>129</v>
      </c>
      <c r="AS20" s="53" t="s">
        <v>129</v>
      </c>
      <c r="AT20" s="53" t="s">
        <v>129</v>
      </c>
      <c r="AU20" s="53" t="s">
        <v>129</v>
      </c>
      <c r="AV20" s="53" t="s">
        <v>129</v>
      </c>
      <c r="AW20" s="53" t="s">
        <v>129</v>
      </c>
      <c r="AX20" s="53" t="s">
        <v>129</v>
      </c>
      <c r="AY20" s="53">
        <v>25</v>
      </c>
      <c r="AZ20" s="53" t="s">
        <v>129</v>
      </c>
      <c r="BA20" s="53">
        <v>384</v>
      </c>
      <c r="BB20" s="53" t="s">
        <v>129</v>
      </c>
      <c r="BC20" s="53">
        <v>3</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15</v>
      </c>
      <c r="D21" s="53" t="s">
        <v>129</v>
      </c>
      <c r="E21" s="53">
        <v>66</v>
      </c>
      <c r="F21" s="53" t="s">
        <v>129</v>
      </c>
      <c r="G21" s="53">
        <v>15</v>
      </c>
      <c r="H21" s="53" t="s">
        <v>129</v>
      </c>
      <c r="I21" s="53">
        <v>0</v>
      </c>
      <c r="J21" s="53" t="s">
        <v>129</v>
      </c>
      <c r="K21" s="53" t="s">
        <v>129</v>
      </c>
      <c r="L21" s="53" t="s">
        <v>129</v>
      </c>
      <c r="M21" s="53" t="s">
        <v>129</v>
      </c>
      <c r="N21" s="53" t="s">
        <v>129</v>
      </c>
      <c r="O21" s="53" t="s">
        <v>129</v>
      </c>
      <c r="P21" s="53" t="s">
        <v>129</v>
      </c>
      <c r="Q21" s="53" t="s">
        <v>129</v>
      </c>
      <c r="R21" s="53" t="s">
        <v>129</v>
      </c>
      <c r="S21" s="53">
        <v>10</v>
      </c>
      <c r="T21" s="53" t="s">
        <v>129</v>
      </c>
      <c r="U21" s="53">
        <v>413</v>
      </c>
      <c r="V21" s="53" t="s">
        <v>129</v>
      </c>
      <c r="W21" s="53">
        <v>14</v>
      </c>
      <c r="X21" s="53" t="s">
        <v>129</v>
      </c>
      <c r="Y21" s="53">
        <v>0</v>
      </c>
      <c r="Z21" s="53" t="s">
        <v>129</v>
      </c>
      <c r="AA21" s="53" t="s">
        <v>129</v>
      </c>
      <c r="AB21" s="53" t="s">
        <v>129</v>
      </c>
      <c r="AC21" s="53" t="s">
        <v>129</v>
      </c>
      <c r="AD21" s="53" t="s">
        <v>129</v>
      </c>
      <c r="AE21" s="53" t="s">
        <v>129</v>
      </c>
      <c r="AF21" s="53" t="s">
        <v>129</v>
      </c>
      <c r="AG21" s="53" t="s">
        <v>129</v>
      </c>
      <c r="AH21" s="53" t="s">
        <v>129</v>
      </c>
      <c r="AI21" s="53">
        <v>19</v>
      </c>
      <c r="AJ21" s="53" t="s">
        <v>129</v>
      </c>
      <c r="AK21" s="53">
        <v>100</v>
      </c>
      <c r="AL21" s="53" t="s">
        <v>129</v>
      </c>
      <c r="AM21" s="53">
        <v>26</v>
      </c>
      <c r="AN21" s="53" t="s">
        <v>129</v>
      </c>
      <c r="AO21" s="53">
        <v>0</v>
      </c>
      <c r="AP21" s="53" t="s">
        <v>129</v>
      </c>
      <c r="AQ21" s="53" t="s">
        <v>129</v>
      </c>
      <c r="AR21" s="53" t="s">
        <v>129</v>
      </c>
      <c r="AS21" s="53" t="s">
        <v>129</v>
      </c>
      <c r="AT21" s="53" t="s">
        <v>129</v>
      </c>
      <c r="AU21" s="53" t="s">
        <v>129</v>
      </c>
      <c r="AV21" s="53" t="s">
        <v>129</v>
      </c>
      <c r="AW21" s="53" t="s">
        <v>129</v>
      </c>
      <c r="AX21" s="53" t="s">
        <v>129</v>
      </c>
      <c r="AY21" s="53">
        <v>24</v>
      </c>
      <c r="AZ21" s="53" t="s">
        <v>129</v>
      </c>
      <c r="BA21" s="53">
        <v>397</v>
      </c>
      <c r="BB21" s="53" t="s">
        <v>129</v>
      </c>
      <c r="BC21" s="53">
        <v>8</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11</v>
      </c>
      <c r="D22" s="53" t="s">
        <v>129</v>
      </c>
      <c r="E22" s="53">
        <v>54</v>
      </c>
      <c r="F22" s="53" t="s">
        <v>129</v>
      </c>
      <c r="G22" s="53">
        <v>15</v>
      </c>
      <c r="H22" s="53" t="s">
        <v>129</v>
      </c>
      <c r="I22" s="53">
        <v>0</v>
      </c>
      <c r="J22" s="53" t="s">
        <v>129</v>
      </c>
      <c r="K22" s="53" t="s">
        <v>129</v>
      </c>
      <c r="L22" s="53" t="s">
        <v>129</v>
      </c>
      <c r="M22" s="53" t="s">
        <v>129</v>
      </c>
      <c r="N22" s="53" t="s">
        <v>129</v>
      </c>
      <c r="O22" s="53" t="s">
        <v>129</v>
      </c>
      <c r="P22" s="53" t="s">
        <v>129</v>
      </c>
      <c r="Q22" s="53" t="s">
        <v>129</v>
      </c>
      <c r="R22" s="53" t="s">
        <v>129</v>
      </c>
      <c r="S22" s="53">
        <v>13</v>
      </c>
      <c r="T22" s="53" t="s">
        <v>129</v>
      </c>
      <c r="U22" s="53">
        <v>473</v>
      </c>
      <c r="V22" s="53" t="s">
        <v>129</v>
      </c>
      <c r="W22" s="53">
        <v>20</v>
      </c>
      <c r="X22" s="53" t="s">
        <v>129</v>
      </c>
      <c r="Y22" s="53">
        <v>0</v>
      </c>
      <c r="Z22" s="53" t="s">
        <v>129</v>
      </c>
      <c r="AA22" s="53" t="s">
        <v>129</v>
      </c>
      <c r="AB22" s="53" t="s">
        <v>129</v>
      </c>
      <c r="AC22" s="53" t="s">
        <v>129</v>
      </c>
      <c r="AD22" s="53" t="s">
        <v>129</v>
      </c>
      <c r="AE22" s="53" t="s">
        <v>129</v>
      </c>
      <c r="AF22" s="53" t="s">
        <v>129</v>
      </c>
      <c r="AG22" s="53" t="s">
        <v>129</v>
      </c>
      <c r="AH22" s="53" t="s">
        <v>129</v>
      </c>
      <c r="AI22" s="53">
        <v>24</v>
      </c>
      <c r="AJ22" s="53" t="s">
        <v>129</v>
      </c>
      <c r="AK22" s="53">
        <v>91</v>
      </c>
      <c r="AL22" s="53" t="s">
        <v>129</v>
      </c>
      <c r="AM22" s="53">
        <v>35</v>
      </c>
      <c r="AN22" s="53" t="s">
        <v>129</v>
      </c>
      <c r="AO22" s="53">
        <v>0</v>
      </c>
      <c r="AP22" s="53" t="s">
        <v>129</v>
      </c>
      <c r="AQ22" s="53" t="s">
        <v>129</v>
      </c>
      <c r="AR22" s="53" t="s">
        <v>129</v>
      </c>
      <c r="AS22" s="53" t="s">
        <v>129</v>
      </c>
      <c r="AT22" s="53" t="s">
        <v>129</v>
      </c>
      <c r="AU22" s="53" t="s">
        <v>129</v>
      </c>
      <c r="AV22" s="53" t="s">
        <v>129</v>
      </c>
      <c r="AW22" s="53" t="s">
        <v>129</v>
      </c>
      <c r="AX22" s="53" t="s">
        <v>129</v>
      </c>
      <c r="AY22" s="53">
        <v>26</v>
      </c>
      <c r="AZ22" s="53" t="s">
        <v>129</v>
      </c>
      <c r="BA22" s="53">
        <v>376</v>
      </c>
      <c r="BB22" s="53" t="s">
        <v>129</v>
      </c>
      <c r="BC22" s="53">
        <v>4</v>
      </c>
      <c r="BD22" s="53" t="s">
        <v>129</v>
      </c>
      <c r="BE22" s="53">
        <v>1</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14</v>
      </c>
      <c r="D24" s="53" t="s">
        <v>129</v>
      </c>
      <c r="E24" s="53">
        <v>41</v>
      </c>
      <c r="F24" s="53" t="s">
        <v>129</v>
      </c>
      <c r="G24" s="53">
        <v>26</v>
      </c>
      <c r="H24" s="53" t="s">
        <v>129</v>
      </c>
      <c r="I24" s="53">
        <v>0</v>
      </c>
      <c r="J24" s="53" t="s">
        <v>129</v>
      </c>
      <c r="K24" s="53" t="s">
        <v>129</v>
      </c>
      <c r="L24" s="53" t="s">
        <v>129</v>
      </c>
      <c r="M24" s="53" t="s">
        <v>129</v>
      </c>
      <c r="N24" s="53" t="s">
        <v>129</v>
      </c>
      <c r="O24" s="53" t="s">
        <v>129</v>
      </c>
      <c r="P24" s="53" t="s">
        <v>129</v>
      </c>
      <c r="Q24" s="53" t="s">
        <v>129</v>
      </c>
      <c r="R24" s="53" t="s">
        <v>129</v>
      </c>
      <c r="S24" s="53">
        <v>37</v>
      </c>
      <c r="T24" s="53" t="s">
        <v>129</v>
      </c>
      <c r="U24" s="53">
        <v>395</v>
      </c>
      <c r="V24" s="53" t="s">
        <v>129</v>
      </c>
      <c r="W24" s="53">
        <v>22</v>
      </c>
      <c r="X24" s="53" t="s">
        <v>129</v>
      </c>
      <c r="Y24" s="53">
        <v>0</v>
      </c>
      <c r="Z24" s="53" t="s">
        <v>129</v>
      </c>
      <c r="AA24" s="53" t="s">
        <v>129</v>
      </c>
      <c r="AB24" s="53" t="s">
        <v>129</v>
      </c>
      <c r="AC24" s="53" t="s">
        <v>129</v>
      </c>
      <c r="AD24" s="53" t="s">
        <v>129</v>
      </c>
      <c r="AE24" s="53" t="s">
        <v>129</v>
      </c>
      <c r="AF24" s="53" t="s">
        <v>129</v>
      </c>
      <c r="AG24" s="53" t="s">
        <v>129</v>
      </c>
      <c r="AH24" s="53" t="s">
        <v>129</v>
      </c>
      <c r="AI24" s="53">
        <v>13</v>
      </c>
      <c r="AJ24" s="53" t="s">
        <v>129</v>
      </c>
      <c r="AK24" s="53">
        <v>41</v>
      </c>
      <c r="AL24" s="53" t="s">
        <v>129</v>
      </c>
      <c r="AM24" s="53">
        <v>29</v>
      </c>
      <c r="AN24" s="53" t="s">
        <v>129</v>
      </c>
      <c r="AO24" s="53">
        <v>0</v>
      </c>
      <c r="AP24" s="53" t="s">
        <v>129</v>
      </c>
      <c r="AQ24" s="53" t="s">
        <v>129</v>
      </c>
      <c r="AR24" s="53" t="s">
        <v>129</v>
      </c>
      <c r="AS24" s="53" t="s">
        <v>129</v>
      </c>
      <c r="AT24" s="53" t="s">
        <v>129</v>
      </c>
      <c r="AU24" s="53" t="s">
        <v>129</v>
      </c>
      <c r="AV24" s="53" t="s">
        <v>129</v>
      </c>
      <c r="AW24" s="53" t="s">
        <v>129</v>
      </c>
      <c r="AX24" s="53" t="s">
        <v>129</v>
      </c>
      <c r="AY24" s="53">
        <v>35</v>
      </c>
      <c r="AZ24" s="53" t="s">
        <v>129</v>
      </c>
      <c r="BA24" s="53">
        <v>335</v>
      </c>
      <c r="BB24" s="53" t="s">
        <v>129</v>
      </c>
      <c r="BC24" s="53">
        <v>13</v>
      </c>
      <c r="BD24" s="53" t="s">
        <v>129</v>
      </c>
      <c r="BE24" s="53">
        <v>2</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18</v>
      </c>
      <c r="D25" s="53" t="s">
        <v>129</v>
      </c>
      <c r="E25" s="53">
        <v>44</v>
      </c>
      <c r="F25" s="53" t="s">
        <v>129</v>
      </c>
      <c r="G25" s="53">
        <v>27</v>
      </c>
      <c r="H25" s="53" t="s">
        <v>129</v>
      </c>
      <c r="I25" s="53">
        <v>0</v>
      </c>
      <c r="J25" s="53" t="s">
        <v>129</v>
      </c>
      <c r="K25" s="53" t="s">
        <v>129</v>
      </c>
      <c r="L25" s="53" t="s">
        <v>129</v>
      </c>
      <c r="M25" s="53" t="s">
        <v>129</v>
      </c>
      <c r="N25" s="53" t="s">
        <v>129</v>
      </c>
      <c r="O25" s="53" t="s">
        <v>129</v>
      </c>
      <c r="P25" s="53" t="s">
        <v>129</v>
      </c>
      <c r="Q25" s="53" t="s">
        <v>129</v>
      </c>
      <c r="R25" s="53" t="s">
        <v>129</v>
      </c>
      <c r="S25" s="53">
        <v>23</v>
      </c>
      <c r="T25" s="53" t="s">
        <v>129</v>
      </c>
      <c r="U25" s="53">
        <v>369</v>
      </c>
      <c r="V25" s="53" t="s">
        <v>129</v>
      </c>
      <c r="W25" s="53">
        <v>11</v>
      </c>
      <c r="X25" s="53" t="s">
        <v>129</v>
      </c>
      <c r="Y25" s="53">
        <v>0</v>
      </c>
      <c r="Z25" s="53" t="s">
        <v>129</v>
      </c>
      <c r="AA25" s="53" t="s">
        <v>129</v>
      </c>
      <c r="AB25" s="53" t="s">
        <v>129</v>
      </c>
      <c r="AC25" s="53" t="s">
        <v>129</v>
      </c>
      <c r="AD25" s="53" t="s">
        <v>129</v>
      </c>
      <c r="AE25" s="53" t="s">
        <v>129</v>
      </c>
      <c r="AF25" s="53" t="s">
        <v>129</v>
      </c>
      <c r="AG25" s="53" t="s">
        <v>129</v>
      </c>
      <c r="AH25" s="53" t="s">
        <v>129</v>
      </c>
      <c r="AI25" s="53">
        <v>11</v>
      </c>
      <c r="AJ25" s="53" t="s">
        <v>129</v>
      </c>
      <c r="AK25" s="53">
        <v>49</v>
      </c>
      <c r="AL25" s="53" t="s">
        <v>129</v>
      </c>
      <c r="AM25" s="53">
        <v>25</v>
      </c>
      <c r="AN25" s="53" t="s">
        <v>129</v>
      </c>
      <c r="AO25" s="53">
        <v>0</v>
      </c>
      <c r="AP25" s="53" t="s">
        <v>129</v>
      </c>
      <c r="AQ25" s="53" t="s">
        <v>129</v>
      </c>
      <c r="AR25" s="53" t="s">
        <v>129</v>
      </c>
      <c r="AS25" s="53" t="s">
        <v>129</v>
      </c>
      <c r="AT25" s="53" t="s">
        <v>129</v>
      </c>
      <c r="AU25" s="53" t="s">
        <v>129</v>
      </c>
      <c r="AV25" s="53" t="s">
        <v>129</v>
      </c>
      <c r="AW25" s="53" t="s">
        <v>129</v>
      </c>
      <c r="AX25" s="53" t="s">
        <v>129</v>
      </c>
      <c r="AY25" s="53">
        <v>37</v>
      </c>
      <c r="AZ25" s="53" t="s">
        <v>129</v>
      </c>
      <c r="BA25" s="53">
        <v>362</v>
      </c>
      <c r="BB25" s="53" t="s">
        <v>129</v>
      </c>
      <c r="BC25" s="53">
        <v>9</v>
      </c>
      <c r="BD25" s="53" t="s">
        <v>129</v>
      </c>
      <c r="BE25" s="53">
        <v>2</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19</v>
      </c>
      <c r="D26" s="53" t="s">
        <v>129</v>
      </c>
      <c r="E26" s="53">
        <v>49</v>
      </c>
      <c r="F26" s="53" t="s">
        <v>129</v>
      </c>
      <c r="G26" s="53">
        <v>33</v>
      </c>
      <c r="H26" s="53" t="s">
        <v>129</v>
      </c>
      <c r="I26" s="53">
        <v>0</v>
      </c>
      <c r="J26" s="53" t="s">
        <v>129</v>
      </c>
      <c r="K26" s="53" t="s">
        <v>129</v>
      </c>
      <c r="L26" s="53" t="s">
        <v>129</v>
      </c>
      <c r="M26" s="53" t="s">
        <v>129</v>
      </c>
      <c r="N26" s="53" t="s">
        <v>129</v>
      </c>
      <c r="O26" s="53" t="s">
        <v>129</v>
      </c>
      <c r="P26" s="53" t="s">
        <v>129</v>
      </c>
      <c r="Q26" s="53" t="s">
        <v>129</v>
      </c>
      <c r="R26" s="53" t="s">
        <v>129</v>
      </c>
      <c r="S26" s="53">
        <v>20</v>
      </c>
      <c r="T26" s="53" t="s">
        <v>129</v>
      </c>
      <c r="U26" s="53">
        <v>381</v>
      </c>
      <c r="V26" s="53" t="s">
        <v>129</v>
      </c>
      <c r="W26" s="53">
        <v>15</v>
      </c>
      <c r="X26" s="53" t="s">
        <v>129</v>
      </c>
      <c r="Y26" s="53">
        <v>0</v>
      </c>
      <c r="Z26" s="53" t="s">
        <v>129</v>
      </c>
      <c r="AA26" s="53" t="s">
        <v>129</v>
      </c>
      <c r="AB26" s="53" t="s">
        <v>129</v>
      </c>
      <c r="AC26" s="53" t="s">
        <v>129</v>
      </c>
      <c r="AD26" s="53" t="s">
        <v>129</v>
      </c>
      <c r="AE26" s="53" t="s">
        <v>129</v>
      </c>
      <c r="AF26" s="53" t="s">
        <v>129</v>
      </c>
      <c r="AG26" s="53" t="s">
        <v>129</v>
      </c>
      <c r="AH26" s="53" t="s">
        <v>129</v>
      </c>
      <c r="AI26" s="53">
        <v>14</v>
      </c>
      <c r="AJ26" s="53" t="s">
        <v>129</v>
      </c>
      <c r="AK26" s="53">
        <v>49</v>
      </c>
      <c r="AL26" s="53" t="s">
        <v>129</v>
      </c>
      <c r="AM26" s="53">
        <v>23</v>
      </c>
      <c r="AN26" s="53" t="s">
        <v>129</v>
      </c>
      <c r="AO26" s="53">
        <v>0</v>
      </c>
      <c r="AP26" s="53" t="s">
        <v>129</v>
      </c>
      <c r="AQ26" s="53" t="s">
        <v>129</v>
      </c>
      <c r="AR26" s="53" t="s">
        <v>129</v>
      </c>
      <c r="AS26" s="53" t="s">
        <v>129</v>
      </c>
      <c r="AT26" s="53" t="s">
        <v>129</v>
      </c>
      <c r="AU26" s="53" t="s">
        <v>129</v>
      </c>
      <c r="AV26" s="53" t="s">
        <v>129</v>
      </c>
      <c r="AW26" s="53" t="s">
        <v>129</v>
      </c>
      <c r="AX26" s="53" t="s">
        <v>129</v>
      </c>
      <c r="AY26" s="53">
        <v>29</v>
      </c>
      <c r="AZ26" s="53" t="s">
        <v>129</v>
      </c>
      <c r="BA26" s="53">
        <v>359</v>
      </c>
      <c r="BB26" s="53" t="s">
        <v>129</v>
      </c>
      <c r="BC26" s="53">
        <v>12</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18</v>
      </c>
      <c r="D27" s="53" t="s">
        <v>129</v>
      </c>
      <c r="E27" s="53">
        <v>40</v>
      </c>
      <c r="F27" s="53" t="s">
        <v>129</v>
      </c>
      <c r="G27" s="53">
        <v>35</v>
      </c>
      <c r="H27" s="53" t="s">
        <v>129</v>
      </c>
      <c r="I27" s="53">
        <v>0</v>
      </c>
      <c r="J27" s="53" t="s">
        <v>129</v>
      </c>
      <c r="K27" s="53" t="s">
        <v>129</v>
      </c>
      <c r="L27" s="53" t="s">
        <v>129</v>
      </c>
      <c r="M27" s="53" t="s">
        <v>129</v>
      </c>
      <c r="N27" s="53" t="s">
        <v>129</v>
      </c>
      <c r="O27" s="53" t="s">
        <v>129</v>
      </c>
      <c r="P27" s="53" t="s">
        <v>129</v>
      </c>
      <c r="Q27" s="53" t="s">
        <v>129</v>
      </c>
      <c r="R27" s="53" t="s">
        <v>129</v>
      </c>
      <c r="S27" s="53">
        <v>15</v>
      </c>
      <c r="T27" s="53" t="s">
        <v>129</v>
      </c>
      <c r="U27" s="53">
        <v>369</v>
      </c>
      <c r="V27" s="53" t="s">
        <v>129</v>
      </c>
      <c r="W27" s="53">
        <v>22</v>
      </c>
      <c r="X27" s="53" t="s">
        <v>129</v>
      </c>
      <c r="Y27" s="53">
        <v>0</v>
      </c>
      <c r="Z27" s="53" t="s">
        <v>129</v>
      </c>
      <c r="AA27" s="53" t="s">
        <v>129</v>
      </c>
      <c r="AB27" s="53" t="s">
        <v>129</v>
      </c>
      <c r="AC27" s="53" t="s">
        <v>129</v>
      </c>
      <c r="AD27" s="53" t="s">
        <v>129</v>
      </c>
      <c r="AE27" s="53" t="s">
        <v>129</v>
      </c>
      <c r="AF27" s="53" t="s">
        <v>129</v>
      </c>
      <c r="AG27" s="53" t="s">
        <v>129</v>
      </c>
      <c r="AH27" s="53" t="s">
        <v>129</v>
      </c>
      <c r="AI27" s="53">
        <v>7</v>
      </c>
      <c r="AJ27" s="53" t="s">
        <v>129</v>
      </c>
      <c r="AK27" s="53">
        <v>43</v>
      </c>
      <c r="AL27" s="53" t="s">
        <v>129</v>
      </c>
      <c r="AM27" s="53">
        <v>16</v>
      </c>
      <c r="AN27" s="53" t="s">
        <v>129</v>
      </c>
      <c r="AO27" s="53">
        <v>0</v>
      </c>
      <c r="AP27" s="53" t="s">
        <v>129</v>
      </c>
      <c r="AQ27" s="53" t="s">
        <v>129</v>
      </c>
      <c r="AR27" s="53" t="s">
        <v>129</v>
      </c>
      <c r="AS27" s="53" t="s">
        <v>129</v>
      </c>
      <c r="AT27" s="53" t="s">
        <v>129</v>
      </c>
      <c r="AU27" s="53" t="s">
        <v>129</v>
      </c>
      <c r="AV27" s="53" t="s">
        <v>129</v>
      </c>
      <c r="AW27" s="53" t="s">
        <v>129</v>
      </c>
      <c r="AX27" s="53" t="s">
        <v>129</v>
      </c>
      <c r="AY27" s="53">
        <v>34</v>
      </c>
      <c r="AZ27" s="53" t="s">
        <v>129</v>
      </c>
      <c r="BA27" s="53">
        <v>358</v>
      </c>
      <c r="BB27" s="53" t="s">
        <v>129</v>
      </c>
      <c r="BC27" s="53">
        <v>17</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1</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8</v>
      </c>
      <c r="D29" s="53" t="s">
        <v>129</v>
      </c>
      <c r="E29" s="53">
        <v>91</v>
      </c>
      <c r="F29" s="53" t="s">
        <v>129</v>
      </c>
      <c r="G29" s="53">
        <v>37</v>
      </c>
      <c r="H29" s="53" t="s">
        <v>129</v>
      </c>
      <c r="I29" s="53">
        <v>0</v>
      </c>
      <c r="J29" s="53" t="s">
        <v>129</v>
      </c>
      <c r="K29" s="53" t="s">
        <v>129</v>
      </c>
      <c r="L29" s="53" t="s">
        <v>129</v>
      </c>
      <c r="M29" s="53" t="s">
        <v>129</v>
      </c>
      <c r="N29" s="53" t="s">
        <v>129</v>
      </c>
      <c r="O29" s="53" t="s">
        <v>129</v>
      </c>
      <c r="P29" s="53" t="s">
        <v>129</v>
      </c>
      <c r="Q29" s="53" t="s">
        <v>129</v>
      </c>
      <c r="R29" s="53" t="s">
        <v>129</v>
      </c>
      <c r="S29" s="53">
        <v>10</v>
      </c>
      <c r="T29" s="53" t="s">
        <v>129</v>
      </c>
      <c r="U29" s="53">
        <v>427</v>
      </c>
      <c r="V29" s="53" t="s">
        <v>129</v>
      </c>
      <c r="W29" s="53">
        <v>6</v>
      </c>
      <c r="X29" s="53" t="s">
        <v>129</v>
      </c>
      <c r="Y29" s="53">
        <v>0</v>
      </c>
      <c r="Z29" s="53" t="s">
        <v>129</v>
      </c>
      <c r="AA29" s="53" t="s">
        <v>129</v>
      </c>
      <c r="AB29" s="53" t="s">
        <v>129</v>
      </c>
      <c r="AC29" s="53" t="s">
        <v>129</v>
      </c>
      <c r="AD29" s="53" t="s">
        <v>129</v>
      </c>
      <c r="AE29" s="53" t="s">
        <v>129</v>
      </c>
      <c r="AF29" s="53" t="s">
        <v>129</v>
      </c>
      <c r="AG29" s="53" t="s">
        <v>129</v>
      </c>
      <c r="AH29" s="53" t="s">
        <v>129</v>
      </c>
      <c r="AI29" s="53">
        <v>28</v>
      </c>
      <c r="AJ29" s="53" t="s">
        <v>129</v>
      </c>
      <c r="AK29" s="53">
        <v>55</v>
      </c>
      <c r="AL29" s="53" t="s">
        <v>129</v>
      </c>
      <c r="AM29" s="53">
        <v>16</v>
      </c>
      <c r="AN29" s="53" t="s">
        <v>129</v>
      </c>
      <c r="AO29" s="53">
        <v>0</v>
      </c>
      <c r="AP29" s="53" t="s">
        <v>129</v>
      </c>
      <c r="AQ29" s="53" t="s">
        <v>129</v>
      </c>
      <c r="AR29" s="53" t="s">
        <v>129</v>
      </c>
      <c r="AS29" s="53" t="s">
        <v>129</v>
      </c>
      <c r="AT29" s="53" t="s">
        <v>129</v>
      </c>
      <c r="AU29" s="53" t="s">
        <v>129</v>
      </c>
      <c r="AV29" s="53" t="s">
        <v>129</v>
      </c>
      <c r="AW29" s="53" t="s">
        <v>129</v>
      </c>
      <c r="AX29" s="53" t="s">
        <v>129</v>
      </c>
      <c r="AY29" s="53">
        <v>14</v>
      </c>
      <c r="AZ29" s="53" t="s">
        <v>129</v>
      </c>
      <c r="BA29" s="53">
        <v>439</v>
      </c>
      <c r="BB29" s="53" t="s">
        <v>129</v>
      </c>
      <c r="BC29" s="53">
        <v>19</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11</v>
      </c>
      <c r="D30" s="53" t="s">
        <v>129</v>
      </c>
      <c r="E30" s="53">
        <v>77</v>
      </c>
      <c r="F30" s="53" t="s">
        <v>129</v>
      </c>
      <c r="G30" s="53">
        <v>42</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413</v>
      </c>
      <c r="V30" s="53" t="s">
        <v>129</v>
      </c>
      <c r="W30" s="53">
        <v>7</v>
      </c>
      <c r="X30" s="53" t="s">
        <v>129</v>
      </c>
      <c r="Y30" s="53">
        <v>0</v>
      </c>
      <c r="Z30" s="53" t="s">
        <v>129</v>
      </c>
      <c r="AA30" s="53" t="s">
        <v>129</v>
      </c>
      <c r="AB30" s="53" t="s">
        <v>129</v>
      </c>
      <c r="AC30" s="53" t="s">
        <v>129</v>
      </c>
      <c r="AD30" s="53" t="s">
        <v>129</v>
      </c>
      <c r="AE30" s="53" t="s">
        <v>129</v>
      </c>
      <c r="AF30" s="53" t="s">
        <v>129</v>
      </c>
      <c r="AG30" s="53" t="s">
        <v>129</v>
      </c>
      <c r="AH30" s="53" t="s">
        <v>129</v>
      </c>
      <c r="AI30" s="53">
        <v>32</v>
      </c>
      <c r="AJ30" s="53" t="s">
        <v>129</v>
      </c>
      <c r="AK30" s="53">
        <v>44</v>
      </c>
      <c r="AL30" s="53" t="s">
        <v>129</v>
      </c>
      <c r="AM30" s="53">
        <v>24</v>
      </c>
      <c r="AN30" s="53" t="s">
        <v>129</v>
      </c>
      <c r="AO30" s="53">
        <v>0</v>
      </c>
      <c r="AP30" s="53" t="s">
        <v>129</v>
      </c>
      <c r="AQ30" s="53" t="s">
        <v>129</v>
      </c>
      <c r="AR30" s="53" t="s">
        <v>129</v>
      </c>
      <c r="AS30" s="53" t="s">
        <v>129</v>
      </c>
      <c r="AT30" s="53" t="s">
        <v>129</v>
      </c>
      <c r="AU30" s="53" t="s">
        <v>129</v>
      </c>
      <c r="AV30" s="53" t="s">
        <v>129</v>
      </c>
      <c r="AW30" s="53" t="s">
        <v>129</v>
      </c>
      <c r="AX30" s="53" t="s">
        <v>129</v>
      </c>
      <c r="AY30" s="53">
        <v>25</v>
      </c>
      <c r="AZ30" s="53" t="s">
        <v>129</v>
      </c>
      <c r="BA30" s="53">
        <v>356</v>
      </c>
      <c r="BB30" s="53" t="s">
        <v>129</v>
      </c>
      <c r="BC30" s="53">
        <v>13</v>
      </c>
      <c r="BD30" s="53" t="s">
        <v>129</v>
      </c>
      <c r="BE30" s="53">
        <v>1</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5</v>
      </c>
      <c r="D31" s="53" t="s">
        <v>129</v>
      </c>
      <c r="E31" s="53">
        <v>92</v>
      </c>
      <c r="F31" s="53" t="s">
        <v>129</v>
      </c>
      <c r="G31" s="53">
        <v>34</v>
      </c>
      <c r="H31" s="53" t="s">
        <v>129</v>
      </c>
      <c r="I31" s="53">
        <v>0</v>
      </c>
      <c r="J31" s="53" t="s">
        <v>129</v>
      </c>
      <c r="K31" s="53" t="s">
        <v>129</v>
      </c>
      <c r="L31" s="53" t="s">
        <v>129</v>
      </c>
      <c r="M31" s="53" t="s">
        <v>129</v>
      </c>
      <c r="N31" s="53" t="s">
        <v>129</v>
      </c>
      <c r="O31" s="53" t="s">
        <v>129</v>
      </c>
      <c r="P31" s="53" t="s">
        <v>129</v>
      </c>
      <c r="Q31" s="53" t="s">
        <v>129</v>
      </c>
      <c r="R31" s="53" t="s">
        <v>129</v>
      </c>
      <c r="S31" s="53">
        <v>6</v>
      </c>
      <c r="T31" s="53" t="s">
        <v>129</v>
      </c>
      <c r="U31" s="53">
        <v>436</v>
      </c>
      <c r="V31" s="53" t="s">
        <v>129</v>
      </c>
      <c r="W31" s="53">
        <v>9</v>
      </c>
      <c r="X31" s="53" t="s">
        <v>129</v>
      </c>
      <c r="Y31" s="53">
        <v>0</v>
      </c>
      <c r="Z31" s="53" t="s">
        <v>129</v>
      </c>
      <c r="AA31" s="53" t="s">
        <v>129</v>
      </c>
      <c r="AB31" s="53" t="s">
        <v>129</v>
      </c>
      <c r="AC31" s="53" t="s">
        <v>129</v>
      </c>
      <c r="AD31" s="53" t="s">
        <v>129</v>
      </c>
      <c r="AE31" s="53" t="s">
        <v>129</v>
      </c>
      <c r="AF31" s="53" t="s">
        <v>129</v>
      </c>
      <c r="AG31" s="53" t="s">
        <v>129</v>
      </c>
      <c r="AH31" s="53" t="s">
        <v>129</v>
      </c>
      <c r="AI31" s="53">
        <v>27</v>
      </c>
      <c r="AJ31" s="53" t="s">
        <v>129</v>
      </c>
      <c r="AK31" s="53">
        <v>55</v>
      </c>
      <c r="AL31" s="53" t="s">
        <v>129</v>
      </c>
      <c r="AM31" s="53">
        <v>20</v>
      </c>
      <c r="AN31" s="53" t="s">
        <v>129</v>
      </c>
      <c r="AO31" s="53">
        <v>0</v>
      </c>
      <c r="AP31" s="53" t="s">
        <v>129</v>
      </c>
      <c r="AQ31" s="53" t="s">
        <v>129</v>
      </c>
      <c r="AR31" s="53" t="s">
        <v>129</v>
      </c>
      <c r="AS31" s="53" t="s">
        <v>129</v>
      </c>
      <c r="AT31" s="53" t="s">
        <v>129</v>
      </c>
      <c r="AU31" s="53" t="s">
        <v>129</v>
      </c>
      <c r="AV31" s="53" t="s">
        <v>129</v>
      </c>
      <c r="AW31" s="53" t="s">
        <v>129</v>
      </c>
      <c r="AX31" s="53" t="s">
        <v>129</v>
      </c>
      <c r="AY31" s="53">
        <v>31</v>
      </c>
      <c r="AZ31" s="53" t="s">
        <v>129</v>
      </c>
      <c r="BA31" s="53">
        <v>454</v>
      </c>
      <c r="BB31" s="53" t="s">
        <v>129</v>
      </c>
      <c r="BC31" s="53">
        <v>20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10</v>
      </c>
      <c r="D32" s="53" t="s">
        <v>129</v>
      </c>
      <c r="E32" s="53">
        <v>106</v>
      </c>
      <c r="F32" s="53" t="s">
        <v>129</v>
      </c>
      <c r="G32" s="53">
        <v>34</v>
      </c>
      <c r="H32" s="53" t="s">
        <v>129</v>
      </c>
      <c r="I32" s="53">
        <v>0</v>
      </c>
      <c r="J32" s="53" t="s">
        <v>129</v>
      </c>
      <c r="K32" s="53" t="s">
        <v>129</v>
      </c>
      <c r="L32" s="53" t="s">
        <v>129</v>
      </c>
      <c r="M32" s="53" t="s">
        <v>129</v>
      </c>
      <c r="N32" s="53" t="s">
        <v>129</v>
      </c>
      <c r="O32" s="53" t="s">
        <v>129</v>
      </c>
      <c r="P32" s="53" t="s">
        <v>129</v>
      </c>
      <c r="Q32" s="53" t="s">
        <v>129</v>
      </c>
      <c r="R32" s="53" t="s">
        <v>129</v>
      </c>
      <c r="S32" s="53">
        <v>5</v>
      </c>
      <c r="T32" s="53" t="s">
        <v>129</v>
      </c>
      <c r="U32" s="53">
        <v>437</v>
      </c>
      <c r="V32" s="53" t="s">
        <v>129</v>
      </c>
      <c r="W32" s="53">
        <v>5</v>
      </c>
      <c r="X32" s="53" t="s">
        <v>129</v>
      </c>
      <c r="Y32" s="53">
        <v>1</v>
      </c>
      <c r="Z32" s="53" t="s">
        <v>129</v>
      </c>
      <c r="AA32" s="53" t="s">
        <v>129</v>
      </c>
      <c r="AB32" s="53" t="s">
        <v>129</v>
      </c>
      <c r="AC32" s="53" t="s">
        <v>129</v>
      </c>
      <c r="AD32" s="53" t="s">
        <v>129</v>
      </c>
      <c r="AE32" s="53" t="s">
        <v>129</v>
      </c>
      <c r="AF32" s="53" t="s">
        <v>129</v>
      </c>
      <c r="AG32" s="53" t="s">
        <v>129</v>
      </c>
      <c r="AH32" s="53" t="s">
        <v>129</v>
      </c>
      <c r="AI32" s="53">
        <v>27</v>
      </c>
      <c r="AJ32" s="53" t="s">
        <v>129</v>
      </c>
      <c r="AK32" s="53">
        <v>69</v>
      </c>
      <c r="AL32" s="53" t="s">
        <v>129</v>
      </c>
      <c r="AM32" s="53">
        <v>16</v>
      </c>
      <c r="AN32" s="53" t="s">
        <v>129</v>
      </c>
      <c r="AO32" s="53">
        <v>0</v>
      </c>
      <c r="AP32" s="53" t="s">
        <v>129</v>
      </c>
      <c r="AQ32" s="53" t="s">
        <v>129</v>
      </c>
      <c r="AR32" s="53" t="s">
        <v>129</v>
      </c>
      <c r="AS32" s="53" t="s">
        <v>129</v>
      </c>
      <c r="AT32" s="53" t="s">
        <v>129</v>
      </c>
      <c r="AU32" s="53" t="s">
        <v>129</v>
      </c>
      <c r="AV32" s="53" t="s">
        <v>129</v>
      </c>
      <c r="AW32" s="53" t="s">
        <v>129</v>
      </c>
      <c r="AX32" s="53" t="s">
        <v>129</v>
      </c>
      <c r="AY32" s="53">
        <v>17</v>
      </c>
      <c r="AZ32" s="53" t="s">
        <v>129</v>
      </c>
      <c r="BA32" s="53">
        <v>441</v>
      </c>
      <c r="BB32" s="53" t="s">
        <v>129</v>
      </c>
      <c r="BC32" s="53">
        <v>17</v>
      </c>
      <c r="BD32" s="53" t="s">
        <v>129</v>
      </c>
      <c r="BE32" s="53">
        <v>2</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4</v>
      </c>
      <c r="D33" s="53" t="s">
        <v>129</v>
      </c>
      <c r="E33" s="53">
        <v>94</v>
      </c>
      <c r="F33" s="53" t="s">
        <v>129</v>
      </c>
      <c r="G33" s="53">
        <v>38</v>
      </c>
      <c r="H33" s="53" t="s">
        <v>129</v>
      </c>
      <c r="I33" s="53">
        <v>0</v>
      </c>
      <c r="J33" s="53" t="s">
        <v>129</v>
      </c>
      <c r="K33" s="53" t="s">
        <v>129</v>
      </c>
      <c r="L33" s="53" t="s">
        <v>129</v>
      </c>
      <c r="M33" s="53" t="s">
        <v>129</v>
      </c>
      <c r="N33" s="53" t="s">
        <v>129</v>
      </c>
      <c r="O33" s="53" t="s">
        <v>129</v>
      </c>
      <c r="P33" s="53" t="s">
        <v>129</v>
      </c>
      <c r="Q33" s="53" t="s">
        <v>129</v>
      </c>
      <c r="R33" s="53" t="s">
        <v>129</v>
      </c>
      <c r="S33" s="53">
        <v>14</v>
      </c>
      <c r="T33" s="53" t="s">
        <v>129</v>
      </c>
      <c r="U33" s="53">
        <v>432</v>
      </c>
      <c r="V33" s="53" t="s">
        <v>129</v>
      </c>
      <c r="W33" s="53">
        <v>7</v>
      </c>
      <c r="X33" s="53" t="s">
        <v>129</v>
      </c>
      <c r="Y33" s="53">
        <v>0</v>
      </c>
      <c r="Z33" s="53" t="s">
        <v>129</v>
      </c>
      <c r="AA33" s="53" t="s">
        <v>129</v>
      </c>
      <c r="AB33" s="53" t="s">
        <v>129</v>
      </c>
      <c r="AC33" s="53" t="s">
        <v>129</v>
      </c>
      <c r="AD33" s="53" t="s">
        <v>129</v>
      </c>
      <c r="AE33" s="53" t="s">
        <v>129</v>
      </c>
      <c r="AF33" s="53" t="s">
        <v>129</v>
      </c>
      <c r="AG33" s="53" t="s">
        <v>129</v>
      </c>
      <c r="AH33" s="53" t="s">
        <v>129</v>
      </c>
      <c r="AI33" s="53">
        <v>31</v>
      </c>
      <c r="AJ33" s="53" t="s">
        <v>129</v>
      </c>
      <c r="AK33" s="53">
        <v>60</v>
      </c>
      <c r="AL33" s="53" t="s">
        <v>129</v>
      </c>
      <c r="AM33" s="53">
        <v>16</v>
      </c>
      <c r="AN33" s="53" t="s">
        <v>129</v>
      </c>
      <c r="AO33" s="53">
        <v>0</v>
      </c>
      <c r="AP33" s="53" t="s">
        <v>129</v>
      </c>
      <c r="AQ33" s="53" t="s">
        <v>129</v>
      </c>
      <c r="AR33" s="53" t="s">
        <v>129</v>
      </c>
      <c r="AS33" s="53" t="s">
        <v>129</v>
      </c>
      <c r="AT33" s="53" t="s">
        <v>129</v>
      </c>
      <c r="AU33" s="53" t="s">
        <v>129</v>
      </c>
      <c r="AV33" s="53" t="s">
        <v>129</v>
      </c>
      <c r="AW33" s="53" t="s">
        <v>129</v>
      </c>
      <c r="AX33" s="53" t="s">
        <v>129</v>
      </c>
      <c r="AY33" s="53">
        <v>19</v>
      </c>
      <c r="AZ33" s="53" t="s">
        <v>129</v>
      </c>
      <c r="BA33" s="53">
        <v>457</v>
      </c>
      <c r="BB33" s="53" t="s">
        <v>129</v>
      </c>
      <c r="BC33" s="53">
        <v>10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8</v>
      </c>
      <c r="D34" s="53" t="s">
        <v>129</v>
      </c>
      <c r="E34" s="53">
        <v>107</v>
      </c>
      <c r="F34" s="53" t="s">
        <v>129</v>
      </c>
      <c r="G34" s="53">
        <v>48</v>
      </c>
      <c r="H34" s="53" t="s">
        <v>129</v>
      </c>
      <c r="I34" s="53">
        <v>0</v>
      </c>
      <c r="J34" s="53" t="s">
        <v>129</v>
      </c>
      <c r="K34" s="53" t="s">
        <v>129</v>
      </c>
      <c r="L34" s="53" t="s">
        <v>129</v>
      </c>
      <c r="M34" s="53" t="s">
        <v>129</v>
      </c>
      <c r="N34" s="53" t="s">
        <v>129</v>
      </c>
      <c r="O34" s="53" t="s">
        <v>129</v>
      </c>
      <c r="P34" s="53" t="s">
        <v>129</v>
      </c>
      <c r="Q34" s="53" t="s">
        <v>129</v>
      </c>
      <c r="R34" s="53" t="s">
        <v>129</v>
      </c>
      <c r="S34" s="53">
        <v>9</v>
      </c>
      <c r="T34" s="53" t="s">
        <v>129</v>
      </c>
      <c r="U34" s="53">
        <v>477</v>
      </c>
      <c r="V34" s="53" t="s">
        <v>129</v>
      </c>
      <c r="W34" s="53">
        <v>8</v>
      </c>
      <c r="X34" s="53" t="s">
        <v>129</v>
      </c>
      <c r="Y34" s="53">
        <v>0</v>
      </c>
      <c r="Z34" s="53" t="s">
        <v>129</v>
      </c>
      <c r="AA34" s="53" t="s">
        <v>129</v>
      </c>
      <c r="AB34" s="53" t="s">
        <v>129</v>
      </c>
      <c r="AC34" s="53" t="s">
        <v>129</v>
      </c>
      <c r="AD34" s="53" t="s">
        <v>129</v>
      </c>
      <c r="AE34" s="53" t="s">
        <v>129</v>
      </c>
      <c r="AF34" s="53" t="s">
        <v>129</v>
      </c>
      <c r="AG34" s="53" t="s">
        <v>129</v>
      </c>
      <c r="AH34" s="53" t="s">
        <v>129</v>
      </c>
      <c r="AI34" s="53">
        <v>31</v>
      </c>
      <c r="AJ34" s="53" t="s">
        <v>129</v>
      </c>
      <c r="AK34" s="53">
        <v>39</v>
      </c>
      <c r="AL34" s="53" t="s">
        <v>129</v>
      </c>
      <c r="AM34" s="53">
        <v>11</v>
      </c>
      <c r="AN34" s="53" t="s">
        <v>129</v>
      </c>
      <c r="AO34" s="53">
        <v>0</v>
      </c>
      <c r="AP34" s="53" t="s">
        <v>129</v>
      </c>
      <c r="AQ34" s="53" t="s">
        <v>129</v>
      </c>
      <c r="AR34" s="53" t="s">
        <v>129</v>
      </c>
      <c r="AS34" s="53" t="s">
        <v>129</v>
      </c>
      <c r="AT34" s="53" t="s">
        <v>129</v>
      </c>
      <c r="AU34" s="53" t="s">
        <v>129</v>
      </c>
      <c r="AV34" s="53" t="s">
        <v>129</v>
      </c>
      <c r="AW34" s="53" t="s">
        <v>129</v>
      </c>
      <c r="AX34" s="53" t="s">
        <v>129</v>
      </c>
      <c r="AY34" s="53">
        <v>19</v>
      </c>
      <c r="AZ34" s="53" t="s">
        <v>129</v>
      </c>
      <c r="BA34" s="53">
        <v>426</v>
      </c>
      <c r="BB34" s="53" t="s">
        <v>129</v>
      </c>
      <c r="BC34" s="53">
        <v>18</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6</v>
      </c>
      <c r="D35" s="53" t="s">
        <v>129</v>
      </c>
      <c r="E35" s="53">
        <v>97</v>
      </c>
      <c r="F35" s="53" t="s">
        <v>129</v>
      </c>
      <c r="G35" s="53">
        <v>48</v>
      </c>
      <c r="H35" s="53" t="s">
        <v>129</v>
      </c>
      <c r="I35" s="53">
        <v>0</v>
      </c>
      <c r="J35" s="53" t="s">
        <v>129</v>
      </c>
      <c r="K35" s="53" t="s">
        <v>129</v>
      </c>
      <c r="L35" s="53" t="s">
        <v>129</v>
      </c>
      <c r="M35" s="53" t="s">
        <v>129</v>
      </c>
      <c r="N35" s="53" t="s">
        <v>129</v>
      </c>
      <c r="O35" s="53" t="s">
        <v>129</v>
      </c>
      <c r="P35" s="53" t="s">
        <v>129</v>
      </c>
      <c r="Q35" s="53" t="s">
        <v>129</v>
      </c>
      <c r="R35" s="53" t="s">
        <v>129</v>
      </c>
      <c r="S35" s="53">
        <v>16</v>
      </c>
      <c r="T35" s="53" t="s">
        <v>129</v>
      </c>
      <c r="U35" s="53">
        <v>458</v>
      </c>
      <c r="V35" s="53" t="s">
        <v>129</v>
      </c>
      <c r="W35" s="53">
        <v>7</v>
      </c>
      <c r="X35" s="53" t="s">
        <v>129</v>
      </c>
      <c r="Y35" s="53">
        <v>0</v>
      </c>
      <c r="Z35" s="53" t="s">
        <v>129</v>
      </c>
      <c r="AA35" s="53" t="s">
        <v>129</v>
      </c>
      <c r="AB35" s="53" t="s">
        <v>129</v>
      </c>
      <c r="AC35" s="53" t="s">
        <v>129</v>
      </c>
      <c r="AD35" s="53" t="s">
        <v>129</v>
      </c>
      <c r="AE35" s="53" t="s">
        <v>129</v>
      </c>
      <c r="AF35" s="53" t="s">
        <v>129</v>
      </c>
      <c r="AG35" s="53" t="s">
        <v>129</v>
      </c>
      <c r="AH35" s="53" t="s">
        <v>129</v>
      </c>
      <c r="AI35" s="53">
        <v>21</v>
      </c>
      <c r="AJ35" s="53" t="s">
        <v>129</v>
      </c>
      <c r="AK35" s="53">
        <v>41</v>
      </c>
      <c r="AL35" s="53" t="s">
        <v>129</v>
      </c>
      <c r="AM35" s="53">
        <v>15</v>
      </c>
      <c r="AN35" s="53" t="s">
        <v>129</v>
      </c>
      <c r="AO35" s="53">
        <v>0</v>
      </c>
      <c r="AP35" s="53" t="s">
        <v>129</v>
      </c>
      <c r="AQ35" s="53" t="s">
        <v>129</v>
      </c>
      <c r="AR35" s="53" t="s">
        <v>129</v>
      </c>
      <c r="AS35" s="53" t="s">
        <v>129</v>
      </c>
      <c r="AT35" s="53" t="s">
        <v>129</v>
      </c>
      <c r="AU35" s="53" t="s">
        <v>129</v>
      </c>
      <c r="AV35" s="53" t="s">
        <v>129</v>
      </c>
      <c r="AW35" s="53" t="s">
        <v>129</v>
      </c>
      <c r="AX35" s="53" t="s">
        <v>129</v>
      </c>
      <c r="AY35" s="53">
        <v>29</v>
      </c>
      <c r="AZ35" s="53" t="s">
        <v>129</v>
      </c>
      <c r="BA35" s="53">
        <v>407</v>
      </c>
      <c r="BB35" s="53" t="s">
        <v>129</v>
      </c>
      <c r="BC35" s="53">
        <v>10</v>
      </c>
      <c r="BD35" s="53" t="s">
        <v>129</v>
      </c>
      <c r="BE35" s="53">
        <v>2</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4</v>
      </c>
      <c r="D36" s="53" t="s">
        <v>129</v>
      </c>
      <c r="E36" s="53">
        <v>89</v>
      </c>
      <c r="F36" s="53" t="s">
        <v>129</v>
      </c>
      <c r="G36" s="53">
        <v>51</v>
      </c>
      <c r="H36" s="53" t="s">
        <v>129</v>
      </c>
      <c r="I36" s="53">
        <v>0</v>
      </c>
      <c r="J36" s="53" t="s">
        <v>129</v>
      </c>
      <c r="K36" s="53" t="s">
        <v>129</v>
      </c>
      <c r="L36" s="53" t="s">
        <v>129</v>
      </c>
      <c r="M36" s="53" t="s">
        <v>129</v>
      </c>
      <c r="N36" s="53" t="s">
        <v>129</v>
      </c>
      <c r="O36" s="53" t="s">
        <v>129</v>
      </c>
      <c r="P36" s="53" t="s">
        <v>129</v>
      </c>
      <c r="Q36" s="53" t="s">
        <v>129</v>
      </c>
      <c r="R36" s="53" t="s">
        <v>129</v>
      </c>
      <c r="S36" s="53">
        <v>16</v>
      </c>
      <c r="T36" s="53" t="s">
        <v>129</v>
      </c>
      <c r="U36" s="53">
        <v>424</v>
      </c>
      <c r="V36" s="53" t="s">
        <v>129</v>
      </c>
      <c r="W36" s="53">
        <v>7</v>
      </c>
      <c r="X36" s="53" t="s">
        <v>129</v>
      </c>
      <c r="Y36" s="53">
        <v>0</v>
      </c>
      <c r="Z36" s="53" t="s">
        <v>129</v>
      </c>
      <c r="AA36" s="53" t="s">
        <v>129</v>
      </c>
      <c r="AB36" s="53" t="s">
        <v>129</v>
      </c>
      <c r="AC36" s="53" t="s">
        <v>129</v>
      </c>
      <c r="AD36" s="53" t="s">
        <v>129</v>
      </c>
      <c r="AE36" s="53" t="s">
        <v>129</v>
      </c>
      <c r="AF36" s="53" t="s">
        <v>129</v>
      </c>
      <c r="AG36" s="53" t="s">
        <v>129</v>
      </c>
      <c r="AH36" s="53" t="s">
        <v>129</v>
      </c>
      <c r="AI36" s="53">
        <v>17</v>
      </c>
      <c r="AJ36" s="53" t="s">
        <v>129</v>
      </c>
      <c r="AK36" s="53">
        <v>47</v>
      </c>
      <c r="AL36" s="53" t="s">
        <v>129</v>
      </c>
      <c r="AM36" s="53">
        <v>12</v>
      </c>
      <c r="AN36" s="53" t="s">
        <v>129</v>
      </c>
      <c r="AO36" s="53">
        <v>0</v>
      </c>
      <c r="AP36" s="53" t="s">
        <v>129</v>
      </c>
      <c r="AQ36" s="53" t="s">
        <v>129</v>
      </c>
      <c r="AR36" s="53" t="s">
        <v>129</v>
      </c>
      <c r="AS36" s="53" t="s">
        <v>129</v>
      </c>
      <c r="AT36" s="53" t="s">
        <v>129</v>
      </c>
      <c r="AU36" s="53" t="s">
        <v>129</v>
      </c>
      <c r="AV36" s="53" t="s">
        <v>129</v>
      </c>
      <c r="AW36" s="53" t="s">
        <v>129</v>
      </c>
      <c r="AX36" s="53" t="s">
        <v>129</v>
      </c>
      <c r="AY36" s="53">
        <v>24</v>
      </c>
      <c r="AZ36" s="53" t="s">
        <v>129</v>
      </c>
      <c r="BA36" s="53">
        <v>389</v>
      </c>
      <c r="BB36" s="53" t="s">
        <v>129</v>
      </c>
      <c r="BC36" s="53">
        <v>17</v>
      </c>
      <c r="BD36" s="53" t="s">
        <v>129</v>
      </c>
      <c r="BE36" s="53">
        <v>1</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2023-09-06T03:34:22Z</dcterms:modified>
</cp:coreProperties>
</file>