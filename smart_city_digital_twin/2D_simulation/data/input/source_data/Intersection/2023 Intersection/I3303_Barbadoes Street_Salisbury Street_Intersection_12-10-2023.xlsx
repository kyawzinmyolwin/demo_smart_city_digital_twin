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703C685-DF33-44E5-A46D-0738DEE30B2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6" i="4"/>
  <c r="I86" i="4"/>
  <c r="I166" i="4"/>
  <c r="I246" i="4"/>
  <c r="I26" i="4"/>
  <c r="I106" i="4"/>
  <c r="I186" i="4"/>
  <c r="I266" i="4"/>
  <c r="I46" i="4"/>
  <c r="I126" i="4"/>
  <c r="I206" i="4"/>
  <c r="I286" i="4"/>
  <c r="I18" i="4"/>
  <c r="I98" i="4"/>
  <c r="I178" i="4"/>
  <c r="I258" i="4"/>
  <c r="I38" i="4"/>
  <c r="I118" i="4"/>
  <c r="I198" i="4"/>
  <c r="I278" i="4"/>
  <c r="I58" i="4"/>
  <c r="I138" i="4"/>
  <c r="I218" i="4"/>
  <c r="I298" i="4"/>
  <c r="I78" i="4"/>
  <c r="I158" i="4"/>
  <c r="I238" i="4"/>
  <c r="I23" i="4"/>
  <c r="I103" i="4"/>
  <c r="I183" i="4"/>
  <c r="I263" i="4"/>
  <c r="I43" i="4"/>
  <c r="I123" i="4"/>
  <c r="I203" i="4"/>
  <c r="I243" i="4"/>
  <c r="I63" i="4"/>
  <c r="I143" i="4"/>
  <c r="I223" i="4"/>
  <c r="I283" i="4"/>
  <c r="I3" i="4"/>
  <c r="I83" i="4"/>
  <c r="I163" i="4"/>
  <c r="I5" i="4"/>
  <c r="I85" i="4"/>
  <c r="I165" i="4"/>
  <c r="I245" i="4"/>
  <c r="I25" i="4"/>
  <c r="I105" i="4"/>
  <c r="I185" i="4"/>
  <c r="I265" i="4"/>
  <c r="I45" i="4"/>
  <c r="I125" i="4"/>
  <c r="I205" i="4"/>
  <c r="I285" i="4"/>
  <c r="I65" i="4"/>
  <c r="I145" i="4"/>
  <c r="I225" i="4"/>
  <c r="I53" i="4"/>
  <c r="I133" i="4"/>
  <c r="I213" i="4"/>
  <c r="I293" i="4"/>
  <c r="I73" i="4"/>
  <c r="I153" i="4"/>
  <c r="I233" i="4"/>
  <c r="I13" i="4"/>
  <c r="I93" i="4"/>
  <c r="I173" i="4"/>
  <c r="I253" i="4"/>
  <c r="I33" i="4"/>
  <c r="I113" i="4"/>
  <c r="I193" i="4"/>
  <c r="I273" i="4"/>
  <c r="I50" i="4"/>
  <c r="I130" i="4"/>
  <c r="I210" i="4"/>
  <c r="I290" i="4"/>
  <c r="I70" i="4"/>
  <c r="I150" i="4"/>
  <c r="I230" i="4"/>
  <c r="I10" i="4"/>
  <c r="I90" i="4"/>
  <c r="I170" i="4"/>
  <c r="I250" i="4"/>
  <c r="I30" i="4"/>
  <c r="I110" i="4"/>
  <c r="I190" i="4"/>
  <c r="I270" i="4"/>
  <c r="I7" i="4"/>
  <c r="I87" i="4"/>
  <c r="I167" i="4"/>
  <c r="I247" i="4"/>
  <c r="I27" i="4"/>
  <c r="I107" i="4"/>
  <c r="I187" i="4"/>
  <c r="I287" i="4"/>
  <c r="I47" i="4"/>
  <c r="I127" i="4"/>
  <c r="I207" i="4"/>
  <c r="I67" i="4"/>
  <c r="I147" i="4"/>
  <c r="I227" i="4"/>
  <c r="I267" i="4"/>
  <c r="I40" i="4"/>
  <c r="I120" i="4"/>
  <c r="I200" i="4"/>
  <c r="I280" i="4"/>
  <c r="I60" i="4"/>
  <c r="I140" i="4"/>
  <c r="I220" i="4"/>
  <c r="I300" i="4"/>
  <c r="I80" i="4"/>
  <c r="I160" i="4"/>
  <c r="I240" i="4"/>
  <c r="I20" i="4"/>
  <c r="I100" i="4"/>
  <c r="I180" i="4"/>
  <c r="I260" i="4"/>
  <c r="I2" i="4"/>
  <c r="I82" i="4"/>
  <c r="I162" i="4"/>
  <c r="I242" i="4"/>
  <c r="I22" i="4"/>
  <c r="I102" i="4"/>
  <c r="I182" i="4"/>
  <c r="I262" i="4"/>
  <c r="I42" i="4"/>
  <c r="I122" i="4"/>
  <c r="I202" i="4"/>
  <c r="I282" i="4"/>
  <c r="I62" i="4"/>
  <c r="I142" i="4"/>
  <c r="I222" i="4"/>
  <c r="I34" i="4"/>
  <c r="I114" i="4"/>
  <c r="I194" i="4"/>
  <c r="I274" i="4"/>
  <c r="I54" i="4"/>
  <c r="I134" i="4"/>
  <c r="I214" i="4"/>
  <c r="I294" i="4"/>
  <c r="I74" i="4"/>
  <c r="I154" i="4"/>
  <c r="I234" i="4"/>
  <c r="I14" i="4"/>
  <c r="I94" i="4"/>
  <c r="I174" i="4"/>
  <c r="I254" i="4"/>
  <c r="I71" i="4"/>
  <c r="I151" i="4"/>
  <c r="I11" i="4"/>
  <c r="I91" i="4"/>
  <c r="I171" i="4"/>
  <c r="I271" i="4"/>
  <c r="I31" i="4"/>
  <c r="I111" i="4"/>
  <c r="I191" i="4"/>
  <c r="I51" i="4"/>
  <c r="I131" i="4"/>
  <c r="I211" i="4"/>
  <c r="I251" i="4"/>
  <c r="I231" i="4"/>
  <c r="I291" i="4"/>
  <c r="I8" i="4"/>
  <c r="I88" i="4"/>
  <c r="I168" i="4"/>
  <c r="I248" i="4"/>
  <c r="I28" i="4"/>
  <c r="I108" i="4"/>
  <c r="I188" i="4"/>
  <c r="I268" i="4"/>
  <c r="I48" i="4"/>
  <c r="I128" i="4"/>
  <c r="I208" i="4"/>
  <c r="I288" i="4"/>
  <c r="I68" i="4"/>
  <c r="I148" i="4"/>
  <c r="I228" i="4"/>
  <c r="I24" i="4"/>
  <c r="I104" i="4"/>
  <c r="I184" i="4"/>
  <c r="I264" i="4"/>
  <c r="I44" i="4"/>
  <c r="I124" i="4"/>
  <c r="I204" i="4"/>
  <c r="I284" i="4"/>
  <c r="I64" i="4"/>
  <c r="I144" i="4"/>
  <c r="I224" i="4"/>
  <c r="I4" i="4"/>
  <c r="I84" i="4"/>
  <c r="I164" i="4"/>
  <c r="I244" i="4"/>
  <c r="I72" i="4"/>
  <c r="I152" i="4"/>
  <c r="I232" i="4"/>
  <c r="I12" i="4"/>
  <c r="I92" i="4"/>
  <c r="I172" i="4"/>
  <c r="I252" i="4"/>
  <c r="I32" i="4"/>
  <c r="I112" i="4"/>
  <c r="I192" i="4"/>
  <c r="I272" i="4"/>
  <c r="I52" i="4"/>
  <c r="I132" i="4"/>
  <c r="I212" i="4"/>
  <c r="I292" i="4"/>
  <c r="I55" i="4"/>
  <c r="I135" i="4"/>
  <c r="I215" i="4"/>
  <c r="I235" i="4"/>
  <c r="I275" i="4"/>
  <c r="I75" i="4"/>
  <c r="I155" i="4"/>
  <c r="I15" i="4"/>
  <c r="I95" i="4"/>
  <c r="I175" i="4"/>
  <c r="I255" i="4"/>
  <c r="I35" i="4"/>
  <c r="I115" i="4"/>
  <c r="I195" i="4"/>
  <c r="I295" i="4"/>
  <c r="I69" i="4"/>
  <c r="I149" i="4"/>
  <c r="I229" i="4"/>
  <c r="I9" i="4"/>
  <c r="I89" i="4"/>
  <c r="I169" i="4"/>
  <c r="I249" i="4"/>
  <c r="I29" i="4"/>
  <c r="I109" i="4"/>
  <c r="I189" i="4"/>
  <c r="I269" i="4"/>
  <c r="I49" i="4"/>
  <c r="I129" i="4"/>
  <c r="I209" i="4"/>
  <c r="I289" i="4"/>
  <c r="I21" i="4"/>
  <c r="I101" i="4"/>
  <c r="I181" i="4"/>
  <c r="I261" i="4"/>
  <c r="I41" i="4"/>
  <c r="I121" i="4"/>
  <c r="I201" i="4"/>
  <c r="I281" i="4"/>
  <c r="I61" i="4"/>
  <c r="I141" i="4"/>
  <c r="I221" i="4"/>
  <c r="I301" i="4"/>
  <c r="I81" i="4"/>
  <c r="I161" i="4"/>
  <c r="I241" i="4"/>
  <c r="I37" i="4"/>
  <c r="I117" i="4"/>
  <c r="I197" i="4"/>
  <c r="I277" i="4"/>
  <c r="I57" i="4"/>
  <c r="I137" i="4"/>
  <c r="I217" i="4"/>
  <c r="I297" i="4"/>
  <c r="I77" i="4"/>
  <c r="I157" i="4"/>
  <c r="I237" i="4"/>
  <c r="I17" i="4"/>
  <c r="I97" i="4"/>
  <c r="I177" i="4"/>
  <c r="I257" i="4"/>
  <c r="I56" i="4"/>
  <c r="I136" i="4"/>
  <c r="I216" i="4"/>
  <c r="I296" i="4"/>
  <c r="I76" i="4"/>
  <c r="I156" i="4"/>
  <c r="I236" i="4"/>
  <c r="I16" i="4"/>
  <c r="I96" i="4"/>
  <c r="I176" i="4"/>
  <c r="I256" i="4"/>
  <c r="I36" i="4"/>
  <c r="I116" i="4"/>
  <c r="I196" i="4"/>
  <c r="I276" i="4"/>
  <c r="I39" i="4"/>
  <c r="I119" i="4"/>
  <c r="I199" i="4"/>
  <c r="I59" i="4"/>
  <c r="I139" i="4"/>
  <c r="I219" i="4"/>
  <c r="I259" i="4"/>
  <c r="I79" i="4"/>
  <c r="I159" i="4"/>
  <c r="I299" i="4"/>
  <c r="I239" i="4"/>
  <c r="I279" i="4"/>
  <c r="I19" i="4"/>
  <c r="I99" i="4"/>
  <c r="I1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<sst xmlns="http://schemas.openxmlformats.org/spreadsheetml/2006/main" count="7445" uniqueCount="166">
  <si>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</si>
  <si>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</si>
  <si>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</si>
  <si>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</si>
  <si>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</si>
  <si>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</si>
  <si>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</si>
  <si>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</si>
  <si>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</si>
  <si>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</si>
  <si>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</si>
  <si>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</si>
  <si>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</si>
  <si>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</si>
  <si>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</si>
  <si>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</si>
  <si>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</si>
  <si>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</si>
  <si>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</si>
  <si>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</si>
  <si>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</si>
  <si>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</si>
  <si>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</si>
  <si>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</si>
  <si>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</si>
  <si>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</si>
  <si>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</si>
  <si>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</si>
  <si>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</si>
  <si>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</si>
  <si>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</si>
  <si>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</si>
  <si>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</si>
  <si>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</si>
  <si>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</si>
  <si>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</si>
  <si>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</si>
  <si>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</si>
  <si>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</si>
  <si>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</si>
  <si>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</si>
  <si>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</si>
  <si>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</si>
  <si>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</si>
  <si>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</si>
  <si>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</si>
  <si>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</si>
  <si>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</si>
  <si>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</si>
  <si>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</si>
  <si>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</si>
  <si>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</si>
  <si>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</si>
  <si>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</si>
  <si>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</si>
  <si>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</si>
  <si>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</si>
  <si>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</si>
  <si>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</si>
  <si>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</si>
  <si>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</si>
  <si>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</si>
  <si>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</si>
  <si>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</si>
  <si>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</si>
  <si>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</si>
  <si>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</si>
  <si>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</si>
  <si>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</si>
  <si>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</si>
  <si>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</si>
  <si>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</si>
  <si>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</si>
  <si>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</si>
  <si>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</si>
  <si>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</si>
  <si>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</si>
  <si>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</si>
  <si>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</si>
  <si>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</si>
  <si>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</si>
  <si>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</si>
  <si>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</si>
  <si>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</si>
  <si>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</si>
  <si>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</si>
  <si>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</si>
  <si>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</si>
  <si>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</si>
  <si>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</si>
  <si>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</si>
  <si>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Barbadoes Street_Salisbury Street_Intersection</t>
  </si>
  <si>
    <t>Barbadoes Street North</t>
  </si>
  <si>
    <t>Cambridge Terrace East</t>
  </si>
  <si>
    <t>Salisbury Street West</t>
  </si>
  <si>
    <t>Left into Cambridge Terrace East</t>
  </si>
  <si>
    <t>Thru to Barbadoes Street South</t>
  </si>
  <si>
    <t>Barbadoes Street South</t>
  </si>
  <si>
    <t>Left into Barbadoes Street South</t>
  </si>
  <si>
    <t>Thru to Cambridge Terrace East</t>
  </si>
  <si>
    <t>Right into Barbadoes Street South</t>
  </si>
  <si>
    <t>Barbadoes Street_Salisbury Street_Intersection      Fine      12/10/2023</t>
  </si>
  <si>
    <t>Barbadoes Street North Total</t>
  </si>
  <si>
    <t>Cambridge Terrace East Total</t>
  </si>
  <si>
    <t>Salisbury Street West Total</t>
  </si>
  <si>
    <t>Left into Cambridge Terrace East Total</t>
  </si>
  <si>
    <t>Thru to Barbadoes Street South Total</t>
  </si>
  <si>
    <t>Left into Barbadoes Street South Total</t>
  </si>
  <si>
    <t>Thru to Cambridge Terrace East Total</t>
  </si>
  <si>
    <t>Right into Barbadoes Street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</si>
  <si>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</si>
  <si>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</si>
  <si>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</si>
  <si>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</si>
  <si>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</si>
  <si>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</si>
  <si>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</si>
  <si>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</si>
  <si>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</si>
  <si>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</si>
  <si>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</si>
  <si>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</si>
  <si>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</si>
  <si>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</si>
  <si>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</si>
  <si>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</si>
  <si>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</si>
  <si>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</si>
  <si>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</si>
  <si>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</si>
  <si>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</si>
  <si>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</si>
  <si>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</si>
  <si>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</si>
  <si>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</si>
  <si>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</si>
  <si>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</si>
  <si>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</si>
  <si>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</si>
  <si>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</si>
  <si>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</si>
  <si>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</si>
  <si>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</si>
  <si>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</si>
  <si>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</si>
  <si>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</si>
  <si>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</si>
  <si>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</si>
  <si>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</si>
  <si>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</si>
  <si>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</si>
  <si>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Salisbury St</t>
  </si>
  <si>
    <t>Barbadoes St Southbound</t>
  </si>
  <si>
    <t>Cambridge Tce</t>
  </si>
  <si>
    <t>Lights</t>
  </si>
  <si>
    <t>Classification</t>
  </si>
  <si>
    <t>Road</t>
  </si>
  <si>
    <t>Type</t>
  </si>
  <si>
    <t>Project</t>
  </si>
  <si>
    <t>Site Code</t>
  </si>
  <si>
    <t>10/12/2023</t>
  </si>
  <si>
    <t>Start Date</t>
  </si>
  <si>
    <t>CCC I3303 Barbadoes St - Salisbury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</si>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</sst>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1913682-7275-4877-BB9B-A75CA7B2A43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[I3303_Barbadoes Street_Salisbury Street_Intersection_12-10-2023.xlsx]Graphs!pvtGraphApproach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245</c:v>
                </c:pt>
                <c:pt idx="1">
                  <c:v>314</c:v>
                </c:pt>
                <c:pt idx="2">
                  <c:v>318</c:v>
                </c:pt>
                <c:pt idx="3">
                  <c:v>321</c:v>
                </c:pt>
                <c:pt idx="4">
                  <c:v>330</c:v>
                </c:pt>
                <c:pt idx="5">
                  <c:v>316</c:v>
                </c:pt>
                <c:pt idx="6">
                  <c:v>295</c:v>
                </c:pt>
                <c:pt idx="7">
                  <c:v>303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Cambridge Terrace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c:v>
                </c:pt>
                <c:pt idx="1">
                  <c:v>3</c:v>
                </c:pt>
                <c:pt idx="2">
                  <c:v>8</c:v>
                </c:pt>
                <c:pt idx="3">
                  <c:v>11</c:v>
                </c:pt>
                <c:pt idx="4">
                  <c:v>3</c:v>
                </c:pt>
                <c:pt idx="5">
                  <c:v>11</c:v>
                </c:pt>
                <c:pt idx="6">
                  <c:v>4</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Salisbury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54</c:v>
                </c:pt>
                <c:pt idx="2">
                  <c:v>61</c:v>
                </c:pt>
                <c:pt idx="3">
                  <c:v>77</c:v>
                </c:pt>
                <c:pt idx="4">
                  <c:v>74</c:v>
                </c:pt>
                <c:pt idx="5">
                  <c:v>103</c:v>
                </c:pt>
                <c:pt idx="6">
                  <c:v>91</c:v>
                </c:pt>
                <c:pt idx="7">
                  <c:v>90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[I3303_Barbadoes Street_Salisbury Street_Intersection_12-10-2023.xlsx]Graphs!pvtGraphExit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276</c:v>
                </c:pt>
                <c:pt idx="1">
                  <c:v>367</c:v>
                </c:pt>
                <c:pt idx="2">
                  <c:v>384</c:v>
                </c:pt>
                <c:pt idx="3">
                  <c:v>403</c:v>
                </c:pt>
                <c:pt idx="4">
                  <c:v>403</c:v>
                </c:pt>
                <c:pt idx="5">
                  <c:v>402</c:v>
                </c:pt>
                <c:pt idx="6">
                  <c:v>380</c:v>
                </c:pt>
                <c:pt idx="7">
                  <c:v>381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Cambridge Terrace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4</c:v>
                </c:pt>
                <c:pt idx="2">
                  <c:v>3</c:v>
                </c:pt>
                <c:pt idx="3">
                  <c:v>6</c:v>
                </c:pt>
                <c:pt idx="4">
                  <c:v>4</c:v>
                </c:pt>
                <c:pt idx="5">
                  <c:v>28</c:v>
                </c:pt>
                <c:pt idx="6">
                  <c:v>10</c:v>
                </c:pt>
                <c:pt idx="7">
                  <c:v>12</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[I3303_Barbadoes Street_Salisbury Street_Intersection_12-10-2023.xlsx]GraphData!PivotTable2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277</c:v>
                </c:pt>
                <c:pt idx="1">
                  <c:v>371</c:v>
                </c:pt>
                <c:pt idx="2">
                  <c:v>387</c:v>
                </c:pt>
                <c:pt idx="3">
                  <c:v>409</c:v>
                </c:pt>
                <c:pt idx="4">
                  <c:v>407</c:v>
                </c:pt>
                <c:pt idx="5">
                  <c:v>430</c:v>
                </c:pt>
                <c:pt idx="6">
                  <c:v>390</c:v>
                </c:pt>
                <c:pt idx="7">
                  <c:v>393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[I3303_Barbadoes Street_Salisbury Street_Intersection_12-10-2023.xlsx]PeakCalc!pvtPeak2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277</c:v>
                </c:pt>
                <c:pt idx="1">
                  <c:v>371</c:v>
                </c:pt>
                <c:pt idx="2">
                  <c:v>387</c:v>
                </c:pt>
                <c:pt idx="3">
                  <c:v>409</c:v>
                </c:pt>
                <c:pt idx="4">
                  <c:v>407</c:v>
                </c:pt>
                <c:pt idx="5">
                  <c:v>430</c:v>
                </c:pt>
                <c:pt idx="6">
                  <c:v>390</c:v>
                </c:pt>
                <c:pt idx="7">
                  <c:v>393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409</c:v>
                </c:pt>
                <c:pt idx="4">
                  <c:v>407</c:v>
                </c:pt>
                <c:pt idx="5">
                  <c:v>430</c:v>
                </c:pt>
                <c:pt idx="6">
                  <c:v>390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902809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1018117</xdr:colOff>
      <xdr:row>5</xdr:row>
      <xdr:rowOff>3175</xdr:rowOff>
    </xdr:from>
    <xdr:to>
      <xdr:col>20</xdr:col>
      <xdr:colOff>535567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8.4678408564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30"/>
    </cacheField>
    <cacheField name="Peak" numFmtId="0">
      <sharedItems containsSemiMixedTypes="0" containsString="0" containsNumber="1" containsInteger="1" minValue="0" maxValue="43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8.467952083331" createdVersion="5" refreshedVersion="8" minRefreshableVersion="3" recordCount="300" xr:uid="{00000000-000A-0000-FFFF-FFFF01000000}">
  <cacheSource type="worksheet">
    <worksheetSource name="tblPivotData"/>
  </cacheSource>
  <cacheFields count="9">
    <cacheField name="Approach" numFmtId="0">
      <sharedItems count="6">
        <s v="Barbadoes Street North"/>
        <s v="Cambridge Terrace East"/>
        <s v="Salisbury Street West"/>
        <s v="Great south Rd (North)" u="1"/>
        <s v="Great south Rd (South)" u="1"/>
        <s v="Grange Rd" u="1"/>
      </sharedItems>
    </cacheField>
    <cacheField name="Movement" numFmtId="0">
      <sharedItems count="13">
        <s v="Left into Cambridge Terrace East"/>
        <s v="Thru to Barbadoes Street South"/>
        <s v="Left into Barbadoes Street South"/>
        <s v="Thru to Cambridge Terrace East"/>
        <s v="Right into Barbadoes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6">
        <s v="Cambridge Terrace East"/>
        <s v="Barbadoes Street Sou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1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7"/>
    <n v="0"/>
  </r>
  <r>
    <x v="0"/>
    <x v="1"/>
    <n v="371"/>
    <n v="0"/>
  </r>
  <r>
    <x v="0"/>
    <x v="2"/>
    <n v="387"/>
    <n v="0"/>
  </r>
  <r>
    <x v="0"/>
    <x v="3"/>
    <n v="409"/>
    <n v="409"/>
  </r>
  <r>
    <x v="0"/>
    <x v="4"/>
    <n v="407"/>
    <n v="407"/>
  </r>
  <r>
    <x v="0"/>
    <x v="5"/>
    <n v="430"/>
    <n v="430"/>
  </r>
  <r>
    <x v="0"/>
    <x v="6"/>
    <n v="390"/>
    <n v="390"/>
  </r>
  <r>
    <x v="0"/>
    <x v="7"/>
    <n v="393"/>
    <n v="0"/>
  </r>
  <r>
    <x v="1"/>
    <x v="8"/>
    <n v="250"/>
    <n v="250"/>
  </r>
  <r>
    <x v="1"/>
    <x v="9"/>
    <n v="242"/>
    <n v="242"/>
  </r>
  <r>
    <x v="1"/>
    <x v="10"/>
    <n v="266"/>
    <n v="266"/>
  </r>
  <r>
    <x v="1"/>
    <x v="11"/>
    <n v="267"/>
    <n v="267"/>
  </r>
  <r>
    <x v="2"/>
    <x v="12"/>
    <n v="342"/>
    <n v="0"/>
  </r>
  <r>
    <x v="2"/>
    <x v="13"/>
    <n v="370"/>
    <n v="370"/>
  </r>
  <r>
    <x v="2"/>
    <x v="14"/>
    <n v="336"/>
    <n v="336"/>
  </r>
  <r>
    <x v="2"/>
    <x v="15"/>
    <n v="355"/>
    <n v="355"/>
  </r>
  <r>
    <x v="2"/>
    <x v="16"/>
    <n v="357"/>
    <n v="357"/>
  </r>
  <r>
    <x v="2"/>
    <x v="17"/>
    <n v="338"/>
    <n v="0"/>
  </r>
  <r>
    <x v="2"/>
    <x v="18"/>
    <n v="332"/>
    <n v="0"/>
  </r>
  <r>
    <x v="2"/>
    <x v="19"/>
    <n v="30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n v="1"/>
    <x v="0"/>
    <x v="0"/>
  </r>
  <r>
    <x v="0"/>
    <x v="0"/>
    <x v="0"/>
    <x v="0"/>
    <x v="0"/>
    <x v="1"/>
    <n v="0"/>
    <x v="1"/>
    <x v="0"/>
  </r>
  <r>
    <x v="0"/>
    <x v="0"/>
    <x v="0"/>
    <x v="0"/>
    <x v="0"/>
    <x v="2"/>
    <n v="1"/>
    <x v="2"/>
    <x v="0"/>
  </r>
  <r>
    <x v="0"/>
    <x v="0"/>
    <x v="0"/>
    <x v="0"/>
    <x v="0"/>
    <x v="3"/>
    <n v="2"/>
    <x v="3"/>
    <x v="1"/>
  </r>
  <r>
    <x v="0"/>
    <x v="0"/>
    <x v="0"/>
    <x v="0"/>
    <x v="0"/>
    <x v="4"/>
    <n v="1"/>
    <x v="4"/>
    <x v="1"/>
  </r>
  <r>
    <x v="0"/>
    <x v="0"/>
    <x v="0"/>
    <x v="0"/>
    <x v="0"/>
    <x v="5"/>
    <n v="3"/>
    <x v="5"/>
    <x v="1"/>
  </r>
  <r>
    <x v="0"/>
    <x v="0"/>
    <x v="0"/>
    <x v="0"/>
    <x v="0"/>
    <x v="6"/>
    <n v="5"/>
    <x v="6"/>
    <x v="1"/>
  </r>
  <r>
    <x v="0"/>
    <x v="0"/>
    <x v="0"/>
    <x v="0"/>
    <x v="0"/>
    <x v="7"/>
    <n v="2"/>
    <x v="7"/>
    <x v="0"/>
  </r>
  <r>
    <x v="0"/>
    <x v="0"/>
    <x v="0"/>
    <x v="0"/>
    <x v="1"/>
    <x v="8"/>
    <n v="3"/>
    <x v="8"/>
    <x v="1"/>
  </r>
  <r>
    <x v="0"/>
    <x v="0"/>
    <x v="0"/>
    <x v="0"/>
    <x v="1"/>
    <x v="9"/>
    <n v="2"/>
    <x v="9"/>
    <x v="1"/>
  </r>
  <r>
    <x v="0"/>
    <x v="0"/>
    <x v="0"/>
    <x v="0"/>
    <x v="1"/>
    <x v="10"/>
    <n v="2"/>
    <x v="10"/>
    <x v="1"/>
  </r>
  <r>
    <x v="0"/>
    <x v="0"/>
    <x v="0"/>
    <x v="0"/>
    <x v="1"/>
    <x v="11"/>
    <n v="3"/>
    <x v="11"/>
    <x v="1"/>
  </r>
  <r>
    <x v="0"/>
    <x v="0"/>
    <x v="0"/>
    <x v="0"/>
    <x v="2"/>
    <x v="12"/>
    <n v="2"/>
    <x v="12"/>
    <x v="0"/>
  </r>
  <r>
    <x v="0"/>
    <x v="0"/>
    <x v="0"/>
    <x v="0"/>
    <x v="2"/>
    <x v="13"/>
    <n v="5"/>
    <x v="13"/>
    <x v="1"/>
  </r>
  <r>
    <x v="0"/>
    <x v="0"/>
    <x v="0"/>
    <x v="0"/>
    <x v="2"/>
    <x v="14"/>
    <n v="7"/>
    <x v="14"/>
    <x v="1"/>
  </r>
  <r>
    <x v="0"/>
    <x v="0"/>
    <x v="0"/>
    <x v="0"/>
    <x v="2"/>
    <x v="15"/>
    <n v="2"/>
    <x v="15"/>
    <x v="1"/>
  </r>
  <r>
    <x v="0"/>
    <x v="0"/>
    <x v="0"/>
    <x v="0"/>
    <x v="2"/>
    <x v="16"/>
    <n v="5"/>
    <x v="16"/>
    <x v="1"/>
  </r>
  <r>
    <x v="0"/>
    <x v="0"/>
    <x v="0"/>
    <x v="0"/>
    <x v="2"/>
    <x v="17"/>
    <n v="4"/>
    <x v="17"/>
    <x v="0"/>
  </r>
  <r>
    <x v="0"/>
    <x v="0"/>
    <x v="0"/>
    <x v="0"/>
    <x v="2"/>
    <x v="18"/>
    <n v="2"/>
    <x v="18"/>
    <x v="0"/>
  </r>
  <r>
    <x v="0"/>
    <x v="0"/>
    <x v="0"/>
    <x v="0"/>
    <x v="2"/>
    <x v="19"/>
    <n v="1"/>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1"/>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1"/>
    <x v="19"/>
    <x v="0"/>
  </r>
  <r>
    <x v="0"/>
    <x v="1"/>
    <x v="1"/>
    <x v="0"/>
    <x v="0"/>
    <x v="0"/>
    <n v="235"/>
    <x v="0"/>
    <x v="0"/>
  </r>
  <r>
    <x v="0"/>
    <x v="1"/>
    <x v="1"/>
    <x v="0"/>
    <x v="0"/>
    <x v="1"/>
    <n v="298"/>
    <x v="1"/>
    <x v="0"/>
  </r>
  <r>
    <x v="0"/>
    <x v="1"/>
    <x v="1"/>
    <x v="0"/>
    <x v="0"/>
    <x v="2"/>
    <n v="304"/>
    <x v="2"/>
    <x v="0"/>
  </r>
  <r>
    <x v="0"/>
    <x v="1"/>
    <x v="1"/>
    <x v="0"/>
    <x v="0"/>
    <x v="3"/>
    <n v="301"/>
    <x v="3"/>
    <x v="1"/>
  </r>
  <r>
    <x v="0"/>
    <x v="1"/>
    <x v="1"/>
    <x v="0"/>
    <x v="0"/>
    <x v="4"/>
    <n v="317"/>
    <x v="4"/>
    <x v="1"/>
  </r>
  <r>
    <x v="0"/>
    <x v="1"/>
    <x v="1"/>
    <x v="0"/>
    <x v="0"/>
    <x v="5"/>
    <n v="295"/>
    <x v="5"/>
    <x v="1"/>
  </r>
  <r>
    <x v="0"/>
    <x v="1"/>
    <x v="1"/>
    <x v="0"/>
    <x v="0"/>
    <x v="6"/>
    <n v="280"/>
    <x v="6"/>
    <x v="1"/>
  </r>
  <r>
    <x v="0"/>
    <x v="1"/>
    <x v="1"/>
    <x v="0"/>
    <x v="0"/>
    <x v="7"/>
    <n v="293"/>
    <x v="7"/>
    <x v="0"/>
  </r>
  <r>
    <x v="0"/>
    <x v="1"/>
    <x v="1"/>
    <x v="0"/>
    <x v="1"/>
    <x v="8"/>
    <n v="153"/>
    <x v="8"/>
    <x v="1"/>
  </r>
  <r>
    <x v="0"/>
    <x v="1"/>
    <x v="1"/>
    <x v="0"/>
    <x v="1"/>
    <x v="9"/>
    <n v="158"/>
    <x v="9"/>
    <x v="1"/>
  </r>
  <r>
    <x v="0"/>
    <x v="1"/>
    <x v="1"/>
    <x v="0"/>
    <x v="1"/>
    <x v="10"/>
    <n v="175"/>
    <x v="10"/>
    <x v="1"/>
  </r>
  <r>
    <x v="0"/>
    <x v="1"/>
    <x v="1"/>
    <x v="0"/>
    <x v="1"/>
    <x v="11"/>
    <n v="181"/>
    <x v="11"/>
    <x v="1"/>
  </r>
  <r>
    <x v="0"/>
    <x v="1"/>
    <x v="1"/>
    <x v="0"/>
    <x v="2"/>
    <x v="12"/>
    <n v="212"/>
    <x v="12"/>
    <x v="0"/>
  </r>
  <r>
    <x v="0"/>
    <x v="1"/>
    <x v="1"/>
    <x v="0"/>
    <x v="2"/>
    <x v="13"/>
    <n v="233"/>
    <x v="13"/>
    <x v="1"/>
  </r>
  <r>
    <x v="0"/>
    <x v="1"/>
    <x v="1"/>
    <x v="0"/>
    <x v="2"/>
    <x v="14"/>
    <n v="208"/>
    <x v="14"/>
    <x v="1"/>
  </r>
  <r>
    <x v="0"/>
    <x v="1"/>
    <x v="1"/>
    <x v="0"/>
    <x v="2"/>
    <x v="15"/>
    <n v="199"/>
    <x v="15"/>
    <x v="1"/>
  </r>
  <r>
    <x v="0"/>
    <x v="1"/>
    <x v="1"/>
    <x v="0"/>
    <x v="2"/>
    <x v="16"/>
    <n v="190"/>
    <x v="16"/>
    <x v="1"/>
  </r>
  <r>
    <x v="0"/>
    <x v="1"/>
    <x v="1"/>
    <x v="0"/>
    <x v="2"/>
    <x v="17"/>
    <n v="187"/>
    <x v="17"/>
    <x v="0"/>
  </r>
  <r>
    <x v="0"/>
    <x v="1"/>
    <x v="1"/>
    <x v="0"/>
    <x v="2"/>
    <x v="18"/>
    <n v="201"/>
    <x v="18"/>
    <x v="0"/>
  </r>
  <r>
    <x v="0"/>
    <x v="1"/>
    <x v="1"/>
    <x v="0"/>
    <x v="2"/>
    <x v="19"/>
    <n v="198"/>
    <x v="19"/>
    <x v="0"/>
  </r>
  <r>
    <x v="0"/>
    <x v="1"/>
    <x v="1"/>
    <x v="1"/>
    <x v="0"/>
    <x v="0"/>
    <n v="8"/>
    <x v="0"/>
    <x v="0"/>
  </r>
  <r>
    <x v="0"/>
    <x v="1"/>
    <x v="1"/>
    <x v="1"/>
    <x v="0"/>
    <x v="1"/>
    <n v="7"/>
    <x v="1"/>
    <x v="0"/>
  </r>
  <r>
    <x v="0"/>
    <x v="1"/>
    <x v="1"/>
    <x v="1"/>
    <x v="0"/>
    <x v="2"/>
    <n v="4"/>
    <x v="2"/>
    <x v="0"/>
  </r>
  <r>
    <x v="0"/>
    <x v="1"/>
    <x v="1"/>
    <x v="1"/>
    <x v="0"/>
    <x v="3"/>
    <n v="11"/>
    <x v="3"/>
    <x v="1"/>
  </r>
  <r>
    <x v="0"/>
    <x v="1"/>
    <x v="1"/>
    <x v="1"/>
    <x v="0"/>
    <x v="4"/>
    <n v="8"/>
    <x v="4"/>
    <x v="1"/>
  </r>
  <r>
    <x v="0"/>
    <x v="1"/>
    <x v="1"/>
    <x v="1"/>
    <x v="0"/>
    <x v="5"/>
    <n v="5"/>
    <x v="5"/>
    <x v="1"/>
  </r>
  <r>
    <x v="0"/>
    <x v="1"/>
    <x v="1"/>
    <x v="1"/>
    <x v="0"/>
    <x v="6"/>
    <n v="6"/>
    <x v="6"/>
    <x v="1"/>
  </r>
  <r>
    <x v="0"/>
    <x v="1"/>
    <x v="1"/>
    <x v="1"/>
    <x v="0"/>
    <x v="7"/>
    <n v="4"/>
    <x v="7"/>
    <x v="0"/>
  </r>
  <r>
    <x v="0"/>
    <x v="1"/>
    <x v="1"/>
    <x v="1"/>
    <x v="1"/>
    <x v="8"/>
    <n v="11"/>
    <x v="8"/>
    <x v="1"/>
  </r>
  <r>
    <x v="0"/>
    <x v="1"/>
    <x v="1"/>
    <x v="1"/>
    <x v="1"/>
    <x v="9"/>
    <n v="6"/>
    <x v="9"/>
    <x v="1"/>
  </r>
  <r>
    <x v="0"/>
    <x v="1"/>
    <x v="1"/>
    <x v="1"/>
    <x v="1"/>
    <x v="10"/>
    <n v="5"/>
    <x v="10"/>
    <x v="1"/>
  </r>
  <r>
    <x v="0"/>
    <x v="1"/>
    <x v="1"/>
    <x v="1"/>
    <x v="1"/>
    <x v="11"/>
    <n v="5"/>
    <x v="11"/>
    <x v="1"/>
  </r>
  <r>
    <x v="0"/>
    <x v="1"/>
    <x v="1"/>
    <x v="1"/>
    <x v="2"/>
    <x v="12"/>
    <n v="8"/>
    <x v="12"/>
    <x v="0"/>
  </r>
  <r>
    <x v="0"/>
    <x v="1"/>
    <x v="1"/>
    <x v="1"/>
    <x v="2"/>
    <x v="13"/>
    <n v="4"/>
    <x v="13"/>
    <x v="1"/>
  </r>
  <r>
    <x v="0"/>
    <x v="1"/>
    <x v="1"/>
    <x v="1"/>
    <x v="2"/>
    <x v="14"/>
    <n v="1"/>
    <x v="14"/>
    <x v="1"/>
  </r>
  <r>
    <x v="0"/>
    <x v="1"/>
    <x v="1"/>
    <x v="1"/>
    <x v="2"/>
    <x v="15"/>
    <n v="1"/>
    <x v="15"/>
    <x v="1"/>
  </r>
  <r>
    <x v="0"/>
    <x v="1"/>
    <x v="1"/>
    <x v="1"/>
    <x v="2"/>
    <x v="16"/>
    <n v="0"/>
    <x v="16"/>
    <x v="1"/>
  </r>
  <r>
    <x v="0"/>
    <x v="1"/>
    <x v="1"/>
    <x v="1"/>
    <x v="2"/>
    <x v="17"/>
    <n v="3"/>
    <x v="17"/>
    <x v="0"/>
  </r>
  <r>
    <x v="0"/>
    <x v="1"/>
    <x v="1"/>
    <x v="1"/>
    <x v="2"/>
    <x v="18"/>
    <n v="0"/>
    <x v="18"/>
    <x v="0"/>
  </r>
  <r>
    <x v="0"/>
    <x v="1"/>
    <x v="1"/>
    <x v="1"/>
    <x v="2"/>
    <x v="19"/>
    <n v="0"/>
    <x v="19"/>
    <x v="0"/>
  </r>
  <r>
    <x v="0"/>
    <x v="1"/>
    <x v="1"/>
    <x v="2"/>
    <x v="0"/>
    <x v="0"/>
    <n v="1"/>
    <x v="0"/>
    <x v="0"/>
  </r>
  <r>
    <x v="0"/>
    <x v="1"/>
    <x v="1"/>
    <x v="2"/>
    <x v="0"/>
    <x v="1"/>
    <n v="9"/>
    <x v="1"/>
    <x v="0"/>
  </r>
  <r>
    <x v="0"/>
    <x v="1"/>
    <x v="1"/>
    <x v="2"/>
    <x v="0"/>
    <x v="2"/>
    <n v="8"/>
    <x v="2"/>
    <x v="0"/>
  </r>
  <r>
    <x v="0"/>
    <x v="1"/>
    <x v="1"/>
    <x v="2"/>
    <x v="0"/>
    <x v="3"/>
    <n v="7"/>
    <x v="3"/>
    <x v="1"/>
  </r>
  <r>
    <x v="0"/>
    <x v="1"/>
    <x v="1"/>
    <x v="2"/>
    <x v="0"/>
    <x v="4"/>
    <n v="4"/>
    <x v="4"/>
    <x v="1"/>
  </r>
  <r>
    <x v="0"/>
    <x v="1"/>
    <x v="1"/>
    <x v="2"/>
    <x v="0"/>
    <x v="5"/>
    <n v="13"/>
    <x v="5"/>
    <x v="1"/>
  </r>
  <r>
    <x v="0"/>
    <x v="1"/>
    <x v="1"/>
    <x v="2"/>
    <x v="0"/>
    <x v="6"/>
    <n v="3"/>
    <x v="6"/>
    <x v="1"/>
  </r>
  <r>
    <x v="0"/>
    <x v="1"/>
    <x v="1"/>
    <x v="2"/>
    <x v="0"/>
    <x v="7"/>
    <n v="3"/>
    <x v="7"/>
    <x v="0"/>
  </r>
  <r>
    <x v="0"/>
    <x v="1"/>
    <x v="1"/>
    <x v="2"/>
    <x v="1"/>
    <x v="8"/>
    <n v="0"/>
    <x v="8"/>
    <x v="1"/>
  </r>
  <r>
    <x v="0"/>
    <x v="1"/>
    <x v="1"/>
    <x v="2"/>
    <x v="1"/>
    <x v="9"/>
    <n v="2"/>
    <x v="9"/>
    <x v="1"/>
  </r>
  <r>
    <x v="0"/>
    <x v="1"/>
    <x v="1"/>
    <x v="2"/>
    <x v="1"/>
    <x v="10"/>
    <n v="0"/>
    <x v="10"/>
    <x v="1"/>
  </r>
  <r>
    <x v="0"/>
    <x v="1"/>
    <x v="1"/>
    <x v="2"/>
    <x v="1"/>
    <x v="11"/>
    <n v="0"/>
    <x v="11"/>
    <x v="1"/>
  </r>
  <r>
    <x v="0"/>
    <x v="1"/>
    <x v="1"/>
    <x v="2"/>
    <x v="2"/>
    <x v="12"/>
    <n v="2"/>
    <x v="12"/>
    <x v="0"/>
  </r>
  <r>
    <x v="0"/>
    <x v="1"/>
    <x v="1"/>
    <x v="2"/>
    <x v="2"/>
    <x v="13"/>
    <n v="1"/>
    <x v="13"/>
    <x v="1"/>
  </r>
  <r>
    <x v="0"/>
    <x v="1"/>
    <x v="1"/>
    <x v="2"/>
    <x v="2"/>
    <x v="14"/>
    <n v="0"/>
    <x v="14"/>
    <x v="1"/>
  </r>
  <r>
    <x v="0"/>
    <x v="1"/>
    <x v="1"/>
    <x v="2"/>
    <x v="2"/>
    <x v="15"/>
    <n v="3"/>
    <x v="15"/>
    <x v="1"/>
  </r>
  <r>
    <x v="0"/>
    <x v="1"/>
    <x v="1"/>
    <x v="2"/>
    <x v="2"/>
    <x v="16"/>
    <n v="1"/>
    <x v="16"/>
    <x v="1"/>
  </r>
  <r>
    <x v="0"/>
    <x v="1"/>
    <x v="1"/>
    <x v="2"/>
    <x v="2"/>
    <x v="17"/>
    <n v="1"/>
    <x v="17"/>
    <x v="0"/>
  </r>
  <r>
    <x v="0"/>
    <x v="1"/>
    <x v="1"/>
    <x v="2"/>
    <x v="2"/>
    <x v="18"/>
    <n v="2"/>
    <x v="18"/>
    <x v="0"/>
  </r>
  <r>
    <x v="0"/>
    <x v="1"/>
    <x v="1"/>
    <x v="2"/>
    <x v="2"/>
    <x v="19"/>
    <n v="2"/>
    <x v="19"/>
    <x v="0"/>
  </r>
  <r>
    <x v="1"/>
    <x v="2"/>
    <x v="1"/>
    <x v="0"/>
    <x v="0"/>
    <x v="0"/>
    <n v="1"/>
    <x v="0"/>
    <x v="0"/>
  </r>
  <r>
    <x v="1"/>
    <x v="2"/>
    <x v="1"/>
    <x v="0"/>
    <x v="0"/>
    <x v="1"/>
    <n v="1"/>
    <x v="1"/>
    <x v="0"/>
  </r>
  <r>
    <x v="1"/>
    <x v="2"/>
    <x v="1"/>
    <x v="0"/>
    <x v="0"/>
    <x v="2"/>
    <n v="3"/>
    <x v="2"/>
    <x v="0"/>
  </r>
  <r>
    <x v="1"/>
    <x v="2"/>
    <x v="1"/>
    <x v="0"/>
    <x v="0"/>
    <x v="3"/>
    <n v="3"/>
    <x v="3"/>
    <x v="1"/>
  </r>
  <r>
    <x v="1"/>
    <x v="2"/>
    <x v="1"/>
    <x v="0"/>
    <x v="0"/>
    <x v="4"/>
    <n v="1"/>
    <x v="4"/>
    <x v="1"/>
  </r>
  <r>
    <x v="1"/>
    <x v="2"/>
    <x v="1"/>
    <x v="0"/>
    <x v="0"/>
    <x v="5"/>
    <n v="4"/>
    <x v="5"/>
    <x v="1"/>
  </r>
  <r>
    <x v="1"/>
    <x v="2"/>
    <x v="1"/>
    <x v="0"/>
    <x v="0"/>
    <x v="6"/>
    <n v="1"/>
    <x v="6"/>
    <x v="1"/>
  </r>
  <r>
    <x v="1"/>
    <x v="2"/>
    <x v="1"/>
    <x v="0"/>
    <x v="0"/>
    <x v="7"/>
    <n v="0"/>
    <x v="7"/>
    <x v="0"/>
  </r>
  <r>
    <x v="1"/>
    <x v="2"/>
    <x v="1"/>
    <x v="0"/>
    <x v="1"/>
    <x v="8"/>
    <n v="3"/>
    <x v="8"/>
    <x v="1"/>
  </r>
  <r>
    <x v="1"/>
    <x v="2"/>
    <x v="1"/>
    <x v="0"/>
    <x v="1"/>
    <x v="9"/>
    <n v="1"/>
    <x v="9"/>
    <x v="1"/>
  </r>
  <r>
    <x v="1"/>
    <x v="2"/>
    <x v="1"/>
    <x v="0"/>
    <x v="1"/>
    <x v="10"/>
    <n v="3"/>
    <x v="10"/>
    <x v="1"/>
  </r>
  <r>
    <x v="1"/>
    <x v="2"/>
    <x v="1"/>
    <x v="0"/>
    <x v="1"/>
    <x v="11"/>
    <n v="5"/>
    <x v="11"/>
    <x v="1"/>
  </r>
  <r>
    <x v="1"/>
    <x v="2"/>
    <x v="1"/>
    <x v="0"/>
    <x v="2"/>
    <x v="12"/>
    <n v="4"/>
    <x v="12"/>
    <x v="0"/>
  </r>
  <r>
    <x v="1"/>
    <x v="2"/>
    <x v="1"/>
    <x v="0"/>
    <x v="2"/>
    <x v="13"/>
    <n v="1"/>
    <x v="13"/>
    <x v="1"/>
  </r>
  <r>
    <x v="1"/>
    <x v="2"/>
    <x v="1"/>
    <x v="0"/>
    <x v="2"/>
    <x v="14"/>
    <n v="2"/>
    <x v="14"/>
    <x v="1"/>
  </r>
  <r>
    <x v="1"/>
    <x v="2"/>
    <x v="1"/>
    <x v="0"/>
    <x v="2"/>
    <x v="15"/>
    <n v="3"/>
    <x v="15"/>
    <x v="1"/>
  </r>
  <r>
    <x v="1"/>
    <x v="2"/>
    <x v="1"/>
    <x v="0"/>
    <x v="2"/>
    <x v="16"/>
    <n v="5"/>
    <x v="16"/>
    <x v="1"/>
  </r>
  <r>
    <x v="1"/>
    <x v="2"/>
    <x v="1"/>
    <x v="0"/>
    <x v="2"/>
    <x v="17"/>
    <n v="4"/>
    <x v="17"/>
    <x v="0"/>
  </r>
  <r>
    <x v="1"/>
    <x v="2"/>
    <x v="1"/>
    <x v="0"/>
    <x v="2"/>
    <x v="18"/>
    <n v="3"/>
    <x v="18"/>
    <x v="0"/>
  </r>
  <r>
    <x v="1"/>
    <x v="2"/>
    <x v="1"/>
    <x v="0"/>
    <x v="2"/>
    <x v="19"/>
    <n v="1"/>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2"/>
    <x v="0"/>
    <x v="0"/>
  </r>
  <r>
    <x v="1"/>
    <x v="2"/>
    <x v="1"/>
    <x v="2"/>
    <x v="0"/>
    <x v="1"/>
    <n v="2"/>
    <x v="1"/>
    <x v="0"/>
  </r>
  <r>
    <x v="1"/>
    <x v="2"/>
    <x v="1"/>
    <x v="2"/>
    <x v="0"/>
    <x v="2"/>
    <n v="5"/>
    <x v="2"/>
    <x v="0"/>
  </r>
  <r>
    <x v="1"/>
    <x v="2"/>
    <x v="1"/>
    <x v="2"/>
    <x v="0"/>
    <x v="3"/>
    <n v="8"/>
    <x v="3"/>
    <x v="1"/>
  </r>
  <r>
    <x v="1"/>
    <x v="2"/>
    <x v="1"/>
    <x v="2"/>
    <x v="0"/>
    <x v="4"/>
    <n v="2"/>
    <x v="4"/>
    <x v="1"/>
  </r>
  <r>
    <x v="1"/>
    <x v="2"/>
    <x v="1"/>
    <x v="2"/>
    <x v="0"/>
    <x v="5"/>
    <n v="7"/>
    <x v="5"/>
    <x v="1"/>
  </r>
  <r>
    <x v="1"/>
    <x v="2"/>
    <x v="1"/>
    <x v="2"/>
    <x v="0"/>
    <x v="6"/>
    <n v="3"/>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1"/>
  </r>
  <r>
    <x v="1"/>
    <x v="2"/>
    <x v="1"/>
    <x v="2"/>
    <x v="2"/>
    <x v="14"/>
    <n v="0"/>
    <x v="14"/>
    <x v="1"/>
  </r>
  <r>
    <x v="1"/>
    <x v="2"/>
    <x v="1"/>
    <x v="2"/>
    <x v="2"/>
    <x v="15"/>
    <n v="1"/>
    <x v="15"/>
    <x v="1"/>
  </r>
  <r>
    <x v="1"/>
    <x v="2"/>
    <x v="1"/>
    <x v="2"/>
    <x v="2"/>
    <x v="16"/>
    <n v="0"/>
    <x v="16"/>
    <x v="1"/>
  </r>
  <r>
    <x v="1"/>
    <x v="2"/>
    <x v="1"/>
    <x v="2"/>
    <x v="2"/>
    <x v="17"/>
    <n v="1"/>
    <x v="17"/>
    <x v="0"/>
  </r>
  <r>
    <x v="1"/>
    <x v="2"/>
    <x v="1"/>
    <x v="2"/>
    <x v="2"/>
    <x v="18"/>
    <n v="0"/>
    <x v="18"/>
    <x v="0"/>
  </r>
  <r>
    <x v="1"/>
    <x v="2"/>
    <x v="1"/>
    <x v="2"/>
    <x v="2"/>
    <x v="19"/>
    <n v="0"/>
    <x v="19"/>
    <x v="0"/>
  </r>
  <r>
    <x v="2"/>
    <x v="3"/>
    <x v="0"/>
    <x v="0"/>
    <x v="0"/>
    <x v="0"/>
    <n v="0"/>
    <x v="0"/>
    <x v="0"/>
  </r>
  <r>
    <x v="2"/>
    <x v="3"/>
    <x v="0"/>
    <x v="0"/>
    <x v="0"/>
    <x v="1"/>
    <n v="4"/>
    <x v="1"/>
    <x v="0"/>
  </r>
  <r>
    <x v="2"/>
    <x v="3"/>
    <x v="0"/>
    <x v="0"/>
    <x v="0"/>
    <x v="2"/>
    <n v="1"/>
    <x v="2"/>
    <x v="0"/>
  </r>
  <r>
    <x v="2"/>
    <x v="3"/>
    <x v="0"/>
    <x v="0"/>
    <x v="0"/>
    <x v="3"/>
    <n v="4"/>
    <x v="3"/>
    <x v="1"/>
  </r>
  <r>
    <x v="2"/>
    <x v="3"/>
    <x v="0"/>
    <x v="0"/>
    <x v="0"/>
    <x v="4"/>
    <n v="2"/>
    <x v="4"/>
    <x v="1"/>
  </r>
  <r>
    <x v="2"/>
    <x v="3"/>
    <x v="0"/>
    <x v="0"/>
    <x v="0"/>
    <x v="5"/>
    <n v="5"/>
    <x v="5"/>
    <x v="1"/>
  </r>
  <r>
    <x v="2"/>
    <x v="3"/>
    <x v="0"/>
    <x v="0"/>
    <x v="0"/>
    <x v="6"/>
    <n v="4"/>
    <x v="6"/>
    <x v="1"/>
  </r>
  <r>
    <x v="2"/>
    <x v="3"/>
    <x v="0"/>
    <x v="0"/>
    <x v="0"/>
    <x v="7"/>
    <n v="8"/>
    <x v="7"/>
    <x v="0"/>
  </r>
  <r>
    <x v="2"/>
    <x v="3"/>
    <x v="0"/>
    <x v="0"/>
    <x v="1"/>
    <x v="8"/>
    <n v="2"/>
    <x v="8"/>
    <x v="1"/>
  </r>
  <r>
    <x v="2"/>
    <x v="3"/>
    <x v="0"/>
    <x v="0"/>
    <x v="1"/>
    <x v="9"/>
    <n v="4"/>
    <x v="9"/>
    <x v="1"/>
  </r>
  <r>
    <x v="2"/>
    <x v="3"/>
    <x v="0"/>
    <x v="0"/>
    <x v="1"/>
    <x v="10"/>
    <n v="8"/>
    <x v="10"/>
    <x v="1"/>
  </r>
  <r>
    <x v="2"/>
    <x v="3"/>
    <x v="0"/>
    <x v="0"/>
    <x v="1"/>
    <x v="11"/>
    <n v="5"/>
    <x v="11"/>
    <x v="1"/>
  </r>
  <r>
    <x v="2"/>
    <x v="3"/>
    <x v="0"/>
    <x v="0"/>
    <x v="2"/>
    <x v="12"/>
    <n v="6"/>
    <x v="12"/>
    <x v="0"/>
  </r>
  <r>
    <x v="2"/>
    <x v="3"/>
    <x v="0"/>
    <x v="0"/>
    <x v="2"/>
    <x v="13"/>
    <n v="7"/>
    <x v="13"/>
    <x v="1"/>
  </r>
  <r>
    <x v="2"/>
    <x v="3"/>
    <x v="0"/>
    <x v="0"/>
    <x v="2"/>
    <x v="14"/>
    <n v="5"/>
    <x v="14"/>
    <x v="1"/>
  </r>
  <r>
    <x v="2"/>
    <x v="3"/>
    <x v="0"/>
    <x v="0"/>
    <x v="2"/>
    <x v="15"/>
    <n v="9"/>
    <x v="15"/>
    <x v="1"/>
  </r>
  <r>
    <x v="2"/>
    <x v="3"/>
    <x v="0"/>
    <x v="0"/>
    <x v="2"/>
    <x v="16"/>
    <n v="14"/>
    <x v="16"/>
    <x v="1"/>
  </r>
  <r>
    <x v="2"/>
    <x v="3"/>
    <x v="0"/>
    <x v="0"/>
    <x v="2"/>
    <x v="17"/>
    <n v="7"/>
    <x v="17"/>
    <x v="0"/>
  </r>
  <r>
    <x v="2"/>
    <x v="3"/>
    <x v="0"/>
    <x v="0"/>
    <x v="2"/>
    <x v="18"/>
    <n v="1"/>
    <x v="18"/>
    <x v="0"/>
  </r>
  <r>
    <x v="2"/>
    <x v="3"/>
    <x v="0"/>
    <x v="0"/>
    <x v="2"/>
    <x v="19"/>
    <n v="8"/>
    <x v="19"/>
    <x v="0"/>
  </r>
  <r>
    <x v="2"/>
    <x v="3"/>
    <x v="0"/>
    <x v="1"/>
    <x v="0"/>
    <x v="0"/>
    <n v="0"/>
    <x v="0"/>
    <x v="0"/>
  </r>
  <r>
    <x v="2"/>
    <x v="3"/>
    <x v="0"/>
    <x v="1"/>
    <x v="0"/>
    <x v="1"/>
    <n v="0"/>
    <x v="1"/>
    <x v="0"/>
  </r>
  <r>
    <x v="2"/>
    <x v="3"/>
    <x v="0"/>
    <x v="1"/>
    <x v="0"/>
    <x v="2"/>
    <n v="0"/>
    <x v="2"/>
    <x v="0"/>
  </r>
  <r>
    <x v="2"/>
    <x v="3"/>
    <x v="0"/>
    <x v="1"/>
    <x v="0"/>
    <x v="3"/>
    <n v="0"/>
    <x v="3"/>
    <x v="1"/>
  </r>
  <r>
    <x v="2"/>
    <x v="3"/>
    <x v="0"/>
    <x v="1"/>
    <x v="0"/>
    <x v="4"/>
    <n v="0"/>
    <x v="4"/>
    <x v="1"/>
  </r>
  <r>
    <x v="2"/>
    <x v="3"/>
    <x v="0"/>
    <x v="1"/>
    <x v="0"/>
    <x v="5"/>
    <n v="0"/>
    <x v="5"/>
    <x v="1"/>
  </r>
  <r>
    <x v="2"/>
    <x v="3"/>
    <x v="0"/>
    <x v="1"/>
    <x v="0"/>
    <x v="6"/>
    <n v="0"/>
    <x v="6"/>
    <x v="1"/>
  </r>
  <r>
    <x v="2"/>
    <x v="3"/>
    <x v="0"/>
    <x v="1"/>
    <x v="0"/>
    <x v="7"/>
    <n v="1"/>
    <x v="7"/>
    <x v="0"/>
  </r>
  <r>
    <x v="2"/>
    <x v="3"/>
    <x v="0"/>
    <x v="1"/>
    <x v="1"/>
    <x v="8"/>
    <n v="0"/>
    <x v="8"/>
    <x v="1"/>
  </r>
  <r>
    <x v="2"/>
    <x v="3"/>
    <x v="0"/>
    <x v="1"/>
    <x v="1"/>
    <x v="9"/>
    <n v="0"/>
    <x v="9"/>
    <x v="1"/>
  </r>
  <r>
    <x v="2"/>
    <x v="3"/>
    <x v="0"/>
    <x v="1"/>
    <x v="1"/>
    <x v="10"/>
    <n v="0"/>
    <x v="10"/>
    <x v="1"/>
  </r>
  <r>
    <x v="2"/>
    <x v="3"/>
    <x v="0"/>
    <x v="1"/>
    <x v="1"/>
    <x v="11"/>
    <n v="0"/>
    <x v="11"/>
    <x v="1"/>
  </r>
  <r>
    <x v="2"/>
    <x v="3"/>
    <x v="0"/>
    <x v="1"/>
    <x v="2"/>
    <x v="12"/>
    <n v="0"/>
    <x v="12"/>
    <x v="0"/>
  </r>
  <r>
    <x v="2"/>
    <x v="3"/>
    <x v="0"/>
    <x v="1"/>
    <x v="2"/>
    <x v="13"/>
    <n v="0"/>
    <x v="13"/>
    <x v="1"/>
  </r>
  <r>
    <x v="2"/>
    <x v="3"/>
    <x v="0"/>
    <x v="1"/>
    <x v="2"/>
    <x v="14"/>
    <n v="0"/>
    <x v="14"/>
    <x v="1"/>
  </r>
  <r>
    <x v="2"/>
    <x v="3"/>
    <x v="0"/>
    <x v="1"/>
    <x v="2"/>
    <x v="15"/>
    <n v="0"/>
    <x v="15"/>
    <x v="1"/>
  </r>
  <r>
    <x v="2"/>
    <x v="3"/>
    <x v="0"/>
    <x v="1"/>
    <x v="2"/>
    <x v="16"/>
    <n v="0"/>
    <x v="16"/>
    <x v="1"/>
  </r>
  <r>
    <x v="2"/>
    <x v="3"/>
    <x v="0"/>
    <x v="1"/>
    <x v="2"/>
    <x v="17"/>
    <n v="0"/>
    <x v="17"/>
    <x v="0"/>
  </r>
  <r>
    <x v="2"/>
    <x v="3"/>
    <x v="0"/>
    <x v="1"/>
    <x v="2"/>
    <x v="18"/>
    <n v="0"/>
    <x v="18"/>
    <x v="0"/>
  </r>
  <r>
    <x v="2"/>
    <x v="3"/>
    <x v="0"/>
    <x v="1"/>
    <x v="2"/>
    <x v="19"/>
    <n v="0"/>
    <x v="19"/>
    <x v="0"/>
  </r>
  <r>
    <x v="2"/>
    <x v="3"/>
    <x v="0"/>
    <x v="2"/>
    <x v="0"/>
    <x v="0"/>
    <n v="0"/>
    <x v="0"/>
    <x v="0"/>
  </r>
  <r>
    <x v="2"/>
    <x v="3"/>
    <x v="0"/>
    <x v="2"/>
    <x v="0"/>
    <x v="1"/>
    <n v="0"/>
    <x v="1"/>
    <x v="0"/>
  </r>
  <r>
    <x v="2"/>
    <x v="3"/>
    <x v="0"/>
    <x v="2"/>
    <x v="0"/>
    <x v="2"/>
    <n v="0"/>
    <x v="2"/>
    <x v="0"/>
  </r>
  <r>
    <x v="2"/>
    <x v="3"/>
    <x v="0"/>
    <x v="2"/>
    <x v="0"/>
    <x v="3"/>
    <n v="0"/>
    <x v="3"/>
    <x v="1"/>
  </r>
  <r>
    <x v="2"/>
    <x v="3"/>
    <x v="0"/>
    <x v="2"/>
    <x v="0"/>
    <x v="4"/>
    <n v="1"/>
    <x v="4"/>
    <x v="1"/>
  </r>
  <r>
    <x v="2"/>
    <x v="3"/>
    <x v="0"/>
    <x v="2"/>
    <x v="0"/>
    <x v="5"/>
    <n v="20"/>
    <x v="5"/>
    <x v="1"/>
  </r>
  <r>
    <x v="2"/>
    <x v="3"/>
    <x v="0"/>
    <x v="2"/>
    <x v="0"/>
    <x v="6"/>
    <n v="0"/>
    <x v="6"/>
    <x v="1"/>
  </r>
  <r>
    <x v="2"/>
    <x v="3"/>
    <x v="0"/>
    <x v="2"/>
    <x v="0"/>
    <x v="7"/>
    <n v="0"/>
    <x v="7"/>
    <x v="0"/>
  </r>
  <r>
    <x v="2"/>
    <x v="3"/>
    <x v="0"/>
    <x v="2"/>
    <x v="1"/>
    <x v="8"/>
    <n v="1"/>
    <x v="8"/>
    <x v="1"/>
  </r>
  <r>
    <x v="2"/>
    <x v="3"/>
    <x v="0"/>
    <x v="2"/>
    <x v="1"/>
    <x v="9"/>
    <n v="0"/>
    <x v="9"/>
    <x v="1"/>
  </r>
  <r>
    <x v="2"/>
    <x v="3"/>
    <x v="0"/>
    <x v="2"/>
    <x v="1"/>
    <x v="10"/>
    <n v="0"/>
    <x v="10"/>
    <x v="1"/>
  </r>
  <r>
    <x v="2"/>
    <x v="3"/>
    <x v="0"/>
    <x v="2"/>
    <x v="1"/>
    <x v="11"/>
    <n v="1"/>
    <x v="11"/>
    <x v="1"/>
  </r>
  <r>
    <x v="2"/>
    <x v="3"/>
    <x v="0"/>
    <x v="2"/>
    <x v="2"/>
    <x v="12"/>
    <n v="0"/>
    <x v="12"/>
    <x v="0"/>
  </r>
  <r>
    <x v="2"/>
    <x v="3"/>
    <x v="0"/>
    <x v="2"/>
    <x v="2"/>
    <x v="13"/>
    <n v="3"/>
    <x v="13"/>
    <x v="1"/>
  </r>
  <r>
    <x v="2"/>
    <x v="3"/>
    <x v="0"/>
    <x v="2"/>
    <x v="2"/>
    <x v="14"/>
    <n v="1"/>
    <x v="14"/>
    <x v="1"/>
  </r>
  <r>
    <x v="2"/>
    <x v="3"/>
    <x v="0"/>
    <x v="2"/>
    <x v="2"/>
    <x v="15"/>
    <n v="2"/>
    <x v="15"/>
    <x v="1"/>
  </r>
  <r>
    <x v="2"/>
    <x v="3"/>
    <x v="0"/>
    <x v="2"/>
    <x v="2"/>
    <x v="16"/>
    <n v="1"/>
    <x v="16"/>
    <x v="1"/>
  </r>
  <r>
    <x v="2"/>
    <x v="3"/>
    <x v="0"/>
    <x v="2"/>
    <x v="2"/>
    <x v="17"/>
    <n v="6"/>
    <x v="17"/>
    <x v="0"/>
  </r>
  <r>
    <x v="2"/>
    <x v="3"/>
    <x v="0"/>
    <x v="2"/>
    <x v="2"/>
    <x v="18"/>
    <n v="1"/>
    <x v="18"/>
    <x v="0"/>
  </r>
  <r>
    <x v="2"/>
    <x v="3"/>
    <x v="0"/>
    <x v="2"/>
    <x v="2"/>
    <x v="19"/>
    <n v="0"/>
    <x v="19"/>
    <x v="0"/>
  </r>
  <r>
    <x v="2"/>
    <x v="4"/>
    <x v="1"/>
    <x v="0"/>
    <x v="0"/>
    <x v="0"/>
    <n v="27"/>
    <x v="0"/>
    <x v="0"/>
  </r>
  <r>
    <x v="2"/>
    <x v="4"/>
    <x v="1"/>
    <x v="0"/>
    <x v="0"/>
    <x v="1"/>
    <n v="49"/>
    <x v="1"/>
    <x v="0"/>
  </r>
  <r>
    <x v="2"/>
    <x v="4"/>
    <x v="1"/>
    <x v="0"/>
    <x v="0"/>
    <x v="2"/>
    <n v="58"/>
    <x v="2"/>
    <x v="0"/>
  </r>
  <r>
    <x v="2"/>
    <x v="4"/>
    <x v="1"/>
    <x v="0"/>
    <x v="0"/>
    <x v="3"/>
    <n v="68"/>
    <x v="3"/>
    <x v="1"/>
  </r>
  <r>
    <x v="2"/>
    <x v="4"/>
    <x v="1"/>
    <x v="0"/>
    <x v="0"/>
    <x v="4"/>
    <n v="68"/>
    <x v="4"/>
    <x v="1"/>
  </r>
  <r>
    <x v="2"/>
    <x v="4"/>
    <x v="1"/>
    <x v="0"/>
    <x v="0"/>
    <x v="5"/>
    <n v="77"/>
    <x v="5"/>
    <x v="1"/>
  </r>
  <r>
    <x v="2"/>
    <x v="4"/>
    <x v="1"/>
    <x v="0"/>
    <x v="0"/>
    <x v="6"/>
    <n v="86"/>
    <x v="6"/>
    <x v="1"/>
  </r>
  <r>
    <x v="2"/>
    <x v="4"/>
    <x v="1"/>
    <x v="0"/>
    <x v="0"/>
    <x v="7"/>
    <n v="79"/>
    <x v="7"/>
    <x v="0"/>
  </r>
  <r>
    <x v="2"/>
    <x v="4"/>
    <x v="1"/>
    <x v="0"/>
    <x v="1"/>
    <x v="8"/>
    <n v="77"/>
    <x v="8"/>
    <x v="1"/>
  </r>
  <r>
    <x v="2"/>
    <x v="4"/>
    <x v="1"/>
    <x v="0"/>
    <x v="1"/>
    <x v="9"/>
    <n v="66"/>
    <x v="9"/>
    <x v="1"/>
  </r>
  <r>
    <x v="2"/>
    <x v="4"/>
    <x v="1"/>
    <x v="0"/>
    <x v="1"/>
    <x v="10"/>
    <n v="73"/>
    <x v="10"/>
    <x v="1"/>
  </r>
  <r>
    <x v="2"/>
    <x v="4"/>
    <x v="1"/>
    <x v="0"/>
    <x v="1"/>
    <x v="11"/>
    <n v="66"/>
    <x v="11"/>
    <x v="1"/>
  </r>
  <r>
    <x v="2"/>
    <x v="4"/>
    <x v="1"/>
    <x v="0"/>
    <x v="2"/>
    <x v="12"/>
    <n v="105"/>
    <x v="12"/>
    <x v="0"/>
  </r>
  <r>
    <x v="2"/>
    <x v="4"/>
    <x v="1"/>
    <x v="0"/>
    <x v="2"/>
    <x v="13"/>
    <n v="114"/>
    <x v="13"/>
    <x v="1"/>
  </r>
  <r>
    <x v="2"/>
    <x v="4"/>
    <x v="1"/>
    <x v="0"/>
    <x v="2"/>
    <x v="14"/>
    <n v="110"/>
    <x v="14"/>
    <x v="1"/>
  </r>
  <r>
    <x v="2"/>
    <x v="4"/>
    <x v="1"/>
    <x v="0"/>
    <x v="2"/>
    <x v="15"/>
    <n v="127"/>
    <x v="15"/>
    <x v="1"/>
  </r>
  <r>
    <x v="2"/>
    <x v="4"/>
    <x v="1"/>
    <x v="0"/>
    <x v="2"/>
    <x v="16"/>
    <n v="138"/>
    <x v="16"/>
    <x v="1"/>
  </r>
  <r>
    <x v="2"/>
    <x v="4"/>
    <x v="1"/>
    <x v="0"/>
    <x v="2"/>
    <x v="17"/>
    <n v="121"/>
    <x v="17"/>
    <x v="0"/>
  </r>
  <r>
    <x v="2"/>
    <x v="4"/>
    <x v="1"/>
    <x v="0"/>
    <x v="2"/>
    <x v="18"/>
    <n v="118"/>
    <x v="18"/>
    <x v="0"/>
  </r>
  <r>
    <x v="2"/>
    <x v="4"/>
    <x v="1"/>
    <x v="0"/>
    <x v="2"/>
    <x v="19"/>
    <n v="90"/>
    <x v="19"/>
    <x v="0"/>
  </r>
  <r>
    <x v="2"/>
    <x v="4"/>
    <x v="1"/>
    <x v="1"/>
    <x v="0"/>
    <x v="0"/>
    <n v="0"/>
    <x v="0"/>
    <x v="0"/>
  </r>
  <r>
    <x v="2"/>
    <x v="4"/>
    <x v="1"/>
    <x v="1"/>
    <x v="0"/>
    <x v="1"/>
    <n v="0"/>
    <x v="1"/>
    <x v="0"/>
  </r>
  <r>
    <x v="2"/>
    <x v="4"/>
    <x v="1"/>
    <x v="1"/>
    <x v="0"/>
    <x v="2"/>
    <n v="1"/>
    <x v="2"/>
    <x v="0"/>
  </r>
  <r>
    <x v="2"/>
    <x v="4"/>
    <x v="1"/>
    <x v="1"/>
    <x v="0"/>
    <x v="3"/>
    <n v="3"/>
    <x v="3"/>
    <x v="1"/>
  </r>
  <r>
    <x v="2"/>
    <x v="4"/>
    <x v="1"/>
    <x v="1"/>
    <x v="0"/>
    <x v="4"/>
    <n v="3"/>
    <x v="4"/>
    <x v="1"/>
  </r>
  <r>
    <x v="2"/>
    <x v="4"/>
    <x v="1"/>
    <x v="1"/>
    <x v="0"/>
    <x v="5"/>
    <n v="1"/>
    <x v="5"/>
    <x v="1"/>
  </r>
  <r>
    <x v="2"/>
    <x v="4"/>
    <x v="1"/>
    <x v="1"/>
    <x v="0"/>
    <x v="6"/>
    <n v="1"/>
    <x v="6"/>
    <x v="1"/>
  </r>
  <r>
    <x v="2"/>
    <x v="4"/>
    <x v="1"/>
    <x v="1"/>
    <x v="0"/>
    <x v="7"/>
    <n v="2"/>
    <x v="7"/>
    <x v="0"/>
  </r>
  <r>
    <x v="2"/>
    <x v="4"/>
    <x v="1"/>
    <x v="1"/>
    <x v="1"/>
    <x v="8"/>
    <n v="0"/>
    <x v="8"/>
    <x v="1"/>
  </r>
  <r>
    <x v="2"/>
    <x v="4"/>
    <x v="1"/>
    <x v="1"/>
    <x v="1"/>
    <x v="9"/>
    <n v="2"/>
    <x v="9"/>
    <x v="1"/>
  </r>
  <r>
    <x v="2"/>
    <x v="4"/>
    <x v="1"/>
    <x v="1"/>
    <x v="1"/>
    <x v="10"/>
    <n v="0"/>
    <x v="10"/>
    <x v="1"/>
  </r>
  <r>
    <x v="2"/>
    <x v="4"/>
    <x v="1"/>
    <x v="1"/>
    <x v="1"/>
    <x v="11"/>
    <n v="0"/>
    <x v="11"/>
    <x v="1"/>
  </r>
  <r>
    <x v="2"/>
    <x v="4"/>
    <x v="1"/>
    <x v="1"/>
    <x v="2"/>
    <x v="12"/>
    <n v="1"/>
    <x v="12"/>
    <x v="0"/>
  </r>
  <r>
    <x v="2"/>
    <x v="4"/>
    <x v="1"/>
    <x v="1"/>
    <x v="2"/>
    <x v="13"/>
    <n v="1"/>
    <x v="13"/>
    <x v="1"/>
  </r>
  <r>
    <x v="2"/>
    <x v="4"/>
    <x v="1"/>
    <x v="1"/>
    <x v="2"/>
    <x v="14"/>
    <n v="1"/>
    <x v="14"/>
    <x v="1"/>
  </r>
  <r>
    <x v="2"/>
    <x v="4"/>
    <x v="1"/>
    <x v="1"/>
    <x v="2"/>
    <x v="15"/>
    <n v="2"/>
    <x v="15"/>
    <x v="1"/>
  </r>
  <r>
    <x v="2"/>
    <x v="4"/>
    <x v="1"/>
    <x v="1"/>
    <x v="2"/>
    <x v="16"/>
    <n v="1"/>
    <x v="16"/>
    <x v="1"/>
  </r>
  <r>
    <x v="2"/>
    <x v="4"/>
    <x v="1"/>
    <x v="1"/>
    <x v="2"/>
    <x v="17"/>
    <n v="0"/>
    <x v="17"/>
    <x v="0"/>
  </r>
  <r>
    <x v="2"/>
    <x v="4"/>
    <x v="1"/>
    <x v="1"/>
    <x v="2"/>
    <x v="18"/>
    <n v="1"/>
    <x v="18"/>
    <x v="0"/>
  </r>
  <r>
    <x v="2"/>
    <x v="4"/>
    <x v="1"/>
    <x v="1"/>
    <x v="2"/>
    <x v="19"/>
    <n v="2"/>
    <x v="19"/>
    <x v="0"/>
  </r>
  <r>
    <x v="2"/>
    <x v="4"/>
    <x v="1"/>
    <x v="2"/>
    <x v="0"/>
    <x v="0"/>
    <n v="2"/>
    <x v="0"/>
    <x v="0"/>
  </r>
  <r>
    <x v="2"/>
    <x v="4"/>
    <x v="1"/>
    <x v="2"/>
    <x v="0"/>
    <x v="1"/>
    <n v="1"/>
    <x v="1"/>
    <x v="0"/>
  </r>
  <r>
    <x v="2"/>
    <x v="4"/>
    <x v="1"/>
    <x v="2"/>
    <x v="0"/>
    <x v="2"/>
    <n v="1"/>
    <x v="2"/>
    <x v="0"/>
  </r>
  <r>
    <x v="2"/>
    <x v="4"/>
    <x v="1"/>
    <x v="2"/>
    <x v="0"/>
    <x v="3"/>
    <n v="2"/>
    <x v="3"/>
    <x v="1"/>
  </r>
  <r>
    <x v="2"/>
    <x v="4"/>
    <x v="1"/>
    <x v="2"/>
    <x v="0"/>
    <x v="4"/>
    <n v="0"/>
    <x v="4"/>
    <x v="1"/>
  </r>
  <r>
    <x v="2"/>
    <x v="4"/>
    <x v="1"/>
    <x v="2"/>
    <x v="0"/>
    <x v="5"/>
    <n v="0"/>
    <x v="5"/>
    <x v="1"/>
  </r>
  <r>
    <x v="2"/>
    <x v="4"/>
    <x v="1"/>
    <x v="2"/>
    <x v="0"/>
    <x v="6"/>
    <n v="0"/>
    <x v="6"/>
    <x v="1"/>
  </r>
  <r>
    <x v="2"/>
    <x v="4"/>
    <x v="1"/>
    <x v="2"/>
    <x v="0"/>
    <x v="7"/>
    <n v="0"/>
    <x v="7"/>
    <x v="0"/>
  </r>
  <r>
    <x v="2"/>
    <x v="4"/>
    <x v="1"/>
    <x v="2"/>
    <x v="1"/>
    <x v="8"/>
    <n v="0"/>
    <x v="8"/>
    <x v="1"/>
  </r>
  <r>
    <x v="2"/>
    <x v="4"/>
    <x v="1"/>
    <x v="2"/>
    <x v="1"/>
    <x v="9"/>
    <n v="1"/>
    <x v="9"/>
    <x v="1"/>
  </r>
  <r>
    <x v="2"/>
    <x v="4"/>
    <x v="1"/>
    <x v="2"/>
    <x v="1"/>
    <x v="10"/>
    <n v="0"/>
    <x v="10"/>
    <x v="1"/>
  </r>
  <r>
    <x v="2"/>
    <x v="4"/>
    <x v="1"/>
    <x v="2"/>
    <x v="1"/>
    <x v="11"/>
    <n v="1"/>
    <x v="11"/>
    <x v="1"/>
  </r>
  <r>
    <x v="2"/>
    <x v="4"/>
    <x v="1"/>
    <x v="2"/>
    <x v="2"/>
    <x v="12"/>
    <n v="1"/>
    <x v="12"/>
    <x v="0"/>
  </r>
  <r>
    <x v="2"/>
    <x v="4"/>
    <x v="1"/>
    <x v="2"/>
    <x v="2"/>
    <x v="13"/>
    <n v="1"/>
    <x v="13"/>
    <x v="1"/>
  </r>
  <r>
    <x v="2"/>
    <x v="4"/>
    <x v="1"/>
    <x v="2"/>
    <x v="2"/>
    <x v="14"/>
    <n v="1"/>
    <x v="14"/>
    <x v="1"/>
  </r>
  <r>
    <x v="2"/>
    <x v="4"/>
    <x v="1"/>
    <x v="2"/>
    <x v="2"/>
    <x v="15"/>
    <n v="6"/>
    <x v="15"/>
    <x v="1"/>
  </r>
  <r>
    <x v="2"/>
    <x v="4"/>
    <x v="1"/>
    <x v="2"/>
    <x v="2"/>
    <x v="16"/>
    <n v="2"/>
    <x v="16"/>
    <x v="1"/>
  </r>
  <r>
    <x v="2"/>
    <x v="4"/>
    <x v="1"/>
    <x v="2"/>
    <x v="2"/>
    <x v="17"/>
    <n v="4"/>
    <x v="17"/>
    <x v="0"/>
  </r>
  <r>
    <x v="2"/>
    <x v="4"/>
    <x v="1"/>
    <x v="2"/>
    <x v="2"/>
    <x v="18"/>
    <n v="3"/>
    <x v="18"/>
    <x v="0"/>
  </r>
  <r>
    <x v="2"/>
    <x v="4"/>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Z36" firstHeaderRow="1" firstDataRow="4" firstDataCol="1"/>
  <pivotFields count="9">
    <pivotField axis="axisCol" showAll="0">
      <items count="7">
        <item m="1" x="5"/>
        <item m="1" x="3"/>
        <item m="1" x="4"/>
        <item x="0"/>
        <item x="1"/>
        <item x="2"/>
        <item t="default"/>
      </items>
    </pivotField>
    <pivotField axis="axisCol" showAll="0">
      <items count="14">
        <item m="1" x="8"/>
        <item m="1" x="10"/>
        <item m="1" x="6"/>
        <item m="1" x="12"/>
        <item m="1" x="9"/>
        <item m="1" x="5"/>
        <item m="1" x="11"/>
        <item m="1" x="7"/>
        <item x="0"/>
        <item x="1"/>
        <item x="2"/>
        <item x="3"/>
        <item x="4"/>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4">
    <i>
      <x v="3"/>
      <x v="8"/>
      <x v="4"/>
    </i>
    <i r="2">
      <x v="5"/>
    </i>
    <i r="2">
      <x v="6"/>
    </i>
    <i t="default" r="1">
      <x v="8"/>
    </i>
    <i r="1">
      <x v="9"/>
      <x v="4"/>
    </i>
    <i r="2">
      <x v="5"/>
    </i>
    <i r="2">
      <x v="6"/>
    </i>
    <i t="default" r="1">
      <x v="9"/>
    </i>
    <i t="default">
      <x v="3"/>
    </i>
    <i>
      <x v="4"/>
      <x v="10"/>
      <x v="4"/>
    </i>
    <i r="2">
      <x v="5"/>
    </i>
    <i r="2">
      <x v="6"/>
    </i>
    <i t="default" r="1">
      <x v="10"/>
    </i>
    <i t="default">
      <x v="4"/>
    </i>
    <i>
      <x v="5"/>
      <x v="11"/>
      <x v="4"/>
    </i>
    <i r="2">
      <x v="5"/>
    </i>
    <i r="2">
      <x v="6"/>
    </i>
    <i t="default" r="1">
      <x v="11"/>
    </i>
    <i r="1">
      <x v="12"/>
      <x v="4"/>
    </i>
    <i r="2">
      <x v="5"/>
    </i>
    <i r="2">
      <x v="6"/>
    </i>
    <i t="default" r="1">
      <x v="12"/>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1"/>
        <item x="0"/>
        <item m="1" x="3"/>
        <item m="1" x="4"/>
        <item m="1"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1"/>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0" firstHeaderRow="1" firstDataRow="3" firstDataCol="1" rowPageCount="1" colPageCount="1"/>
  <pivotFields count="9">
    <pivotField axis="axisRow" showAll="0">
      <items count="7">
        <item m="1" x="5"/>
        <item m="1" x="3"/>
        <item m="1" x="4"/>
        <item x="0"/>
        <item x="1"/>
        <item x="2"/>
        <item t="default"/>
      </items>
    </pivotField>
    <pivotField axis="axisRow" showAll="0">
      <items count="14">
        <item m="1" x="8"/>
        <item m="1" x="10"/>
        <item m="1" x="6"/>
        <item m="1" x="12"/>
        <item m="1" x="9"/>
        <item m="1" x="5"/>
        <item m="1" x="11"/>
        <item m="1" x="7"/>
        <item x="0"/>
        <item x="1"/>
        <item x="2"/>
        <item x="3"/>
        <item x="4"/>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9">
    <i>
      <x v="3"/>
    </i>
    <i r="1">
      <x v="8"/>
    </i>
    <i r="1">
      <x v="9"/>
    </i>
    <i>
      <x v="4"/>
    </i>
    <i r="1">
      <x v="10"/>
    </i>
    <i>
      <x v="5"/>
    </i>
    <i r="1">
      <x v="11"/>
    </i>
    <i r="1">
      <x v="12"/>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01" totalsRowShown="0">
  <autoFilter ref="A1:I3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2" activePane="bottomLeft" state="frozen"/>
      <selection pane="bottomLeft" activeCell="C15" sqref="C1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97</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97</v>
      </c>
    </row>
    <row r="34" spans="2:5" x14ac:dyDescent="0.25">
      <c r="B34" t="s">
        <v>21</v>
      </c>
      <c r="C34" s="1"/>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93</v>
      </c>
    </row>
    <row r="45" spans="2:5" x14ac:dyDescent="0.25">
      <c r="B45" t="s">
        <v>21</v>
      </c>
      <c r="C45" s="1" t="s">
        <v>100</v>
      </c>
      <c r="D45" t="s">
        <v>27</v>
      </c>
      <c r="E45" s="1" t="s">
        <v>97</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Cambridge Terrace East</v>
      </c>
      <c r="D4" s="1" t="str">
        <f>Input!C42</f>
        <v>Salisbury Street West</v>
      </c>
      <c r="E4" s="1">
        <f>Input!C53</f>
        <v>0</v>
      </c>
      <c r="F4" s="1">
        <f>Input!C64</f>
        <v>0</v>
      </c>
      <c r="G4" s="1">
        <f>Input!C75</f>
        <v>0</v>
      </c>
      <c r="H4" s="1">
        <f>Input!C86</f>
        <v>0</v>
      </c>
    </row>
    <row r="6" spans="2:8" x14ac:dyDescent="0.25">
      <c r="B6" t="s">
        <v>18</v>
      </c>
    </row>
    <row r="8" spans="2:8" x14ac:dyDescent="0.25">
      <c r="B8" s="1" t="str">
        <f>Input!C22</f>
        <v>Left into Cambridge Terrace East</v>
      </c>
      <c r="C8" s="1" t="str">
        <f>Input!C33</f>
        <v>Left into Barbadoes Street South</v>
      </c>
      <c r="D8" s="1" t="str">
        <f>Input!C44</f>
        <v>Thru to Cambridge Terrace East</v>
      </c>
      <c r="E8" s="1">
        <f>Input!C55</f>
        <v>0</v>
      </c>
      <c r="F8" s="1">
        <f>Input!C66</f>
        <v>0</v>
      </c>
      <c r="G8" s="1">
        <f>Input!C77</f>
        <v>0</v>
      </c>
      <c r="H8" s="1">
        <f>Input!C88</f>
        <v>0</v>
      </c>
    </row>
    <row r="9" spans="2:8" x14ac:dyDescent="0.25">
      <c r="B9" s="1" t="str">
        <f>Input!C23</f>
        <v>Thru to Barbadoes Street South</v>
      </c>
      <c r="C9" s="1">
        <f>Input!C34</f>
        <v>0</v>
      </c>
      <c r="D9" s="1" t="str">
        <f>Input!C45</f>
        <v>Right into Barbadoes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Cambridge Terrace East</v>
      </c>
      <c r="C18" s="1" t="str">
        <f>Input!E33</f>
        <v>Barbadoes Street South</v>
      </c>
      <c r="D18" s="1" t="str">
        <f>Input!E44</f>
        <v>Cambridge Terrace East</v>
      </c>
      <c r="E18" s="1">
        <f>Input!E55</f>
        <v>0</v>
      </c>
      <c r="F18" s="1">
        <f>Input!E66</f>
        <v>0</v>
      </c>
      <c r="G18" s="1">
        <f>Input!E77</f>
        <v>0</v>
      </c>
      <c r="H18" s="1">
        <f>Input!E88</f>
        <v>0</v>
      </c>
    </row>
    <row r="19" spans="2:8" x14ac:dyDescent="0.25">
      <c r="B19" s="1" t="str">
        <f>Input!E23</f>
        <v>Barbadoes Street South</v>
      </c>
      <c r="C19" s="1">
        <f>Input!E34</f>
        <v>0</v>
      </c>
      <c r="D19" s="1" t="str">
        <f>Input!E45</f>
        <v>Barbadoes Street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29"/>
  <sheetViews>
    <sheetView zoomScale="90" zoomScaleNormal="90" workbookViewId="0"/>
  </sheetViews>
  <sheetFormatPr defaultRowHeight="15" x14ac:dyDescent="0.25"/>
  <cols>
    <col min="1" max="1" width="13.7109375" customWidth="1"/>
    <col min="2" max="2" width="7.5703125" customWidth="1"/>
  </cols>
  <sheetData>
    <row r="1" spans="1:17" x14ac:dyDescent="0.25">
      <c r="A1" s="2" t="s">
        <v>101</v>
      </c>
    </row>
    <row r="4" spans="1:17" ht="15.75" thickBot="1" x14ac:dyDescent="0.3"/>
    <row r="5" spans="1:17" x14ac:dyDescent="0.25">
      <c r="C5" s="29" t="s">
        <v>92</v>
      </c>
      <c r="D5" s="18"/>
      <c r="E5" s="20"/>
      <c r="F5" s="26"/>
      <c r="G5" s="18"/>
      <c r="H5" s="20"/>
      <c r="I5" s="29" t="s">
        <v>93</v>
      </c>
      <c r="J5" s="18"/>
      <c r="K5" s="20"/>
      <c r="L5" s="29" t="s">
        <v>94</v>
      </c>
      <c r="M5" s="18"/>
      <c r="N5" s="20"/>
      <c r="O5" s="26"/>
      <c r="P5" s="18"/>
      <c r="Q5" s="32"/>
    </row>
    <row r="6" spans="1:17" x14ac:dyDescent="0.25">
      <c r="C6" s="30" t="s">
        <v>95</v>
      </c>
      <c r="D6" s="19"/>
      <c r="E6" s="21"/>
      <c r="F6" s="27" t="s">
        <v>96</v>
      </c>
      <c r="G6" s="19"/>
      <c r="H6" s="21"/>
      <c r="I6" s="30" t="s">
        <v>98</v>
      </c>
      <c r="J6" s="19"/>
      <c r="K6" s="21"/>
      <c r="L6" s="30" t="s">
        <v>99</v>
      </c>
      <c r="M6" s="19"/>
      <c r="N6" s="21"/>
      <c r="O6" s="27" t="s">
        <v>100</v>
      </c>
      <c r="P6" s="19"/>
      <c r="Q6" s="33"/>
    </row>
    <row r="7" spans="1:17" ht="15.75" thickBot="1" x14ac:dyDescent="0.3">
      <c r="A7" s="47" t="s">
        <v>38</v>
      </c>
      <c r="B7" s="47" t="s">
        <v>39</v>
      </c>
      <c r="C7" s="42" t="s">
        <v>79</v>
      </c>
      <c r="D7" s="43" t="s">
        <v>88</v>
      </c>
      <c r="E7" s="44" t="s">
        <v>89</v>
      </c>
      <c r="F7" s="45" t="s">
        <v>79</v>
      </c>
      <c r="G7" s="43" t="s">
        <v>88</v>
      </c>
      <c r="H7" s="44" t="s">
        <v>89</v>
      </c>
      <c r="I7" s="42" t="s">
        <v>79</v>
      </c>
      <c r="J7" s="43" t="s">
        <v>88</v>
      </c>
      <c r="K7" s="44" t="s">
        <v>89</v>
      </c>
      <c r="L7" s="42" t="s">
        <v>79</v>
      </c>
      <c r="M7" s="43" t="s">
        <v>88</v>
      </c>
      <c r="N7" s="44" t="s">
        <v>89</v>
      </c>
      <c r="O7" s="45" t="s">
        <v>79</v>
      </c>
      <c r="P7" s="43" t="s">
        <v>88</v>
      </c>
      <c r="Q7" s="46" t="s">
        <v>89</v>
      </c>
    </row>
    <row r="8" spans="1:17" x14ac:dyDescent="0.25">
      <c r="A8" s="2" t="s">
        <v>43</v>
      </c>
      <c r="B8" s="7">
        <v>0.29166666666666669</v>
      </c>
      <c r="C8" s="31">
        <v>1</v>
      </c>
      <c r="D8">
        <v>0</v>
      </c>
      <c r="E8">
        <v>0</v>
      </c>
      <c r="F8" s="28">
        <v>235</v>
      </c>
      <c r="G8">
        <v>8</v>
      </c>
      <c r="H8">
        <v>1</v>
      </c>
      <c r="I8" s="31">
        <v>1</v>
      </c>
      <c r="J8">
        <v>0</v>
      </c>
      <c r="K8">
        <v>2</v>
      </c>
      <c r="L8" s="31">
        <v>0</v>
      </c>
      <c r="M8">
        <v>0</v>
      </c>
      <c r="N8">
        <v>0</v>
      </c>
      <c r="O8" s="28">
        <v>27</v>
      </c>
      <c r="P8">
        <v>0</v>
      </c>
      <c r="Q8" s="34">
        <v>2</v>
      </c>
    </row>
    <row r="9" spans="1:17" x14ac:dyDescent="0.25">
      <c r="A9" s="2" t="s">
        <v>43</v>
      </c>
      <c r="B9" s="7">
        <v>0.30208333333333331</v>
      </c>
      <c r="C9" s="31">
        <v>0</v>
      </c>
      <c r="D9">
        <v>0</v>
      </c>
      <c r="E9">
        <v>0</v>
      </c>
      <c r="F9" s="28">
        <v>298</v>
      </c>
      <c r="G9">
        <v>7</v>
      </c>
      <c r="H9">
        <v>9</v>
      </c>
      <c r="I9" s="31">
        <v>1</v>
      </c>
      <c r="J9">
        <v>0</v>
      </c>
      <c r="K9">
        <v>2</v>
      </c>
      <c r="L9" s="31">
        <v>4</v>
      </c>
      <c r="M9">
        <v>0</v>
      </c>
      <c r="N9">
        <v>0</v>
      </c>
      <c r="O9" s="28">
        <v>49</v>
      </c>
      <c r="P9">
        <v>0</v>
      </c>
      <c r="Q9" s="34">
        <v>1</v>
      </c>
    </row>
    <row r="10" spans="1:17" x14ac:dyDescent="0.25">
      <c r="A10" s="2" t="s">
        <v>43</v>
      </c>
      <c r="B10" s="7">
        <v>0.3125</v>
      </c>
      <c r="C10" s="31">
        <v>1</v>
      </c>
      <c r="D10">
        <v>0</v>
      </c>
      <c r="E10">
        <v>1</v>
      </c>
      <c r="F10" s="28">
        <v>304</v>
      </c>
      <c r="G10">
        <v>4</v>
      </c>
      <c r="H10">
        <v>8</v>
      </c>
      <c r="I10" s="31">
        <v>3</v>
      </c>
      <c r="J10">
        <v>0</v>
      </c>
      <c r="K10">
        <v>5</v>
      </c>
      <c r="L10" s="31">
        <v>1</v>
      </c>
      <c r="M10">
        <v>0</v>
      </c>
      <c r="N10">
        <v>0</v>
      </c>
      <c r="O10" s="28">
        <v>58</v>
      </c>
      <c r="P10">
        <v>1</v>
      </c>
      <c r="Q10" s="34">
        <v>1</v>
      </c>
    </row>
    <row r="11" spans="1:17" x14ac:dyDescent="0.25">
      <c r="A11" s="2" t="s">
        <v>43</v>
      </c>
      <c r="B11" s="7">
        <v>0.32291666666666669</v>
      </c>
      <c r="C11" s="31">
        <v>2</v>
      </c>
      <c r="D11">
        <v>0</v>
      </c>
      <c r="E11">
        <v>0</v>
      </c>
      <c r="F11" s="28">
        <v>301</v>
      </c>
      <c r="G11">
        <v>11</v>
      </c>
      <c r="H11">
        <v>7</v>
      </c>
      <c r="I11" s="31">
        <v>3</v>
      </c>
      <c r="J11">
        <v>0</v>
      </c>
      <c r="K11">
        <v>8</v>
      </c>
      <c r="L11" s="31">
        <v>4</v>
      </c>
      <c r="M11">
        <v>0</v>
      </c>
      <c r="N11">
        <v>0</v>
      </c>
      <c r="O11" s="28">
        <v>68</v>
      </c>
      <c r="P11">
        <v>3</v>
      </c>
      <c r="Q11" s="34">
        <v>2</v>
      </c>
    </row>
    <row r="12" spans="1:17" x14ac:dyDescent="0.25">
      <c r="A12" s="2" t="s">
        <v>43</v>
      </c>
      <c r="B12" s="7">
        <v>0.33333333333333331</v>
      </c>
      <c r="C12" s="31">
        <v>1</v>
      </c>
      <c r="D12">
        <v>0</v>
      </c>
      <c r="E12">
        <v>0</v>
      </c>
      <c r="F12" s="28">
        <v>317</v>
      </c>
      <c r="G12">
        <v>8</v>
      </c>
      <c r="H12">
        <v>4</v>
      </c>
      <c r="I12" s="31">
        <v>1</v>
      </c>
      <c r="J12">
        <v>0</v>
      </c>
      <c r="K12">
        <v>2</v>
      </c>
      <c r="L12" s="31">
        <v>2</v>
      </c>
      <c r="M12">
        <v>0</v>
      </c>
      <c r="N12">
        <v>1</v>
      </c>
      <c r="O12" s="28">
        <v>68</v>
      </c>
      <c r="P12">
        <v>3</v>
      </c>
      <c r="Q12" s="34">
        <v>0</v>
      </c>
    </row>
    <row r="13" spans="1:17" x14ac:dyDescent="0.25">
      <c r="A13" s="2" t="s">
        <v>43</v>
      </c>
      <c r="B13" s="7">
        <v>0.34375</v>
      </c>
      <c r="C13" s="31">
        <v>3</v>
      </c>
      <c r="D13">
        <v>0</v>
      </c>
      <c r="E13">
        <v>0</v>
      </c>
      <c r="F13" s="28">
        <v>295</v>
      </c>
      <c r="G13">
        <v>5</v>
      </c>
      <c r="H13">
        <v>13</v>
      </c>
      <c r="I13" s="31">
        <v>4</v>
      </c>
      <c r="J13">
        <v>0</v>
      </c>
      <c r="K13">
        <v>7</v>
      </c>
      <c r="L13" s="31">
        <v>5</v>
      </c>
      <c r="M13">
        <v>0</v>
      </c>
      <c r="N13">
        <v>20</v>
      </c>
      <c r="O13" s="28">
        <v>77</v>
      </c>
      <c r="P13">
        <v>1</v>
      </c>
      <c r="Q13" s="34">
        <v>0</v>
      </c>
    </row>
    <row r="14" spans="1:17" x14ac:dyDescent="0.25">
      <c r="A14" s="2" t="s">
        <v>43</v>
      </c>
      <c r="B14" s="7">
        <v>0.35416666666666669</v>
      </c>
      <c r="C14" s="31">
        <v>5</v>
      </c>
      <c r="D14">
        <v>0</v>
      </c>
      <c r="E14">
        <v>1</v>
      </c>
      <c r="F14" s="28">
        <v>280</v>
      </c>
      <c r="G14">
        <v>6</v>
      </c>
      <c r="H14">
        <v>3</v>
      </c>
      <c r="I14" s="31">
        <v>1</v>
      </c>
      <c r="J14">
        <v>0</v>
      </c>
      <c r="K14">
        <v>3</v>
      </c>
      <c r="L14" s="31">
        <v>4</v>
      </c>
      <c r="M14">
        <v>0</v>
      </c>
      <c r="N14">
        <v>0</v>
      </c>
      <c r="O14" s="28">
        <v>86</v>
      </c>
      <c r="P14">
        <v>1</v>
      </c>
      <c r="Q14" s="34">
        <v>0</v>
      </c>
    </row>
    <row r="15" spans="1:17" ht="15.75" thickBot="1" x14ac:dyDescent="0.3">
      <c r="A15" s="2" t="s">
        <v>43</v>
      </c>
      <c r="B15" s="7">
        <v>0.36458333333333331</v>
      </c>
      <c r="C15" s="31">
        <v>2</v>
      </c>
      <c r="D15">
        <v>0</v>
      </c>
      <c r="E15">
        <v>1</v>
      </c>
      <c r="F15" s="28">
        <v>293</v>
      </c>
      <c r="G15">
        <v>4</v>
      </c>
      <c r="H15">
        <v>3</v>
      </c>
      <c r="I15" s="31">
        <v>0</v>
      </c>
      <c r="J15">
        <v>0</v>
      </c>
      <c r="K15">
        <v>0</v>
      </c>
      <c r="L15" s="31">
        <v>8</v>
      </c>
      <c r="M15">
        <v>1</v>
      </c>
      <c r="N15">
        <v>0</v>
      </c>
      <c r="O15" s="28">
        <v>79</v>
      </c>
      <c r="P15">
        <v>2</v>
      </c>
      <c r="Q15" s="34">
        <v>0</v>
      </c>
    </row>
    <row r="16" spans="1:17" ht="15.75" thickBot="1" x14ac:dyDescent="0.3">
      <c r="A16" s="24"/>
      <c r="B16" s="24"/>
      <c r="C16" s="35"/>
      <c r="D16" s="22"/>
      <c r="E16" s="22"/>
      <c r="F16" s="36"/>
      <c r="G16" s="22"/>
      <c r="H16" s="22"/>
      <c r="I16" s="35"/>
      <c r="J16" s="22"/>
      <c r="K16" s="22"/>
      <c r="L16" s="35"/>
      <c r="M16" s="22"/>
      <c r="N16" s="22"/>
      <c r="O16" s="36"/>
      <c r="P16" s="22"/>
      <c r="Q16" s="37"/>
    </row>
    <row r="17" spans="1:17" x14ac:dyDescent="0.25">
      <c r="A17" s="2" t="s">
        <v>90</v>
      </c>
      <c r="B17" s="7">
        <v>0.54166666666666663</v>
      </c>
      <c r="C17" s="31">
        <v>3</v>
      </c>
      <c r="D17">
        <v>0</v>
      </c>
      <c r="E17">
        <v>0</v>
      </c>
      <c r="F17" s="28">
        <v>153</v>
      </c>
      <c r="G17">
        <v>11</v>
      </c>
      <c r="H17">
        <v>0</v>
      </c>
      <c r="I17" s="31">
        <v>3</v>
      </c>
      <c r="J17">
        <v>0</v>
      </c>
      <c r="K17">
        <v>0</v>
      </c>
      <c r="L17" s="31">
        <v>2</v>
      </c>
      <c r="M17">
        <v>0</v>
      </c>
      <c r="N17">
        <v>1</v>
      </c>
      <c r="O17" s="28">
        <v>77</v>
      </c>
      <c r="P17">
        <v>0</v>
      </c>
      <c r="Q17" s="34">
        <v>0</v>
      </c>
    </row>
    <row r="18" spans="1:17" x14ac:dyDescent="0.25">
      <c r="A18" s="2" t="s">
        <v>90</v>
      </c>
      <c r="B18" s="7">
        <v>0.55208333333333337</v>
      </c>
      <c r="C18" s="31">
        <v>2</v>
      </c>
      <c r="D18">
        <v>0</v>
      </c>
      <c r="E18">
        <v>0</v>
      </c>
      <c r="F18" s="28">
        <v>158</v>
      </c>
      <c r="G18">
        <v>6</v>
      </c>
      <c r="H18">
        <v>2</v>
      </c>
      <c r="I18" s="31">
        <v>1</v>
      </c>
      <c r="J18">
        <v>0</v>
      </c>
      <c r="K18">
        <v>0</v>
      </c>
      <c r="L18" s="31">
        <v>4</v>
      </c>
      <c r="M18">
        <v>0</v>
      </c>
      <c r="N18">
        <v>0</v>
      </c>
      <c r="O18" s="28">
        <v>66</v>
      </c>
      <c r="P18">
        <v>2</v>
      </c>
      <c r="Q18" s="34">
        <v>1</v>
      </c>
    </row>
    <row r="19" spans="1:17" x14ac:dyDescent="0.25">
      <c r="A19" s="2" t="s">
        <v>90</v>
      </c>
      <c r="B19" s="7">
        <v>0.5625</v>
      </c>
      <c r="C19" s="31">
        <v>2</v>
      </c>
      <c r="D19">
        <v>0</v>
      </c>
      <c r="E19">
        <v>0</v>
      </c>
      <c r="F19" s="28">
        <v>175</v>
      </c>
      <c r="G19">
        <v>5</v>
      </c>
      <c r="H19">
        <v>0</v>
      </c>
      <c r="I19" s="31">
        <v>3</v>
      </c>
      <c r="J19">
        <v>0</v>
      </c>
      <c r="K19">
        <v>0</v>
      </c>
      <c r="L19" s="31">
        <v>8</v>
      </c>
      <c r="M19">
        <v>0</v>
      </c>
      <c r="N19">
        <v>0</v>
      </c>
      <c r="O19" s="28">
        <v>73</v>
      </c>
      <c r="P19">
        <v>0</v>
      </c>
      <c r="Q19" s="34">
        <v>0</v>
      </c>
    </row>
    <row r="20" spans="1:17" ht="15.75" thickBot="1" x14ac:dyDescent="0.3">
      <c r="A20" s="2" t="s">
        <v>90</v>
      </c>
      <c r="B20" s="7">
        <v>0.57291666666666663</v>
      </c>
      <c r="C20" s="31">
        <v>3</v>
      </c>
      <c r="D20">
        <v>0</v>
      </c>
      <c r="E20">
        <v>0</v>
      </c>
      <c r="F20" s="28">
        <v>181</v>
      </c>
      <c r="G20">
        <v>5</v>
      </c>
      <c r="H20">
        <v>0</v>
      </c>
      <c r="I20" s="31">
        <v>5</v>
      </c>
      <c r="J20">
        <v>0</v>
      </c>
      <c r="K20">
        <v>0</v>
      </c>
      <c r="L20" s="31">
        <v>5</v>
      </c>
      <c r="M20">
        <v>0</v>
      </c>
      <c r="N20">
        <v>1</v>
      </c>
      <c r="O20" s="28">
        <v>66</v>
      </c>
      <c r="P20">
        <v>0</v>
      </c>
      <c r="Q20" s="34">
        <v>1</v>
      </c>
    </row>
    <row r="21" spans="1:17" ht="15.75" thickBot="1" x14ac:dyDescent="0.3">
      <c r="A21" s="24"/>
      <c r="B21" s="24"/>
      <c r="C21" s="35"/>
      <c r="D21" s="22"/>
      <c r="E21" s="22"/>
      <c r="F21" s="36"/>
      <c r="G21" s="22"/>
      <c r="H21" s="22"/>
      <c r="I21" s="35"/>
      <c r="J21" s="22"/>
      <c r="K21" s="22"/>
      <c r="L21" s="35"/>
      <c r="M21" s="22"/>
      <c r="N21" s="22"/>
      <c r="O21" s="36"/>
      <c r="P21" s="22"/>
      <c r="Q21" s="37"/>
    </row>
    <row r="22" spans="1:17" x14ac:dyDescent="0.25">
      <c r="A22" s="2" t="s">
        <v>44</v>
      </c>
      <c r="B22" s="7">
        <v>0.66666666666666663</v>
      </c>
      <c r="C22" s="31">
        <v>2</v>
      </c>
      <c r="D22">
        <v>0</v>
      </c>
      <c r="E22">
        <v>0</v>
      </c>
      <c r="F22" s="28">
        <v>212</v>
      </c>
      <c r="G22">
        <v>8</v>
      </c>
      <c r="H22">
        <v>2</v>
      </c>
      <c r="I22" s="31">
        <v>4</v>
      </c>
      <c r="J22">
        <v>0</v>
      </c>
      <c r="K22">
        <v>1</v>
      </c>
      <c r="L22" s="31">
        <v>6</v>
      </c>
      <c r="M22">
        <v>0</v>
      </c>
      <c r="N22">
        <v>0</v>
      </c>
      <c r="O22" s="28">
        <v>105</v>
      </c>
      <c r="P22">
        <v>1</v>
      </c>
      <c r="Q22" s="34">
        <v>1</v>
      </c>
    </row>
    <row r="23" spans="1:17" x14ac:dyDescent="0.25">
      <c r="A23" s="2" t="s">
        <v>44</v>
      </c>
      <c r="B23" s="7">
        <v>0.67708333333333337</v>
      </c>
      <c r="C23" s="31">
        <v>5</v>
      </c>
      <c r="D23">
        <v>0</v>
      </c>
      <c r="E23">
        <v>0</v>
      </c>
      <c r="F23" s="28">
        <v>233</v>
      </c>
      <c r="G23">
        <v>4</v>
      </c>
      <c r="H23">
        <v>1</v>
      </c>
      <c r="I23" s="31">
        <v>1</v>
      </c>
      <c r="J23">
        <v>0</v>
      </c>
      <c r="K23">
        <v>0</v>
      </c>
      <c r="L23" s="31">
        <v>7</v>
      </c>
      <c r="M23">
        <v>0</v>
      </c>
      <c r="N23">
        <v>3</v>
      </c>
      <c r="O23" s="28">
        <v>114</v>
      </c>
      <c r="P23">
        <v>1</v>
      </c>
      <c r="Q23" s="34">
        <v>1</v>
      </c>
    </row>
    <row r="24" spans="1:17" x14ac:dyDescent="0.25">
      <c r="A24" s="2" t="s">
        <v>44</v>
      </c>
      <c r="B24" s="7">
        <v>0.6875</v>
      </c>
      <c r="C24" s="31">
        <v>7</v>
      </c>
      <c r="D24">
        <v>0</v>
      </c>
      <c r="E24">
        <v>0</v>
      </c>
      <c r="F24" s="28">
        <v>208</v>
      </c>
      <c r="G24">
        <v>1</v>
      </c>
      <c r="H24">
        <v>0</v>
      </c>
      <c r="I24" s="31">
        <v>2</v>
      </c>
      <c r="J24">
        <v>0</v>
      </c>
      <c r="K24">
        <v>0</v>
      </c>
      <c r="L24" s="31">
        <v>5</v>
      </c>
      <c r="M24">
        <v>0</v>
      </c>
      <c r="N24">
        <v>1</v>
      </c>
      <c r="O24" s="28">
        <v>110</v>
      </c>
      <c r="P24">
        <v>1</v>
      </c>
      <c r="Q24" s="34">
        <v>1</v>
      </c>
    </row>
    <row r="25" spans="1:17" x14ac:dyDescent="0.25">
      <c r="A25" s="2" t="s">
        <v>44</v>
      </c>
      <c r="B25" s="7">
        <v>0.69791666666666663</v>
      </c>
      <c r="C25" s="31">
        <v>2</v>
      </c>
      <c r="D25">
        <v>0</v>
      </c>
      <c r="E25">
        <v>0</v>
      </c>
      <c r="F25" s="28">
        <v>199</v>
      </c>
      <c r="G25">
        <v>1</v>
      </c>
      <c r="H25">
        <v>3</v>
      </c>
      <c r="I25" s="31">
        <v>3</v>
      </c>
      <c r="J25">
        <v>0</v>
      </c>
      <c r="K25">
        <v>1</v>
      </c>
      <c r="L25" s="31">
        <v>9</v>
      </c>
      <c r="M25">
        <v>0</v>
      </c>
      <c r="N25">
        <v>2</v>
      </c>
      <c r="O25" s="28">
        <v>127</v>
      </c>
      <c r="P25">
        <v>2</v>
      </c>
      <c r="Q25" s="34">
        <v>6</v>
      </c>
    </row>
    <row r="26" spans="1:17" x14ac:dyDescent="0.25">
      <c r="A26" s="2" t="s">
        <v>44</v>
      </c>
      <c r="B26" s="7">
        <v>0.70833333333333337</v>
      </c>
      <c r="C26" s="31">
        <v>5</v>
      </c>
      <c r="D26">
        <v>0</v>
      </c>
      <c r="E26">
        <v>0</v>
      </c>
      <c r="F26" s="28">
        <v>190</v>
      </c>
      <c r="G26">
        <v>0</v>
      </c>
      <c r="H26">
        <v>1</v>
      </c>
      <c r="I26" s="31">
        <v>5</v>
      </c>
      <c r="J26">
        <v>0</v>
      </c>
      <c r="K26">
        <v>0</v>
      </c>
      <c r="L26" s="31">
        <v>14</v>
      </c>
      <c r="M26">
        <v>0</v>
      </c>
      <c r="N26">
        <v>1</v>
      </c>
      <c r="O26" s="28">
        <v>138</v>
      </c>
      <c r="P26">
        <v>1</v>
      </c>
      <c r="Q26" s="34">
        <v>2</v>
      </c>
    </row>
    <row r="27" spans="1:17" x14ac:dyDescent="0.25">
      <c r="A27" s="2" t="s">
        <v>44</v>
      </c>
      <c r="B27" s="7">
        <v>0.71875</v>
      </c>
      <c r="C27" s="31">
        <v>4</v>
      </c>
      <c r="D27">
        <v>0</v>
      </c>
      <c r="E27">
        <v>0</v>
      </c>
      <c r="F27" s="28">
        <v>187</v>
      </c>
      <c r="G27">
        <v>3</v>
      </c>
      <c r="H27">
        <v>1</v>
      </c>
      <c r="I27" s="31">
        <v>4</v>
      </c>
      <c r="J27">
        <v>0</v>
      </c>
      <c r="K27">
        <v>1</v>
      </c>
      <c r="L27" s="31">
        <v>7</v>
      </c>
      <c r="M27">
        <v>0</v>
      </c>
      <c r="N27">
        <v>6</v>
      </c>
      <c r="O27" s="28">
        <v>121</v>
      </c>
      <c r="P27">
        <v>0</v>
      </c>
      <c r="Q27" s="34">
        <v>4</v>
      </c>
    </row>
    <row r="28" spans="1:17" x14ac:dyDescent="0.25">
      <c r="A28" s="2" t="s">
        <v>44</v>
      </c>
      <c r="B28" s="7">
        <v>0.72916666666666663</v>
      </c>
      <c r="C28" s="31">
        <v>2</v>
      </c>
      <c r="D28">
        <v>0</v>
      </c>
      <c r="E28">
        <v>0</v>
      </c>
      <c r="F28" s="28">
        <v>201</v>
      </c>
      <c r="G28">
        <v>0</v>
      </c>
      <c r="H28">
        <v>2</v>
      </c>
      <c r="I28" s="31">
        <v>3</v>
      </c>
      <c r="J28">
        <v>0</v>
      </c>
      <c r="K28">
        <v>0</v>
      </c>
      <c r="L28" s="31">
        <v>1</v>
      </c>
      <c r="M28">
        <v>0</v>
      </c>
      <c r="N28">
        <v>1</v>
      </c>
      <c r="O28" s="28">
        <v>118</v>
      </c>
      <c r="P28">
        <v>1</v>
      </c>
      <c r="Q28" s="34">
        <v>3</v>
      </c>
    </row>
    <row r="29" spans="1:17" ht="15.75" thickBot="1" x14ac:dyDescent="0.3">
      <c r="A29" s="23" t="s">
        <v>44</v>
      </c>
      <c r="B29" s="48">
        <v>0.73958333333333337</v>
      </c>
      <c r="C29" s="39">
        <v>1</v>
      </c>
      <c r="D29" s="38">
        <v>0</v>
      </c>
      <c r="E29" s="38">
        <v>1</v>
      </c>
      <c r="F29" s="40">
        <v>198</v>
      </c>
      <c r="G29" s="38">
        <v>0</v>
      </c>
      <c r="H29" s="38">
        <v>2</v>
      </c>
      <c r="I29" s="39">
        <v>1</v>
      </c>
      <c r="J29" s="38">
        <v>0</v>
      </c>
      <c r="K29" s="38">
        <v>0</v>
      </c>
      <c r="L29" s="39">
        <v>8</v>
      </c>
      <c r="M29" s="38">
        <v>0</v>
      </c>
      <c r="N29" s="38">
        <v>0</v>
      </c>
      <c r="O29" s="40">
        <v>90</v>
      </c>
      <c r="P29" s="38">
        <v>2</v>
      </c>
      <c r="Q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1</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2</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1</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3</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5</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2</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3</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2</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2</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3</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2</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5</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7</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2</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5</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4</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2</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1</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1</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1</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96</v>
      </c>
      <c r="C62" t="s">
        <v>97</v>
      </c>
      <c r="D62" t="s">
        <v>79</v>
      </c>
      <c r="E62" t="s">
        <v>43</v>
      </c>
      <c r="F62" s="6">
        <v>0.29166666666666669</v>
      </c>
      <c r="G62">
        <v>235</v>
      </c>
      <c r="H62" s="6">
        <f>FLOOR(tblPivotData[[#This Row],[Time]],Summary!$B$6/1440)</f>
        <v>0.29166666666666663</v>
      </c>
      <c r="I62">
        <f>INDEX(PeakCalc!$L$10:$L$303,MATCH(tblPivotData[[#This Row],[Time]],PeakCalc!$G$10:$G$303,0))</f>
        <v>0</v>
      </c>
    </row>
    <row r="63" spans="1:9" x14ac:dyDescent="0.25">
      <c r="A63" t="s">
        <v>92</v>
      </c>
      <c r="B63" t="s">
        <v>96</v>
      </c>
      <c r="C63" t="s">
        <v>97</v>
      </c>
      <c r="D63" t="s">
        <v>79</v>
      </c>
      <c r="E63" t="s">
        <v>43</v>
      </c>
      <c r="F63" s="6">
        <v>0.30208333333333331</v>
      </c>
      <c r="G63">
        <v>298</v>
      </c>
      <c r="H63" s="6">
        <f>FLOOR(tblPivotData[[#This Row],[Time]],Summary!$B$6/1440)</f>
        <v>0.30208333333333331</v>
      </c>
      <c r="I63">
        <f>INDEX(PeakCalc!$L$10:$L$303,MATCH(tblPivotData[[#This Row],[Time]],PeakCalc!$G$10:$G$303,0))</f>
        <v>0</v>
      </c>
    </row>
    <row r="64" spans="1:9" x14ac:dyDescent="0.25">
      <c r="A64" t="s">
        <v>92</v>
      </c>
      <c r="B64" t="s">
        <v>96</v>
      </c>
      <c r="C64" t="s">
        <v>97</v>
      </c>
      <c r="D64" t="s">
        <v>79</v>
      </c>
      <c r="E64" t="s">
        <v>43</v>
      </c>
      <c r="F64" s="6">
        <v>0.3125</v>
      </c>
      <c r="G64">
        <v>304</v>
      </c>
      <c r="H64" s="6">
        <f>FLOOR(tblPivotData[[#This Row],[Time]],Summary!$B$6/1440)</f>
        <v>0.3125</v>
      </c>
      <c r="I64">
        <f>INDEX(PeakCalc!$L$10:$L$303,MATCH(tblPivotData[[#This Row],[Time]],PeakCalc!$G$10:$G$303,0))</f>
        <v>0</v>
      </c>
    </row>
    <row r="65" spans="1:9" x14ac:dyDescent="0.25">
      <c r="A65" t="s">
        <v>92</v>
      </c>
      <c r="B65" t="s">
        <v>96</v>
      </c>
      <c r="C65" t="s">
        <v>97</v>
      </c>
      <c r="D65" t="s">
        <v>79</v>
      </c>
      <c r="E65" t="s">
        <v>43</v>
      </c>
      <c r="F65" s="6">
        <v>0.32291666666666669</v>
      </c>
      <c r="G65">
        <v>301</v>
      </c>
      <c r="H65" s="6">
        <f>FLOOR(tblPivotData[[#This Row],[Time]],Summary!$B$6/1440)</f>
        <v>0.32291666666666663</v>
      </c>
      <c r="I65">
        <f>INDEX(PeakCalc!$L$10:$L$303,MATCH(tblPivotData[[#This Row],[Time]],PeakCalc!$G$10:$G$303,0))</f>
        <v>1</v>
      </c>
    </row>
    <row r="66" spans="1:9" x14ac:dyDescent="0.25">
      <c r="A66" t="s">
        <v>92</v>
      </c>
      <c r="B66" t="s">
        <v>96</v>
      </c>
      <c r="C66" t="s">
        <v>97</v>
      </c>
      <c r="D66" t="s">
        <v>79</v>
      </c>
      <c r="E66" t="s">
        <v>43</v>
      </c>
      <c r="F66" s="6">
        <v>0.33333333333333331</v>
      </c>
      <c r="G66">
        <v>317</v>
      </c>
      <c r="H66" s="6">
        <f>FLOOR(tblPivotData[[#This Row],[Time]],Summary!$B$6/1440)</f>
        <v>0.33333333333333331</v>
      </c>
      <c r="I66">
        <f>INDEX(PeakCalc!$L$10:$L$303,MATCH(tblPivotData[[#This Row],[Time]],PeakCalc!$G$10:$G$303,0))</f>
        <v>1</v>
      </c>
    </row>
    <row r="67" spans="1:9" x14ac:dyDescent="0.25">
      <c r="A67" t="s">
        <v>92</v>
      </c>
      <c r="B67" t="s">
        <v>96</v>
      </c>
      <c r="C67" t="s">
        <v>97</v>
      </c>
      <c r="D67" t="s">
        <v>79</v>
      </c>
      <c r="E67" t="s">
        <v>43</v>
      </c>
      <c r="F67" s="6">
        <v>0.34375</v>
      </c>
      <c r="G67">
        <v>295</v>
      </c>
      <c r="H67" s="6">
        <f>FLOOR(tblPivotData[[#This Row],[Time]],Summary!$B$6/1440)</f>
        <v>0.34375</v>
      </c>
      <c r="I67">
        <f>INDEX(PeakCalc!$L$10:$L$303,MATCH(tblPivotData[[#This Row],[Time]],PeakCalc!$G$10:$G$303,0))</f>
        <v>1</v>
      </c>
    </row>
    <row r="68" spans="1:9" x14ac:dyDescent="0.25">
      <c r="A68" t="s">
        <v>92</v>
      </c>
      <c r="B68" t="s">
        <v>96</v>
      </c>
      <c r="C68" t="s">
        <v>97</v>
      </c>
      <c r="D68" t="s">
        <v>79</v>
      </c>
      <c r="E68" t="s">
        <v>43</v>
      </c>
      <c r="F68" s="6">
        <v>0.35416666666666669</v>
      </c>
      <c r="G68">
        <v>280</v>
      </c>
      <c r="H68" s="6">
        <f>FLOOR(tblPivotData[[#This Row],[Time]],Summary!$B$6/1440)</f>
        <v>0.35416666666666663</v>
      </c>
      <c r="I68">
        <f>INDEX(PeakCalc!$L$10:$L$303,MATCH(tblPivotData[[#This Row],[Time]],PeakCalc!$G$10:$G$303,0))</f>
        <v>1</v>
      </c>
    </row>
    <row r="69" spans="1:9" x14ac:dyDescent="0.25">
      <c r="A69" t="s">
        <v>92</v>
      </c>
      <c r="B69" t="s">
        <v>96</v>
      </c>
      <c r="C69" t="s">
        <v>97</v>
      </c>
      <c r="D69" t="s">
        <v>79</v>
      </c>
      <c r="E69" t="s">
        <v>43</v>
      </c>
      <c r="F69" s="6">
        <v>0.36458333333333331</v>
      </c>
      <c r="G69">
        <v>293</v>
      </c>
      <c r="H69" s="6">
        <f>FLOOR(tblPivotData[[#This Row],[Time]],Summary!$B$6/1440)</f>
        <v>0.36458333333333331</v>
      </c>
      <c r="I69">
        <f>INDEX(PeakCalc!$L$10:$L$303,MATCH(tblPivotData[[#This Row],[Time]],PeakCalc!$G$10:$G$303,0))</f>
        <v>0</v>
      </c>
    </row>
    <row r="70" spans="1:9" x14ac:dyDescent="0.25">
      <c r="A70" t="s">
        <v>92</v>
      </c>
      <c r="B70" t="s">
        <v>96</v>
      </c>
      <c r="C70" t="s">
        <v>97</v>
      </c>
      <c r="D70" t="s">
        <v>79</v>
      </c>
      <c r="E70" t="s">
        <v>90</v>
      </c>
      <c r="F70" s="6">
        <v>0.54166666666666663</v>
      </c>
      <c r="G70">
        <v>153</v>
      </c>
      <c r="H70" s="6">
        <f>FLOOR(tblPivotData[[#This Row],[Time]],Summary!$B$6/1440)</f>
        <v>0.54166666666666663</v>
      </c>
      <c r="I70">
        <f>INDEX(PeakCalc!$L$10:$L$303,MATCH(tblPivotData[[#This Row],[Time]],PeakCalc!$G$10:$G$303,0))</f>
        <v>1</v>
      </c>
    </row>
    <row r="71" spans="1:9" x14ac:dyDescent="0.25">
      <c r="A71" t="s">
        <v>92</v>
      </c>
      <c r="B71" t="s">
        <v>96</v>
      </c>
      <c r="C71" t="s">
        <v>97</v>
      </c>
      <c r="D71" t="s">
        <v>79</v>
      </c>
      <c r="E71" t="s">
        <v>90</v>
      </c>
      <c r="F71" s="6">
        <v>0.55208333333333337</v>
      </c>
      <c r="G71">
        <v>158</v>
      </c>
      <c r="H71" s="6">
        <f>FLOOR(tblPivotData[[#This Row],[Time]],Summary!$B$6/1440)</f>
        <v>0.55208333333333326</v>
      </c>
      <c r="I71">
        <f>INDEX(PeakCalc!$L$10:$L$303,MATCH(tblPivotData[[#This Row],[Time]],PeakCalc!$G$10:$G$303,0))</f>
        <v>1</v>
      </c>
    </row>
    <row r="72" spans="1:9" x14ac:dyDescent="0.25">
      <c r="A72" t="s">
        <v>92</v>
      </c>
      <c r="B72" t="s">
        <v>96</v>
      </c>
      <c r="C72" t="s">
        <v>97</v>
      </c>
      <c r="D72" t="s">
        <v>79</v>
      </c>
      <c r="E72" t="s">
        <v>90</v>
      </c>
      <c r="F72" s="6">
        <v>0.5625</v>
      </c>
      <c r="G72">
        <v>175</v>
      </c>
      <c r="H72" s="6">
        <f>FLOOR(tblPivotData[[#This Row],[Time]],Summary!$B$6/1440)</f>
        <v>0.5625</v>
      </c>
      <c r="I72">
        <f>INDEX(PeakCalc!$L$10:$L$303,MATCH(tblPivotData[[#This Row],[Time]],PeakCalc!$G$10:$G$303,0))</f>
        <v>1</v>
      </c>
    </row>
    <row r="73" spans="1:9" x14ac:dyDescent="0.25">
      <c r="A73" t="s">
        <v>92</v>
      </c>
      <c r="B73" t="s">
        <v>96</v>
      </c>
      <c r="C73" t="s">
        <v>97</v>
      </c>
      <c r="D73" t="s">
        <v>79</v>
      </c>
      <c r="E73" t="s">
        <v>90</v>
      </c>
      <c r="F73" s="6">
        <v>0.57291666666666663</v>
      </c>
      <c r="G73">
        <v>181</v>
      </c>
      <c r="H73" s="6">
        <f>FLOOR(tblPivotData[[#This Row],[Time]],Summary!$B$6/1440)</f>
        <v>0.57291666666666663</v>
      </c>
      <c r="I73">
        <f>INDEX(PeakCalc!$L$10:$L$303,MATCH(tblPivotData[[#This Row],[Time]],PeakCalc!$G$10:$G$303,0))</f>
        <v>1</v>
      </c>
    </row>
    <row r="74" spans="1:9" x14ac:dyDescent="0.25">
      <c r="A74" t="s">
        <v>92</v>
      </c>
      <c r="B74" t="s">
        <v>96</v>
      </c>
      <c r="C74" t="s">
        <v>97</v>
      </c>
      <c r="D74" t="s">
        <v>79</v>
      </c>
      <c r="E74" t="s">
        <v>44</v>
      </c>
      <c r="F74" s="6">
        <v>0.66666666666666663</v>
      </c>
      <c r="G74">
        <v>212</v>
      </c>
      <c r="H74" s="6">
        <f>FLOOR(tblPivotData[[#This Row],[Time]],Summary!$B$6/1440)</f>
        <v>0.66666666666666663</v>
      </c>
      <c r="I74">
        <f>INDEX(PeakCalc!$L$10:$L$303,MATCH(tblPivotData[[#This Row],[Time]],PeakCalc!$G$10:$G$303,0))</f>
        <v>0</v>
      </c>
    </row>
    <row r="75" spans="1:9" x14ac:dyDescent="0.25">
      <c r="A75" t="s">
        <v>92</v>
      </c>
      <c r="B75" t="s">
        <v>96</v>
      </c>
      <c r="C75" t="s">
        <v>97</v>
      </c>
      <c r="D75" t="s">
        <v>79</v>
      </c>
      <c r="E75" t="s">
        <v>44</v>
      </c>
      <c r="F75" s="6">
        <v>0.67708333333333337</v>
      </c>
      <c r="G75">
        <v>233</v>
      </c>
      <c r="H75" s="6">
        <f>FLOOR(tblPivotData[[#This Row],[Time]],Summary!$B$6/1440)</f>
        <v>0.67708333333333326</v>
      </c>
      <c r="I75">
        <f>INDEX(PeakCalc!$L$10:$L$303,MATCH(tblPivotData[[#This Row],[Time]],PeakCalc!$G$10:$G$303,0))</f>
        <v>1</v>
      </c>
    </row>
    <row r="76" spans="1:9" x14ac:dyDescent="0.25">
      <c r="A76" t="s">
        <v>92</v>
      </c>
      <c r="B76" t="s">
        <v>96</v>
      </c>
      <c r="C76" t="s">
        <v>97</v>
      </c>
      <c r="D76" t="s">
        <v>79</v>
      </c>
      <c r="E76" t="s">
        <v>44</v>
      </c>
      <c r="F76" s="6">
        <v>0.6875</v>
      </c>
      <c r="G76">
        <v>208</v>
      </c>
      <c r="H76" s="6">
        <f>FLOOR(tblPivotData[[#This Row],[Time]],Summary!$B$6/1440)</f>
        <v>0.6875</v>
      </c>
      <c r="I76">
        <f>INDEX(PeakCalc!$L$10:$L$303,MATCH(tblPivotData[[#This Row],[Time]],PeakCalc!$G$10:$G$303,0))</f>
        <v>1</v>
      </c>
    </row>
    <row r="77" spans="1:9" x14ac:dyDescent="0.25">
      <c r="A77" t="s">
        <v>92</v>
      </c>
      <c r="B77" t="s">
        <v>96</v>
      </c>
      <c r="C77" t="s">
        <v>97</v>
      </c>
      <c r="D77" t="s">
        <v>79</v>
      </c>
      <c r="E77" t="s">
        <v>44</v>
      </c>
      <c r="F77" s="6">
        <v>0.69791666666666663</v>
      </c>
      <c r="G77">
        <v>199</v>
      </c>
      <c r="H77" s="6">
        <f>FLOOR(tblPivotData[[#This Row],[Time]],Summary!$B$6/1440)</f>
        <v>0.69791666666666663</v>
      </c>
      <c r="I77">
        <f>INDEX(PeakCalc!$L$10:$L$303,MATCH(tblPivotData[[#This Row],[Time]],PeakCalc!$G$10:$G$303,0))</f>
        <v>1</v>
      </c>
    </row>
    <row r="78" spans="1:9" x14ac:dyDescent="0.25">
      <c r="A78" t="s">
        <v>92</v>
      </c>
      <c r="B78" t="s">
        <v>96</v>
      </c>
      <c r="C78" t="s">
        <v>97</v>
      </c>
      <c r="D78" t="s">
        <v>79</v>
      </c>
      <c r="E78" t="s">
        <v>44</v>
      </c>
      <c r="F78" s="6">
        <v>0.70833333333333337</v>
      </c>
      <c r="G78">
        <v>190</v>
      </c>
      <c r="H78" s="6">
        <f>FLOOR(tblPivotData[[#This Row],[Time]],Summary!$B$6/1440)</f>
        <v>0.70833333333333326</v>
      </c>
      <c r="I78">
        <f>INDEX(PeakCalc!$L$10:$L$303,MATCH(tblPivotData[[#This Row],[Time]],PeakCalc!$G$10:$G$303,0))</f>
        <v>1</v>
      </c>
    </row>
    <row r="79" spans="1:9" x14ac:dyDescent="0.25">
      <c r="A79" t="s">
        <v>92</v>
      </c>
      <c r="B79" t="s">
        <v>96</v>
      </c>
      <c r="C79" t="s">
        <v>97</v>
      </c>
      <c r="D79" t="s">
        <v>79</v>
      </c>
      <c r="E79" t="s">
        <v>44</v>
      </c>
      <c r="F79" s="6">
        <v>0.71875</v>
      </c>
      <c r="G79">
        <v>187</v>
      </c>
      <c r="H79" s="6">
        <f>FLOOR(tblPivotData[[#This Row],[Time]],Summary!$B$6/1440)</f>
        <v>0.71875</v>
      </c>
      <c r="I79">
        <f>INDEX(PeakCalc!$L$10:$L$303,MATCH(tblPivotData[[#This Row],[Time]],PeakCalc!$G$10:$G$303,0))</f>
        <v>0</v>
      </c>
    </row>
    <row r="80" spans="1:9" x14ac:dyDescent="0.25">
      <c r="A80" t="s">
        <v>92</v>
      </c>
      <c r="B80" t="s">
        <v>96</v>
      </c>
      <c r="C80" t="s">
        <v>97</v>
      </c>
      <c r="D80" t="s">
        <v>79</v>
      </c>
      <c r="E80" t="s">
        <v>44</v>
      </c>
      <c r="F80" s="6">
        <v>0.72916666666666663</v>
      </c>
      <c r="G80">
        <v>201</v>
      </c>
      <c r="H80" s="6">
        <f>FLOOR(tblPivotData[[#This Row],[Time]],Summary!$B$6/1440)</f>
        <v>0.72916666666666663</v>
      </c>
      <c r="I80">
        <f>INDEX(PeakCalc!$L$10:$L$303,MATCH(tblPivotData[[#This Row],[Time]],PeakCalc!$G$10:$G$303,0))</f>
        <v>0</v>
      </c>
    </row>
    <row r="81" spans="1:9" x14ac:dyDescent="0.25">
      <c r="A81" t="s">
        <v>92</v>
      </c>
      <c r="B81" t="s">
        <v>96</v>
      </c>
      <c r="C81" t="s">
        <v>97</v>
      </c>
      <c r="D81" t="s">
        <v>79</v>
      </c>
      <c r="E81" t="s">
        <v>44</v>
      </c>
      <c r="F81" s="6">
        <v>0.73958333333333337</v>
      </c>
      <c r="G81">
        <v>198</v>
      </c>
      <c r="H81" s="6">
        <f>FLOOR(tblPivotData[[#This Row],[Time]],Summary!$B$6/1440)</f>
        <v>0.73958333333333326</v>
      </c>
      <c r="I81">
        <f>INDEX(PeakCalc!$L$10:$L$303,MATCH(tblPivotData[[#This Row],[Time]],PeakCalc!$G$10:$G$303,0))</f>
        <v>0</v>
      </c>
    </row>
    <row r="82" spans="1:9" x14ac:dyDescent="0.25">
      <c r="A82" t="s">
        <v>92</v>
      </c>
      <c r="B82" t="s">
        <v>96</v>
      </c>
      <c r="C82" t="s">
        <v>97</v>
      </c>
      <c r="D82" t="s">
        <v>88</v>
      </c>
      <c r="E82" t="s">
        <v>43</v>
      </c>
      <c r="F82" s="6">
        <v>0.29166666666666669</v>
      </c>
      <c r="G82">
        <v>8</v>
      </c>
      <c r="H82" s="6">
        <f>FLOOR(tblPivotData[[#This Row],[Time]],Summary!$B$6/1440)</f>
        <v>0.29166666666666663</v>
      </c>
      <c r="I82">
        <f>INDEX(PeakCalc!$L$10:$L$303,MATCH(tblPivotData[[#This Row],[Time]],PeakCalc!$G$10:$G$303,0))</f>
        <v>0</v>
      </c>
    </row>
    <row r="83" spans="1:9" x14ac:dyDescent="0.25">
      <c r="A83" t="s">
        <v>92</v>
      </c>
      <c r="B83" t="s">
        <v>96</v>
      </c>
      <c r="C83" t="s">
        <v>97</v>
      </c>
      <c r="D83" t="s">
        <v>88</v>
      </c>
      <c r="E83" t="s">
        <v>43</v>
      </c>
      <c r="F83" s="6">
        <v>0.30208333333333331</v>
      </c>
      <c r="G83">
        <v>7</v>
      </c>
      <c r="H83" s="6">
        <f>FLOOR(tblPivotData[[#This Row],[Time]],Summary!$B$6/1440)</f>
        <v>0.30208333333333331</v>
      </c>
      <c r="I83">
        <f>INDEX(PeakCalc!$L$10:$L$303,MATCH(tblPivotData[[#This Row],[Time]],PeakCalc!$G$10:$G$303,0))</f>
        <v>0</v>
      </c>
    </row>
    <row r="84" spans="1:9" x14ac:dyDescent="0.25">
      <c r="A84" t="s">
        <v>92</v>
      </c>
      <c r="B84" t="s">
        <v>96</v>
      </c>
      <c r="C84" t="s">
        <v>97</v>
      </c>
      <c r="D84" t="s">
        <v>88</v>
      </c>
      <c r="E84" t="s">
        <v>43</v>
      </c>
      <c r="F84" s="6">
        <v>0.3125</v>
      </c>
      <c r="G84">
        <v>4</v>
      </c>
      <c r="H84" s="6">
        <f>FLOOR(tblPivotData[[#This Row],[Time]],Summary!$B$6/1440)</f>
        <v>0.3125</v>
      </c>
      <c r="I84">
        <f>INDEX(PeakCalc!$L$10:$L$303,MATCH(tblPivotData[[#This Row],[Time]],PeakCalc!$G$10:$G$303,0))</f>
        <v>0</v>
      </c>
    </row>
    <row r="85" spans="1:9" x14ac:dyDescent="0.25">
      <c r="A85" t="s">
        <v>92</v>
      </c>
      <c r="B85" t="s">
        <v>96</v>
      </c>
      <c r="C85" t="s">
        <v>97</v>
      </c>
      <c r="D85" t="s">
        <v>88</v>
      </c>
      <c r="E85" t="s">
        <v>43</v>
      </c>
      <c r="F85" s="6">
        <v>0.32291666666666669</v>
      </c>
      <c r="G85">
        <v>11</v>
      </c>
      <c r="H85" s="6">
        <f>FLOOR(tblPivotData[[#This Row],[Time]],Summary!$B$6/1440)</f>
        <v>0.32291666666666663</v>
      </c>
      <c r="I85">
        <f>INDEX(PeakCalc!$L$10:$L$303,MATCH(tblPivotData[[#This Row],[Time]],PeakCalc!$G$10:$G$303,0))</f>
        <v>1</v>
      </c>
    </row>
    <row r="86" spans="1:9" x14ac:dyDescent="0.25">
      <c r="A86" t="s">
        <v>92</v>
      </c>
      <c r="B86" t="s">
        <v>96</v>
      </c>
      <c r="C86" t="s">
        <v>97</v>
      </c>
      <c r="D86" t="s">
        <v>88</v>
      </c>
      <c r="E86" t="s">
        <v>43</v>
      </c>
      <c r="F86" s="6">
        <v>0.33333333333333331</v>
      </c>
      <c r="G86">
        <v>8</v>
      </c>
      <c r="H86" s="6">
        <f>FLOOR(tblPivotData[[#This Row],[Time]],Summary!$B$6/1440)</f>
        <v>0.33333333333333331</v>
      </c>
      <c r="I86">
        <f>INDEX(PeakCalc!$L$10:$L$303,MATCH(tblPivotData[[#This Row],[Time]],PeakCalc!$G$10:$G$303,0))</f>
        <v>1</v>
      </c>
    </row>
    <row r="87" spans="1:9" x14ac:dyDescent="0.25">
      <c r="A87" t="s">
        <v>92</v>
      </c>
      <c r="B87" t="s">
        <v>96</v>
      </c>
      <c r="C87" t="s">
        <v>97</v>
      </c>
      <c r="D87" t="s">
        <v>88</v>
      </c>
      <c r="E87" t="s">
        <v>43</v>
      </c>
      <c r="F87" s="6">
        <v>0.34375</v>
      </c>
      <c r="G87">
        <v>5</v>
      </c>
      <c r="H87" s="6">
        <f>FLOOR(tblPivotData[[#This Row],[Time]],Summary!$B$6/1440)</f>
        <v>0.34375</v>
      </c>
      <c r="I87">
        <f>INDEX(PeakCalc!$L$10:$L$303,MATCH(tblPivotData[[#This Row],[Time]],PeakCalc!$G$10:$G$303,0))</f>
        <v>1</v>
      </c>
    </row>
    <row r="88" spans="1:9" x14ac:dyDescent="0.25">
      <c r="A88" t="s">
        <v>92</v>
      </c>
      <c r="B88" t="s">
        <v>96</v>
      </c>
      <c r="C88" t="s">
        <v>97</v>
      </c>
      <c r="D88" t="s">
        <v>88</v>
      </c>
      <c r="E88" t="s">
        <v>43</v>
      </c>
      <c r="F88" s="6">
        <v>0.35416666666666669</v>
      </c>
      <c r="G88">
        <v>6</v>
      </c>
      <c r="H88" s="6">
        <f>FLOOR(tblPivotData[[#This Row],[Time]],Summary!$B$6/1440)</f>
        <v>0.35416666666666663</v>
      </c>
      <c r="I88">
        <f>INDEX(PeakCalc!$L$10:$L$303,MATCH(tblPivotData[[#This Row],[Time]],PeakCalc!$G$10:$G$303,0))</f>
        <v>1</v>
      </c>
    </row>
    <row r="89" spans="1:9" x14ac:dyDescent="0.25">
      <c r="A89" t="s">
        <v>92</v>
      </c>
      <c r="B89" t="s">
        <v>96</v>
      </c>
      <c r="C89" t="s">
        <v>97</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92</v>
      </c>
      <c r="B90" t="s">
        <v>96</v>
      </c>
      <c r="C90" t="s">
        <v>97</v>
      </c>
      <c r="D90" t="s">
        <v>88</v>
      </c>
      <c r="E90" t="s">
        <v>90</v>
      </c>
      <c r="F90" s="6">
        <v>0.54166666666666663</v>
      </c>
      <c r="G90">
        <v>11</v>
      </c>
      <c r="H90" s="6">
        <f>FLOOR(tblPivotData[[#This Row],[Time]],Summary!$B$6/1440)</f>
        <v>0.54166666666666663</v>
      </c>
      <c r="I90">
        <f>INDEX(PeakCalc!$L$10:$L$303,MATCH(tblPivotData[[#This Row],[Time]],PeakCalc!$G$10:$G$303,0))</f>
        <v>1</v>
      </c>
    </row>
    <row r="91" spans="1:9" x14ac:dyDescent="0.25">
      <c r="A91" t="s">
        <v>92</v>
      </c>
      <c r="B91" t="s">
        <v>96</v>
      </c>
      <c r="C91" t="s">
        <v>97</v>
      </c>
      <c r="D91" t="s">
        <v>88</v>
      </c>
      <c r="E91" t="s">
        <v>90</v>
      </c>
      <c r="F91" s="6">
        <v>0.55208333333333337</v>
      </c>
      <c r="G91">
        <v>6</v>
      </c>
      <c r="H91" s="6">
        <f>FLOOR(tblPivotData[[#This Row],[Time]],Summary!$B$6/1440)</f>
        <v>0.55208333333333326</v>
      </c>
      <c r="I91">
        <f>INDEX(PeakCalc!$L$10:$L$303,MATCH(tblPivotData[[#This Row],[Time]],PeakCalc!$G$10:$G$303,0))</f>
        <v>1</v>
      </c>
    </row>
    <row r="92" spans="1:9" x14ac:dyDescent="0.25">
      <c r="A92" t="s">
        <v>92</v>
      </c>
      <c r="B92" t="s">
        <v>96</v>
      </c>
      <c r="C92" t="s">
        <v>97</v>
      </c>
      <c r="D92" t="s">
        <v>88</v>
      </c>
      <c r="E92" t="s">
        <v>90</v>
      </c>
      <c r="F92" s="6">
        <v>0.5625</v>
      </c>
      <c r="G92">
        <v>5</v>
      </c>
      <c r="H92" s="6">
        <f>FLOOR(tblPivotData[[#This Row],[Time]],Summary!$B$6/1440)</f>
        <v>0.5625</v>
      </c>
      <c r="I92">
        <f>INDEX(PeakCalc!$L$10:$L$303,MATCH(tblPivotData[[#This Row],[Time]],PeakCalc!$G$10:$G$303,0))</f>
        <v>1</v>
      </c>
    </row>
    <row r="93" spans="1:9" x14ac:dyDescent="0.25">
      <c r="A93" t="s">
        <v>92</v>
      </c>
      <c r="B93" t="s">
        <v>96</v>
      </c>
      <c r="C93" t="s">
        <v>97</v>
      </c>
      <c r="D93" t="s">
        <v>88</v>
      </c>
      <c r="E93" t="s">
        <v>90</v>
      </c>
      <c r="F93" s="6">
        <v>0.57291666666666663</v>
      </c>
      <c r="G93">
        <v>5</v>
      </c>
      <c r="H93" s="6">
        <f>FLOOR(tblPivotData[[#This Row],[Time]],Summary!$B$6/1440)</f>
        <v>0.57291666666666663</v>
      </c>
      <c r="I93">
        <f>INDEX(PeakCalc!$L$10:$L$303,MATCH(tblPivotData[[#This Row],[Time]],PeakCalc!$G$10:$G$303,0))</f>
        <v>1</v>
      </c>
    </row>
    <row r="94" spans="1:9" x14ac:dyDescent="0.25">
      <c r="A94" t="s">
        <v>92</v>
      </c>
      <c r="B94" t="s">
        <v>96</v>
      </c>
      <c r="C94" t="s">
        <v>97</v>
      </c>
      <c r="D94" t="s">
        <v>88</v>
      </c>
      <c r="E94" t="s">
        <v>44</v>
      </c>
      <c r="F94" s="6">
        <v>0.66666666666666663</v>
      </c>
      <c r="G94">
        <v>8</v>
      </c>
      <c r="H94" s="6">
        <f>FLOOR(tblPivotData[[#This Row],[Time]],Summary!$B$6/1440)</f>
        <v>0.66666666666666663</v>
      </c>
      <c r="I94">
        <f>INDEX(PeakCalc!$L$10:$L$303,MATCH(tblPivotData[[#This Row],[Time]],PeakCalc!$G$10:$G$303,0))</f>
        <v>0</v>
      </c>
    </row>
    <row r="95" spans="1:9" x14ac:dyDescent="0.25">
      <c r="A95" t="s">
        <v>92</v>
      </c>
      <c r="B95" t="s">
        <v>96</v>
      </c>
      <c r="C95" t="s">
        <v>97</v>
      </c>
      <c r="D95" t="s">
        <v>88</v>
      </c>
      <c r="E95" t="s">
        <v>44</v>
      </c>
      <c r="F95" s="6">
        <v>0.67708333333333337</v>
      </c>
      <c r="G95">
        <v>4</v>
      </c>
      <c r="H95" s="6">
        <f>FLOOR(tblPivotData[[#This Row],[Time]],Summary!$B$6/1440)</f>
        <v>0.67708333333333326</v>
      </c>
      <c r="I95">
        <f>INDEX(PeakCalc!$L$10:$L$303,MATCH(tblPivotData[[#This Row],[Time]],PeakCalc!$G$10:$G$303,0))</f>
        <v>1</v>
      </c>
    </row>
    <row r="96" spans="1:9" x14ac:dyDescent="0.25">
      <c r="A96" t="s">
        <v>92</v>
      </c>
      <c r="B96" t="s">
        <v>96</v>
      </c>
      <c r="C96" t="s">
        <v>97</v>
      </c>
      <c r="D96" t="s">
        <v>88</v>
      </c>
      <c r="E96" t="s">
        <v>44</v>
      </c>
      <c r="F96" s="6">
        <v>0.6875</v>
      </c>
      <c r="G96">
        <v>1</v>
      </c>
      <c r="H96" s="6">
        <f>FLOOR(tblPivotData[[#This Row],[Time]],Summary!$B$6/1440)</f>
        <v>0.6875</v>
      </c>
      <c r="I96">
        <f>INDEX(PeakCalc!$L$10:$L$303,MATCH(tblPivotData[[#This Row],[Time]],PeakCalc!$G$10:$G$303,0))</f>
        <v>1</v>
      </c>
    </row>
    <row r="97" spans="1:9" x14ac:dyDescent="0.25">
      <c r="A97" t="s">
        <v>92</v>
      </c>
      <c r="B97" t="s">
        <v>96</v>
      </c>
      <c r="C97" t="s">
        <v>97</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96</v>
      </c>
      <c r="C98" t="s">
        <v>97</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96</v>
      </c>
      <c r="C99" t="s">
        <v>97</v>
      </c>
      <c r="D99" t="s">
        <v>88</v>
      </c>
      <c r="E99" t="s">
        <v>44</v>
      </c>
      <c r="F99" s="6">
        <v>0.71875</v>
      </c>
      <c r="G99">
        <v>3</v>
      </c>
      <c r="H99" s="6">
        <f>FLOOR(tblPivotData[[#This Row],[Time]],Summary!$B$6/1440)</f>
        <v>0.71875</v>
      </c>
      <c r="I99">
        <f>INDEX(PeakCalc!$L$10:$L$303,MATCH(tblPivotData[[#This Row],[Time]],PeakCalc!$G$10:$G$303,0))</f>
        <v>0</v>
      </c>
    </row>
    <row r="100" spans="1:9" x14ac:dyDescent="0.25">
      <c r="A100" t="s">
        <v>92</v>
      </c>
      <c r="B100" t="s">
        <v>96</v>
      </c>
      <c r="C100" t="s">
        <v>97</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96</v>
      </c>
      <c r="C101" t="s">
        <v>97</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96</v>
      </c>
      <c r="C102" t="s">
        <v>97</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96</v>
      </c>
      <c r="C103" t="s">
        <v>97</v>
      </c>
      <c r="D103" t="s">
        <v>89</v>
      </c>
      <c r="E103" t="s">
        <v>43</v>
      </c>
      <c r="F103" s="6">
        <v>0.30208333333333331</v>
      </c>
      <c r="G103">
        <v>9</v>
      </c>
      <c r="H103" s="6">
        <f>FLOOR(tblPivotData[[#This Row],[Time]],Summary!$B$6/1440)</f>
        <v>0.30208333333333331</v>
      </c>
      <c r="I103">
        <f>INDEX(PeakCalc!$L$10:$L$303,MATCH(tblPivotData[[#This Row],[Time]],PeakCalc!$G$10:$G$303,0))</f>
        <v>0</v>
      </c>
    </row>
    <row r="104" spans="1:9" x14ac:dyDescent="0.25">
      <c r="A104" t="s">
        <v>92</v>
      </c>
      <c r="B104" t="s">
        <v>96</v>
      </c>
      <c r="C104" t="s">
        <v>97</v>
      </c>
      <c r="D104" t="s">
        <v>89</v>
      </c>
      <c r="E104" t="s">
        <v>43</v>
      </c>
      <c r="F104" s="6">
        <v>0.3125</v>
      </c>
      <c r="G104">
        <v>8</v>
      </c>
      <c r="H104" s="6">
        <f>FLOOR(tblPivotData[[#This Row],[Time]],Summary!$B$6/1440)</f>
        <v>0.3125</v>
      </c>
      <c r="I104">
        <f>INDEX(PeakCalc!$L$10:$L$303,MATCH(tblPivotData[[#This Row],[Time]],PeakCalc!$G$10:$G$303,0))</f>
        <v>0</v>
      </c>
    </row>
    <row r="105" spans="1:9" x14ac:dyDescent="0.25">
      <c r="A105" t="s">
        <v>92</v>
      </c>
      <c r="B105" t="s">
        <v>96</v>
      </c>
      <c r="C105" t="s">
        <v>97</v>
      </c>
      <c r="D105" t="s">
        <v>89</v>
      </c>
      <c r="E105" t="s">
        <v>43</v>
      </c>
      <c r="F105" s="6">
        <v>0.32291666666666669</v>
      </c>
      <c r="G105">
        <v>7</v>
      </c>
      <c r="H105" s="6">
        <f>FLOOR(tblPivotData[[#This Row],[Time]],Summary!$B$6/1440)</f>
        <v>0.32291666666666663</v>
      </c>
      <c r="I105">
        <f>INDEX(PeakCalc!$L$10:$L$303,MATCH(tblPivotData[[#This Row],[Time]],PeakCalc!$G$10:$G$303,0))</f>
        <v>1</v>
      </c>
    </row>
    <row r="106" spans="1:9" x14ac:dyDescent="0.25">
      <c r="A106" t="s">
        <v>92</v>
      </c>
      <c r="B106" t="s">
        <v>96</v>
      </c>
      <c r="C106" t="s">
        <v>97</v>
      </c>
      <c r="D106" t="s">
        <v>89</v>
      </c>
      <c r="E106" t="s">
        <v>43</v>
      </c>
      <c r="F106" s="6">
        <v>0.33333333333333331</v>
      </c>
      <c r="G106">
        <v>4</v>
      </c>
      <c r="H106" s="6">
        <f>FLOOR(tblPivotData[[#This Row],[Time]],Summary!$B$6/1440)</f>
        <v>0.33333333333333331</v>
      </c>
      <c r="I106">
        <f>INDEX(PeakCalc!$L$10:$L$303,MATCH(tblPivotData[[#This Row],[Time]],PeakCalc!$G$10:$G$303,0))</f>
        <v>1</v>
      </c>
    </row>
    <row r="107" spans="1:9" x14ac:dyDescent="0.25">
      <c r="A107" t="s">
        <v>92</v>
      </c>
      <c r="B107" t="s">
        <v>96</v>
      </c>
      <c r="C107" t="s">
        <v>97</v>
      </c>
      <c r="D107" t="s">
        <v>89</v>
      </c>
      <c r="E107" t="s">
        <v>43</v>
      </c>
      <c r="F107" s="6">
        <v>0.34375</v>
      </c>
      <c r="G107">
        <v>13</v>
      </c>
      <c r="H107" s="6">
        <f>FLOOR(tblPivotData[[#This Row],[Time]],Summary!$B$6/1440)</f>
        <v>0.34375</v>
      </c>
      <c r="I107">
        <f>INDEX(PeakCalc!$L$10:$L$303,MATCH(tblPivotData[[#This Row],[Time]],PeakCalc!$G$10:$G$303,0))</f>
        <v>1</v>
      </c>
    </row>
    <row r="108" spans="1:9" x14ac:dyDescent="0.25">
      <c r="A108" t="s">
        <v>92</v>
      </c>
      <c r="B108" t="s">
        <v>96</v>
      </c>
      <c r="C108" t="s">
        <v>97</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92</v>
      </c>
      <c r="B109" t="s">
        <v>96</v>
      </c>
      <c r="C109" t="s">
        <v>97</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25">
      <c r="A110" t="s">
        <v>92</v>
      </c>
      <c r="B110" t="s">
        <v>96</v>
      </c>
      <c r="C110" t="s">
        <v>97</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97</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25">
      <c r="A112" t="s">
        <v>92</v>
      </c>
      <c r="B112" t="s">
        <v>96</v>
      </c>
      <c r="C112" t="s">
        <v>97</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97</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97</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96</v>
      </c>
      <c r="C115" t="s">
        <v>97</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92</v>
      </c>
      <c r="B116" t="s">
        <v>96</v>
      </c>
      <c r="C116" t="s">
        <v>97</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97</v>
      </c>
      <c r="D117" t="s">
        <v>89</v>
      </c>
      <c r="E117" t="s">
        <v>44</v>
      </c>
      <c r="F117" s="6">
        <v>0.69791666666666663</v>
      </c>
      <c r="G117">
        <v>3</v>
      </c>
      <c r="H117" s="6">
        <f>FLOOR(tblPivotData[[#This Row],[Time]],Summary!$B$6/1440)</f>
        <v>0.69791666666666663</v>
      </c>
      <c r="I117">
        <f>INDEX(PeakCalc!$L$10:$L$303,MATCH(tblPivotData[[#This Row],[Time]],PeakCalc!$G$10:$G$303,0))</f>
        <v>1</v>
      </c>
    </row>
    <row r="118" spans="1:9" x14ac:dyDescent="0.25">
      <c r="A118" t="s">
        <v>92</v>
      </c>
      <c r="B118" t="s">
        <v>96</v>
      </c>
      <c r="C118" t="s">
        <v>97</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92</v>
      </c>
      <c r="B119" t="s">
        <v>96</v>
      </c>
      <c r="C119" t="s">
        <v>97</v>
      </c>
      <c r="D119" t="s">
        <v>89</v>
      </c>
      <c r="E119" t="s">
        <v>44</v>
      </c>
      <c r="F119" s="6">
        <v>0.71875</v>
      </c>
      <c r="G119">
        <v>1</v>
      </c>
      <c r="H119" s="6">
        <f>FLOOR(tblPivotData[[#This Row],[Time]],Summary!$B$6/1440)</f>
        <v>0.71875</v>
      </c>
      <c r="I119">
        <f>INDEX(PeakCalc!$L$10:$L$303,MATCH(tblPivotData[[#This Row],[Time]],PeakCalc!$G$10:$G$303,0))</f>
        <v>0</v>
      </c>
    </row>
    <row r="120" spans="1:9" x14ac:dyDescent="0.25">
      <c r="A120" t="s">
        <v>92</v>
      </c>
      <c r="B120" t="s">
        <v>96</v>
      </c>
      <c r="C120" t="s">
        <v>97</v>
      </c>
      <c r="D120" t="s">
        <v>89</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92</v>
      </c>
      <c r="B121" t="s">
        <v>96</v>
      </c>
      <c r="C121" t="s">
        <v>97</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93</v>
      </c>
      <c r="B122" t="s">
        <v>98</v>
      </c>
      <c r="C122" t="s">
        <v>97</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25">
      <c r="A123" t="s">
        <v>93</v>
      </c>
      <c r="B123" t="s">
        <v>98</v>
      </c>
      <c r="C123" t="s">
        <v>97</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25">
      <c r="A124" t="s">
        <v>93</v>
      </c>
      <c r="B124" t="s">
        <v>98</v>
      </c>
      <c r="C124" t="s">
        <v>97</v>
      </c>
      <c r="D124" t="s">
        <v>79</v>
      </c>
      <c r="E124" t="s">
        <v>43</v>
      </c>
      <c r="F124" s="6">
        <v>0.3125</v>
      </c>
      <c r="G124">
        <v>3</v>
      </c>
      <c r="H124" s="6">
        <f>FLOOR(tblPivotData[[#This Row],[Time]],Summary!$B$6/1440)</f>
        <v>0.3125</v>
      </c>
      <c r="I124">
        <f>INDEX(PeakCalc!$L$10:$L$303,MATCH(tblPivotData[[#This Row],[Time]],PeakCalc!$G$10:$G$303,0))</f>
        <v>0</v>
      </c>
    </row>
    <row r="125" spans="1:9" x14ac:dyDescent="0.25">
      <c r="A125" t="s">
        <v>93</v>
      </c>
      <c r="B125" t="s">
        <v>98</v>
      </c>
      <c r="C125" t="s">
        <v>97</v>
      </c>
      <c r="D125" t="s">
        <v>79</v>
      </c>
      <c r="E125" t="s">
        <v>43</v>
      </c>
      <c r="F125" s="6">
        <v>0.32291666666666669</v>
      </c>
      <c r="G125">
        <v>3</v>
      </c>
      <c r="H125" s="6">
        <f>FLOOR(tblPivotData[[#This Row],[Time]],Summary!$B$6/1440)</f>
        <v>0.32291666666666663</v>
      </c>
      <c r="I125">
        <f>INDEX(PeakCalc!$L$10:$L$303,MATCH(tblPivotData[[#This Row],[Time]],PeakCalc!$G$10:$G$303,0))</f>
        <v>1</v>
      </c>
    </row>
    <row r="126" spans="1:9" x14ac:dyDescent="0.25">
      <c r="A126" t="s">
        <v>93</v>
      </c>
      <c r="B126" t="s">
        <v>98</v>
      </c>
      <c r="C126" t="s">
        <v>97</v>
      </c>
      <c r="D126" t="s">
        <v>79</v>
      </c>
      <c r="E126" t="s">
        <v>43</v>
      </c>
      <c r="F126" s="6">
        <v>0.33333333333333331</v>
      </c>
      <c r="G126">
        <v>1</v>
      </c>
      <c r="H126" s="6">
        <f>FLOOR(tblPivotData[[#This Row],[Time]],Summary!$B$6/1440)</f>
        <v>0.33333333333333331</v>
      </c>
      <c r="I126">
        <f>INDEX(PeakCalc!$L$10:$L$303,MATCH(tblPivotData[[#This Row],[Time]],PeakCalc!$G$10:$G$303,0))</f>
        <v>1</v>
      </c>
    </row>
    <row r="127" spans="1:9" x14ac:dyDescent="0.25">
      <c r="A127" t="s">
        <v>93</v>
      </c>
      <c r="B127" t="s">
        <v>98</v>
      </c>
      <c r="C127" t="s">
        <v>97</v>
      </c>
      <c r="D127" t="s">
        <v>79</v>
      </c>
      <c r="E127" t="s">
        <v>43</v>
      </c>
      <c r="F127" s="6">
        <v>0.34375</v>
      </c>
      <c r="G127">
        <v>4</v>
      </c>
      <c r="H127" s="6">
        <f>FLOOR(tblPivotData[[#This Row],[Time]],Summary!$B$6/1440)</f>
        <v>0.34375</v>
      </c>
      <c r="I127">
        <f>INDEX(PeakCalc!$L$10:$L$303,MATCH(tblPivotData[[#This Row],[Time]],PeakCalc!$G$10:$G$303,0))</f>
        <v>1</v>
      </c>
    </row>
    <row r="128" spans="1:9" x14ac:dyDescent="0.25">
      <c r="A128" t="s">
        <v>93</v>
      </c>
      <c r="B128" t="s">
        <v>98</v>
      </c>
      <c r="C128" t="s">
        <v>97</v>
      </c>
      <c r="D128" t="s">
        <v>79</v>
      </c>
      <c r="E128" t="s">
        <v>43</v>
      </c>
      <c r="F128" s="6">
        <v>0.35416666666666669</v>
      </c>
      <c r="G128">
        <v>1</v>
      </c>
      <c r="H128" s="6">
        <f>FLOOR(tblPivotData[[#This Row],[Time]],Summary!$B$6/1440)</f>
        <v>0.35416666666666663</v>
      </c>
      <c r="I128">
        <f>INDEX(PeakCalc!$L$10:$L$303,MATCH(tblPivotData[[#This Row],[Time]],PeakCalc!$G$10:$G$303,0))</f>
        <v>1</v>
      </c>
    </row>
    <row r="129" spans="1:9" x14ac:dyDescent="0.25">
      <c r="A129" t="s">
        <v>93</v>
      </c>
      <c r="B129" t="s">
        <v>98</v>
      </c>
      <c r="C129" t="s">
        <v>97</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93</v>
      </c>
      <c r="B130" t="s">
        <v>98</v>
      </c>
      <c r="C130" t="s">
        <v>97</v>
      </c>
      <c r="D130" t="s">
        <v>79</v>
      </c>
      <c r="E130" t="s">
        <v>90</v>
      </c>
      <c r="F130" s="6">
        <v>0.54166666666666663</v>
      </c>
      <c r="G130">
        <v>3</v>
      </c>
      <c r="H130" s="6">
        <f>FLOOR(tblPivotData[[#This Row],[Time]],Summary!$B$6/1440)</f>
        <v>0.54166666666666663</v>
      </c>
      <c r="I130">
        <f>INDEX(PeakCalc!$L$10:$L$303,MATCH(tblPivotData[[#This Row],[Time]],PeakCalc!$G$10:$G$303,0))</f>
        <v>1</v>
      </c>
    </row>
    <row r="131" spans="1:9" x14ac:dyDescent="0.25">
      <c r="A131" t="s">
        <v>93</v>
      </c>
      <c r="B131" t="s">
        <v>98</v>
      </c>
      <c r="C131" t="s">
        <v>97</v>
      </c>
      <c r="D131" t="s">
        <v>79</v>
      </c>
      <c r="E131" t="s">
        <v>90</v>
      </c>
      <c r="F131" s="6">
        <v>0.55208333333333337</v>
      </c>
      <c r="G131">
        <v>1</v>
      </c>
      <c r="H131" s="6">
        <f>FLOOR(tblPivotData[[#This Row],[Time]],Summary!$B$6/1440)</f>
        <v>0.55208333333333326</v>
      </c>
      <c r="I131">
        <f>INDEX(PeakCalc!$L$10:$L$303,MATCH(tblPivotData[[#This Row],[Time]],PeakCalc!$G$10:$G$303,0))</f>
        <v>1</v>
      </c>
    </row>
    <row r="132" spans="1:9" x14ac:dyDescent="0.25">
      <c r="A132" t="s">
        <v>93</v>
      </c>
      <c r="B132" t="s">
        <v>98</v>
      </c>
      <c r="C132" t="s">
        <v>97</v>
      </c>
      <c r="D132" t="s">
        <v>79</v>
      </c>
      <c r="E132" t="s">
        <v>90</v>
      </c>
      <c r="F132" s="6">
        <v>0.5625</v>
      </c>
      <c r="G132">
        <v>3</v>
      </c>
      <c r="H132" s="6">
        <f>FLOOR(tblPivotData[[#This Row],[Time]],Summary!$B$6/1440)</f>
        <v>0.5625</v>
      </c>
      <c r="I132">
        <f>INDEX(PeakCalc!$L$10:$L$303,MATCH(tblPivotData[[#This Row],[Time]],PeakCalc!$G$10:$G$303,0))</f>
        <v>1</v>
      </c>
    </row>
    <row r="133" spans="1:9" x14ac:dyDescent="0.25">
      <c r="A133" t="s">
        <v>93</v>
      </c>
      <c r="B133" t="s">
        <v>98</v>
      </c>
      <c r="C133" t="s">
        <v>97</v>
      </c>
      <c r="D133" t="s">
        <v>79</v>
      </c>
      <c r="E133" t="s">
        <v>90</v>
      </c>
      <c r="F133" s="6">
        <v>0.57291666666666663</v>
      </c>
      <c r="G133">
        <v>5</v>
      </c>
      <c r="H133" s="6">
        <f>FLOOR(tblPivotData[[#This Row],[Time]],Summary!$B$6/1440)</f>
        <v>0.57291666666666663</v>
      </c>
      <c r="I133">
        <f>INDEX(PeakCalc!$L$10:$L$303,MATCH(tblPivotData[[#This Row],[Time]],PeakCalc!$G$10:$G$303,0))</f>
        <v>1</v>
      </c>
    </row>
    <row r="134" spans="1:9" x14ac:dyDescent="0.25">
      <c r="A134" t="s">
        <v>93</v>
      </c>
      <c r="B134" t="s">
        <v>98</v>
      </c>
      <c r="C134" t="s">
        <v>97</v>
      </c>
      <c r="D134" t="s">
        <v>79</v>
      </c>
      <c r="E134" t="s">
        <v>44</v>
      </c>
      <c r="F134" s="6">
        <v>0.66666666666666663</v>
      </c>
      <c r="G134">
        <v>4</v>
      </c>
      <c r="H134" s="6">
        <f>FLOOR(tblPivotData[[#This Row],[Time]],Summary!$B$6/1440)</f>
        <v>0.66666666666666663</v>
      </c>
      <c r="I134">
        <f>INDEX(PeakCalc!$L$10:$L$303,MATCH(tblPivotData[[#This Row],[Time]],PeakCalc!$G$10:$G$303,0))</f>
        <v>0</v>
      </c>
    </row>
    <row r="135" spans="1:9" x14ac:dyDescent="0.25">
      <c r="A135" t="s">
        <v>93</v>
      </c>
      <c r="B135" t="s">
        <v>98</v>
      </c>
      <c r="C135" t="s">
        <v>97</v>
      </c>
      <c r="D135" t="s">
        <v>79</v>
      </c>
      <c r="E135" t="s">
        <v>44</v>
      </c>
      <c r="F135" s="6">
        <v>0.67708333333333337</v>
      </c>
      <c r="G135">
        <v>1</v>
      </c>
      <c r="H135" s="6">
        <f>FLOOR(tblPivotData[[#This Row],[Time]],Summary!$B$6/1440)</f>
        <v>0.67708333333333326</v>
      </c>
      <c r="I135">
        <f>INDEX(PeakCalc!$L$10:$L$303,MATCH(tblPivotData[[#This Row],[Time]],PeakCalc!$G$10:$G$303,0))</f>
        <v>1</v>
      </c>
    </row>
    <row r="136" spans="1:9" x14ac:dyDescent="0.25">
      <c r="A136" t="s">
        <v>93</v>
      </c>
      <c r="B136" t="s">
        <v>98</v>
      </c>
      <c r="C136" t="s">
        <v>97</v>
      </c>
      <c r="D136" t="s">
        <v>79</v>
      </c>
      <c r="E136" t="s">
        <v>44</v>
      </c>
      <c r="F136" s="6">
        <v>0.6875</v>
      </c>
      <c r="G136">
        <v>2</v>
      </c>
      <c r="H136" s="6">
        <f>FLOOR(tblPivotData[[#This Row],[Time]],Summary!$B$6/1440)</f>
        <v>0.6875</v>
      </c>
      <c r="I136">
        <f>INDEX(PeakCalc!$L$10:$L$303,MATCH(tblPivotData[[#This Row],[Time]],PeakCalc!$G$10:$G$303,0))</f>
        <v>1</v>
      </c>
    </row>
    <row r="137" spans="1:9" x14ac:dyDescent="0.25">
      <c r="A137" t="s">
        <v>93</v>
      </c>
      <c r="B137" t="s">
        <v>98</v>
      </c>
      <c r="C137" t="s">
        <v>97</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25">
      <c r="A138" t="s">
        <v>93</v>
      </c>
      <c r="B138" t="s">
        <v>98</v>
      </c>
      <c r="C138" t="s">
        <v>97</v>
      </c>
      <c r="D138" t="s">
        <v>79</v>
      </c>
      <c r="E138" t="s">
        <v>44</v>
      </c>
      <c r="F138" s="6">
        <v>0.70833333333333337</v>
      </c>
      <c r="G138">
        <v>5</v>
      </c>
      <c r="H138" s="6">
        <f>FLOOR(tblPivotData[[#This Row],[Time]],Summary!$B$6/1440)</f>
        <v>0.70833333333333326</v>
      </c>
      <c r="I138">
        <f>INDEX(PeakCalc!$L$10:$L$303,MATCH(tblPivotData[[#This Row],[Time]],PeakCalc!$G$10:$G$303,0))</f>
        <v>1</v>
      </c>
    </row>
    <row r="139" spans="1:9" x14ac:dyDescent="0.25">
      <c r="A139" t="s">
        <v>93</v>
      </c>
      <c r="B139" t="s">
        <v>98</v>
      </c>
      <c r="C139" t="s">
        <v>97</v>
      </c>
      <c r="D139" t="s">
        <v>79</v>
      </c>
      <c r="E139" t="s">
        <v>44</v>
      </c>
      <c r="F139" s="6">
        <v>0.71875</v>
      </c>
      <c r="G139">
        <v>4</v>
      </c>
      <c r="H139" s="6">
        <f>FLOOR(tblPivotData[[#This Row],[Time]],Summary!$B$6/1440)</f>
        <v>0.71875</v>
      </c>
      <c r="I139">
        <f>INDEX(PeakCalc!$L$10:$L$303,MATCH(tblPivotData[[#This Row],[Time]],PeakCalc!$G$10:$G$303,0))</f>
        <v>0</v>
      </c>
    </row>
    <row r="140" spans="1:9" x14ac:dyDescent="0.25">
      <c r="A140" t="s">
        <v>93</v>
      </c>
      <c r="B140" t="s">
        <v>98</v>
      </c>
      <c r="C140" t="s">
        <v>97</v>
      </c>
      <c r="D140" t="s">
        <v>79</v>
      </c>
      <c r="E140" t="s">
        <v>44</v>
      </c>
      <c r="F140" s="6">
        <v>0.72916666666666663</v>
      </c>
      <c r="G140">
        <v>3</v>
      </c>
      <c r="H140" s="6">
        <f>FLOOR(tblPivotData[[#This Row],[Time]],Summary!$B$6/1440)</f>
        <v>0.72916666666666663</v>
      </c>
      <c r="I140">
        <f>INDEX(PeakCalc!$L$10:$L$303,MATCH(tblPivotData[[#This Row],[Time]],PeakCalc!$G$10:$G$303,0))</f>
        <v>0</v>
      </c>
    </row>
    <row r="141" spans="1:9" x14ac:dyDescent="0.25">
      <c r="A141" t="s">
        <v>93</v>
      </c>
      <c r="B141" t="s">
        <v>98</v>
      </c>
      <c r="C141" t="s">
        <v>97</v>
      </c>
      <c r="D141" t="s">
        <v>79</v>
      </c>
      <c r="E141" t="s">
        <v>44</v>
      </c>
      <c r="F141" s="6">
        <v>0.73958333333333337</v>
      </c>
      <c r="G141">
        <v>1</v>
      </c>
      <c r="H141" s="6">
        <f>FLOOR(tblPivotData[[#This Row],[Time]],Summary!$B$6/1440)</f>
        <v>0.73958333333333326</v>
      </c>
      <c r="I141">
        <f>INDEX(PeakCalc!$L$10:$L$303,MATCH(tblPivotData[[#This Row],[Time]],PeakCalc!$G$10:$G$303,0))</f>
        <v>0</v>
      </c>
    </row>
    <row r="142" spans="1:9" x14ac:dyDescent="0.25">
      <c r="A142" t="s">
        <v>93</v>
      </c>
      <c r="B142" t="s">
        <v>98</v>
      </c>
      <c r="C142" t="s">
        <v>97</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98</v>
      </c>
      <c r="C143" t="s">
        <v>97</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98</v>
      </c>
      <c r="C144" t="s">
        <v>97</v>
      </c>
      <c r="D144" t="s">
        <v>88</v>
      </c>
      <c r="E144" t="s">
        <v>43</v>
      </c>
      <c r="F144" s="6">
        <v>0.3125</v>
      </c>
      <c r="G144">
        <v>0</v>
      </c>
      <c r="H144" s="6">
        <f>FLOOR(tblPivotData[[#This Row],[Time]],Summary!$B$6/1440)</f>
        <v>0.3125</v>
      </c>
      <c r="I144">
        <f>INDEX(PeakCalc!$L$10:$L$303,MATCH(tblPivotData[[#This Row],[Time]],PeakCalc!$G$10:$G$303,0))</f>
        <v>0</v>
      </c>
    </row>
    <row r="145" spans="1:9" x14ac:dyDescent="0.25">
      <c r="A145" t="s">
        <v>93</v>
      </c>
      <c r="B145" t="s">
        <v>98</v>
      </c>
      <c r="C145" t="s">
        <v>97</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98</v>
      </c>
      <c r="C146" t="s">
        <v>97</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98</v>
      </c>
      <c r="C147" t="s">
        <v>97</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98</v>
      </c>
      <c r="C148" t="s">
        <v>97</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98</v>
      </c>
      <c r="C149" t="s">
        <v>97</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98</v>
      </c>
      <c r="C150" t="s">
        <v>97</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98</v>
      </c>
      <c r="C151" t="s">
        <v>97</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98</v>
      </c>
      <c r="C152" t="s">
        <v>97</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98</v>
      </c>
      <c r="C153" t="s">
        <v>97</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98</v>
      </c>
      <c r="C154" t="s">
        <v>97</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98</v>
      </c>
      <c r="C155" t="s">
        <v>97</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98</v>
      </c>
      <c r="C156" t="s">
        <v>97</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98</v>
      </c>
      <c r="C157" t="s">
        <v>97</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98</v>
      </c>
      <c r="C158" t="s">
        <v>97</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98</v>
      </c>
      <c r="C159" t="s">
        <v>97</v>
      </c>
      <c r="D159" t="s">
        <v>88</v>
      </c>
      <c r="E159" t="s">
        <v>44</v>
      </c>
      <c r="F159" s="6">
        <v>0.71875</v>
      </c>
      <c r="G159">
        <v>0</v>
      </c>
      <c r="H159" s="6">
        <f>FLOOR(tblPivotData[[#This Row],[Time]],Summary!$B$6/1440)</f>
        <v>0.71875</v>
      </c>
      <c r="I159">
        <f>INDEX(PeakCalc!$L$10:$L$303,MATCH(tblPivotData[[#This Row],[Time]],PeakCalc!$G$10:$G$303,0))</f>
        <v>0</v>
      </c>
    </row>
    <row r="160" spans="1:9" x14ac:dyDescent="0.25">
      <c r="A160" t="s">
        <v>93</v>
      </c>
      <c r="B160" t="s">
        <v>98</v>
      </c>
      <c r="C160" t="s">
        <v>97</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98</v>
      </c>
      <c r="C161" t="s">
        <v>97</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98</v>
      </c>
      <c r="C162" t="s">
        <v>97</v>
      </c>
      <c r="D162" t="s">
        <v>89</v>
      </c>
      <c r="E162" t="s">
        <v>43</v>
      </c>
      <c r="F162" s="6">
        <v>0.29166666666666669</v>
      </c>
      <c r="G162">
        <v>2</v>
      </c>
      <c r="H162" s="6">
        <f>FLOOR(tblPivotData[[#This Row],[Time]],Summary!$B$6/1440)</f>
        <v>0.29166666666666663</v>
      </c>
      <c r="I162">
        <f>INDEX(PeakCalc!$L$10:$L$303,MATCH(tblPivotData[[#This Row],[Time]],PeakCalc!$G$10:$G$303,0))</f>
        <v>0</v>
      </c>
    </row>
    <row r="163" spans="1:9" x14ac:dyDescent="0.25">
      <c r="A163" t="s">
        <v>93</v>
      </c>
      <c r="B163" t="s">
        <v>98</v>
      </c>
      <c r="C163" t="s">
        <v>97</v>
      </c>
      <c r="D163" t="s">
        <v>89</v>
      </c>
      <c r="E163" t="s">
        <v>43</v>
      </c>
      <c r="F163" s="6">
        <v>0.30208333333333331</v>
      </c>
      <c r="G163">
        <v>2</v>
      </c>
      <c r="H163" s="6">
        <f>FLOOR(tblPivotData[[#This Row],[Time]],Summary!$B$6/1440)</f>
        <v>0.30208333333333331</v>
      </c>
      <c r="I163">
        <f>INDEX(PeakCalc!$L$10:$L$303,MATCH(tblPivotData[[#This Row],[Time]],PeakCalc!$G$10:$G$303,0))</f>
        <v>0</v>
      </c>
    </row>
    <row r="164" spans="1:9" x14ac:dyDescent="0.25">
      <c r="A164" t="s">
        <v>93</v>
      </c>
      <c r="B164" t="s">
        <v>98</v>
      </c>
      <c r="C164" t="s">
        <v>97</v>
      </c>
      <c r="D164" t="s">
        <v>89</v>
      </c>
      <c r="E164" t="s">
        <v>43</v>
      </c>
      <c r="F164" s="6">
        <v>0.3125</v>
      </c>
      <c r="G164">
        <v>5</v>
      </c>
      <c r="H164" s="6">
        <f>FLOOR(tblPivotData[[#This Row],[Time]],Summary!$B$6/1440)</f>
        <v>0.3125</v>
      </c>
      <c r="I164">
        <f>INDEX(PeakCalc!$L$10:$L$303,MATCH(tblPivotData[[#This Row],[Time]],PeakCalc!$G$10:$G$303,0))</f>
        <v>0</v>
      </c>
    </row>
    <row r="165" spans="1:9" x14ac:dyDescent="0.25">
      <c r="A165" t="s">
        <v>93</v>
      </c>
      <c r="B165" t="s">
        <v>98</v>
      </c>
      <c r="C165" t="s">
        <v>97</v>
      </c>
      <c r="D165" t="s">
        <v>89</v>
      </c>
      <c r="E165" t="s">
        <v>43</v>
      </c>
      <c r="F165" s="6">
        <v>0.32291666666666669</v>
      </c>
      <c r="G165">
        <v>8</v>
      </c>
      <c r="H165" s="6">
        <f>FLOOR(tblPivotData[[#This Row],[Time]],Summary!$B$6/1440)</f>
        <v>0.32291666666666663</v>
      </c>
      <c r="I165">
        <f>INDEX(PeakCalc!$L$10:$L$303,MATCH(tblPivotData[[#This Row],[Time]],PeakCalc!$G$10:$G$303,0))</f>
        <v>1</v>
      </c>
    </row>
    <row r="166" spans="1:9" x14ac:dyDescent="0.25">
      <c r="A166" t="s">
        <v>93</v>
      </c>
      <c r="B166" t="s">
        <v>98</v>
      </c>
      <c r="C166" t="s">
        <v>97</v>
      </c>
      <c r="D166" t="s">
        <v>89</v>
      </c>
      <c r="E166" t="s">
        <v>43</v>
      </c>
      <c r="F166" s="6">
        <v>0.33333333333333331</v>
      </c>
      <c r="G166">
        <v>2</v>
      </c>
      <c r="H166" s="6">
        <f>FLOOR(tblPivotData[[#This Row],[Time]],Summary!$B$6/1440)</f>
        <v>0.33333333333333331</v>
      </c>
      <c r="I166">
        <f>INDEX(PeakCalc!$L$10:$L$303,MATCH(tblPivotData[[#This Row],[Time]],PeakCalc!$G$10:$G$303,0))</f>
        <v>1</v>
      </c>
    </row>
    <row r="167" spans="1:9" x14ac:dyDescent="0.25">
      <c r="A167" t="s">
        <v>93</v>
      </c>
      <c r="B167" t="s">
        <v>98</v>
      </c>
      <c r="C167" t="s">
        <v>97</v>
      </c>
      <c r="D167" t="s">
        <v>89</v>
      </c>
      <c r="E167" t="s">
        <v>43</v>
      </c>
      <c r="F167" s="6">
        <v>0.34375</v>
      </c>
      <c r="G167">
        <v>7</v>
      </c>
      <c r="H167" s="6">
        <f>FLOOR(tblPivotData[[#This Row],[Time]],Summary!$B$6/1440)</f>
        <v>0.34375</v>
      </c>
      <c r="I167">
        <f>INDEX(PeakCalc!$L$10:$L$303,MATCH(tblPivotData[[#This Row],[Time]],PeakCalc!$G$10:$G$303,0))</f>
        <v>1</v>
      </c>
    </row>
    <row r="168" spans="1:9" x14ac:dyDescent="0.25">
      <c r="A168" t="s">
        <v>93</v>
      </c>
      <c r="B168" t="s">
        <v>98</v>
      </c>
      <c r="C168" t="s">
        <v>97</v>
      </c>
      <c r="D168" t="s">
        <v>89</v>
      </c>
      <c r="E168" t="s">
        <v>43</v>
      </c>
      <c r="F168" s="6">
        <v>0.35416666666666669</v>
      </c>
      <c r="G168">
        <v>3</v>
      </c>
      <c r="H168" s="6">
        <f>FLOOR(tblPivotData[[#This Row],[Time]],Summary!$B$6/1440)</f>
        <v>0.35416666666666663</v>
      </c>
      <c r="I168">
        <f>INDEX(PeakCalc!$L$10:$L$303,MATCH(tblPivotData[[#This Row],[Time]],PeakCalc!$G$10:$G$303,0))</f>
        <v>1</v>
      </c>
    </row>
    <row r="169" spans="1:9" x14ac:dyDescent="0.25">
      <c r="A169" t="s">
        <v>93</v>
      </c>
      <c r="B169" t="s">
        <v>98</v>
      </c>
      <c r="C169" t="s">
        <v>97</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98</v>
      </c>
      <c r="C170" t="s">
        <v>97</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98</v>
      </c>
      <c r="C171" t="s">
        <v>97</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98</v>
      </c>
      <c r="C172" t="s">
        <v>97</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98</v>
      </c>
      <c r="C173" t="s">
        <v>97</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98</v>
      </c>
      <c r="C174" t="s">
        <v>97</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93</v>
      </c>
      <c r="B175" t="s">
        <v>98</v>
      </c>
      <c r="C175" t="s">
        <v>97</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98</v>
      </c>
      <c r="C176" t="s">
        <v>97</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98</v>
      </c>
      <c r="C177" t="s">
        <v>97</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93</v>
      </c>
      <c r="B178" t="s">
        <v>98</v>
      </c>
      <c r="C178" t="s">
        <v>97</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98</v>
      </c>
      <c r="C179" t="s">
        <v>97</v>
      </c>
      <c r="D179" t="s">
        <v>89</v>
      </c>
      <c r="E179" t="s">
        <v>44</v>
      </c>
      <c r="F179" s="6">
        <v>0.71875</v>
      </c>
      <c r="G179">
        <v>1</v>
      </c>
      <c r="H179" s="6">
        <f>FLOOR(tblPivotData[[#This Row],[Time]],Summary!$B$6/1440)</f>
        <v>0.71875</v>
      </c>
      <c r="I179">
        <f>INDEX(PeakCalc!$L$10:$L$303,MATCH(tblPivotData[[#This Row],[Time]],PeakCalc!$G$10:$G$303,0))</f>
        <v>0</v>
      </c>
    </row>
    <row r="180" spans="1:9" x14ac:dyDescent="0.25">
      <c r="A180" t="s">
        <v>93</v>
      </c>
      <c r="B180" t="s">
        <v>98</v>
      </c>
      <c r="C180" t="s">
        <v>97</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98</v>
      </c>
      <c r="C181" t="s">
        <v>97</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4</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1</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4</v>
      </c>
      <c r="H185" s="6">
        <f>FLOOR(tblPivotData[[#This Row],[Time]],Summary!$B$6/1440)</f>
        <v>0.32291666666666663</v>
      </c>
      <c r="I185">
        <f>INDEX(PeakCalc!$L$10:$L$303,MATCH(tblPivotData[[#This Row],[Time]],PeakCalc!$G$10:$G$303,0))</f>
        <v>1</v>
      </c>
    </row>
    <row r="186" spans="1:9" x14ac:dyDescent="0.25">
      <c r="A186" t="s">
        <v>94</v>
      </c>
      <c r="B186" t="s">
        <v>99</v>
      </c>
      <c r="C186" t="s">
        <v>93</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5</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4</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8</v>
      </c>
      <c r="H189" s="6">
        <f>FLOOR(tblPivotData[[#This Row],[Time]],Summary!$B$6/1440)</f>
        <v>0.36458333333333331</v>
      </c>
      <c r="I189">
        <f>INDEX(PeakCalc!$L$10:$L$303,MATCH(tblPivotData[[#This Row],[Time]],PeakCalc!$G$10:$G$303,0))</f>
        <v>0</v>
      </c>
    </row>
    <row r="190" spans="1:9" x14ac:dyDescent="0.25">
      <c r="A190" t="s">
        <v>94</v>
      </c>
      <c r="B190" t="s">
        <v>99</v>
      </c>
      <c r="C190" t="s">
        <v>93</v>
      </c>
      <c r="D190" t="s">
        <v>79</v>
      </c>
      <c r="E190" t="s">
        <v>90</v>
      </c>
      <c r="F190" s="6">
        <v>0.54166666666666663</v>
      </c>
      <c r="G190">
        <v>2</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90</v>
      </c>
      <c r="F191" s="6">
        <v>0.55208333333333337</v>
      </c>
      <c r="G191">
        <v>4</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90</v>
      </c>
      <c r="F192" s="6">
        <v>0.5625</v>
      </c>
      <c r="G192">
        <v>8</v>
      </c>
      <c r="H192" s="6">
        <f>FLOOR(tblPivotData[[#This Row],[Time]],Summary!$B$6/1440)</f>
        <v>0.5625</v>
      </c>
      <c r="I192">
        <f>INDEX(PeakCalc!$L$10:$L$303,MATCH(tblPivotData[[#This Row],[Time]],PeakCalc!$G$10:$G$303,0))</f>
        <v>1</v>
      </c>
    </row>
    <row r="193" spans="1:9" x14ac:dyDescent="0.25">
      <c r="A193" t="s">
        <v>94</v>
      </c>
      <c r="B193" t="s">
        <v>99</v>
      </c>
      <c r="C193" t="s">
        <v>93</v>
      </c>
      <c r="D193" t="s">
        <v>79</v>
      </c>
      <c r="E193" t="s">
        <v>90</v>
      </c>
      <c r="F193" s="6">
        <v>0.57291666666666663</v>
      </c>
      <c r="G193">
        <v>5</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6</v>
      </c>
      <c r="H194" s="6">
        <f>FLOOR(tblPivotData[[#This Row],[Time]],Summary!$B$6/1440)</f>
        <v>0.66666666666666663</v>
      </c>
      <c r="I194">
        <f>INDEX(PeakCalc!$L$10:$L$303,MATCH(tblPivotData[[#This Row],[Time]],PeakCalc!$G$10:$G$303,0))</f>
        <v>0</v>
      </c>
    </row>
    <row r="195" spans="1:9" x14ac:dyDescent="0.25">
      <c r="A195" t="s">
        <v>94</v>
      </c>
      <c r="B195" t="s">
        <v>99</v>
      </c>
      <c r="C195" t="s">
        <v>93</v>
      </c>
      <c r="D195" t="s">
        <v>79</v>
      </c>
      <c r="E195" t="s">
        <v>44</v>
      </c>
      <c r="F195" s="6">
        <v>0.67708333333333337</v>
      </c>
      <c r="G195">
        <v>7</v>
      </c>
      <c r="H195" s="6">
        <f>FLOOR(tblPivotData[[#This Row],[Time]],Summary!$B$6/1440)</f>
        <v>0.67708333333333326</v>
      </c>
      <c r="I195">
        <f>INDEX(PeakCalc!$L$10:$L$303,MATCH(tblPivotData[[#This Row],[Time]],PeakCalc!$G$10:$G$303,0))</f>
        <v>1</v>
      </c>
    </row>
    <row r="196" spans="1:9" x14ac:dyDescent="0.25">
      <c r="A196" t="s">
        <v>94</v>
      </c>
      <c r="B196" t="s">
        <v>99</v>
      </c>
      <c r="C196" t="s">
        <v>93</v>
      </c>
      <c r="D196" t="s">
        <v>79</v>
      </c>
      <c r="E196" t="s">
        <v>44</v>
      </c>
      <c r="F196" s="6">
        <v>0.6875</v>
      </c>
      <c r="G196">
        <v>5</v>
      </c>
      <c r="H196" s="6">
        <f>FLOOR(tblPivotData[[#This Row],[Time]],Summary!$B$6/1440)</f>
        <v>0.6875</v>
      </c>
      <c r="I196">
        <f>INDEX(PeakCalc!$L$10:$L$303,MATCH(tblPivotData[[#This Row],[Time]],PeakCalc!$G$10:$G$303,0))</f>
        <v>1</v>
      </c>
    </row>
    <row r="197" spans="1:9" x14ac:dyDescent="0.25">
      <c r="A197" t="s">
        <v>94</v>
      </c>
      <c r="B197" t="s">
        <v>99</v>
      </c>
      <c r="C197" t="s">
        <v>93</v>
      </c>
      <c r="D197" t="s">
        <v>79</v>
      </c>
      <c r="E197" t="s">
        <v>44</v>
      </c>
      <c r="F197" s="6">
        <v>0.69791666666666663</v>
      </c>
      <c r="G197">
        <v>9</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14</v>
      </c>
      <c r="H198" s="6">
        <f>FLOOR(tblPivotData[[#This Row],[Time]],Summary!$B$6/1440)</f>
        <v>0.70833333333333326</v>
      </c>
      <c r="I198">
        <f>INDEX(PeakCalc!$L$10:$L$303,MATCH(tblPivotData[[#This Row],[Time]],PeakCalc!$G$10:$G$303,0))</f>
        <v>1</v>
      </c>
    </row>
    <row r="199" spans="1:9" x14ac:dyDescent="0.25">
      <c r="A199" t="s">
        <v>94</v>
      </c>
      <c r="B199" t="s">
        <v>99</v>
      </c>
      <c r="C199" t="s">
        <v>93</v>
      </c>
      <c r="D199" t="s">
        <v>79</v>
      </c>
      <c r="E199" t="s">
        <v>44</v>
      </c>
      <c r="F199" s="6">
        <v>0.71875</v>
      </c>
      <c r="G199">
        <v>7</v>
      </c>
      <c r="H199" s="6">
        <f>FLOOR(tblPivotData[[#This Row],[Time]],Summary!$B$6/1440)</f>
        <v>0.71875</v>
      </c>
      <c r="I199">
        <f>INDEX(PeakCalc!$L$10:$L$303,MATCH(tblPivotData[[#This Row],[Time]],PeakCalc!$G$10:$G$303,0))</f>
        <v>0</v>
      </c>
    </row>
    <row r="200" spans="1:9" x14ac:dyDescent="0.25">
      <c r="A200" t="s">
        <v>94</v>
      </c>
      <c r="B200" t="s">
        <v>99</v>
      </c>
      <c r="C200" t="s">
        <v>93</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25">
      <c r="A201" t="s">
        <v>94</v>
      </c>
      <c r="B201" t="s">
        <v>99</v>
      </c>
      <c r="C201" t="s">
        <v>93</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25">
      <c r="A202" t="s">
        <v>94</v>
      </c>
      <c r="B202" t="s">
        <v>99</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99</v>
      </c>
      <c r="C203" t="s">
        <v>93</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99</v>
      </c>
      <c r="C204" t="s">
        <v>93</v>
      </c>
      <c r="D204" t="s">
        <v>88</v>
      </c>
      <c r="E204" t="s">
        <v>43</v>
      </c>
      <c r="F204" s="6">
        <v>0.3125</v>
      </c>
      <c r="G204">
        <v>0</v>
      </c>
      <c r="H204" s="6">
        <f>FLOOR(tblPivotData[[#This Row],[Time]],Summary!$B$6/1440)</f>
        <v>0.3125</v>
      </c>
      <c r="I204">
        <f>INDEX(PeakCalc!$L$10:$L$303,MATCH(tblPivotData[[#This Row],[Time]],PeakCalc!$G$10:$G$303,0))</f>
        <v>0</v>
      </c>
    </row>
    <row r="205" spans="1:9" x14ac:dyDescent="0.25">
      <c r="A205" t="s">
        <v>94</v>
      </c>
      <c r="B205" t="s">
        <v>99</v>
      </c>
      <c r="C205" t="s">
        <v>93</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99</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99</v>
      </c>
      <c r="C207" t="s">
        <v>93</v>
      </c>
      <c r="D207" t="s">
        <v>88</v>
      </c>
      <c r="E207" t="s">
        <v>43</v>
      </c>
      <c r="F207" s="6">
        <v>0.34375</v>
      </c>
      <c r="G207">
        <v>0</v>
      </c>
      <c r="H207" s="6">
        <f>FLOOR(tblPivotData[[#This Row],[Time]],Summary!$B$6/1440)</f>
        <v>0.34375</v>
      </c>
      <c r="I207">
        <f>INDEX(PeakCalc!$L$10:$L$303,MATCH(tblPivotData[[#This Row],[Time]],PeakCalc!$G$10:$G$303,0))</f>
        <v>1</v>
      </c>
    </row>
    <row r="208" spans="1:9" x14ac:dyDescent="0.25">
      <c r="A208" t="s">
        <v>94</v>
      </c>
      <c r="B208" t="s">
        <v>99</v>
      </c>
      <c r="C208" t="s">
        <v>93</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99</v>
      </c>
      <c r="C209" t="s">
        <v>93</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99</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99</v>
      </c>
      <c r="C211" t="s">
        <v>93</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99</v>
      </c>
      <c r="C212" t="s">
        <v>93</v>
      </c>
      <c r="D212" t="s">
        <v>88</v>
      </c>
      <c r="E212" t="s">
        <v>90</v>
      </c>
      <c r="F212" s="6">
        <v>0.5625</v>
      </c>
      <c r="G212">
        <v>0</v>
      </c>
      <c r="H212" s="6">
        <f>FLOOR(tblPivotData[[#This Row],[Time]],Summary!$B$6/1440)</f>
        <v>0.5625</v>
      </c>
      <c r="I212">
        <f>INDEX(PeakCalc!$L$10:$L$303,MATCH(tblPivotData[[#This Row],[Time]],PeakCalc!$G$10:$G$303,0))</f>
        <v>1</v>
      </c>
    </row>
    <row r="213" spans="1:9" x14ac:dyDescent="0.25">
      <c r="A213" t="s">
        <v>94</v>
      </c>
      <c r="B213" t="s">
        <v>99</v>
      </c>
      <c r="C213" t="s">
        <v>93</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99</v>
      </c>
      <c r="C214" t="s">
        <v>93</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99</v>
      </c>
      <c r="C215" t="s">
        <v>93</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99</v>
      </c>
      <c r="C216" t="s">
        <v>93</v>
      </c>
      <c r="D216" t="s">
        <v>88</v>
      </c>
      <c r="E216" t="s">
        <v>44</v>
      </c>
      <c r="F216" s="6">
        <v>0.6875</v>
      </c>
      <c r="G216">
        <v>0</v>
      </c>
      <c r="H216" s="6">
        <f>FLOOR(tblPivotData[[#This Row],[Time]],Summary!$B$6/1440)</f>
        <v>0.6875</v>
      </c>
      <c r="I216">
        <f>INDEX(PeakCalc!$L$10:$L$303,MATCH(tblPivotData[[#This Row],[Time]],PeakCalc!$G$10:$G$303,0))</f>
        <v>1</v>
      </c>
    </row>
    <row r="217" spans="1:9" x14ac:dyDescent="0.25">
      <c r="A217" t="s">
        <v>94</v>
      </c>
      <c r="B217" t="s">
        <v>99</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99</v>
      </c>
      <c r="C218" t="s">
        <v>93</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99</v>
      </c>
      <c r="C219" t="s">
        <v>93</v>
      </c>
      <c r="D219" t="s">
        <v>88</v>
      </c>
      <c r="E219" t="s">
        <v>44</v>
      </c>
      <c r="F219" s="6">
        <v>0.71875</v>
      </c>
      <c r="G219">
        <v>0</v>
      </c>
      <c r="H219" s="6">
        <f>FLOOR(tblPivotData[[#This Row],[Time]],Summary!$B$6/1440)</f>
        <v>0.71875</v>
      </c>
      <c r="I219">
        <f>INDEX(PeakCalc!$L$10:$L$303,MATCH(tblPivotData[[#This Row],[Time]],PeakCalc!$G$10:$G$303,0))</f>
        <v>0</v>
      </c>
    </row>
    <row r="220" spans="1:9" x14ac:dyDescent="0.25">
      <c r="A220" t="s">
        <v>94</v>
      </c>
      <c r="B220" t="s">
        <v>99</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99</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93</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99</v>
      </c>
      <c r="C224" t="s">
        <v>93</v>
      </c>
      <c r="D224" t="s">
        <v>89</v>
      </c>
      <c r="E224" t="s">
        <v>43</v>
      </c>
      <c r="F224" s="6">
        <v>0.3125</v>
      </c>
      <c r="G224">
        <v>0</v>
      </c>
      <c r="H224" s="6">
        <f>FLOOR(tblPivotData[[#This Row],[Time]],Summary!$B$6/1440)</f>
        <v>0.3125</v>
      </c>
      <c r="I224">
        <f>INDEX(PeakCalc!$L$10:$L$303,MATCH(tblPivotData[[#This Row],[Time]],PeakCalc!$G$10:$G$303,0))</f>
        <v>0</v>
      </c>
    </row>
    <row r="225" spans="1:9" x14ac:dyDescent="0.25">
      <c r="A225" t="s">
        <v>94</v>
      </c>
      <c r="B225" t="s">
        <v>99</v>
      </c>
      <c r="C225" t="s">
        <v>93</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99</v>
      </c>
      <c r="C226" t="s">
        <v>93</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94</v>
      </c>
      <c r="B227" t="s">
        <v>99</v>
      </c>
      <c r="C227" t="s">
        <v>93</v>
      </c>
      <c r="D227" t="s">
        <v>89</v>
      </c>
      <c r="E227" t="s">
        <v>43</v>
      </c>
      <c r="F227" s="6">
        <v>0.34375</v>
      </c>
      <c r="G227">
        <v>20</v>
      </c>
      <c r="H227" s="6">
        <f>FLOOR(tblPivotData[[#This Row],[Time]],Summary!$B$6/1440)</f>
        <v>0.34375</v>
      </c>
      <c r="I227">
        <f>INDEX(PeakCalc!$L$10:$L$303,MATCH(tblPivotData[[#This Row],[Time]],PeakCalc!$G$10:$G$303,0))</f>
        <v>1</v>
      </c>
    </row>
    <row r="228" spans="1:9" x14ac:dyDescent="0.25">
      <c r="A228" t="s">
        <v>94</v>
      </c>
      <c r="B228" t="s">
        <v>99</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99</v>
      </c>
      <c r="C229" t="s">
        <v>93</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99</v>
      </c>
      <c r="C230" t="s">
        <v>93</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25">
      <c r="A231" t="s">
        <v>94</v>
      </c>
      <c r="B231" t="s">
        <v>99</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89</v>
      </c>
      <c r="E232" t="s">
        <v>90</v>
      </c>
      <c r="F232" s="6">
        <v>0.5625</v>
      </c>
      <c r="G232">
        <v>0</v>
      </c>
      <c r="H232" s="6">
        <f>FLOOR(tblPivotData[[#This Row],[Time]],Summary!$B$6/1440)</f>
        <v>0.5625</v>
      </c>
      <c r="I232">
        <f>INDEX(PeakCalc!$L$10:$L$303,MATCH(tblPivotData[[#This Row],[Time]],PeakCalc!$G$10:$G$303,0))</f>
        <v>1</v>
      </c>
    </row>
    <row r="233" spans="1:9" x14ac:dyDescent="0.25">
      <c r="A233" t="s">
        <v>94</v>
      </c>
      <c r="B233" t="s">
        <v>99</v>
      </c>
      <c r="C233" t="s">
        <v>93</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25">
      <c r="A234" t="s">
        <v>94</v>
      </c>
      <c r="B234" t="s">
        <v>99</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99</v>
      </c>
      <c r="C235" t="s">
        <v>93</v>
      </c>
      <c r="D235" t="s">
        <v>89</v>
      </c>
      <c r="E235" t="s">
        <v>44</v>
      </c>
      <c r="F235" s="6">
        <v>0.67708333333333337</v>
      </c>
      <c r="G235">
        <v>3</v>
      </c>
      <c r="H235" s="6">
        <f>FLOOR(tblPivotData[[#This Row],[Time]],Summary!$B$6/1440)</f>
        <v>0.67708333333333326</v>
      </c>
      <c r="I235">
        <f>INDEX(PeakCalc!$L$10:$L$303,MATCH(tblPivotData[[#This Row],[Time]],PeakCalc!$G$10:$G$303,0))</f>
        <v>1</v>
      </c>
    </row>
    <row r="236" spans="1:9" x14ac:dyDescent="0.25">
      <c r="A236" t="s">
        <v>94</v>
      </c>
      <c r="B236" t="s">
        <v>99</v>
      </c>
      <c r="C236" t="s">
        <v>93</v>
      </c>
      <c r="D236" t="s">
        <v>89</v>
      </c>
      <c r="E236" t="s">
        <v>44</v>
      </c>
      <c r="F236" s="6">
        <v>0.6875</v>
      </c>
      <c r="G236">
        <v>1</v>
      </c>
      <c r="H236" s="6">
        <f>FLOOR(tblPivotData[[#This Row],[Time]],Summary!$B$6/1440)</f>
        <v>0.6875</v>
      </c>
      <c r="I236">
        <f>INDEX(PeakCalc!$L$10:$L$303,MATCH(tblPivotData[[#This Row],[Time]],PeakCalc!$G$10:$G$303,0))</f>
        <v>1</v>
      </c>
    </row>
    <row r="237" spans="1:9" x14ac:dyDescent="0.25">
      <c r="A237" t="s">
        <v>94</v>
      </c>
      <c r="B237" t="s">
        <v>99</v>
      </c>
      <c r="C237" t="s">
        <v>93</v>
      </c>
      <c r="D237" t="s">
        <v>89</v>
      </c>
      <c r="E237" t="s">
        <v>44</v>
      </c>
      <c r="F237" s="6">
        <v>0.69791666666666663</v>
      </c>
      <c r="G237">
        <v>2</v>
      </c>
      <c r="H237" s="6">
        <f>FLOOR(tblPivotData[[#This Row],[Time]],Summary!$B$6/1440)</f>
        <v>0.69791666666666663</v>
      </c>
      <c r="I237">
        <f>INDEX(PeakCalc!$L$10:$L$303,MATCH(tblPivotData[[#This Row],[Time]],PeakCalc!$G$10:$G$303,0))</f>
        <v>1</v>
      </c>
    </row>
    <row r="238" spans="1:9" x14ac:dyDescent="0.25">
      <c r="A238" t="s">
        <v>94</v>
      </c>
      <c r="B238" t="s">
        <v>99</v>
      </c>
      <c r="C238" t="s">
        <v>93</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25">
      <c r="A239" t="s">
        <v>94</v>
      </c>
      <c r="B239" t="s">
        <v>99</v>
      </c>
      <c r="C239" t="s">
        <v>93</v>
      </c>
      <c r="D239" t="s">
        <v>89</v>
      </c>
      <c r="E239" t="s">
        <v>44</v>
      </c>
      <c r="F239" s="6">
        <v>0.71875</v>
      </c>
      <c r="G239">
        <v>6</v>
      </c>
      <c r="H239" s="6">
        <f>FLOOR(tblPivotData[[#This Row],[Time]],Summary!$B$6/1440)</f>
        <v>0.71875</v>
      </c>
      <c r="I239">
        <f>INDEX(PeakCalc!$L$10:$L$303,MATCH(tblPivotData[[#This Row],[Time]],PeakCalc!$G$10:$G$303,0))</f>
        <v>0</v>
      </c>
    </row>
    <row r="240" spans="1:9" x14ac:dyDescent="0.25">
      <c r="A240" t="s">
        <v>94</v>
      </c>
      <c r="B240" t="s">
        <v>99</v>
      </c>
      <c r="C240" t="s">
        <v>93</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94</v>
      </c>
      <c r="B241" t="s">
        <v>99</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100</v>
      </c>
      <c r="C242" t="s">
        <v>97</v>
      </c>
      <c r="D242" t="s">
        <v>79</v>
      </c>
      <c r="E242" t="s">
        <v>43</v>
      </c>
      <c r="F242" s="6">
        <v>0.29166666666666669</v>
      </c>
      <c r="G242">
        <v>27</v>
      </c>
      <c r="H242" s="6">
        <f>FLOOR(tblPivotData[[#This Row],[Time]],Summary!$B$6/1440)</f>
        <v>0.29166666666666663</v>
      </c>
      <c r="I242">
        <f>INDEX(PeakCalc!$L$10:$L$303,MATCH(tblPivotData[[#This Row],[Time]],PeakCalc!$G$10:$G$303,0))</f>
        <v>0</v>
      </c>
    </row>
    <row r="243" spans="1:9" x14ac:dyDescent="0.25">
      <c r="A243" t="s">
        <v>94</v>
      </c>
      <c r="B243" t="s">
        <v>100</v>
      </c>
      <c r="C243" t="s">
        <v>97</v>
      </c>
      <c r="D243" t="s">
        <v>79</v>
      </c>
      <c r="E243" t="s">
        <v>43</v>
      </c>
      <c r="F243" s="6">
        <v>0.30208333333333331</v>
      </c>
      <c r="G243">
        <v>49</v>
      </c>
      <c r="H243" s="6">
        <f>FLOOR(tblPivotData[[#This Row],[Time]],Summary!$B$6/1440)</f>
        <v>0.30208333333333331</v>
      </c>
      <c r="I243">
        <f>INDEX(PeakCalc!$L$10:$L$303,MATCH(tblPivotData[[#This Row],[Time]],PeakCalc!$G$10:$G$303,0))</f>
        <v>0</v>
      </c>
    </row>
    <row r="244" spans="1:9" x14ac:dyDescent="0.25">
      <c r="A244" t="s">
        <v>94</v>
      </c>
      <c r="B244" t="s">
        <v>100</v>
      </c>
      <c r="C244" t="s">
        <v>97</v>
      </c>
      <c r="D244" t="s">
        <v>79</v>
      </c>
      <c r="E244" t="s">
        <v>43</v>
      </c>
      <c r="F244" s="6">
        <v>0.3125</v>
      </c>
      <c r="G244">
        <v>58</v>
      </c>
      <c r="H244" s="6">
        <f>FLOOR(tblPivotData[[#This Row],[Time]],Summary!$B$6/1440)</f>
        <v>0.3125</v>
      </c>
      <c r="I244">
        <f>INDEX(PeakCalc!$L$10:$L$303,MATCH(tblPivotData[[#This Row],[Time]],PeakCalc!$G$10:$G$303,0))</f>
        <v>0</v>
      </c>
    </row>
    <row r="245" spans="1:9" x14ac:dyDescent="0.25">
      <c r="A245" t="s">
        <v>94</v>
      </c>
      <c r="B245" t="s">
        <v>100</v>
      </c>
      <c r="C245" t="s">
        <v>97</v>
      </c>
      <c r="D245" t="s">
        <v>79</v>
      </c>
      <c r="E245" t="s">
        <v>43</v>
      </c>
      <c r="F245" s="6">
        <v>0.32291666666666669</v>
      </c>
      <c r="G245">
        <v>68</v>
      </c>
      <c r="H245" s="6">
        <f>FLOOR(tblPivotData[[#This Row],[Time]],Summary!$B$6/1440)</f>
        <v>0.32291666666666663</v>
      </c>
      <c r="I245">
        <f>INDEX(PeakCalc!$L$10:$L$303,MATCH(tblPivotData[[#This Row],[Time]],PeakCalc!$G$10:$G$303,0))</f>
        <v>1</v>
      </c>
    </row>
    <row r="246" spans="1:9" x14ac:dyDescent="0.25">
      <c r="A246" t="s">
        <v>94</v>
      </c>
      <c r="B246" t="s">
        <v>100</v>
      </c>
      <c r="C246" t="s">
        <v>97</v>
      </c>
      <c r="D246" t="s">
        <v>79</v>
      </c>
      <c r="E246" t="s">
        <v>43</v>
      </c>
      <c r="F246" s="6">
        <v>0.33333333333333331</v>
      </c>
      <c r="G246">
        <v>68</v>
      </c>
      <c r="H246" s="6">
        <f>FLOOR(tblPivotData[[#This Row],[Time]],Summary!$B$6/1440)</f>
        <v>0.33333333333333331</v>
      </c>
      <c r="I246">
        <f>INDEX(PeakCalc!$L$10:$L$303,MATCH(tblPivotData[[#This Row],[Time]],PeakCalc!$G$10:$G$303,0))</f>
        <v>1</v>
      </c>
    </row>
    <row r="247" spans="1:9" x14ac:dyDescent="0.25">
      <c r="A247" t="s">
        <v>94</v>
      </c>
      <c r="B247" t="s">
        <v>100</v>
      </c>
      <c r="C247" t="s">
        <v>97</v>
      </c>
      <c r="D247" t="s">
        <v>79</v>
      </c>
      <c r="E247" t="s">
        <v>43</v>
      </c>
      <c r="F247" s="6">
        <v>0.34375</v>
      </c>
      <c r="G247">
        <v>77</v>
      </c>
      <c r="H247" s="6">
        <f>FLOOR(tblPivotData[[#This Row],[Time]],Summary!$B$6/1440)</f>
        <v>0.34375</v>
      </c>
      <c r="I247">
        <f>INDEX(PeakCalc!$L$10:$L$303,MATCH(tblPivotData[[#This Row],[Time]],PeakCalc!$G$10:$G$303,0))</f>
        <v>1</v>
      </c>
    </row>
    <row r="248" spans="1:9" x14ac:dyDescent="0.25">
      <c r="A248" t="s">
        <v>94</v>
      </c>
      <c r="B248" t="s">
        <v>100</v>
      </c>
      <c r="C248" t="s">
        <v>97</v>
      </c>
      <c r="D248" t="s">
        <v>79</v>
      </c>
      <c r="E248" t="s">
        <v>43</v>
      </c>
      <c r="F248" s="6">
        <v>0.35416666666666669</v>
      </c>
      <c r="G248">
        <v>86</v>
      </c>
      <c r="H248" s="6">
        <f>FLOOR(tblPivotData[[#This Row],[Time]],Summary!$B$6/1440)</f>
        <v>0.35416666666666663</v>
      </c>
      <c r="I248">
        <f>INDEX(PeakCalc!$L$10:$L$303,MATCH(tblPivotData[[#This Row],[Time]],PeakCalc!$G$10:$G$303,0))</f>
        <v>1</v>
      </c>
    </row>
    <row r="249" spans="1:9" x14ac:dyDescent="0.25">
      <c r="A249" t="s">
        <v>94</v>
      </c>
      <c r="B249" t="s">
        <v>100</v>
      </c>
      <c r="C249" t="s">
        <v>97</v>
      </c>
      <c r="D249" t="s">
        <v>79</v>
      </c>
      <c r="E249" t="s">
        <v>43</v>
      </c>
      <c r="F249" s="6">
        <v>0.36458333333333331</v>
      </c>
      <c r="G249">
        <v>79</v>
      </c>
      <c r="H249" s="6">
        <f>FLOOR(tblPivotData[[#This Row],[Time]],Summary!$B$6/1440)</f>
        <v>0.36458333333333331</v>
      </c>
      <c r="I249">
        <f>INDEX(PeakCalc!$L$10:$L$303,MATCH(tblPivotData[[#This Row],[Time]],PeakCalc!$G$10:$G$303,0))</f>
        <v>0</v>
      </c>
    </row>
    <row r="250" spans="1:9" x14ac:dyDescent="0.25">
      <c r="A250" t="s">
        <v>94</v>
      </c>
      <c r="B250" t="s">
        <v>100</v>
      </c>
      <c r="C250" t="s">
        <v>97</v>
      </c>
      <c r="D250" t="s">
        <v>79</v>
      </c>
      <c r="E250" t="s">
        <v>90</v>
      </c>
      <c r="F250" s="6">
        <v>0.54166666666666663</v>
      </c>
      <c r="G250">
        <v>77</v>
      </c>
      <c r="H250" s="6">
        <f>FLOOR(tblPivotData[[#This Row],[Time]],Summary!$B$6/1440)</f>
        <v>0.54166666666666663</v>
      </c>
      <c r="I250">
        <f>INDEX(PeakCalc!$L$10:$L$303,MATCH(tblPivotData[[#This Row],[Time]],PeakCalc!$G$10:$G$303,0))</f>
        <v>1</v>
      </c>
    </row>
    <row r="251" spans="1:9" x14ac:dyDescent="0.25">
      <c r="A251" t="s">
        <v>94</v>
      </c>
      <c r="B251" t="s">
        <v>100</v>
      </c>
      <c r="C251" t="s">
        <v>97</v>
      </c>
      <c r="D251" t="s">
        <v>79</v>
      </c>
      <c r="E251" t="s">
        <v>90</v>
      </c>
      <c r="F251" s="6">
        <v>0.55208333333333337</v>
      </c>
      <c r="G251">
        <v>66</v>
      </c>
      <c r="H251" s="6">
        <f>FLOOR(tblPivotData[[#This Row],[Time]],Summary!$B$6/1440)</f>
        <v>0.55208333333333326</v>
      </c>
      <c r="I251">
        <f>INDEX(PeakCalc!$L$10:$L$303,MATCH(tblPivotData[[#This Row],[Time]],PeakCalc!$G$10:$G$303,0))</f>
        <v>1</v>
      </c>
    </row>
    <row r="252" spans="1:9" x14ac:dyDescent="0.25">
      <c r="A252" t="s">
        <v>94</v>
      </c>
      <c r="B252" t="s">
        <v>100</v>
      </c>
      <c r="C252" t="s">
        <v>97</v>
      </c>
      <c r="D252" t="s">
        <v>79</v>
      </c>
      <c r="E252" t="s">
        <v>90</v>
      </c>
      <c r="F252" s="6">
        <v>0.5625</v>
      </c>
      <c r="G252">
        <v>73</v>
      </c>
      <c r="H252" s="6">
        <f>FLOOR(tblPivotData[[#This Row],[Time]],Summary!$B$6/1440)</f>
        <v>0.5625</v>
      </c>
      <c r="I252">
        <f>INDEX(PeakCalc!$L$10:$L$303,MATCH(tblPivotData[[#This Row],[Time]],PeakCalc!$G$10:$G$303,0))</f>
        <v>1</v>
      </c>
    </row>
    <row r="253" spans="1:9" x14ac:dyDescent="0.25">
      <c r="A253" t="s">
        <v>94</v>
      </c>
      <c r="B253" t="s">
        <v>100</v>
      </c>
      <c r="C253" t="s">
        <v>97</v>
      </c>
      <c r="D253" t="s">
        <v>79</v>
      </c>
      <c r="E253" t="s">
        <v>90</v>
      </c>
      <c r="F253" s="6">
        <v>0.57291666666666663</v>
      </c>
      <c r="G253">
        <v>66</v>
      </c>
      <c r="H253" s="6">
        <f>FLOOR(tblPivotData[[#This Row],[Time]],Summary!$B$6/1440)</f>
        <v>0.57291666666666663</v>
      </c>
      <c r="I253">
        <f>INDEX(PeakCalc!$L$10:$L$303,MATCH(tblPivotData[[#This Row],[Time]],PeakCalc!$G$10:$G$303,0))</f>
        <v>1</v>
      </c>
    </row>
    <row r="254" spans="1:9" x14ac:dyDescent="0.25">
      <c r="A254" t="s">
        <v>94</v>
      </c>
      <c r="B254" t="s">
        <v>100</v>
      </c>
      <c r="C254" t="s">
        <v>97</v>
      </c>
      <c r="D254" t="s">
        <v>79</v>
      </c>
      <c r="E254" t="s">
        <v>44</v>
      </c>
      <c r="F254" s="6">
        <v>0.66666666666666663</v>
      </c>
      <c r="G254">
        <v>105</v>
      </c>
      <c r="H254" s="6">
        <f>FLOOR(tblPivotData[[#This Row],[Time]],Summary!$B$6/1440)</f>
        <v>0.66666666666666663</v>
      </c>
      <c r="I254">
        <f>INDEX(PeakCalc!$L$10:$L$303,MATCH(tblPivotData[[#This Row],[Time]],PeakCalc!$G$10:$G$303,0))</f>
        <v>0</v>
      </c>
    </row>
    <row r="255" spans="1:9" x14ac:dyDescent="0.25">
      <c r="A255" t="s">
        <v>94</v>
      </c>
      <c r="B255" t="s">
        <v>100</v>
      </c>
      <c r="C255" t="s">
        <v>97</v>
      </c>
      <c r="D255" t="s">
        <v>79</v>
      </c>
      <c r="E255" t="s">
        <v>44</v>
      </c>
      <c r="F255" s="6">
        <v>0.67708333333333337</v>
      </c>
      <c r="G255">
        <v>114</v>
      </c>
      <c r="H255" s="6">
        <f>FLOOR(tblPivotData[[#This Row],[Time]],Summary!$B$6/1440)</f>
        <v>0.67708333333333326</v>
      </c>
      <c r="I255">
        <f>INDEX(PeakCalc!$L$10:$L$303,MATCH(tblPivotData[[#This Row],[Time]],PeakCalc!$G$10:$G$303,0))</f>
        <v>1</v>
      </c>
    </row>
    <row r="256" spans="1:9" x14ac:dyDescent="0.25">
      <c r="A256" t="s">
        <v>94</v>
      </c>
      <c r="B256" t="s">
        <v>100</v>
      </c>
      <c r="C256" t="s">
        <v>97</v>
      </c>
      <c r="D256" t="s">
        <v>79</v>
      </c>
      <c r="E256" t="s">
        <v>44</v>
      </c>
      <c r="F256" s="6">
        <v>0.6875</v>
      </c>
      <c r="G256">
        <v>110</v>
      </c>
      <c r="H256" s="6">
        <f>FLOOR(tblPivotData[[#This Row],[Time]],Summary!$B$6/1440)</f>
        <v>0.6875</v>
      </c>
      <c r="I256">
        <f>INDEX(PeakCalc!$L$10:$L$303,MATCH(tblPivotData[[#This Row],[Time]],PeakCalc!$G$10:$G$303,0))</f>
        <v>1</v>
      </c>
    </row>
    <row r="257" spans="1:9" x14ac:dyDescent="0.25">
      <c r="A257" t="s">
        <v>94</v>
      </c>
      <c r="B257" t="s">
        <v>100</v>
      </c>
      <c r="C257" t="s">
        <v>97</v>
      </c>
      <c r="D257" t="s">
        <v>79</v>
      </c>
      <c r="E257" t="s">
        <v>44</v>
      </c>
      <c r="F257" s="6">
        <v>0.69791666666666663</v>
      </c>
      <c r="G257">
        <v>127</v>
      </c>
      <c r="H257" s="6">
        <f>FLOOR(tblPivotData[[#This Row],[Time]],Summary!$B$6/1440)</f>
        <v>0.69791666666666663</v>
      </c>
      <c r="I257">
        <f>INDEX(PeakCalc!$L$10:$L$303,MATCH(tblPivotData[[#This Row],[Time]],PeakCalc!$G$10:$G$303,0))</f>
        <v>1</v>
      </c>
    </row>
    <row r="258" spans="1:9" x14ac:dyDescent="0.25">
      <c r="A258" t="s">
        <v>94</v>
      </c>
      <c r="B258" t="s">
        <v>100</v>
      </c>
      <c r="C258" t="s">
        <v>97</v>
      </c>
      <c r="D258" t="s">
        <v>79</v>
      </c>
      <c r="E258" t="s">
        <v>44</v>
      </c>
      <c r="F258" s="6">
        <v>0.70833333333333337</v>
      </c>
      <c r="G258">
        <v>138</v>
      </c>
      <c r="H258" s="6">
        <f>FLOOR(tblPivotData[[#This Row],[Time]],Summary!$B$6/1440)</f>
        <v>0.70833333333333326</v>
      </c>
      <c r="I258">
        <f>INDEX(PeakCalc!$L$10:$L$303,MATCH(tblPivotData[[#This Row],[Time]],PeakCalc!$G$10:$G$303,0))</f>
        <v>1</v>
      </c>
    </row>
    <row r="259" spans="1:9" x14ac:dyDescent="0.25">
      <c r="A259" t="s">
        <v>94</v>
      </c>
      <c r="B259" t="s">
        <v>100</v>
      </c>
      <c r="C259" t="s">
        <v>97</v>
      </c>
      <c r="D259" t="s">
        <v>79</v>
      </c>
      <c r="E259" t="s">
        <v>44</v>
      </c>
      <c r="F259" s="6">
        <v>0.71875</v>
      </c>
      <c r="G259">
        <v>121</v>
      </c>
      <c r="H259" s="6">
        <f>FLOOR(tblPivotData[[#This Row],[Time]],Summary!$B$6/1440)</f>
        <v>0.71875</v>
      </c>
      <c r="I259">
        <f>INDEX(PeakCalc!$L$10:$L$303,MATCH(tblPivotData[[#This Row],[Time]],PeakCalc!$G$10:$G$303,0))</f>
        <v>0</v>
      </c>
    </row>
    <row r="260" spans="1:9" x14ac:dyDescent="0.25">
      <c r="A260" t="s">
        <v>94</v>
      </c>
      <c r="B260" t="s">
        <v>100</v>
      </c>
      <c r="C260" t="s">
        <v>97</v>
      </c>
      <c r="D260" t="s">
        <v>79</v>
      </c>
      <c r="E260" t="s">
        <v>44</v>
      </c>
      <c r="F260" s="6">
        <v>0.72916666666666663</v>
      </c>
      <c r="G260">
        <v>118</v>
      </c>
      <c r="H260" s="6">
        <f>FLOOR(tblPivotData[[#This Row],[Time]],Summary!$B$6/1440)</f>
        <v>0.72916666666666663</v>
      </c>
      <c r="I260">
        <f>INDEX(PeakCalc!$L$10:$L$303,MATCH(tblPivotData[[#This Row],[Time]],PeakCalc!$G$10:$G$303,0))</f>
        <v>0</v>
      </c>
    </row>
    <row r="261" spans="1:9" x14ac:dyDescent="0.25">
      <c r="A261" t="s">
        <v>94</v>
      </c>
      <c r="B261" t="s">
        <v>100</v>
      </c>
      <c r="C261" t="s">
        <v>97</v>
      </c>
      <c r="D261" t="s">
        <v>79</v>
      </c>
      <c r="E261" t="s">
        <v>44</v>
      </c>
      <c r="F261" s="6">
        <v>0.73958333333333337</v>
      </c>
      <c r="G261">
        <v>90</v>
      </c>
      <c r="H261" s="6">
        <f>FLOOR(tblPivotData[[#This Row],[Time]],Summary!$B$6/1440)</f>
        <v>0.73958333333333326</v>
      </c>
      <c r="I261">
        <f>INDEX(PeakCalc!$L$10:$L$303,MATCH(tblPivotData[[#This Row],[Time]],PeakCalc!$G$10:$G$303,0))</f>
        <v>0</v>
      </c>
    </row>
    <row r="262" spans="1:9" x14ac:dyDescent="0.25">
      <c r="A262" t="s">
        <v>94</v>
      </c>
      <c r="B262" t="s">
        <v>100</v>
      </c>
      <c r="C262" t="s">
        <v>97</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100</v>
      </c>
      <c r="C263" t="s">
        <v>97</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100</v>
      </c>
      <c r="C264" t="s">
        <v>97</v>
      </c>
      <c r="D264" t="s">
        <v>88</v>
      </c>
      <c r="E264" t="s">
        <v>43</v>
      </c>
      <c r="F264" s="6">
        <v>0.3125</v>
      </c>
      <c r="G264">
        <v>1</v>
      </c>
      <c r="H264" s="6">
        <f>FLOOR(tblPivotData[[#This Row],[Time]],Summary!$B$6/1440)</f>
        <v>0.3125</v>
      </c>
      <c r="I264">
        <f>INDEX(PeakCalc!$L$10:$L$303,MATCH(tblPivotData[[#This Row],[Time]],PeakCalc!$G$10:$G$303,0))</f>
        <v>0</v>
      </c>
    </row>
    <row r="265" spans="1:9" x14ac:dyDescent="0.25">
      <c r="A265" t="s">
        <v>94</v>
      </c>
      <c r="B265" t="s">
        <v>100</v>
      </c>
      <c r="C265" t="s">
        <v>97</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94</v>
      </c>
      <c r="B266" t="s">
        <v>100</v>
      </c>
      <c r="C266" t="s">
        <v>97</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94</v>
      </c>
      <c r="B267" t="s">
        <v>100</v>
      </c>
      <c r="C267" t="s">
        <v>97</v>
      </c>
      <c r="D267" t="s">
        <v>88</v>
      </c>
      <c r="E267" t="s">
        <v>43</v>
      </c>
      <c r="F267" s="6">
        <v>0.34375</v>
      </c>
      <c r="G267">
        <v>1</v>
      </c>
      <c r="H267" s="6">
        <f>FLOOR(tblPivotData[[#This Row],[Time]],Summary!$B$6/1440)</f>
        <v>0.34375</v>
      </c>
      <c r="I267">
        <f>INDEX(PeakCalc!$L$10:$L$303,MATCH(tblPivotData[[#This Row],[Time]],PeakCalc!$G$10:$G$303,0))</f>
        <v>1</v>
      </c>
    </row>
    <row r="268" spans="1:9" x14ac:dyDescent="0.25">
      <c r="A268" t="s">
        <v>94</v>
      </c>
      <c r="B268" t="s">
        <v>100</v>
      </c>
      <c r="C268" t="s">
        <v>97</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94</v>
      </c>
      <c r="B269" t="s">
        <v>100</v>
      </c>
      <c r="C269" t="s">
        <v>97</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94</v>
      </c>
      <c r="B270" t="s">
        <v>100</v>
      </c>
      <c r="C270" t="s">
        <v>97</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100</v>
      </c>
      <c r="C271" t="s">
        <v>97</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94</v>
      </c>
      <c r="B272" t="s">
        <v>100</v>
      </c>
      <c r="C272" t="s">
        <v>97</v>
      </c>
      <c r="D272" t="s">
        <v>88</v>
      </c>
      <c r="E272" t="s">
        <v>90</v>
      </c>
      <c r="F272" s="6">
        <v>0.5625</v>
      </c>
      <c r="G272">
        <v>0</v>
      </c>
      <c r="H272" s="6">
        <f>FLOOR(tblPivotData[[#This Row],[Time]],Summary!$B$6/1440)</f>
        <v>0.5625</v>
      </c>
      <c r="I272">
        <f>INDEX(PeakCalc!$L$10:$L$303,MATCH(tblPivotData[[#This Row],[Time]],PeakCalc!$G$10:$G$303,0))</f>
        <v>1</v>
      </c>
    </row>
    <row r="273" spans="1:9" x14ac:dyDescent="0.25">
      <c r="A273" t="s">
        <v>94</v>
      </c>
      <c r="B273" t="s">
        <v>100</v>
      </c>
      <c r="C273" t="s">
        <v>97</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100</v>
      </c>
      <c r="C274" t="s">
        <v>97</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94</v>
      </c>
      <c r="B275" t="s">
        <v>100</v>
      </c>
      <c r="C275" t="s">
        <v>97</v>
      </c>
      <c r="D275" t="s">
        <v>88</v>
      </c>
      <c r="E275" t="s">
        <v>44</v>
      </c>
      <c r="F275" s="6">
        <v>0.67708333333333337</v>
      </c>
      <c r="G275">
        <v>1</v>
      </c>
      <c r="H275" s="6">
        <f>FLOOR(tblPivotData[[#This Row],[Time]],Summary!$B$6/1440)</f>
        <v>0.67708333333333326</v>
      </c>
      <c r="I275">
        <f>INDEX(PeakCalc!$L$10:$L$303,MATCH(tblPivotData[[#This Row],[Time]],PeakCalc!$G$10:$G$303,0))</f>
        <v>1</v>
      </c>
    </row>
    <row r="276" spans="1:9" x14ac:dyDescent="0.25">
      <c r="A276" t="s">
        <v>94</v>
      </c>
      <c r="B276" t="s">
        <v>100</v>
      </c>
      <c r="C276" t="s">
        <v>97</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100</v>
      </c>
      <c r="C277" t="s">
        <v>97</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94</v>
      </c>
      <c r="B278" t="s">
        <v>100</v>
      </c>
      <c r="C278" t="s">
        <v>97</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100</v>
      </c>
      <c r="C279" t="s">
        <v>97</v>
      </c>
      <c r="D279" t="s">
        <v>88</v>
      </c>
      <c r="E279" t="s">
        <v>44</v>
      </c>
      <c r="F279" s="6">
        <v>0.71875</v>
      </c>
      <c r="G279">
        <v>0</v>
      </c>
      <c r="H279" s="6">
        <f>FLOOR(tblPivotData[[#This Row],[Time]],Summary!$B$6/1440)</f>
        <v>0.71875</v>
      </c>
      <c r="I279">
        <f>INDEX(PeakCalc!$L$10:$L$303,MATCH(tblPivotData[[#This Row],[Time]],PeakCalc!$G$10:$G$303,0))</f>
        <v>0</v>
      </c>
    </row>
    <row r="280" spans="1:9" x14ac:dyDescent="0.25">
      <c r="A280" t="s">
        <v>94</v>
      </c>
      <c r="B280" t="s">
        <v>100</v>
      </c>
      <c r="C280" t="s">
        <v>97</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100</v>
      </c>
      <c r="C281" t="s">
        <v>97</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94</v>
      </c>
      <c r="B282" t="s">
        <v>100</v>
      </c>
      <c r="C282" t="s">
        <v>97</v>
      </c>
      <c r="D282" t="s">
        <v>89</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94</v>
      </c>
      <c r="B283" t="s">
        <v>100</v>
      </c>
      <c r="C283" t="s">
        <v>97</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94</v>
      </c>
      <c r="B284" t="s">
        <v>100</v>
      </c>
      <c r="C284" t="s">
        <v>97</v>
      </c>
      <c r="D284" t="s">
        <v>89</v>
      </c>
      <c r="E284" t="s">
        <v>43</v>
      </c>
      <c r="F284" s="6">
        <v>0.3125</v>
      </c>
      <c r="G284">
        <v>1</v>
      </c>
      <c r="H284" s="6">
        <f>FLOOR(tblPivotData[[#This Row],[Time]],Summary!$B$6/1440)</f>
        <v>0.3125</v>
      </c>
      <c r="I284">
        <f>INDEX(PeakCalc!$L$10:$L$303,MATCH(tblPivotData[[#This Row],[Time]],PeakCalc!$G$10:$G$303,0))</f>
        <v>0</v>
      </c>
    </row>
    <row r="285" spans="1:9" x14ac:dyDescent="0.25">
      <c r="A285" t="s">
        <v>94</v>
      </c>
      <c r="B285" t="s">
        <v>100</v>
      </c>
      <c r="C285" t="s">
        <v>97</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25">
      <c r="A286" t="s">
        <v>94</v>
      </c>
      <c r="B286" t="s">
        <v>100</v>
      </c>
      <c r="C286" t="s">
        <v>97</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100</v>
      </c>
      <c r="C287" t="s">
        <v>97</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100</v>
      </c>
      <c r="C288" t="s">
        <v>97</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100</v>
      </c>
      <c r="C289" t="s">
        <v>97</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100</v>
      </c>
      <c r="C290" t="s">
        <v>97</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100</v>
      </c>
      <c r="C291" t="s">
        <v>97</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94</v>
      </c>
      <c r="B292" t="s">
        <v>100</v>
      </c>
      <c r="C292" t="s">
        <v>97</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100</v>
      </c>
      <c r="C293" t="s">
        <v>97</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100</v>
      </c>
      <c r="C294" t="s">
        <v>97</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94</v>
      </c>
      <c r="B295" t="s">
        <v>100</v>
      </c>
      <c r="C295" t="s">
        <v>97</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94</v>
      </c>
      <c r="B296" t="s">
        <v>100</v>
      </c>
      <c r="C296" t="s">
        <v>97</v>
      </c>
      <c r="D296" t="s">
        <v>89</v>
      </c>
      <c r="E296" t="s">
        <v>44</v>
      </c>
      <c r="F296" s="6">
        <v>0.6875</v>
      </c>
      <c r="G296">
        <v>1</v>
      </c>
      <c r="H296" s="6">
        <f>FLOOR(tblPivotData[[#This Row],[Time]],Summary!$B$6/1440)</f>
        <v>0.6875</v>
      </c>
      <c r="I296">
        <f>INDEX(PeakCalc!$L$10:$L$303,MATCH(tblPivotData[[#This Row],[Time]],PeakCalc!$G$10:$G$303,0))</f>
        <v>1</v>
      </c>
    </row>
    <row r="297" spans="1:9" x14ac:dyDescent="0.25">
      <c r="A297" t="s">
        <v>94</v>
      </c>
      <c r="B297" t="s">
        <v>100</v>
      </c>
      <c r="C297" t="s">
        <v>97</v>
      </c>
      <c r="D297" t="s">
        <v>89</v>
      </c>
      <c r="E297" t="s">
        <v>44</v>
      </c>
      <c r="F297" s="6">
        <v>0.69791666666666663</v>
      </c>
      <c r="G297">
        <v>6</v>
      </c>
      <c r="H297" s="6">
        <f>FLOOR(tblPivotData[[#This Row],[Time]],Summary!$B$6/1440)</f>
        <v>0.69791666666666663</v>
      </c>
      <c r="I297">
        <f>INDEX(PeakCalc!$L$10:$L$303,MATCH(tblPivotData[[#This Row],[Time]],PeakCalc!$G$10:$G$303,0))</f>
        <v>1</v>
      </c>
    </row>
    <row r="298" spans="1:9" x14ac:dyDescent="0.25">
      <c r="A298" t="s">
        <v>94</v>
      </c>
      <c r="B298" t="s">
        <v>100</v>
      </c>
      <c r="C298" t="s">
        <v>97</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25">
      <c r="A299" t="s">
        <v>94</v>
      </c>
      <c r="B299" t="s">
        <v>100</v>
      </c>
      <c r="C299" t="s">
        <v>97</v>
      </c>
      <c r="D299" t="s">
        <v>89</v>
      </c>
      <c r="E299" t="s">
        <v>44</v>
      </c>
      <c r="F299" s="6">
        <v>0.71875</v>
      </c>
      <c r="G299">
        <v>4</v>
      </c>
      <c r="H299" s="6">
        <f>FLOOR(tblPivotData[[#This Row],[Time]],Summary!$B$6/1440)</f>
        <v>0.71875</v>
      </c>
      <c r="I299">
        <f>INDEX(PeakCalc!$L$10:$L$303,MATCH(tblPivotData[[#This Row],[Time]],PeakCalc!$G$10:$G$303,0))</f>
        <v>0</v>
      </c>
    </row>
    <row r="300" spans="1:9" x14ac:dyDescent="0.25">
      <c r="A300" t="s">
        <v>94</v>
      </c>
      <c r="B300" t="s">
        <v>100</v>
      </c>
      <c r="C300" t="s">
        <v>97</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25">
      <c r="A301" t="s">
        <v>94</v>
      </c>
      <c r="B301" t="s">
        <v>100</v>
      </c>
      <c r="C301" t="s">
        <v>97</v>
      </c>
      <c r="D301" t="s">
        <v>89</v>
      </c>
      <c r="E301" t="s">
        <v>44</v>
      </c>
      <c r="F301" s="6">
        <v>0.73958333333333337</v>
      </c>
      <c r="G301">
        <v>1</v>
      </c>
      <c r="H301" s="6">
        <f>FLOOR(tblPivotData[[#This Row],[Time]],Summary!$B$6/1440)</f>
        <v>0.73958333333333326</v>
      </c>
      <c r="I3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Z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6" ht="18.75" x14ac:dyDescent="0.3">
      <c r="B2" s="3" t="s">
        <v>78</v>
      </c>
    </row>
    <row r="4" spans="2:26" x14ac:dyDescent="0.25">
      <c r="B4" t="s">
        <v>76</v>
      </c>
    </row>
    <row r="6" spans="2:26" x14ac:dyDescent="0.25">
      <c r="B6" s="12">
        <v>15</v>
      </c>
      <c r="C6" t="s">
        <v>34</v>
      </c>
    </row>
    <row r="8" spans="2:26" x14ac:dyDescent="0.25">
      <c r="B8" t="s">
        <v>77</v>
      </c>
    </row>
    <row r="10" spans="2:26"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2:26" x14ac:dyDescent="0.25">
      <c r="B11" s="16"/>
      <c r="C11" s="51" t="s">
        <v>92</v>
      </c>
      <c r="D11" s="52"/>
      <c r="E11" s="52"/>
      <c r="F11" s="52"/>
      <c r="G11" s="52"/>
      <c r="H11" s="52"/>
      <c r="I11" s="52"/>
      <c r="J11" s="52"/>
      <c r="K11" s="49" t="s">
        <v>102</v>
      </c>
      <c r="L11" s="51" t="s">
        <v>93</v>
      </c>
      <c r="M11" s="52"/>
      <c r="N11" s="52"/>
      <c r="O11" s="52"/>
      <c r="P11" s="49" t="s">
        <v>103</v>
      </c>
      <c r="Q11" s="51" t="s">
        <v>94</v>
      </c>
      <c r="R11" s="52"/>
      <c r="S11" s="52"/>
      <c r="T11" s="52"/>
      <c r="U11" s="52"/>
      <c r="V11" s="52"/>
      <c r="W11" s="52"/>
      <c r="X11" s="52"/>
      <c r="Y11" s="49" t="s">
        <v>104</v>
      </c>
      <c r="Z11" s="49" t="s">
        <v>49</v>
      </c>
    </row>
    <row r="12" spans="2:26" x14ac:dyDescent="0.25">
      <c r="B12" s="16"/>
      <c r="C12" s="49" t="s">
        <v>95</v>
      </c>
      <c r="D12" s="50"/>
      <c r="E12" s="50"/>
      <c r="F12" s="49" t="s">
        <v>105</v>
      </c>
      <c r="G12" s="49" t="s">
        <v>96</v>
      </c>
      <c r="H12" s="50"/>
      <c r="I12" s="50"/>
      <c r="J12" s="49" t="s">
        <v>106</v>
      </c>
      <c r="K12" s="50"/>
      <c r="L12" s="49" t="s">
        <v>98</v>
      </c>
      <c r="M12" s="50"/>
      <c r="N12" s="50"/>
      <c r="O12" s="49" t="s">
        <v>107</v>
      </c>
      <c r="P12" s="50"/>
      <c r="Q12" s="49" t="s">
        <v>99</v>
      </c>
      <c r="R12" s="50"/>
      <c r="S12" s="50"/>
      <c r="T12" s="49" t="s">
        <v>108</v>
      </c>
      <c r="U12" s="49" t="s">
        <v>100</v>
      </c>
      <c r="V12" s="50"/>
      <c r="W12" s="50"/>
      <c r="X12" s="49" t="s">
        <v>109</v>
      </c>
      <c r="Y12" s="50"/>
      <c r="Z12" s="50"/>
    </row>
    <row r="13" spans="2:26" ht="30" x14ac:dyDescent="0.25">
      <c r="B13" s="16"/>
      <c r="C13" s="17" t="s">
        <v>79</v>
      </c>
      <c r="D13" s="17" t="s">
        <v>88</v>
      </c>
      <c r="E13" s="17" t="s">
        <v>89</v>
      </c>
      <c r="F13" s="50"/>
      <c r="G13" s="17" t="s">
        <v>79</v>
      </c>
      <c r="H13" s="17" t="s">
        <v>88</v>
      </c>
      <c r="I13" s="17" t="s">
        <v>89</v>
      </c>
      <c r="J13" s="50"/>
      <c r="K13" s="50"/>
      <c r="L13" s="17" t="s">
        <v>79</v>
      </c>
      <c r="M13" s="17" t="s">
        <v>88</v>
      </c>
      <c r="N13" s="17" t="s">
        <v>89</v>
      </c>
      <c r="O13" s="50"/>
      <c r="P13" s="50"/>
      <c r="Q13" s="17" t="s">
        <v>79</v>
      </c>
      <c r="R13" s="17" t="s">
        <v>88</v>
      </c>
      <c r="S13" s="17" t="s">
        <v>89</v>
      </c>
      <c r="T13" s="50"/>
      <c r="U13" s="17" t="s">
        <v>79</v>
      </c>
      <c r="V13" s="17" t="s">
        <v>88</v>
      </c>
      <c r="W13" s="17" t="s">
        <v>89</v>
      </c>
      <c r="X13" s="50"/>
      <c r="Y13" s="50"/>
      <c r="Z13" s="50"/>
    </row>
    <row r="14" spans="2:26" x14ac:dyDescent="0.25">
      <c r="B14" s="10" t="s">
        <v>43</v>
      </c>
      <c r="C14">
        <v>15</v>
      </c>
      <c r="D14">
        <v>0</v>
      </c>
      <c r="E14">
        <v>3</v>
      </c>
      <c r="F14">
        <v>18</v>
      </c>
      <c r="G14">
        <v>2323</v>
      </c>
      <c r="H14">
        <v>53</v>
      </c>
      <c r="I14">
        <v>48</v>
      </c>
      <c r="J14">
        <v>2424</v>
      </c>
      <c r="K14">
        <v>2442</v>
      </c>
      <c r="L14">
        <v>14</v>
      </c>
      <c r="M14">
        <v>0</v>
      </c>
      <c r="N14">
        <v>29</v>
      </c>
      <c r="O14">
        <v>43</v>
      </c>
      <c r="P14">
        <v>43</v>
      </c>
      <c r="Q14">
        <v>28</v>
      </c>
      <c r="R14">
        <v>1</v>
      </c>
      <c r="S14">
        <v>21</v>
      </c>
      <c r="T14">
        <v>50</v>
      </c>
      <c r="U14">
        <v>512</v>
      </c>
      <c r="V14">
        <v>11</v>
      </c>
      <c r="W14">
        <v>6</v>
      </c>
      <c r="X14">
        <v>529</v>
      </c>
      <c r="Y14">
        <v>579</v>
      </c>
      <c r="Z14">
        <v>3064</v>
      </c>
    </row>
    <row r="15" spans="2:26" x14ac:dyDescent="0.25">
      <c r="B15" s="11">
        <v>0.29166666666666669</v>
      </c>
      <c r="C15">
        <v>1</v>
      </c>
      <c r="D15">
        <v>0</v>
      </c>
      <c r="E15">
        <v>0</v>
      </c>
      <c r="F15">
        <v>1</v>
      </c>
      <c r="G15">
        <v>235</v>
      </c>
      <c r="H15">
        <v>8</v>
      </c>
      <c r="I15">
        <v>1</v>
      </c>
      <c r="J15">
        <v>244</v>
      </c>
      <c r="K15">
        <v>245</v>
      </c>
      <c r="L15">
        <v>1</v>
      </c>
      <c r="M15">
        <v>0</v>
      </c>
      <c r="N15">
        <v>2</v>
      </c>
      <c r="O15">
        <v>3</v>
      </c>
      <c r="P15">
        <v>3</v>
      </c>
      <c r="Q15">
        <v>0</v>
      </c>
      <c r="R15">
        <v>0</v>
      </c>
      <c r="S15">
        <v>0</v>
      </c>
      <c r="T15">
        <v>0</v>
      </c>
      <c r="U15">
        <v>27</v>
      </c>
      <c r="V15">
        <v>0</v>
      </c>
      <c r="W15">
        <v>2</v>
      </c>
      <c r="X15">
        <v>29</v>
      </c>
      <c r="Y15">
        <v>29</v>
      </c>
      <c r="Z15">
        <v>277</v>
      </c>
    </row>
    <row r="16" spans="2:26" x14ac:dyDescent="0.25">
      <c r="B16" s="11">
        <v>0.30208333333333331</v>
      </c>
      <c r="C16">
        <v>0</v>
      </c>
      <c r="D16">
        <v>0</v>
      </c>
      <c r="E16">
        <v>0</v>
      </c>
      <c r="F16">
        <v>0</v>
      </c>
      <c r="G16">
        <v>298</v>
      </c>
      <c r="H16">
        <v>7</v>
      </c>
      <c r="I16">
        <v>9</v>
      </c>
      <c r="J16">
        <v>314</v>
      </c>
      <c r="K16">
        <v>314</v>
      </c>
      <c r="L16">
        <v>1</v>
      </c>
      <c r="M16">
        <v>0</v>
      </c>
      <c r="N16">
        <v>2</v>
      </c>
      <c r="O16">
        <v>3</v>
      </c>
      <c r="P16">
        <v>3</v>
      </c>
      <c r="Q16">
        <v>4</v>
      </c>
      <c r="R16">
        <v>0</v>
      </c>
      <c r="S16">
        <v>0</v>
      </c>
      <c r="T16">
        <v>4</v>
      </c>
      <c r="U16">
        <v>49</v>
      </c>
      <c r="V16">
        <v>0</v>
      </c>
      <c r="W16">
        <v>1</v>
      </c>
      <c r="X16">
        <v>50</v>
      </c>
      <c r="Y16">
        <v>54</v>
      </c>
      <c r="Z16">
        <v>371</v>
      </c>
    </row>
    <row r="17" spans="2:26" x14ac:dyDescent="0.25">
      <c r="B17" s="11">
        <v>0.3125</v>
      </c>
      <c r="C17">
        <v>1</v>
      </c>
      <c r="D17">
        <v>0</v>
      </c>
      <c r="E17">
        <v>1</v>
      </c>
      <c r="F17">
        <v>2</v>
      </c>
      <c r="G17">
        <v>304</v>
      </c>
      <c r="H17">
        <v>4</v>
      </c>
      <c r="I17">
        <v>8</v>
      </c>
      <c r="J17">
        <v>316</v>
      </c>
      <c r="K17">
        <v>318</v>
      </c>
      <c r="L17">
        <v>3</v>
      </c>
      <c r="M17">
        <v>0</v>
      </c>
      <c r="N17">
        <v>5</v>
      </c>
      <c r="O17">
        <v>8</v>
      </c>
      <c r="P17">
        <v>8</v>
      </c>
      <c r="Q17">
        <v>1</v>
      </c>
      <c r="R17">
        <v>0</v>
      </c>
      <c r="S17">
        <v>0</v>
      </c>
      <c r="T17">
        <v>1</v>
      </c>
      <c r="U17">
        <v>58</v>
      </c>
      <c r="V17">
        <v>1</v>
      </c>
      <c r="W17">
        <v>1</v>
      </c>
      <c r="X17">
        <v>60</v>
      </c>
      <c r="Y17">
        <v>61</v>
      </c>
      <c r="Z17">
        <v>387</v>
      </c>
    </row>
    <row r="18" spans="2:26" x14ac:dyDescent="0.25">
      <c r="B18" s="11">
        <v>0.32291666666666669</v>
      </c>
      <c r="C18">
        <v>2</v>
      </c>
      <c r="D18">
        <v>0</v>
      </c>
      <c r="E18">
        <v>0</v>
      </c>
      <c r="F18">
        <v>2</v>
      </c>
      <c r="G18">
        <v>301</v>
      </c>
      <c r="H18">
        <v>11</v>
      </c>
      <c r="I18">
        <v>7</v>
      </c>
      <c r="J18">
        <v>319</v>
      </c>
      <c r="K18">
        <v>321</v>
      </c>
      <c r="L18">
        <v>3</v>
      </c>
      <c r="M18">
        <v>0</v>
      </c>
      <c r="N18">
        <v>8</v>
      </c>
      <c r="O18">
        <v>11</v>
      </c>
      <c r="P18">
        <v>11</v>
      </c>
      <c r="Q18">
        <v>4</v>
      </c>
      <c r="R18">
        <v>0</v>
      </c>
      <c r="S18">
        <v>0</v>
      </c>
      <c r="T18">
        <v>4</v>
      </c>
      <c r="U18">
        <v>68</v>
      </c>
      <c r="V18">
        <v>3</v>
      </c>
      <c r="W18">
        <v>2</v>
      </c>
      <c r="X18">
        <v>73</v>
      </c>
      <c r="Y18">
        <v>77</v>
      </c>
      <c r="Z18">
        <v>409</v>
      </c>
    </row>
    <row r="19" spans="2:26" x14ac:dyDescent="0.25">
      <c r="B19" s="11">
        <v>0.33333333333333331</v>
      </c>
      <c r="C19">
        <v>1</v>
      </c>
      <c r="D19">
        <v>0</v>
      </c>
      <c r="E19">
        <v>0</v>
      </c>
      <c r="F19">
        <v>1</v>
      </c>
      <c r="G19">
        <v>317</v>
      </c>
      <c r="H19">
        <v>8</v>
      </c>
      <c r="I19">
        <v>4</v>
      </c>
      <c r="J19">
        <v>329</v>
      </c>
      <c r="K19">
        <v>330</v>
      </c>
      <c r="L19">
        <v>1</v>
      </c>
      <c r="M19">
        <v>0</v>
      </c>
      <c r="N19">
        <v>2</v>
      </c>
      <c r="O19">
        <v>3</v>
      </c>
      <c r="P19">
        <v>3</v>
      </c>
      <c r="Q19">
        <v>2</v>
      </c>
      <c r="R19">
        <v>0</v>
      </c>
      <c r="S19">
        <v>1</v>
      </c>
      <c r="T19">
        <v>3</v>
      </c>
      <c r="U19">
        <v>68</v>
      </c>
      <c r="V19">
        <v>3</v>
      </c>
      <c r="W19">
        <v>0</v>
      </c>
      <c r="X19">
        <v>71</v>
      </c>
      <c r="Y19">
        <v>74</v>
      </c>
      <c r="Z19">
        <v>407</v>
      </c>
    </row>
    <row r="20" spans="2:26" x14ac:dyDescent="0.25">
      <c r="B20" s="11">
        <v>0.34375</v>
      </c>
      <c r="C20">
        <v>3</v>
      </c>
      <c r="D20">
        <v>0</v>
      </c>
      <c r="E20">
        <v>0</v>
      </c>
      <c r="F20">
        <v>3</v>
      </c>
      <c r="G20">
        <v>295</v>
      </c>
      <c r="H20">
        <v>5</v>
      </c>
      <c r="I20">
        <v>13</v>
      </c>
      <c r="J20">
        <v>313</v>
      </c>
      <c r="K20">
        <v>316</v>
      </c>
      <c r="L20">
        <v>4</v>
      </c>
      <c r="M20">
        <v>0</v>
      </c>
      <c r="N20">
        <v>7</v>
      </c>
      <c r="O20">
        <v>11</v>
      </c>
      <c r="P20">
        <v>11</v>
      </c>
      <c r="Q20">
        <v>5</v>
      </c>
      <c r="R20">
        <v>0</v>
      </c>
      <c r="S20">
        <v>20</v>
      </c>
      <c r="T20">
        <v>25</v>
      </c>
      <c r="U20">
        <v>77</v>
      </c>
      <c r="V20">
        <v>1</v>
      </c>
      <c r="W20">
        <v>0</v>
      </c>
      <c r="X20">
        <v>78</v>
      </c>
      <c r="Y20">
        <v>103</v>
      </c>
      <c r="Z20">
        <v>430</v>
      </c>
    </row>
    <row r="21" spans="2:26" x14ac:dyDescent="0.25">
      <c r="B21" s="11">
        <v>0.35416666666666669</v>
      </c>
      <c r="C21">
        <v>5</v>
      </c>
      <c r="D21">
        <v>0</v>
      </c>
      <c r="E21">
        <v>1</v>
      </c>
      <c r="F21">
        <v>6</v>
      </c>
      <c r="G21">
        <v>280</v>
      </c>
      <c r="H21">
        <v>6</v>
      </c>
      <c r="I21">
        <v>3</v>
      </c>
      <c r="J21">
        <v>289</v>
      </c>
      <c r="K21">
        <v>295</v>
      </c>
      <c r="L21">
        <v>1</v>
      </c>
      <c r="M21">
        <v>0</v>
      </c>
      <c r="N21">
        <v>3</v>
      </c>
      <c r="O21">
        <v>4</v>
      </c>
      <c r="P21">
        <v>4</v>
      </c>
      <c r="Q21">
        <v>4</v>
      </c>
      <c r="R21">
        <v>0</v>
      </c>
      <c r="S21">
        <v>0</v>
      </c>
      <c r="T21">
        <v>4</v>
      </c>
      <c r="U21">
        <v>86</v>
      </c>
      <c r="V21">
        <v>1</v>
      </c>
      <c r="W21">
        <v>0</v>
      </c>
      <c r="X21">
        <v>87</v>
      </c>
      <c r="Y21">
        <v>91</v>
      </c>
      <c r="Z21">
        <v>390</v>
      </c>
    </row>
    <row r="22" spans="2:26" x14ac:dyDescent="0.25">
      <c r="B22" s="11">
        <v>0.36458333333333331</v>
      </c>
      <c r="C22">
        <v>2</v>
      </c>
      <c r="D22">
        <v>0</v>
      </c>
      <c r="E22">
        <v>1</v>
      </c>
      <c r="F22">
        <v>3</v>
      </c>
      <c r="G22">
        <v>293</v>
      </c>
      <c r="H22">
        <v>4</v>
      </c>
      <c r="I22">
        <v>3</v>
      </c>
      <c r="J22">
        <v>300</v>
      </c>
      <c r="K22">
        <v>303</v>
      </c>
      <c r="L22">
        <v>0</v>
      </c>
      <c r="M22">
        <v>0</v>
      </c>
      <c r="N22">
        <v>0</v>
      </c>
      <c r="O22">
        <v>0</v>
      </c>
      <c r="P22">
        <v>0</v>
      </c>
      <c r="Q22">
        <v>8</v>
      </c>
      <c r="R22">
        <v>1</v>
      </c>
      <c r="S22">
        <v>0</v>
      </c>
      <c r="T22">
        <v>9</v>
      </c>
      <c r="U22">
        <v>79</v>
      </c>
      <c r="V22">
        <v>2</v>
      </c>
      <c r="W22">
        <v>0</v>
      </c>
      <c r="X22">
        <v>81</v>
      </c>
      <c r="Y22">
        <v>90</v>
      </c>
      <c r="Z22">
        <v>393</v>
      </c>
    </row>
    <row r="23" spans="2:26" x14ac:dyDescent="0.25">
      <c r="B23" s="10" t="s">
        <v>44</v>
      </c>
      <c r="C23">
        <v>28</v>
      </c>
      <c r="D23">
        <v>0</v>
      </c>
      <c r="E23">
        <v>1</v>
      </c>
      <c r="F23">
        <v>29</v>
      </c>
      <c r="G23">
        <v>1628</v>
      </c>
      <c r="H23">
        <v>17</v>
      </c>
      <c r="I23">
        <v>12</v>
      </c>
      <c r="J23">
        <v>1657</v>
      </c>
      <c r="K23">
        <v>1686</v>
      </c>
      <c r="L23">
        <v>23</v>
      </c>
      <c r="M23">
        <v>0</v>
      </c>
      <c r="N23">
        <v>3</v>
      </c>
      <c r="O23">
        <v>26</v>
      </c>
      <c r="P23">
        <v>26</v>
      </c>
      <c r="Q23">
        <v>57</v>
      </c>
      <c r="R23">
        <v>0</v>
      </c>
      <c r="S23">
        <v>14</v>
      </c>
      <c r="T23">
        <v>71</v>
      </c>
      <c r="U23">
        <v>923</v>
      </c>
      <c r="V23">
        <v>9</v>
      </c>
      <c r="W23">
        <v>19</v>
      </c>
      <c r="X23">
        <v>951</v>
      </c>
      <c r="Y23">
        <v>1022</v>
      </c>
      <c r="Z23">
        <v>2734</v>
      </c>
    </row>
    <row r="24" spans="2:26" x14ac:dyDescent="0.25">
      <c r="B24" s="11">
        <v>0.66666666666666663</v>
      </c>
      <c r="C24">
        <v>2</v>
      </c>
      <c r="D24">
        <v>0</v>
      </c>
      <c r="E24">
        <v>0</v>
      </c>
      <c r="F24">
        <v>2</v>
      </c>
      <c r="G24">
        <v>212</v>
      </c>
      <c r="H24">
        <v>8</v>
      </c>
      <c r="I24">
        <v>2</v>
      </c>
      <c r="J24">
        <v>222</v>
      </c>
      <c r="K24">
        <v>224</v>
      </c>
      <c r="L24">
        <v>4</v>
      </c>
      <c r="M24">
        <v>0</v>
      </c>
      <c r="N24">
        <v>1</v>
      </c>
      <c r="O24">
        <v>5</v>
      </c>
      <c r="P24">
        <v>5</v>
      </c>
      <c r="Q24">
        <v>6</v>
      </c>
      <c r="R24">
        <v>0</v>
      </c>
      <c r="S24">
        <v>0</v>
      </c>
      <c r="T24">
        <v>6</v>
      </c>
      <c r="U24">
        <v>105</v>
      </c>
      <c r="V24">
        <v>1</v>
      </c>
      <c r="W24">
        <v>1</v>
      </c>
      <c r="X24">
        <v>107</v>
      </c>
      <c r="Y24">
        <v>113</v>
      </c>
      <c r="Z24">
        <v>342</v>
      </c>
    </row>
    <row r="25" spans="2:26" x14ac:dyDescent="0.25">
      <c r="B25" s="11">
        <v>0.67708333333333337</v>
      </c>
      <c r="C25">
        <v>5</v>
      </c>
      <c r="D25">
        <v>0</v>
      </c>
      <c r="E25">
        <v>0</v>
      </c>
      <c r="F25">
        <v>5</v>
      </c>
      <c r="G25">
        <v>233</v>
      </c>
      <c r="H25">
        <v>4</v>
      </c>
      <c r="I25">
        <v>1</v>
      </c>
      <c r="J25">
        <v>238</v>
      </c>
      <c r="K25">
        <v>243</v>
      </c>
      <c r="L25">
        <v>1</v>
      </c>
      <c r="M25">
        <v>0</v>
      </c>
      <c r="N25">
        <v>0</v>
      </c>
      <c r="O25">
        <v>1</v>
      </c>
      <c r="P25">
        <v>1</v>
      </c>
      <c r="Q25">
        <v>7</v>
      </c>
      <c r="R25">
        <v>0</v>
      </c>
      <c r="S25">
        <v>3</v>
      </c>
      <c r="T25">
        <v>10</v>
      </c>
      <c r="U25">
        <v>114</v>
      </c>
      <c r="V25">
        <v>1</v>
      </c>
      <c r="W25">
        <v>1</v>
      </c>
      <c r="X25">
        <v>116</v>
      </c>
      <c r="Y25">
        <v>126</v>
      </c>
      <c r="Z25">
        <v>370</v>
      </c>
    </row>
    <row r="26" spans="2:26" x14ac:dyDescent="0.25">
      <c r="B26" s="11">
        <v>0.6875</v>
      </c>
      <c r="C26">
        <v>7</v>
      </c>
      <c r="D26">
        <v>0</v>
      </c>
      <c r="E26">
        <v>0</v>
      </c>
      <c r="F26">
        <v>7</v>
      </c>
      <c r="G26">
        <v>208</v>
      </c>
      <c r="H26">
        <v>1</v>
      </c>
      <c r="I26">
        <v>0</v>
      </c>
      <c r="J26">
        <v>209</v>
      </c>
      <c r="K26">
        <v>216</v>
      </c>
      <c r="L26">
        <v>2</v>
      </c>
      <c r="M26">
        <v>0</v>
      </c>
      <c r="N26">
        <v>0</v>
      </c>
      <c r="O26">
        <v>2</v>
      </c>
      <c r="P26">
        <v>2</v>
      </c>
      <c r="Q26">
        <v>5</v>
      </c>
      <c r="R26">
        <v>0</v>
      </c>
      <c r="S26">
        <v>1</v>
      </c>
      <c r="T26">
        <v>6</v>
      </c>
      <c r="U26">
        <v>110</v>
      </c>
      <c r="V26">
        <v>1</v>
      </c>
      <c r="W26">
        <v>1</v>
      </c>
      <c r="X26">
        <v>112</v>
      </c>
      <c r="Y26">
        <v>118</v>
      </c>
      <c r="Z26">
        <v>336</v>
      </c>
    </row>
    <row r="27" spans="2:26" x14ac:dyDescent="0.25">
      <c r="B27" s="11">
        <v>0.69791666666666663</v>
      </c>
      <c r="C27">
        <v>2</v>
      </c>
      <c r="D27">
        <v>0</v>
      </c>
      <c r="E27">
        <v>0</v>
      </c>
      <c r="F27">
        <v>2</v>
      </c>
      <c r="G27">
        <v>199</v>
      </c>
      <c r="H27">
        <v>1</v>
      </c>
      <c r="I27">
        <v>3</v>
      </c>
      <c r="J27">
        <v>203</v>
      </c>
      <c r="K27">
        <v>205</v>
      </c>
      <c r="L27">
        <v>3</v>
      </c>
      <c r="M27">
        <v>0</v>
      </c>
      <c r="N27">
        <v>1</v>
      </c>
      <c r="O27">
        <v>4</v>
      </c>
      <c r="P27">
        <v>4</v>
      </c>
      <c r="Q27">
        <v>9</v>
      </c>
      <c r="R27">
        <v>0</v>
      </c>
      <c r="S27">
        <v>2</v>
      </c>
      <c r="T27">
        <v>11</v>
      </c>
      <c r="U27">
        <v>127</v>
      </c>
      <c r="V27">
        <v>2</v>
      </c>
      <c r="W27">
        <v>6</v>
      </c>
      <c r="X27">
        <v>135</v>
      </c>
      <c r="Y27">
        <v>146</v>
      </c>
      <c r="Z27">
        <v>355</v>
      </c>
    </row>
    <row r="28" spans="2:26" x14ac:dyDescent="0.25">
      <c r="B28" s="11">
        <v>0.70833333333333337</v>
      </c>
      <c r="C28">
        <v>5</v>
      </c>
      <c r="D28">
        <v>0</v>
      </c>
      <c r="E28">
        <v>0</v>
      </c>
      <c r="F28">
        <v>5</v>
      </c>
      <c r="G28">
        <v>190</v>
      </c>
      <c r="H28">
        <v>0</v>
      </c>
      <c r="I28">
        <v>1</v>
      </c>
      <c r="J28">
        <v>191</v>
      </c>
      <c r="K28">
        <v>196</v>
      </c>
      <c r="L28">
        <v>5</v>
      </c>
      <c r="M28">
        <v>0</v>
      </c>
      <c r="N28">
        <v>0</v>
      </c>
      <c r="O28">
        <v>5</v>
      </c>
      <c r="P28">
        <v>5</v>
      </c>
      <c r="Q28">
        <v>14</v>
      </c>
      <c r="R28">
        <v>0</v>
      </c>
      <c r="S28">
        <v>1</v>
      </c>
      <c r="T28">
        <v>15</v>
      </c>
      <c r="U28">
        <v>138</v>
      </c>
      <c r="V28">
        <v>1</v>
      </c>
      <c r="W28">
        <v>2</v>
      </c>
      <c r="X28">
        <v>141</v>
      </c>
      <c r="Y28">
        <v>156</v>
      </c>
      <c r="Z28">
        <v>357</v>
      </c>
    </row>
    <row r="29" spans="2:26" x14ac:dyDescent="0.25">
      <c r="B29" s="11">
        <v>0.71875</v>
      </c>
      <c r="C29">
        <v>4</v>
      </c>
      <c r="D29">
        <v>0</v>
      </c>
      <c r="E29">
        <v>0</v>
      </c>
      <c r="F29">
        <v>4</v>
      </c>
      <c r="G29">
        <v>187</v>
      </c>
      <c r="H29">
        <v>3</v>
      </c>
      <c r="I29">
        <v>1</v>
      </c>
      <c r="J29">
        <v>191</v>
      </c>
      <c r="K29">
        <v>195</v>
      </c>
      <c r="L29">
        <v>4</v>
      </c>
      <c r="M29">
        <v>0</v>
      </c>
      <c r="N29">
        <v>1</v>
      </c>
      <c r="O29">
        <v>5</v>
      </c>
      <c r="P29">
        <v>5</v>
      </c>
      <c r="Q29">
        <v>7</v>
      </c>
      <c r="R29">
        <v>0</v>
      </c>
      <c r="S29">
        <v>6</v>
      </c>
      <c r="T29">
        <v>13</v>
      </c>
      <c r="U29">
        <v>121</v>
      </c>
      <c r="V29">
        <v>0</v>
      </c>
      <c r="W29">
        <v>4</v>
      </c>
      <c r="X29">
        <v>125</v>
      </c>
      <c r="Y29">
        <v>138</v>
      </c>
      <c r="Z29">
        <v>338</v>
      </c>
    </row>
    <row r="30" spans="2:26" x14ac:dyDescent="0.25">
      <c r="B30" s="11">
        <v>0.72916666666666663</v>
      </c>
      <c r="C30">
        <v>2</v>
      </c>
      <c r="D30">
        <v>0</v>
      </c>
      <c r="E30">
        <v>0</v>
      </c>
      <c r="F30">
        <v>2</v>
      </c>
      <c r="G30">
        <v>201</v>
      </c>
      <c r="H30">
        <v>0</v>
      </c>
      <c r="I30">
        <v>2</v>
      </c>
      <c r="J30">
        <v>203</v>
      </c>
      <c r="K30">
        <v>205</v>
      </c>
      <c r="L30">
        <v>3</v>
      </c>
      <c r="M30">
        <v>0</v>
      </c>
      <c r="N30">
        <v>0</v>
      </c>
      <c r="O30">
        <v>3</v>
      </c>
      <c r="P30">
        <v>3</v>
      </c>
      <c r="Q30">
        <v>1</v>
      </c>
      <c r="R30">
        <v>0</v>
      </c>
      <c r="S30">
        <v>1</v>
      </c>
      <c r="T30">
        <v>2</v>
      </c>
      <c r="U30">
        <v>118</v>
      </c>
      <c r="V30">
        <v>1</v>
      </c>
      <c r="W30">
        <v>3</v>
      </c>
      <c r="X30">
        <v>122</v>
      </c>
      <c r="Y30">
        <v>124</v>
      </c>
      <c r="Z30">
        <v>332</v>
      </c>
    </row>
    <row r="31" spans="2:26" x14ac:dyDescent="0.25">
      <c r="B31" s="11">
        <v>0.73958333333333337</v>
      </c>
      <c r="C31">
        <v>1</v>
      </c>
      <c r="D31">
        <v>0</v>
      </c>
      <c r="E31">
        <v>1</v>
      </c>
      <c r="F31">
        <v>2</v>
      </c>
      <c r="G31">
        <v>198</v>
      </c>
      <c r="H31">
        <v>0</v>
      </c>
      <c r="I31">
        <v>2</v>
      </c>
      <c r="J31">
        <v>200</v>
      </c>
      <c r="K31">
        <v>202</v>
      </c>
      <c r="L31">
        <v>1</v>
      </c>
      <c r="M31">
        <v>0</v>
      </c>
      <c r="N31">
        <v>0</v>
      </c>
      <c r="O31">
        <v>1</v>
      </c>
      <c r="P31">
        <v>1</v>
      </c>
      <c r="Q31">
        <v>8</v>
      </c>
      <c r="R31">
        <v>0</v>
      </c>
      <c r="S31">
        <v>0</v>
      </c>
      <c r="T31">
        <v>8</v>
      </c>
      <c r="U31">
        <v>90</v>
      </c>
      <c r="V31">
        <v>2</v>
      </c>
      <c r="W31">
        <v>1</v>
      </c>
      <c r="X31">
        <v>93</v>
      </c>
      <c r="Y31">
        <v>101</v>
      </c>
      <c r="Z31">
        <v>304</v>
      </c>
    </row>
    <row r="32" spans="2:26" x14ac:dyDescent="0.25">
      <c r="B32" s="10" t="s">
        <v>90</v>
      </c>
      <c r="C32">
        <v>10</v>
      </c>
      <c r="D32">
        <v>0</v>
      </c>
      <c r="E32">
        <v>0</v>
      </c>
      <c r="F32">
        <v>10</v>
      </c>
      <c r="G32">
        <v>667</v>
      </c>
      <c r="H32">
        <v>27</v>
      </c>
      <c r="I32">
        <v>2</v>
      </c>
      <c r="J32">
        <v>696</v>
      </c>
      <c r="K32">
        <v>706</v>
      </c>
      <c r="L32">
        <v>12</v>
      </c>
      <c r="M32">
        <v>0</v>
      </c>
      <c r="N32">
        <v>0</v>
      </c>
      <c r="O32">
        <v>12</v>
      </c>
      <c r="P32">
        <v>12</v>
      </c>
      <c r="Q32">
        <v>19</v>
      </c>
      <c r="R32">
        <v>0</v>
      </c>
      <c r="S32">
        <v>2</v>
      </c>
      <c r="T32">
        <v>21</v>
      </c>
      <c r="U32">
        <v>282</v>
      </c>
      <c r="V32">
        <v>2</v>
      </c>
      <c r="W32">
        <v>2</v>
      </c>
      <c r="X32">
        <v>286</v>
      </c>
      <c r="Y32">
        <v>307</v>
      </c>
      <c r="Z32">
        <v>1025</v>
      </c>
    </row>
    <row r="33" spans="2:26" x14ac:dyDescent="0.25">
      <c r="B33" s="11">
        <v>0.54166666666666663</v>
      </c>
      <c r="C33">
        <v>3</v>
      </c>
      <c r="D33">
        <v>0</v>
      </c>
      <c r="E33">
        <v>0</v>
      </c>
      <c r="F33">
        <v>3</v>
      </c>
      <c r="G33">
        <v>153</v>
      </c>
      <c r="H33">
        <v>11</v>
      </c>
      <c r="I33">
        <v>0</v>
      </c>
      <c r="J33">
        <v>164</v>
      </c>
      <c r="K33">
        <v>167</v>
      </c>
      <c r="L33">
        <v>3</v>
      </c>
      <c r="M33">
        <v>0</v>
      </c>
      <c r="N33">
        <v>0</v>
      </c>
      <c r="O33">
        <v>3</v>
      </c>
      <c r="P33">
        <v>3</v>
      </c>
      <c r="Q33">
        <v>2</v>
      </c>
      <c r="R33">
        <v>0</v>
      </c>
      <c r="S33">
        <v>1</v>
      </c>
      <c r="T33">
        <v>3</v>
      </c>
      <c r="U33">
        <v>77</v>
      </c>
      <c r="V33">
        <v>0</v>
      </c>
      <c r="W33">
        <v>0</v>
      </c>
      <c r="X33">
        <v>77</v>
      </c>
      <c r="Y33">
        <v>80</v>
      </c>
      <c r="Z33">
        <v>250</v>
      </c>
    </row>
    <row r="34" spans="2:26" x14ac:dyDescent="0.25">
      <c r="B34" s="11">
        <v>0.55208333333333337</v>
      </c>
      <c r="C34">
        <v>2</v>
      </c>
      <c r="D34">
        <v>0</v>
      </c>
      <c r="E34">
        <v>0</v>
      </c>
      <c r="F34">
        <v>2</v>
      </c>
      <c r="G34">
        <v>158</v>
      </c>
      <c r="H34">
        <v>6</v>
      </c>
      <c r="I34">
        <v>2</v>
      </c>
      <c r="J34">
        <v>166</v>
      </c>
      <c r="K34">
        <v>168</v>
      </c>
      <c r="L34">
        <v>1</v>
      </c>
      <c r="M34">
        <v>0</v>
      </c>
      <c r="N34">
        <v>0</v>
      </c>
      <c r="O34">
        <v>1</v>
      </c>
      <c r="P34">
        <v>1</v>
      </c>
      <c r="Q34">
        <v>4</v>
      </c>
      <c r="R34">
        <v>0</v>
      </c>
      <c r="S34">
        <v>0</v>
      </c>
      <c r="T34">
        <v>4</v>
      </c>
      <c r="U34">
        <v>66</v>
      </c>
      <c r="V34">
        <v>2</v>
      </c>
      <c r="W34">
        <v>1</v>
      </c>
      <c r="X34">
        <v>69</v>
      </c>
      <c r="Y34">
        <v>73</v>
      </c>
      <c r="Z34">
        <v>242</v>
      </c>
    </row>
    <row r="35" spans="2:26" x14ac:dyDescent="0.25">
      <c r="B35" s="11">
        <v>0.5625</v>
      </c>
      <c r="C35">
        <v>2</v>
      </c>
      <c r="D35">
        <v>0</v>
      </c>
      <c r="E35">
        <v>0</v>
      </c>
      <c r="F35">
        <v>2</v>
      </c>
      <c r="G35">
        <v>175</v>
      </c>
      <c r="H35">
        <v>5</v>
      </c>
      <c r="I35">
        <v>0</v>
      </c>
      <c r="J35">
        <v>180</v>
      </c>
      <c r="K35">
        <v>182</v>
      </c>
      <c r="L35">
        <v>3</v>
      </c>
      <c r="M35">
        <v>0</v>
      </c>
      <c r="N35">
        <v>0</v>
      </c>
      <c r="O35">
        <v>3</v>
      </c>
      <c r="P35">
        <v>3</v>
      </c>
      <c r="Q35">
        <v>8</v>
      </c>
      <c r="R35">
        <v>0</v>
      </c>
      <c r="S35">
        <v>0</v>
      </c>
      <c r="T35">
        <v>8</v>
      </c>
      <c r="U35">
        <v>73</v>
      </c>
      <c r="V35">
        <v>0</v>
      </c>
      <c r="W35">
        <v>0</v>
      </c>
      <c r="X35">
        <v>73</v>
      </c>
      <c r="Y35">
        <v>81</v>
      </c>
      <c r="Z35">
        <v>266</v>
      </c>
    </row>
    <row r="36" spans="2:26" x14ac:dyDescent="0.25">
      <c r="B36" s="11">
        <v>0.57291666666666663</v>
      </c>
      <c r="C36">
        <v>3</v>
      </c>
      <c r="D36">
        <v>0</v>
      </c>
      <c r="E36">
        <v>0</v>
      </c>
      <c r="F36">
        <v>3</v>
      </c>
      <c r="G36">
        <v>181</v>
      </c>
      <c r="H36">
        <v>5</v>
      </c>
      <c r="I36">
        <v>0</v>
      </c>
      <c r="J36">
        <v>186</v>
      </c>
      <c r="K36">
        <v>189</v>
      </c>
      <c r="L36">
        <v>5</v>
      </c>
      <c r="M36">
        <v>0</v>
      </c>
      <c r="N36">
        <v>0</v>
      </c>
      <c r="O36">
        <v>5</v>
      </c>
      <c r="P36">
        <v>5</v>
      </c>
      <c r="Q36">
        <v>5</v>
      </c>
      <c r="R36">
        <v>0</v>
      </c>
      <c r="S36">
        <v>1</v>
      </c>
      <c r="T36">
        <v>6</v>
      </c>
      <c r="U36">
        <v>66</v>
      </c>
      <c r="V36">
        <v>0</v>
      </c>
      <c r="W36">
        <v>1</v>
      </c>
      <c r="X36">
        <v>67</v>
      </c>
      <c r="Y36">
        <v>73</v>
      </c>
      <c r="Z36">
        <v>267</v>
      </c>
    </row>
  </sheetData>
  <mergeCells count="17">
    <mergeCell ref="C11:J11"/>
    <mergeCell ref="K11:K13"/>
    <mergeCell ref="L11:O11"/>
    <mergeCell ref="P11:P13"/>
    <mergeCell ref="Q11:X11"/>
    <mergeCell ref="Y11:Y13"/>
    <mergeCell ref="Z11:Z13"/>
    <mergeCell ref="O12:O13"/>
    <mergeCell ref="Q12:S12"/>
    <mergeCell ref="T12:T13"/>
    <mergeCell ref="U12:W12"/>
    <mergeCell ref="X12:X13"/>
    <mergeCell ref="C12:E12"/>
    <mergeCell ref="F12:F13"/>
    <mergeCell ref="G12:I12"/>
    <mergeCell ref="J12:J13"/>
    <mergeCell ref="L12:N12"/>
  </mergeCells>
  <conditionalFormatting pivot="1" sqref="C14:Z36">
    <cfRule type="expression" dxfId="2" priority="2">
      <formula>C$12&lt;&gt;""</formula>
    </cfRule>
  </conditionalFormatting>
  <conditionalFormatting pivot="1" sqref="C14:Z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1636</v>
      </c>
      <c r="I5">
        <f>MAX(I11:I303)</f>
        <v>1025</v>
      </c>
      <c r="J5">
        <f>MAX(J11:J303)</f>
        <v>1418</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1636 vehicles between 07:45 and 08:45</v>
      </c>
      <c r="I8" s="6" t="str">
        <f>IF(I5=0,"","The peak hour for " &amp;I10&amp;" is "&amp;I5&amp;" vehicles between " &amp; TEXT(I6, "hh:mm")&amp; " and " &amp;TEXT(I7,"hh:mm"))</f>
        <v>The peak hour for INT is 1025 vehicles between 13:00 and 14:00</v>
      </c>
      <c r="J8" s="6" t="str">
        <f>IF(J5=0,"","The peak hour for " &amp;J10&amp;" is "&amp;J5&amp;" vehicles between " &amp; TEXT(J6, "hh:mm")&amp; " and " &amp;TEXT(J7,"hh:mm"))</f>
        <v>The peak hour for PM is 1418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277</v>
      </c>
      <c r="G11" s="7">
        <f>A11</f>
        <v>0.29166666666666669</v>
      </c>
      <c r="H11">
        <f>IF(B11&lt;&gt;0,SUMIF($G$11:$G11,"&gt;"&amp;$G11-1/24,B$11:B11),0)</f>
        <v>277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277</v>
      </c>
      <c r="Q11">
        <f>P11*L11</f>
        <v>0</v>
      </c>
      <c r="S11" s="9">
        <v>0.29166666666666669</v>
      </c>
      <c r="T11">
        <v>277</v>
      </c>
      <c r="U11">
        <v>0</v>
      </c>
    </row>
    <row r="12" spans="1:21" x14ac:dyDescent="0.25">
      <c r="A12" s="9">
        <v>0.30208333333333331</v>
      </c>
      <c r="B12">
        <v>371</v>
      </c>
      <c r="G12" s="7">
        <f t="shared" ref="G12:G26" si="3">A12</f>
        <v>0.30208333333333331</v>
      </c>
      <c r="H12">
        <f>IF(B12&lt;&gt;0,SUMIF($G$11:$G12,"&gt;"&amp;$G12-1/24,B$11:B12),0)</f>
        <v>648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371</v>
      </c>
      <c r="Q12">
        <f t="shared" ref="Q12:Q75" si="7">P12*L12</f>
        <v>0</v>
      </c>
      <c r="S12" s="9">
        <v>0.30208333333333331</v>
      </c>
      <c r="T12">
        <v>371</v>
      </c>
      <c r="U12">
        <v>0</v>
      </c>
    </row>
    <row r="13" spans="1:21" x14ac:dyDescent="0.25">
      <c r="A13" s="9">
        <v>0.3125</v>
      </c>
      <c r="B13">
        <v>387</v>
      </c>
      <c r="G13" s="7">
        <f t="shared" si="3"/>
        <v>0.3125</v>
      </c>
      <c r="H13">
        <f>IF(B13&lt;&gt;0,SUMIF($G$11:$G13,"&gt;"&amp;$G13-1/24,B$11:B13),0)</f>
        <v>1035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387</v>
      </c>
      <c r="Q13">
        <f t="shared" si="7"/>
        <v>0</v>
      </c>
      <c r="S13" s="9">
        <v>0.3125</v>
      </c>
      <c r="T13">
        <v>387</v>
      </c>
      <c r="U13">
        <v>0</v>
      </c>
    </row>
    <row r="14" spans="1:21" x14ac:dyDescent="0.25">
      <c r="A14" s="9">
        <v>0.32291666666666669</v>
      </c>
      <c r="B14">
        <v>409</v>
      </c>
      <c r="G14" s="7">
        <f t="shared" si="3"/>
        <v>0.32291666666666669</v>
      </c>
      <c r="H14">
        <f>IF(B14&lt;&gt;0,SUMIF($G$11:$G14,"&gt;"&amp;$G14-1/24,B$11:B14),0)</f>
        <v>1444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409</v>
      </c>
      <c r="Q14">
        <f t="shared" si="7"/>
        <v>409</v>
      </c>
      <c r="S14" s="9">
        <v>0.32291666666666669</v>
      </c>
      <c r="T14">
        <v>409</v>
      </c>
      <c r="U14">
        <v>409</v>
      </c>
    </row>
    <row r="15" spans="1:21" x14ac:dyDescent="0.25">
      <c r="A15" s="9">
        <v>0.33333333333333331</v>
      </c>
      <c r="B15">
        <v>407</v>
      </c>
      <c r="G15" s="7">
        <f t="shared" si="3"/>
        <v>0.33333333333333331</v>
      </c>
      <c r="H15">
        <f>IF(B15&lt;&gt;0,SUMIF($G$11:$G15,"&gt;"&amp;$G15-1/24,B$11:B15),0)</f>
        <v>1574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407</v>
      </c>
      <c r="Q15">
        <f t="shared" si="7"/>
        <v>407</v>
      </c>
      <c r="S15" s="9">
        <v>0.33333333333333331</v>
      </c>
      <c r="T15">
        <v>407</v>
      </c>
      <c r="U15">
        <v>407</v>
      </c>
    </row>
    <row r="16" spans="1:21" x14ac:dyDescent="0.25">
      <c r="A16" s="9">
        <v>0.34375</v>
      </c>
      <c r="B16">
        <v>430</v>
      </c>
      <c r="G16" s="7">
        <f t="shared" si="3"/>
        <v>0.34375</v>
      </c>
      <c r="H16">
        <f>IF(B16&lt;&gt;0,SUMIF($G$11:$G16,"&gt;"&amp;$G16-1/24,B$11:B16),0)</f>
        <v>1633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430</v>
      </c>
      <c r="Q16">
        <f t="shared" si="7"/>
        <v>430</v>
      </c>
      <c r="S16" s="9">
        <v>0.34375</v>
      </c>
      <c r="T16">
        <v>430</v>
      </c>
      <c r="U16">
        <v>430</v>
      </c>
    </row>
    <row r="17" spans="1:21" x14ac:dyDescent="0.25">
      <c r="A17" s="9">
        <v>0.35416666666666669</v>
      </c>
      <c r="B17">
        <v>390</v>
      </c>
      <c r="G17" s="7">
        <f t="shared" si="3"/>
        <v>0.35416666666666669</v>
      </c>
      <c r="H17">
        <f>IF(B17&lt;&gt;0,SUMIF($G$11:$G17,"&gt;"&amp;$G17-1/24,B$11:B17),0)</f>
        <v>1636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390</v>
      </c>
      <c r="Q17">
        <f t="shared" si="7"/>
        <v>390</v>
      </c>
      <c r="S17" s="9">
        <v>0.35416666666666669</v>
      </c>
      <c r="T17">
        <v>390</v>
      </c>
      <c r="U17">
        <v>390</v>
      </c>
    </row>
    <row r="18" spans="1:21" x14ac:dyDescent="0.25">
      <c r="A18" s="9">
        <v>0.36458333333333331</v>
      </c>
      <c r="B18">
        <v>393</v>
      </c>
      <c r="G18" s="7">
        <f t="shared" si="3"/>
        <v>0.36458333333333331</v>
      </c>
      <c r="H18">
        <f>IF(B18&lt;&gt;0,SUMIF($G$11:$G18,"&gt;"&amp;$G18-1/24,B$11:B18),0)</f>
        <v>1620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393</v>
      </c>
      <c r="Q18">
        <f t="shared" si="7"/>
        <v>0</v>
      </c>
      <c r="S18" s="9">
        <v>0.36458333333333331</v>
      </c>
      <c r="T18">
        <v>393</v>
      </c>
      <c r="U18">
        <v>0</v>
      </c>
    </row>
    <row r="19" spans="1:21" x14ac:dyDescent="0.25">
      <c r="A19" s="9">
        <v>0.54166666666666663</v>
      </c>
      <c r="C19">
        <v>250</v>
      </c>
      <c r="G19" s="7">
        <f t="shared" si="3"/>
        <v>0.54166666666666663</v>
      </c>
      <c r="H19">
        <f>IF(B19&lt;&gt;0,SUMIF($G$11:$G19,"&gt;"&amp;$G19-1/24,B$11:B19),0)</f>
        <v>0</v>
      </c>
      <c r="I19">
        <f>IF(C19&lt;&gt;0,SUMIF($G$11:$G19,"&gt;"&amp;$G19-1/24,C$11:C19),0)</f>
        <v>250</v>
      </c>
      <c r="J19">
        <f>IF(D19&lt;&gt;0,SUMIF($G$11:$G19,"&gt;"&amp;$G19-1/24,D$11:D19),0)</f>
        <v>0</v>
      </c>
      <c r="K19">
        <f>IF(E19&lt;&gt;0,SUMIF($G$11:$G19,"&gt;"&amp;$G19-1/24,E$11:E19),0)</f>
        <v>0</v>
      </c>
      <c r="L19">
        <f t="shared" si="4"/>
        <v>1</v>
      </c>
      <c r="N19" t="str">
        <f t="shared" si="5"/>
        <v>INT</v>
      </c>
      <c r="O19" s="7">
        <f t="shared" si="2"/>
        <v>0.54166666666666663</v>
      </c>
      <c r="P19">
        <f t="shared" si="6"/>
        <v>250</v>
      </c>
      <c r="Q19">
        <f t="shared" si="7"/>
        <v>250</v>
      </c>
      <c r="S19" s="9" t="s">
        <v>49</v>
      </c>
      <c r="T19">
        <v>3064</v>
      </c>
      <c r="U19">
        <v>1636</v>
      </c>
    </row>
    <row r="20" spans="1:21" x14ac:dyDescent="0.25">
      <c r="A20" s="9">
        <v>0.55208333333333337</v>
      </c>
      <c r="C20">
        <v>242</v>
      </c>
      <c r="G20" s="7">
        <f t="shared" si="3"/>
        <v>0.55208333333333337</v>
      </c>
      <c r="H20">
        <f>IF(B20&lt;&gt;0,SUMIF($G$11:$G20,"&gt;"&amp;$G20-1/24,B$11:B20),0)</f>
        <v>0</v>
      </c>
      <c r="I20">
        <f>IF(C20&lt;&gt;0,SUMIF($G$11:$G20,"&gt;"&amp;$G20-1/24,C$11:C20),0)</f>
        <v>492</v>
      </c>
      <c r="J20">
        <f>IF(D20&lt;&gt;0,SUMIF($G$11:$G20,"&gt;"&amp;$G20-1/24,D$11:D20),0)</f>
        <v>0</v>
      </c>
      <c r="K20">
        <f>IF(E20&lt;&gt;0,SUMIF($G$11:$G20,"&gt;"&amp;$G20-1/24,E$11:E20),0)</f>
        <v>0</v>
      </c>
      <c r="L20">
        <f t="shared" si="4"/>
        <v>1</v>
      </c>
      <c r="N20" t="str">
        <f t="shared" si="5"/>
        <v>INT</v>
      </c>
      <c r="O20" s="7">
        <f t="shared" si="2"/>
        <v>0.55208333333333337</v>
      </c>
      <c r="P20">
        <f t="shared" si="6"/>
        <v>242</v>
      </c>
      <c r="Q20">
        <f t="shared" si="7"/>
        <v>242</v>
      </c>
    </row>
    <row r="21" spans="1:21" x14ac:dyDescent="0.25">
      <c r="A21" s="9">
        <v>0.5625</v>
      </c>
      <c r="C21">
        <v>266</v>
      </c>
      <c r="G21" s="7">
        <f t="shared" si="3"/>
        <v>0.5625</v>
      </c>
      <c r="H21">
        <f>IF(B21&lt;&gt;0,SUMIF($G$11:$G21,"&gt;"&amp;$G21-1/24,B$11:B21),0)</f>
        <v>0</v>
      </c>
      <c r="I21">
        <f>IF(C21&lt;&gt;0,SUMIF($G$11:$G21,"&gt;"&amp;$G21-1/24,C$11:C21),0)</f>
        <v>758</v>
      </c>
      <c r="J21">
        <f>IF(D21&lt;&gt;0,SUMIF($G$11:$G21,"&gt;"&amp;$G21-1/24,D$11:D21),0)</f>
        <v>0</v>
      </c>
      <c r="K21">
        <f>IF(E21&lt;&gt;0,SUMIF($G$11:$G21,"&gt;"&amp;$G21-1/24,E$11:E21),0)</f>
        <v>0</v>
      </c>
      <c r="L21">
        <f t="shared" si="4"/>
        <v>1</v>
      </c>
      <c r="N21" t="str">
        <f t="shared" si="5"/>
        <v>INT</v>
      </c>
      <c r="O21" s="7">
        <f t="shared" si="2"/>
        <v>0.5625</v>
      </c>
      <c r="P21">
        <f t="shared" si="6"/>
        <v>266</v>
      </c>
      <c r="Q21">
        <f t="shared" si="7"/>
        <v>266</v>
      </c>
    </row>
    <row r="22" spans="1:21" x14ac:dyDescent="0.25">
      <c r="A22" s="9">
        <v>0.57291666666666663</v>
      </c>
      <c r="C22">
        <v>267</v>
      </c>
      <c r="G22" s="7">
        <f t="shared" si="3"/>
        <v>0.57291666666666663</v>
      </c>
      <c r="H22">
        <f>IF(B22&lt;&gt;0,SUMIF($G$11:$G22,"&gt;"&amp;$G22-1/24,B$11:B22),0)</f>
        <v>0</v>
      </c>
      <c r="I22">
        <f>IF(C22&lt;&gt;0,SUMIF($G$11:$G22,"&gt;"&amp;$G22-1/24,C$11:C22),0)</f>
        <v>1025</v>
      </c>
      <c r="J22">
        <f>IF(D22&lt;&gt;0,SUMIF($G$11:$G22,"&gt;"&amp;$G22-1/24,D$11:D22),0)</f>
        <v>0</v>
      </c>
      <c r="K22">
        <f>IF(E22&lt;&gt;0,SUMIF($G$11:$G22,"&gt;"&amp;$G22-1/24,E$11:E22),0)</f>
        <v>0</v>
      </c>
      <c r="L22">
        <f t="shared" si="4"/>
        <v>1</v>
      </c>
      <c r="N22" t="str">
        <f t="shared" si="5"/>
        <v>INT</v>
      </c>
      <c r="O22" s="7">
        <f t="shared" si="2"/>
        <v>0.57291666666666663</v>
      </c>
      <c r="P22">
        <f t="shared" si="6"/>
        <v>267</v>
      </c>
      <c r="Q22">
        <f t="shared" si="7"/>
        <v>267</v>
      </c>
    </row>
    <row r="23" spans="1:21" x14ac:dyDescent="0.25">
      <c r="A23" s="9">
        <v>0.66666666666666663</v>
      </c>
      <c r="D23">
        <v>342</v>
      </c>
      <c r="G23" s="7">
        <f t="shared" si="3"/>
        <v>0.66666666666666663</v>
      </c>
      <c r="H23">
        <f>IF(B23&lt;&gt;0,SUMIF($G$11:$G23,"&gt;"&amp;$G23-1/24,B$11:B23),0)</f>
        <v>0</v>
      </c>
      <c r="I23">
        <f>IF(C23&lt;&gt;0,SUMIF($G$11:$G23,"&gt;"&amp;$G23-1/24,C$11:C23),0)</f>
        <v>0</v>
      </c>
      <c r="J23">
        <f>IF(D23&lt;&gt;0,SUMIF($G$11:$G23,"&gt;"&amp;$G23-1/24,D$11:D23),0)</f>
        <v>342</v>
      </c>
      <c r="K23">
        <f>IF(E23&lt;&gt;0,SUMIF($G$11:$G23,"&gt;"&amp;$G23-1/24,E$11:E23),0)</f>
        <v>0</v>
      </c>
      <c r="L23">
        <f t="shared" si="4"/>
        <v>0</v>
      </c>
      <c r="N23" t="str">
        <f t="shared" si="5"/>
        <v>PM</v>
      </c>
      <c r="O23" s="7">
        <f t="shared" si="2"/>
        <v>0.66666666666666663</v>
      </c>
      <c r="P23">
        <f t="shared" si="6"/>
        <v>342</v>
      </c>
      <c r="Q23">
        <f t="shared" si="7"/>
        <v>0</v>
      </c>
    </row>
    <row r="24" spans="1:21" x14ac:dyDescent="0.25">
      <c r="A24" s="9">
        <v>0.67708333333333337</v>
      </c>
      <c r="D24">
        <v>370</v>
      </c>
      <c r="G24" s="7">
        <f t="shared" si="3"/>
        <v>0.67708333333333337</v>
      </c>
      <c r="H24">
        <f>IF(B24&lt;&gt;0,SUMIF($G$11:$G24,"&gt;"&amp;$G24-1/24,B$11:B24),0)</f>
        <v>0</v>
      </c>
      <c r="I24">
        <f>IF(C24&lt;&gt;0,SUMIF($G$11:$G24,"&gt;"&amp;$G24-1/24,C$11:C24),0)</f>
        <v>0</v>
      </c>
      <c r="J24">
        <f>IF(D24&lt;&gt;0,SUMIF($G$11:$G24,"&gt;"&amp;$G24-1/24,D$11:D24),0)</f>
        <v>712</v>
      </c>
      <c r="K24">
        <f>IF(E24&lt;&gt;0,SUMIF($G$11:$G24,"&gt;"&amp;$G24-1/24,E$11:E24),0)</f>
        <v>0</v>
      </c>
      <c r="L24">
        <f t="shared" si="4"/>
        <v>1</v>
      </c>
      <c r="N24" t="str">
        <f t="shared" si="5"/>
        <v>PM</v>
      </c>
      <c r="O24" s="7">
        <f t="shared" si="2"/>
        <v>0.67708333333333337</v>
      </c>
      <c r="P24">
        <f t="shared" si="6"/>
        <v>370</v>
      </c>
      <c r="Q24">
        <f t="shared" si="7"/>
        <v>370</v>
      </c>
    </row>
    <row r="25" spans="1:21" x14ac:dyDescent="0.25">
      <c r="A25" s="9">
        <v>0.6875</v>
      </c>
      <c r="D25">
        <v>336</v>
      </c>
      <c r="G25" s="7">
        <f t="shared" si="3"/>
        <v>0.6875</v>
      </c>
      <c r="H25">
        <f>IF(B25&lt;&gt;0,SUMIF($G$11:$G25,"&gt;"&amp;$G25-1/24,B$11:B25),0)</f>
        <v>0</v>
      </c>
      <c r="I25">
        <f>IF(C25&lt;&gt;0,SUMIF($G$11:$G25,"&gt;"&amp;$G25-1/24,C$11:C25),0)</f>
        <v>0</v>
      </c>
      <c r="J25">
        <f>IF(D25&lt;&gt;0,SUMIF($G$11:$G25,"&gt;"&amp;$G25-1/24,D$11:D25),0)</f>
        <v>1048</v>
      </c>
      <c r="K25">
        <f>IF(E25&lt;&gt;0,SUMIF($G$11:$G25,"&gt;"&amp;$G25-1/24,E$11:E25),0)</f>
        <v>0</v>
      </c>
      <c r="L25">
        <f t="shared" si="4"/>
        <v>1</v>
      </c>
      <c r="N25" t="str">
        <f t="shared" si="5"/>
        <v>PM</v>
      </c>
      <c r="O25" s="7">
        <f t="shared" si="2"/>
        <v>0.6875</v>
      </c>
      <c r="P25">
        <f t="shared" si="6"/>
        <v>336</v>
      </c>
      <c r="Q25">
        <f t="shared" si="7"/>
        <v>336</v>
      </c>
    </row>
    <row r="26" spans="1:21" x14ac:dyDescent="0.25">
      <c r="A26" s="9">
        <v>0.69791666666666663</v>
      </c>
      <c r="D26">
        <v>355</v>
      </c>
      <c r="G26" s="7">
        <f t="shared" si="3"/>
        <v>0.69791666666666663</v>
      </c>
      <c r="H26">
        <f>IF(B26&lt;&gt;0,SUMIF($G$11:$G26,"&gt;"&amp;$G26-1/24,B$11:B26),0)</f>
        <v>0</v>
      </c>
      <c r="I26">
        <f>IF(C26&lt;&gt;0,SUMIF($G$11:$G26,"&gt;"&amp;$G26-1/24,C$11:C26),0)</f>
        <v>0</v>
      </c>
      <c r="J26">
        <f>IF(D26&lt;&gt;0,SUMIF($G$11:$G26,"&gt;"&amp;$G26-1/24,D$11:D26),0)</f>
        <v>1403</v>
      </c>
      <c r="K26">
        <f>IF(E26&lt;&gt;0,SUMIF($G$11:$G26,"&gt;"&amp;$G26-1/24,E$11:E26),0)</f>
        <v>0</v>
      </c>
      <c r="L26">
        <f t="shared" si="4"/>
        <v>1</v>
      </c>
      <c r="N26" t="str">
        <f t="shared" si="5"/>
        <v>PM</v>
      </c>
      <c r="O26" s="7">
        <f t="shared" si="2"/>
        <v>0.69791666666666663</v>
      </c>
      <c r="P26">
        <f t="shared" si="6"/>
        <v>355</v>
      </c>
      <c r="Q26">
        <f t="shared" si="7"/>
        <v>355</v>
      </c>
    </row>
    <row r="27" spans="1:21" x14ac:dyDescent="0.25">
      <c r="A27" s="9">
        <v>0.70833333333333337</v>
      </c>
      <c r="D27">
        <v>357</v>
      </c>
      <c r="G27" s="7">
        <f t="shared" ref="G27:G90" si="8">A27</f>
        <v>0.70833333333333337</v>
      </c>
      <c r="H27">
        <f>IF(B27&lt;&gt;0,SUMIF($G$11:$G27,"&gt;"&amp;$G27-1/24,B$11:B27),0)</f>
        <v>0</v>
      </c>
      <c r="I27">
        <f>IF(C27&lt;&gt;0,SUMIF($G$11:$G27,"&gt;"&amp;$G27-1/24,C$11:C27),0)</f>
        <v>0</v>
      </c>
      <c r="J27">
        <f>IF(D27&lt;&gt;0,SUMIF($G$11:$G27,"&gt;"&amp;$G27-1/24,D$11:D27),0)</f>
        <v>1418</v>
      </c>
      <c r="K27">
        <f>IF(E27&lt;&gt;0,SUMIF($G$11:$G27,"&gt;"&amp;$G27-1/24,E$11:E27),0)</f>
        <v>0</v>
      </c>
      <c r="L27">
        <f t="shared" si="4"/>
        <v>1</v>
      </c>
      <c r="N27" t="str">
        <f t="shared" si="5"/>
        <v>PM</v>
      </c>
      <c r="O27" s="7">
        <f t="shared" si="2"/>
        <v>0.70833333333333337</v>
      </c>
      <c r="P27">
        <f t="shared" si="6"/>
        <v>357</v>
      </c>
      <c r="Q27">
        <f t="shared" si="7"/>
        <v>357</v>
      </c>
    </row>
    <row r="28" spans="1:21" x14ac:dyDescent="0.25">
      <c r="A28" s="9">
        <v>0.71875</v>
      </c>
      <c r="D28">
        <v>338</v>
      </c>
      <c r="G28" s="7">
        <f t="shared" si="8"/>
        <v>0.71875</v>
      </c>
      <c r="H28">
        <f>IF(B28&lt;&gt;0,SUMIF($G$11:$G28,"&gt;"&amp;$G28-1/24,B$11:B28),0)</f>
        <v>0</v>
      </c>
      <c r="I28">
        <f>IF(C28&lt;&gt;0,SUMIF($G$11:$G28,"&gt;"&amp;$G28-1/24,C$11:C28),0)</f>
        <v>0</v>
      </c>
      <c r="J28">
        <f>IF(D28&lt;&gt;0,SUMIF($G$11:$G28,"&gt;"&amp;$G28-1/24,D$11:D28),0)</f>
        <v>1386</v>
      </c>
      <c r="K28">
        <f>IF(E28&lt;&gt;0,SUMIF($G$11:$G28,"&gt;"&amp;$G28-1/24,E$11:E28),0)</f>
        <v>0</v>
      </c>
      <c r="L28">
        <f t="shared" si="4"/>
        <v>0</v>
      </c>
      <c r="N28" t="str">
        <f t="shared" si="5"/>
        <v>PM</v>
      </c>
      <c r="O28" s="7">
        <f t="shared" si="2"/>
        <v>0.71875</v>
      </c>
      <c r="P28">
        <f t="shared" si="6"/>
        <v>338</v>
      </c>
      <c r="Q28">
        <f t="shared" si="7"/>
        <v>0</v>
      </c>
    </row>
    <row r="29" spans="1:21" x14ac:dyDescent="0.25">
      <c r="A29" s="9">
        <v>0.72916666666666663</v>
      </c>
      <c r="D29">
        <v>332</v>
      </c>
      <c r="G29" s="7">
        <f t="shared" si="8"/>
        <v>0.72916666666666663</v>
      </c>
      <c r="H29">
        <f>IF(B29&lt;&gt;0,SUMIF($G$11:$G29,"&gt;"&amp;$G29-1/24,B$11:B29),0)</f>
        <v>0</v>
      </c>
      <c r="I29">
        <f>IF(C29&lt;&gt;0,SUMIF($G$11:$G29,"&gt;"&amp;$G29-1/24,C$11:C29),0)</f>
        <v>0</v>
      </c>
      <c r="J29">
        <f>IF(D29&lt;&gt;0,SUMIF($G$11:$G29,"&gt;"&amp;$G29-1/24,D$11:D29),0)</f>
        <v>1382</v>
      </c>
      <c r="K29">
        <f>IF(E29&lt;&gt;0,SUMIF($G$11:$G29,"&gt;"&amp;$G29-1/24,E$11:E29),0)</f>
        <v>0</v>
      </c>
      <c r="L29">
        <f t="shared" si="4"/>
        <v>0</v>
      </c>
      <c r="N29" t="str">
        <f t="shared" si="5"/>
        <v>PM</v>
      </c>
      <c r="O29" s="7">
        <f t="shared" si="2"/>
        <v>0.72916666666666663</v>
      </c>
      <c r="P29">
        <f t="shared" si="6"/>
        <v>332</v>
      </c>
      <c r="Q29">
        <f t="shared" si="7"/>
        <v>0</v>
      </c>
    </row>
    <row r="30" spans="1:21" x14ac:dyDescent="0.25">
      <c r="A30" s="9">
        <v>0.73958333333333337</v>
      </c>
      <c r="D30">
        <v>304</v>
      </c>
      <c r="G30" s="7">
        <f t="shared" si="8"/>
        <v>0.73958333333333337</v>
      </c>
      <c r="H30">
        <f>IF(B30&lt;&gt;0,SUMIF($G$11:$G30,"&gt;"&amp;$G30-1/24,B$11:B30),0)</f>
        <v>0</v>
      </c>
      <c r="I30">
        <f>IF(C30&lt;&gt;0,SUMIF($G$11:$G30,"&gt;"&amp;$G30-1/24,C$11:C30),0)</f>
        <v>0</v>
      </c>
      <c r="J30">
        <f>IF(D30&lt;&gt;0,SUMIF($G$11:$G30,"&gt;"&amp;$G30-1/24,D$11:D30),0)</f>
        <v>1331</v>
      </c>
      <c r="K30">
        <f>IF(E30&lt;&gt;0,SUMIF($G$11:$G30,"&gt;"&amp;$G30-1/24,E$11:E30),0)</f>
        <v>0</v>
      </c>
      <c r="L30">
        <f t="shared" si="4"/>
        <v>0</v>
      </c>
      <c r="N30" t="str">
        <f t="shared" si="5"/>
        <v>PM</v>
      </c>
      <c r="O30" s="7">
        <f t="shared" si="2"/>
        <v>0.73958333333333337</v>
      </c>
      <c r="P30">
        <f t="shared" si="6"/>
        <v>304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277</v>
      </c>
      <c r="E5" t="str">
        <f>"Vehicle Count by Exit Leg for "&amp;C2&amp;" Period"</f>
        <v>Vehicle Count by Exit Leg for AM Period</v>
      </c>
    </row>
    <row r="6" spans="2:5" x14ac:dyDescent="0.25">
      <c r="B6" s="9">
        <v>0.30208333333333331</v>
      </c>
      <c r="C6">
        <v>371</v>
      </c>
    </row>
    <row r="7" spans="2:5" x14ac:dyDescent="0.25">
      <c r="B7" s="9">
        <v>0.3125</v>
      </c>
      <c r="C7">
        <v>387</v>
      </c>
    </row>
    <row r="8" spans="2:5" x14ac:dyDescent="0.25">
      <c r="B8" s="9">
        <v>0.32291666666666669</v>
      </c>
      <c r="C8">
        <v>409</v>
      </c>
    </row>
    <row r="9" spans="2:5" x14ac:dyDescent="0.25">
      <c r="B9" s="9">
        <v>0.33333333333333331</v>
      </c>
      <c r="C9">
        <v>407</v>
      </c>
    </row>
    <row r="10" spans="2:5" x14ac:dyDescent="0.25">
      <c r="B10" s="9">
        <v>0.34375</v>
      </c>
      <c r="C10">
        <v>430</v>
      </c>
    </row>
    <row r="11" spans="2:5" x14ac:dyDescent="0.25">
      <c r="B11" s="9">
        <v>0.35416666666666669</v>
      </c>
      <c r="C11">
        <v>390</v>
      </c>
    </row>
    <row r="12" spans="2:5" x14ac:dyDescent="0.25">
      <c r="B12" s="9">
        <v>0.36458333333333331</v>
      </c>
      <c r="C12">
        <v>393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2" bestFit="1" customWidth="1"/>
    <col min="13" max="13" width="20.28515625" bestFit="1" customWidth="1"/>
    <col min="14" max="14" width="8.28515625" customWidth="1"/>
    <col min="15" max="15" width="5.5703125" customWidth="1"/>
    <col min="16" max="18" width="3.28515625" customWidth="1"/>
    <col min="19" max="19" width="11.28515625" bestFit="1" customWidth="1"/>
    <col min="20" max="20" width="22.140625" bestFit="1" customWidth="1"/>
    <col min="21" max="21" width="22"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97</v>
      </c>
      <c r="U25" s="16" t="s">
        <v>93</v>
      </c>
      <c r="X25" s="13"/>
    </row>
    <row r="26" spans="2:24" x14ac:dyDescent="0.25">
      <c r="B26" s="9">
        <v>0.29166666666666669</v>
      </c>
      <c r="C26" s="16">
        <v>277</v>
      </c>
      <c r="J26" s="9">
        <v>0.29166666666666669</v>
      </c>
      <c r="K26" s="16">
        <v>245</v>
      </c>
      <c r="L26" s="16">
        <v>3</v>
      </c>
      <c r="M26" s="16">
        <v>29</v>
      </c>
      <c r="S26" s="9">
        <v>0.29166666666666669</v>
      </c>
      <c r="T26" s="16">
        <v>276</v>
      </c>
      <c r="U26" s="16">
        <v>1</v>
      </c>
    </row>
    <row r="27" spans="2:24" x14ac:dyDescent="0.25">
      <c r="B27" s="9">
        <v>0.30208333333333331</v>
      </c>
      <c r="C27" s="16">
        <v>371</v>
      </c>
      <c r="J27" s="9">
        <v>0.30208333333333331</v>
      </c>
      <c r="K27" s="16">
        <v>314</v>
      </c>
      <c r="L27" s="16">
        <v>3</v>
      </c>
      <c r="M27" s="16">
        <v>54</v>
      </c>
      <c r="S27" s="9">
        <v>0.30208333333333331</v>
      </c>
      <c r="T27" s="16">
        <v>367</v>
      </c>
      <c r="U27" s="16">
        <v>4</v>
      </c>
    </row>
    <row r="28" spans="2:24" x14ac:dyDescent="0.25">
      <c r="B28" s="9">
        <v>0.3125</v>
      </c>
      <c r="C28" s="16">
        <v>387</v>
      </c>
      <c r="J28" s="9">
        <v>0.3125</v>
      </c>
      <c r="K28" s="16">
        <v>318</v>
      </c>
      <c r="L28" s="16">
        <v>8</v>
      </c>
      <c r="M28" s="16">
        <v>61</v>
      </c>
      <c r="S28" s="9">
        <v>0.3125</v>
      </c>
      <c r="T28" s="16">
        <v>384</v>
      </c>
      <c r="U28" s="16">
        <v>3</v>
      </c>
    </row>
    <row r="29" spans="2:24" x14ac:dyDescent="0.25">
      <c r="B29" s="9">
        <v>0.32291666666666669</v>
      </c>
      <c r="C29" s="16">
        <v>409</v>
      </c>
      <c r="J29" s="9">
        <v>0.32291666666666669</v>
      </c>
      <c r="K29" s="16">
        <v>321</v>
      </c>
      <c r="L29" s="16">
        <v>11</v>
      </c>
      <c r="M29" s="16">
        <v>77</v>
      </c>
      <c r="S29" s="9">
        <v>0.32291666666666669</v>
      </c>
      <c r="T29" s="16">
        <v>403</v>
      </c>
      <c r="U29" s="16">
        <v>6</v>
      </c>
    </row>
    <row r="30" spans="2:24" x14ac:dyDescent="0.25">
      <c r="B30" s="9">
        <v>0.33333333333333331</v>
      </c>
      <c r="C30" s="16">
        <v>407</v>
      </c>
      <c r="J30" s="9">
        <v>0.33333333333333331</v>
      </c>
      <c r="K30" s="16">
        <v>330</v>
      </c>
      <c r="L30" s="16">
        <v>3</v>
      </c>
      <c r="M30" s="16">
        <v>74</v>
      </c>
      <c r="S30" s="9">
        <v>0.33333333333333331</v>
      </c>
      <c r="T30" s="16">
        <v>403</v>
      </c>
      <c r="U30" s="16">
        <v>4</v>
      </c>
    </row>
    <row r="31" spans="2:24" x14ac:dyDescent="0.25">
      <c r="B31" s="9">
        <v>0.34375</v>
      </c>
      <c r="C31" s="16">
        <v>430</v>
      </c>
      <c r="J31" s="9">
        <v>0.34375</v>
      </c>
      <c r="K31" s="16">
        <v>316</v>
      </c>
      <c r="L31" s="16">
        <v>11</v>
      </c>
      <c r="M31" s="16">
        <v>103</v>
      </c>
      <c r="S31" s="9">
        <v>0.34375</v>
      </c>
      <c r="T31" s="16">
        <v>402</v>
      </c>
      <c r="U31" s="16">
        <v>28</v>
      </c>
    </row>
    <row r="32" spans="2:24" x14ac:dyDescent="0.25">
      <c r="B32" s="9">
        <v>0.35416666666666669</v>
      </c>
      <c r="C32" s="16">
        <v>390</v>
      </c>
      <c r="J32" s="9">
        <v>0.35416666666666669</v>
      </c>
      <c r="K32" s="16">
        <v>295</v>
      </c>
      <c r="L32" s="16">
        <v>4</v>
      </c>
      <c r="M32" s="16">
        <v>91</v>
      </c>
      <c r="S32" s="9">
        <v>0.35416666666666669</v>
      </c>
      <c r="T32" s="16">
        <v>380</v>
      </c>
      <c r="U32" s="16">
        <v>10</v>
      </c>
    </row>
    <row r="33" spans="2:21" x14ac:dyDescent="0.25">
      <c r="B33" s="9">
        <v>0.36458333333333331</v>
      </c>
      <c r="C33" s="16">
        <v>393</v>
      </c>
      <c r="J33" s="9">
        <v>0.36458333333333331</v>
      </c>
      <c r="K33" s="16">
        <v>303</v>
      </c>
      <c r="L33" s="16">
        <v>0</v>
      </c>
      <c r="M33" s="16">
        <v>90</v>
      </c>
      <c r="S33" s="9">
        <v>0.36458333333333331</v>
      </c>
      <c r="T33" s="16">
        <v>381</v>
      </c>
      <c r="U33" s="16">
        <v>12</v>
      </c>
    </row>
    <row r="34" spans="2:21" x14ac:dyDescent="0.25">
      <c r="B34" s="9" t="s">
        <v>49</v>
      </c>
      <c r="C34" s="16">
        <v>3064</v>
      </c>
      <c r="J34" s="9" t="s">
        <v>49</v>
      </c>
      <c r="K34" s="16">
        <v>2442</v>
      </c>
      <c r="L34" s="16">
        <v>43</v>
      </c>
      <c r="M34" s="16">
        <v>579</v>
      </c>
      <c r="S34" s="9" t="s">
        <v>49</v>
      </c>
      <c r="T34" s="16">
        <v>2996</v>
      </c>
      <c r="U34" s="16">
        <v>68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0"/>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1636 vehicles between 07:45 and 08:45</v>
      </c>
    </row>
    <row r="5" spans="2:2" x14ac:dyDescent="0.25">
      <c r="B5" s="6" t="str">
        <f>PeakCalc!I8</f>
        <v>The peak hour for INT is 1025 vehicles between 13:00 and 14:00</v>
      </c>
    </row>
    <row r="6" spans="2:2" x14ac:dyDescent="0.25">
      <c r="B6" s="6" t="str">
        <f>PeakCalc!J8</f>
        <v>The peak hour for PM is 1418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110</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1204</v>
      </c>
      <c r="D32">
        <v>30</v>
      </c>
      <c r="E32">
        <v>28</v>
      </c>
      <c r="F32">
        <v>1262</v>
      </c>
      <c r="G32">
        <v>849</v>
      </c>
      <c r="H32">
        <v>6</v>
      </c>
      <c r="I32">
        <v>5</v>
      </c>
      <c r="J32">
        <v>860</v>
      </c>
      <c r="K32">
        <v>677</v>
      </c>
      <c r="L32">
        <v>27</v>
      </c>
      <c r="M32">
        <v>2</v>
      </c>
      <c r="N32">
        <v>706</v>
      </c>
    </row>
    <row r="33" spans="2:14" x14ac:dyDescent="0.25">
      <c r="B33" s="14" t="s">
        <v>95</v>
      </c>
      <c r="C33">
        <v>11</v>
      </c>
      <c r="D33">
        <v>0</v>
      </c>
      <c r="E33">
        <v>1</v>
      </c>
      <c r="F33">
        <v>12</v>
      </c>
      <c r="G33">
        <v>19</v>
      </c>
      <c r="H33">
        <v>0</v>
      </c>
      <c r="I33">
        <v>0</v>
      </c>
      <c r="J33">
        <v>19</v>
      </c>
      <c r="K33">
        <v>10</v>
      </c>
      <c r="L33">
        <v>0</v>
      </c>
      <c r="M33">
        <v>0</v>
      </c>
      <c r="N33">
        <v>10</v>
      </c>
    </row>
    <row r="34" spans="2:14" x14ac:dyDescent="0.25">
      <c r="B34" s="14" t="s">
        <v>96</v>
      </c>
      <c r="C34">
        <v>1193</v>
      </c>
      <c r="D34">
        <v>30</v>
      </c>
      <c r="E34">
        <v>27</v>
      </c>
      <c r="F34">
        <v>1250</v>
      </c>
      <c r="G34">
        <v>830</v>
      </c>
      <c r="H34">
        <v>6</v>
      </c>
      <c r="I34">
        <v>5</v>
      </c>
      <c r="J34">
        <v>841</v>
      </c>
      <c r="K34">
        <v>667</v>
      </c>
      <c r="L34">
        <v>27</v>
      </c>
      <c r="M34">
        <v>2</v>
      </c>
      <c r="N34">
        <v>696</v>
      </c>
    </row>
    <row r="35" spans="2:14" x14ac:dyDescent="0.25">
      <c r="B35" s="10" t="s">
        <v>93</v>
      </c>
      <c r="C35">
        <v>9</v>
      </c>
      <c r="D35">
        <v>0</v>
      </c>
      <c r="E35">
        <v>20</v>
      </c>
      <c r="F35">
        <v>29</v>
      </c>
      <c r="G35">
        <v>11</v>
      </c>
      <c r="H35">
        <v>0</v>
      </c>
      <c r="I35">
        <v>1</v>
      </c>
      <c r="J35">
        <v>12</v>
      </c>
      <c r="K35">
        <v>12</v>
      </c>
      <c r="L35">
        <v>0</v>
      </c>
      <c r="M35">
        <v>0</v>
      </c>
      <c r="N35">
        <v>12</v>
      </c>
    </row>
    <row r="36" spans="2:14" x14ac:dyDescent="0.25">
      <c r="B36" s="14" t="s">
        <v>98</v>
      </c>
      <c r="C36">
        <v>9</v>
      </c>
      <c r="D36">
        <v>0</v>
      </c>
      <c r="E36">
        <v>20</v>
      </c>
      <c r="F36">
        <v>29</v>
      </c>
      <c r="G36">
        <v>11</v>
      </c>
      <c r="H36">
        <v>0</v>
      </c>
      <c r="I36">
        <v>1</v>
      </c>
      <c r="J36">
        <v>12</v>
      </c>
      <c r="K36">
        <v>12</v>
      </c>
      <c r="L36">
        <v>0</v>
      </c>
      <c r="M36">
        <v>0</v>
      </c>
      <c r="N36">
        <v>12</v>
      </c>
    </row>
    <row r="37" spans="2:14" x14ac:dyDescent="0.25">
      <c r="B37" s="10" t="s">
        <v>94</v>
      </c>
      <c r="C37">
        <v>314</v>
      </c>
      <c r="D37">
        <v>8</v>
      </c>
      <c r="E37">
        <v>23</v>
      </c>
      <c r="F37">
        <v>345</v>
      </c>
      <c r="G37">
        <v>524</v>
      </c>
      <c r="H37">
        <v>5</v>
      </c>
      <c r="I37">
        <v>17</v>
      </c>
      <c r="J37">
        <v>546</v>
      </c>
      <c r="K37">
        <v>301</v>
      </c>
      <c r="L37">
        <v>2</v>
      </c>
      <c r="M37">
        <v>4</v>
      </c>
      <c r="N37">
        <v>307</v>
      </c>
    </row>
    <row r="38" spans="2:14" x14ac:dyDescent="0.25">
      <c r="B38" s="14" t="s">
        <v>99</v>
      </c>
      <c r="C38">
        <v>15</v>
      </c>
      <c r="D38">
        <v>0</v>
      </c>
      <c r="E38">
        <v>21</v>
      </c>
      <c r="F38">
        <v>36</v>
      </c>
      <c r="G38">
        <v>35</v>
      </c>
      <c r="H38">
        <v>0</v>
      </c>
      <c r="I38">
        <v>7</v>
      </c>
      <c r="J38">
        <v>42</v>
      </c>
      <c r="K38">
        <v>19</v>
      </c>
      <c r="L38">
        <v>0</v>
      </c>
      <c r="M38">
        <v>2</v>
      </c>
      <c r="N38">
        <v>21</v>
      </c>
    </row>
    <row r="39" spans="2:14" x14ac:dyDescent="0.25">
      <c r="B39" s="14" t="s">
        <v>100</v>
      </c>
      <c r="C39">
        <v>299</v>
      </c>
      <c r="D39">
        <v>8</v>
      </c>
      <c r="E39">
        <v>2</v>
      </c>
      <c r="F39">
        <v>309</v>
      </c>
      <c r="G39">
        <v>489</v>
      </c>
      <c r="H39">
        <v>5</v>
      </c>
      <c r="I39">
        <v>10</v>
      </c>
      <c r="J39">
        <v>504</v>
      </c>
      <c r="K39">
        <v>282</v>
      </c>
      <c r="L39">
        <v>2</v>
      </c>
      <c r="M39">
        <v>2</v>
      </c>
      <c r="N39">
        <v>286</v>
      </c>
    </row>
    <row r="40" spans="2:14" x14ac:dyDescent="0.25">
      <c r="B40" s="10" t="s">
        <v>49</v>
      </c>
      <c r="C40">
        <v>1527</v>
      </c>
      <c r="D40">
        <v>38</v>
      </c>
      <c r="E40">
        <v>71</v>
      </c>
      <c r="F40">
        <v>1636</v>
      </c>
      <c r="G40">
        <v>1384</v>
      </c>
      <c r="H40">
        <v>11</v>
      </c>
      <c r="I40">
        <v>23</v>
      </c>
      <c r="J40">
        <v>1418</v>
      </c>
      <c r="K40">
        <v>990</v>
      </c>
      <c r="L40">
        <v>29</v>
      </c>
      <c r="M40">
        <v>6</v>
      </c>
      <c r="N40">
        <v>1025</v>
      </c>
    </row>
  </sheetData>
  <mergeCells count="6">
    <mergeCell ref="G30:I30"/>
    <mergeCell ref="J30:J31"/>
    <mergeCell ref="K30:M30"/>
    <mergeCell ref="N30:N31"/>
    <mergeCell ref="C30:E30"/>
    <mergeCell ref="F30:F31"/>
  </mergeCells>
  <conditionalFormatting pivot="1" sqref="C32:N4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9BDE7-E448-40B7-BB01-65145CD96B6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111</v>
      </c>
      <c r="B6" s="62"/>
      <c r="C6" s="61" t="s">
        <v>111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111</v>
      </c>
      <c r="B7" s="62"/>
      <c r="C7" s="61" t="s">
        <v>111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111</v>
      </c>
      <c r="B8" s="62"/>
      <c r="C8" s="61" t="s">
        <v>111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111</v>
      </c>
      <c r="B9" s="62"/>
      <c r="C9" s="61" t="s">
        <v>111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154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111</v>
      </c>
      <c r="B12" s="60" t="s">
        <v>152</v>
      </c>
      <c r="C12" s="59"/>
      <c r="D12" s="59"/>
      <c r="E12" s="59"/>
      <c r="F12" s="59"/>
      <c r="G12" s="59"/>
      <c r="H12" s="59"/>
      <c r="I12" s="58"/>
      <c r="J12" s="60" t="s">
        <v>150</v>
      </c>
      <c r="K12" s="59"/>
      <c r="L12" s="59"/>
      <c r="M12" s="59"/>
      <c r="N12" s="59"/>
      <c r="O12" s="59"/>
      <c r="P12" s="59"/>
      <c r="Q12" s="58"/>
      <c r="R12" s="60" t="s">
        <v>153</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111</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111</v>
      </c>
      <c r="C15" s="53">
        <v>1</v>
      </c>
      <c r="D15" s="53" t="s">
        <v>111</v>
      </c>
      <c r="E15" s="53">
        <v>235</v>
      </c>
      <c r="F15" s="53" t="s">
        <v>111</v>
      </c>
      <c r="G15" s="53" t="s">
        <v>111</v>
      </c>
      <c r="H15" s="53" t="s">
        <v>111</v>
      </c>
      <c r="I15" s="53" t="s">
        <v>111</v>
      </c>
      <c r="J15" s="53" t="s">
        <v>111</v>
      </c>
      <c r="K15" s="53" t="s">
        <v>111</v>
      </c>
      <c r="L15" s="53" t="s">
        <v>111</v>
      </c>
      <c r="M15" s="53" t="s">
        <v>111</v>
      </c>
      <c r="N15" s="53" t="s">
        <v>111</v>
      </c>
      <c r="O15" s="53" t="s">
        <v>111</v>
      </c>
      <c r="P15" s="53" t="s">
        <v>111</v>
      </c>
      <c r="Q15" s="53" t="s">
        <v>111</v>
      </c>
      <c r="R15" s="53" t="s">
        <v>111</v>
      </c>
      <c r="S15" s="53">
        <v>1</v>
      </c>
      <c r="T15" s="53" t="s">
        <v>111</v>
      </c>
      <c r="U15" s="53" t="s">
        <v>111</v>
      </c>
      <c r="V15" s="53" t="s">
        <v>111</v>
      </c>
      <c r="W15" s="53" t="s">
        <v>111</v>
      </c>
      <c r="X15" s="53" t="s">
        <v>111</v>
      </c>
      <c r="Y15" s="53">
        <v>0</v>
      </c>
      <c r="Z15" s="53" t="s">
        <v>111</v>
      </c>
      <c r="AA15" s="53" t="s">
        <v>111</v>
      </c>
      <c r="AB15" s="53" t="s">
        <v>111</v>
      </c>
      <c r="AC15" s="53" t="s">
        <v>111</v>
      </c>
      <c r="AD15" s="53" t="s">
        <v>111</v>
      </c>
      <c r="AE15" s="53" t="s">
        <v>111</v>
      </c>
      <c r="AF15" s="53" t="s">
        <v>111</v>
      </c>
      <c r="AG15" s="53" t="s">
        <v>111</v>
      </c>
      <c r="AH15" s="53" t="s">
        <v>111</v>
      </c>
      <c r="AI15" s="53" t="s">
        <v>111</v>
      </c>
      <c r="AJ15" s="53" t="s">
        <v>111</v>
      </c>
      <c r="AK15" s="53" t="s">
        <v>111</v>
      </c>
      <c r="AL15" s="53" t="s">
        <v>111</v>
      </c>
      <c r="AM15" s="53" t="s">
        <v>111</v>
      </c>
      <c r="AN15" s="53" t="s">
        <v>111</v>
      </c>
      <c r="AO15" s="53" t="s">
        <v>111</v>
      </c>
      <c r="AP15" s="53" t="s">
        <v>111</v>
      </c>
      <c r="AQ15" s="53" t="s">
        <v>111</v>
      </c>
      <c r="AR15" s="53" t="s">
        <v>111</v>
      </c>
      <c r="AS15" s="53" t="s">
        <v>111</v>
      </c>
      <c r="AT15" s="53" t="s">
        <v>111</v>
      </c>
      <c r="AU15" s="53" t="s">
        <v>111</v>
      </c>
      <c r="AV15" s="53" t="s">
        <v>111</v>
      </c>
      <c r="AW15" s="53" t="s">
        <v>111</v>
      </c>
      <c r="AX15" s="53" t="s">
        <v>111</v>
      </c>
      <c r="AY15" s="53" t="s">
        <v>111</v>
      </c>
      <c r="AZ15" s="53" t="s">
        <v>111</v>
      </c>
      <c r="BA15" s="53">
        <v>0</v>
      </c>
      <c r="BB15" s="53" t="s">
        <v>111</v>
      </c>
      <c r="BC15" s="53">
        <v>27</v>
      </c>
      <c r="BD15" s="53" t="s">
        <v>111</v>
      </c>
      <c r="BE15" s="53" t="s">
        <v>111</v>
      </c>
      <c r="BF15" s="53" t="s">
        <v>111</v>
      </c>
      <c r="BG15" s="53" t="s">
        <v>111</v>
      </c>
      <c r="BH15" s="53" t="s">
        <v>111</v>
      </c>
      <c r="BI15" s="53" t="s">
        <v>111</v>
      </c>
      <c r="BJ15" s="53" t="s">
        <v>111</v>
      </c>
      <c r="BK15" s="53" t="s">
        <v>111</v>
      </c>
      <c r="BL15" s="53" t="s">
        <v>111</v>
      </c>
      <c r="BM15" s="53" t="s">
        <v>111</v>
      </c>
    </row>
    <row r="16" spans="1:65" ht="15" customHeight="1" x14ac:dyDescent="0.2">
      <c r="A16" s="53" t="s">
        <v>132</v>
      </c>
      <c r="B16" s="53" t="s">
        <v>111</v>
      </c>
      <c r="C16" s="53">
        <v>0</v>
      </c>
      <c r="D16" s="53" t="s">
        <v>111</v>
      </c>
      <c r="E16" s="53">
        <v>298</v>
      </c>
      <c r="F16" s="53" t="s">
        <v>111</v>
      </c>
      <c r="G16" s="53" t="s">
        <v>111</v>
      </c>
      <c r="H16" s="53" t="s">
        <v>111</v>
      </c>
      <c r="I16" s="53" t="s">
        <v>111</v>
      </c>
      <c r="J16" s="53" t="s">
        <v>111</v>
      </c>
      <c r="K16" s="53" t="s">
        <v>111</v>
      </c>
      <c r="L16" s="53" t="s">
        <v>111</v>
      </c>
      <c r="M16" s="53" t="s">
        <v>111</v>
      </c>
      <c r="N16" s="53" t="s">
        <v>111</v>
      </c>
      <c r="O16" s="53" t="s">
        <v>111</v>
      </c>
      <c r="P16" s="53" t="s">
        <v>111</v>
      </c>
      <c r="Q16" s="53" t="s">
        <v>111</v>
      </c>
      <c r="R16" s="53" t="s">
        <v>111</v>
      </c>
      <c r="S16" s="53">
        <v>1</v>
      </c>
      <c r="T16" s="53" t="s">
        <v>111</v>
      </c>
      <c r="U16" s="53" t="s">
        <v>111</v>
      </c>
      <c r="V16" s="53" t="s">
        <v>111</v>
      </c>
      <c r="W16" s="53" t="s">
        <v>111</v>
      </c>
      <c r="X16" s="53" t="s">
        <v>111</v>
      </c>
      <c r="Y16" s="53">
        <v>0</v>
      </c>
      <c r="Z16" s="53" t="s">
        <v>111</v>
      </c>
      <c r="AA16" s="53" t="s">
        <v>111</v>
      </c>
      <c r="AB16" s="53" t="s">
        <v>111</v>
      </c>
      <c r="AC16" s="53" t="s">
        <v>111</v>
      </c>
      <c r="AD16" s="53" t="s">
        <v>111</v>
      </c>
      <c r="AE16" s="53" t="s">
        <v>111</v>
      </c>
      <c r="AF16" s="53" t="s">
        <v>111</v>
      </c>
      <c r="AG16" s="53" t="s">
        <v>111</v>
      </c>
      <c r="AH16" s="53" t="s">
        <v>111</v>
      </c>
      <c r="AI16" s="53" t="s">
        <v>111</v>
      </c>
      <c r="AJ16" s="53" t="s">
        <v>111</v>
      </c>
      <c r="AK16" s="53" t="s">
        <v>111</v>
      </c>
      <c r="AL16" s="53" t="s">
        <v>111</v>
      </c>
      <c r="AM16" s="53" t="s">
        <v>111</v>
      </c>
      <c r="AN16" s="53" t="s">
        <v>111</v>
      </c>
      <c r="AO16" s="53" t="s">
        <v>111</v>
      </c>
      <c r="AP16" s="53" t="s">
        <v>111</v>
      </c>
      <c r="AQ16" s="53" t="s">
        <v>111</v>
      </c>
      <c r="AR16" s="53" t="s">
        <v>111</v>
      </c>
      <c r="AS16" s="53" t="s">
        <v>111</v>
      </c>
      <c r="AT16" s="53" t="s">
        <v>111</v>
      </c>
      <c r="AU16" s="53" t="s">
        <v>111</v>
      </c>
      <c r="AV16" s="53" t="s">
        <v>111</v>
      </c>
      <c r="AW16" s="53" t="s">
        <v>111</v>
      </c>
      <c r="AX16" s="53" t="s">
        <v>111</v>
      </c>
      <c r="AY16" s="53" t="s">
        <v>111</v>
      </c>
      <c r="AZ16" s="53" t="s">
        <v>111</v>
      </c>
      <c r="BA16" s="53">
        <v>4</v>
      </c>
      <c r="BB16" s="53" t="s">
        <v>111</v>
      </c>
      <c r="BC16" s="53">
        <v>49</v>
      </c>
      <c r="BD16" s="53" t="s">
        <v>111</v>
      </c>
      <c r="BE16" s="53" t="s">
        <v>111</v>
      </c>
      <c r="BF16" s="53" t="s">
        <v>111</v>
      </c>
      <c r="BG16" s="53" t="s">
        <v>111</v>
      </c>
      <c r="BH16" s="53" t="s">
        <v>111</v>
      </c>
      <c r="BI16" s="53" t="s">
        <v>111</v>
      </c>
      <c r="BJ16" s="53" t="s">
        <v>111</v>
      </c>
      <c r="BK16" s="53" t="s">
        <v>111</v>
      </c>
      <c r="BL16" s="53" t="s">
        <v>111</v>
      </c>
      <c r="BM16" s="53" t="s">
        <v>111</v>
      </c>
    </row>
    <row r="17" spans="1:65" ht="15" customHeight="1" x14ac:dyDescent="0.2">
      <c r="A17" s="53" t="s">
        <v>131</v>
      </c>
      <c r="B17" s="53" t="s">
        <v>111</v>
      </c>
      <c r="C17" s="53">
        <v>1</v>
      </c>
      <c r="D17" s="53" t="s">
        <v>111</v>
      </c>
      <c r="E17" s="53">
        <v>304</v>
      </c>
      <c r="F17" s="53" t="s">
        <v>111</v>
      </c>
      <c r="G17" s="53" t="s">
        <v>111</v>
      </c>
      <c r="H17" s="53" t="s">
        <v>111</v>
      </c>
      <c r="I17" s="53" t="s">
        <v>111</v>
      </c>
      <c r="J17" s="53" t="s">
        <v>111</v>
      </c>
      <c r="K17" s="53" t="s">
        <v>111</v>
      </c>
      <c r="L17" s="53" t="s">
        <v>111</v>
      </c>
      <c r="M17" s="53" t="s">
        <v>111</v>
      </c>
      <c r="N17" s="53" t="s">
        <v>111</v>
      </c>
      <c r="O17" s="53" t="s">
        <v>111</v>
      </c>
      <c r="P17" s="53" t="s">
        <v>111</v>
      </c>
      <c r="Q17" s="53" t="s">
        <v>111</v>
      </c>
      <c r="R17" s="53" t="s">
        <v>111</v>
      </c>
      <c r="S17" s="53">
        <v>3</v>
      </c>
      <c r="T17" s="53" t="s">
        <v>111</v>
      </c>
      <c r="U17" s="53" t="s">
        <v>111</v>
      </c>
      <c r="V17" s="53" t="s">
        <v>111</v>
      </c>
      <c r="W17" s="53" t="s">
        <v>111</v>
      </c>
      <c r="X17" s="53" t="s">
        <v>111</v>
      </c>
      <c r="Y17" s="53">
        <v>0</v>
      </c>
      <c r="Z17" s="53" t="s">
        <v>111</v>
      </c>
      <c r="AA17" s="53" t="s">
        <v>111</v>
      </c>
      <c r="AB17" s="53" t="s">
        <v>111</v>
      </c>
      <c r="AC17" s="53" t="s">
        <v>111</v>
      </c>
      <c r="AD17" s="53" t="s">
        <v>111</v>
      </c>
      <c r="AE17" s="53" t="s">
        <v>111</v>
      </c>
      <c r="AF17" s="53" t="s">
        <v>111</v>
      </c>
      <c r="AG17" s="53" t="s">
        <v>111</v>
      </c>
      <c r="AH17" s="53" t="s">
        <v>111</v>
      </c>
      <c r="AI17" s="53" t="s">
        <v>111</v>
      </c>
      <c r="AJ17" s="53" t="s">
        <v>111</v>
      </c>
      <c r="AK17" s="53" t="s">
        <v>111</v>
      </c>
      <c r="AL17" s="53" t="s">
        <v>111</v>
      </c>
      <c r="AM17" s="53" t="s">
        <v>111</v>
      </c>
      <c r="AN17" s="53" t="s">
        <v>111</v>
      </c>
      <c r="AO17" s="53" t="s">
        <v>111</v>
      </c>
      <c r="AP17" s="53" t="s">
        <v>111</v>
      </c>
      <c r="AQ17" s="53" t="s">
        <v>111</v>
      </c>
      <c r="AR17" s="53" t="s">
        <v>111</v>
      </c>
      <c r="AS17" s="53" t="s">
        <v>111</v>
      </c>
      <c r="AT17" s="53" t="s">
        <v>111</v>
      </c>
      <c r="AU17" s="53" t="s">
        <v>111</v>
      </c>
      <c r="AV17" s="53" t="s">
        <v>111</v>
      </c>
      <c r="AW17" s="53" t="s">
        <v>111</v>
      </c>
      <c r="AX17" s="53" t="s">
        <v>111</v>
      </c>
      <c r="AY17" s="53" t="s">
        <v>111</v>
      </c>
      <c r="AZ17" s="53" t="s">
        <v>111</v>
      </c>
      <c r="BA17" s="53">
        <v>1</v>
      </c>
      <c r="BB17" s="53" t="s">
        <v>111</v>
      </c>
      <c r="BC17" s="53">
        <v>58</v>
      </c>
      <c r="BD17" s="53" t="s">
        <v>111</v>
      </c>
      <c r="BE17" s="53" t="s">
        <v>111</v>
      </c>
      <c r="BF17" s="53" t="s">
        <v>111</v>
      </c>
      <c r="BG17" s="53" t="s">
        <v>111</v>
      </c>
      <c r="BH17" s="53" t="s">
        <v>111</v>
      </c>
      <c r="BI17" s="53" t="s">
        <v>111</v>
      </c>
      <c r="BJ17" s="53" t="s">
        <v>111</v>
      </c>
      <c r="BK17" s="53" t="s">
        <v>111</v>
      </c>
      <c r="BL17" s="53" t="s">
        <v>111</v>
      </c>
      <c r="BM17" s="53" t="s">
        <v>111</v>
      </c>
    </row>
    <row r="18" spans="1:65" ht="15" customHeight="1" x14ac:dyDescent="0.2">
      <c r="A18" s="53" t="s">
        <v>130</v>
      </c>
      <c r="B18" s="53" t="s">
        <v>111</v>
      </c>
      <c r="C18" s="53">
        <v>2</v>
      </c>
      <c r="D18" s="53" t="s">
        <v>111</v>
      </c>
      <c r="E18" s="53">
        <v>301</v>
      </c>
      <c r="F18" s="53" t="s">
        <v>111</v>
      </c>
      <c r="G18" s="53" t="s">
        <v>111</v>
      </c>
      <c r="H18" s="53" t="s">
        <v>111</v>
      </c>
      <c r="I18" s="53" t="s">
        <v>111</v>
      </c>
      <c r="J18" s="53" t="s">
        <v>111</v>
      </c>
      <c r="K18" s="53" t="s">
        <v>111</v>
      </c>
      <c r="L18" s="53" t="s">
        <v>111</v>
      </c>
      <c r="M18" s="53" t="s">
        <v>111</v>
      </c>
      <c r="N18" s="53" t="s">
        <v>111</v>
      </c>
      <c r="O18" s="53" t="s">
        <v>111</v>
      </c>
      <c r="P18" s="53" t="s">
        <v>111</v>
      </c>
      <c r="Q18" s="53" t="s">
        <v>111</v>
      </c>
      <c r="R18" s="53" t="s">
        <v>111</v>
      </c>
      <c r="S18" s="53">
        <v>3</v>
      </c>
      <c r="T18" s="53" t="s">
        <v>111</v>
      </c>
      <c r="U18" s="53" t="s">
        <v>111</v>
      </c>
      <c r="V18" s="53" t="s">
        <v>111</v>
      </c>
      <c r="W18" s="53" t="s">
        <v>111</v>
      </c>
      <c r="X18" s="53" t="s">
        <v>111</v>
      </c>
      <c r="Y18" s="53">
        <v>0</v>
      </c>
      <c r="Z18" s="53" t="s">
        <v>111</v>
      </c>
      <c r="AA18" s="53" t="s">
        <v>111</v>
      </c>
      <c r="AB18" s="53" t="s">
        <v>111</v>
      </c>
      <c r="AC18" s="53" t="s">
        <v>111</v>
      </c>
      <c r="AD18" s="53" t="s">
        <v>111</v>
      </c>
      <c r="AE18" s="53" t="s">
        <v>111</v>
      </c>
      <c r="AF18" s="53" t="s">
        <v>111</v>
      </c>
      <c r="AG18" s="53" t="s">
        <v>111</v>
      </c>
      <c r="AH18" s="53" t="s">
        <v>111</v>
      </c>
      <c r="AI18" s="53" t="s">
        <v>111</v>
      </c>
      <c r="AJ18" s="53" t="s">
        <v>111</v>
      </c>
      <c r="AK18" s="53" t="s">
        <v>111</v>
      </c>
      <c r="AL18" s="53" t="s">
        <v>111</v>
      </c>
      <c r="AM18" s="53" t="s">
        <v>111</v>
      </c>
      <c r="AN18" s="53" t="s">
        <v>111</v>
      </c>
      <c r="AO18" s="53" t="s">
        <v>111</v>
      </c>
      <c r="AP18" s="53" t="s">
        <v>111</v>
      </c>
      <c r="AQ18" s="53" t="s">
        <v>111</v>
      </c>
      <c r="AR18" s="53" t="s">
        <v>111</v>
      </c>
      <c r="AS18" s="53" t="s">
        <v>111</v>
      </c>
      <c r="AT18" s="53" t="s">
        <v>111</v>
      </c>
      <c r="AU18" s="53" t="s">
        <v>111</v>
      </c>
      <c r="AV18" s="53" t="s">
        <v>111</v>
      </c>
      <c r="AW18" s="53" t="s">
        <v>111</v>
      </c>
      <c r="AX18" s="53" t="s">
        <v>111</v>
      </c>
      <c r="AY18" s="53" t="s">
        <v>111</v>
      </c>
      <c r="AZ18" s="53" t="s">
        <v>111</v>
      </c>
      <c r="BA18" s="53">
        <v>4</v>
      </c>
      <c r="BB18" s="53" t="s">
        <v>111</v>
      </c>
      <c r="BC18" s="53">
        <v>68</v>
      </c>
      <c r="BD18" s="53" t="s">
        <v>111</v>
      </c>
      <c r="BE18" s="53" t="s">
        <v>111</v>
      </c>
      <c r="BF18" s="53" t="s">
        <v>111</v>
      </c>
      <c r="BG18" s="53" t="s">
        <v>111</v>
      </c>
      <c r="BH18" s="53" t="s">
        <v>111</v>
      </c>
      <c r="BI18" s="53" t="s">
        <v>111</v>
      </c>
      <c r="BJ18" s="53" t="s">
        <v>111</v>
      </c>
      <c r="BK18" s="53" t="s">
        <v>111</v>
      </c>
      <c r="BL18" s="53" t="s">
        <v>111</v>
      </c>
      <c r="BM18" s="53" t="s">
        <v>111</v>
      </c>
    </row>
    <row r="19" spans="1:65" ht="15" customHeight="1" x14ac:dyDescent="0.2">
      <c r="A19" s="53" t="s">
        <v>129</v>
      </c>
      <c r="B19" s="53" t="s">
        <v>111</v>
      </c>
      <c r="C19" s="53">
        <v>1</v>
      </c>
      <c r="D19" s="53" t="s">
        <v>111</v>
      </c>
      <c r="E19" s="53">
        <v>317</v>
      </c>
      <c r="F19" s="53" t="s">
        <v>111</v>
      </c>
      <c r="G19" s="53" t="s">
        <v>111</v>
      </c>
      <c r="H19" s="53" t="s">
        <v>111</v>
      </c>
      <c r="I19" s="53" t="s">
        <v>111</v>
      </c>
      <c r="J19" s="53" t="s">
        <v>111</v>
      </c>
      <c r="K19" s="53" t="s">
        <v>111</v>
      </c>
      <c r="L19" s="53" t="s">
        <v>111</v>
      </c>
      <c r="M19" s="53" t="s">
        <v>111</v>
      </c>
      <c r="N19" s="53" t="s">
        <v>111</v>
      </c>
      <c r="O19" s="53" t="s">
        <v>111</v>
      </c>
      <c r="P19" s="53" t="s">
        <v>111</v>
      </c>
      <c r="Q19" s="53" t="s">
        <v>111</v>
      </c>
      <c r="R19" s="53" t="s">
        <v>111</v>
      </c>
      <c r="S19" s="53">
        <v>1</v>
      </c>
      <c r="T19" s="53" t="s">
        <v>111</v>
      </c>
      <c r="U19" s="53" t="s">
        <v>111</v>
      </c>
      <c r="V19" s="53" t="s">
        <v>111</v>
      </c>
      <c r="W19" s="53" t="s">
        <v>111</v>
      </c>
      <c r="X19" s="53" t="s">
        <v>111</v>
      </c>
      <c r="Y19" s="53">
        <v>0</v>
      </c>
      <c r="Z19" s="53" t="s">
        <v>111</v>
      </c>
      <c r="AA19" s="53" t="s">
        <v>111</v>
      </c>
      <c r="AB19" s="53" t="s">
        <v>111</v>
      </c>
      <c r="AC19" s="53" t="s">
        <v>111</v>
      </c>
      <c r="AD19" s="53" t="s">
        <v>111</v>
      </c>
      <c r="AE19" s="53" t="s">
        <v>111</v>
      </c>
      <c r="AF19" s="53" t="s">
        <v>111</v>
      </c>
      <c r="AG19" s="53" t="s">
        <v>111</v>
      </c>
      <c r="AH19" s="53" t="s">
        <v>111</v>
      </c>
      <c r="AI19" s="53" t="s">
        <v>111</v>
      </c>
      <c r="AJ19" s="53" t="s">
        <v>111</v>
      </c>
      <c r="AK19" s="53" t="s">
        <v>111</v>
      </c>
      <c r="AL19" s="53" t="s">
        <v>111</v>
      </c>
      <c r="AM19" s="53" t="s">
        <v>111</v>
      </c>
      <c r="AN19" s="53" t="s">
        <v>111</v>
      </c>
      <c r="AO19" s="53" t="s">
        <v>111</v>
      </c>
      <c r="AP19" s="53" t="s">
        <v>111</v>
      </c>
      <c r="AQ19" s="53" t="s">
        <v>111</v>
      </c>
      <c r="AR19" s="53" t="s">
        <v>111</v>
      </c>
      <c r="AS19" s="53" t="s">
        <v>111</v>
      </c>
      <c r="AT19" s="53" t="s">
        <v>111</v>
      </c>
      <c r="AU19" s="53" t="s">
        <v>111</v>
      </c>
      <c r="AV19" s="53" t="s">
        <v>111</v>
      </c>
      <c r="AW19" s="53" t="s">
        <v>111</v>
      </c>
      <c r="AX19" s="53" t="s">
        <v>111</v>
      </c>
      <c r="AY19" s="53" t="s">
        <v>111</v>
      </c>
      <c r="AZ19" s="53" t="s">
        <v>111</v>
      </c>
      <c r="BA19" s="53">
        <v>2</v>
      </c>
      <c r="BB19" s="53" t="s">
        <v>111</v>
      </c>
      <c r="BC19" s="53">
        <v>68</v>
      </c>
      <c r="BD19" s="53" t="s">
        <v>111</v>
      </c>
      <c r="BE19" s="53" t="s">
        <v>111</v>
      </c>
      <c r="BF19" s="53" t="s">
        <v>111</v>
      </c>
      <c r="BG19" s="53" t="s">
        <v>111</v>
      </c>
      <c r="BH19" s="53" t="s">
        <v>111</v>
      </c>
      <c r="BI19" s="53" t="s">
        <v>111</v>
      </c>
      <c r="BJ19" s="53" t="s">
        <v>111</v>
      </c>
      <c r="BK19" s="53" t="s">
        <v>111</v>
      </c>
      <c r="BL19" s="53" t="s">
        <v>111</v>
      </c>
      <c r="BM19" s="53" t="s">
        <v>111</v>
      </c>
    </row>
    <row r="20" spans="1:65" ht="15" customHeight="1" x14ac:dyDescent="0.2">
      <c r="A20" s="53" t="s">
        <v>128</v>
      </c>
      <c r="B20" s="53" t="s">
        <v>111</v>
      </c>
      <c r="C20" s="53">
        <v>3</v>
      </c>
      <c r="D20" s="53" t="s">
        <v>111</v>
      </c>
      <c r="E20" s="53">
        <v>295</v>
      </c>
      <c r="F20" s="53" t="s">
        <v>111</v>
      </c>
      <c r="G20" s="53" t="s">
        <v>111</v>
      </c>
      <c r="H20" s="53" t="s">
        <v>111</v>
      </c>
      <c r="I20" s="53" t="s">
        <v>111</v>
      </c>
      <c r="J20" s="53" t="s">
        <v>111</v>
      </c>
      <c r="K20" s="53" t="s">
        <v>111</v>
      </c>
      <c r="L20" s="53" t="s">
        <v>111</v>
      </c>
      <c r="M20" s="53" t="s">
        <v>111</v>
      </c>
      <c r="N20" s="53" t="s">
        <v>111</v>
      </c>
      <c r="O20" s="53" t="s">
        <v>111</v>
      </c>
      <c r="P20" s="53" t="s">
        <v>111</v>
      </c>
      <c r="Q20" s="53" t="s">
        <v>111</v>
      </c>
      <c r="R20" s="53" t="s">
        <v>111</v>
      </c>
      <c r="S20" s="53">
        <v>4</v>
      </c>
      <c r="T20" s="53" t="s">
        <v>111</v>
      </c>
      <c r="U20" s="53" t="s">
        <v>111</v>
      </c>
      <c r="V20" s="53" t="s">
        <v>111</v>
      </c>
      <c r="W20" s="53" t="s">
        <v>111</v>
      </c>
      <c r="X20" s="53" t="s">
        <v>111</v>
      </c>
      <c r="Y20" s="53">
        <v>0</v>
      </c>
      <c r="Z20" s="53" t="s">
        <v>111</v>
      </c>
      <c r="AA20" s="53" t="s">
        <v>111</v>
      </c>
      <c r="AB20" s="53" t="s">
        <v>111</v>
      </c>
      <c r="AC20" s="53" t="s">
        <v>111</v>
      </c>
      <c r="AD20" s="53" t="s">
        <v>111</v>
      </c>
      <c r="AE20" s="53" t="s">
        <v>111</v>
      </c>
      <c r="AF20" s="53" t="s">
        <v>111</v>
      </c>
      <c r="AG20" s="53" t="s">
        <v>111</v>
      </c>
      <c r="AH20" s="53" t="s">
        <v>111</v>
      </c>
      <c r="AI20" s="53" t="s">
        <v>111</v>
      </c>
      <c r="AJ20" s="53" t="s">
        <v>111</v>
      </c>
      <c r="AK20" s="53" t="s">
        <v>111</v>
      </c>
      <c r="AL20" s="53" t="s">
        <v>111</v>
      </c>
      <c r="AM20" s="53" t="s">
        <v>111</v>
      </c>
      <c r="AN20" s="53" t="s">
        <v>111</v>
      </c>
      <c r="AO20" s="53" t="s">
        <v>111</v>
      </c>
      <c r="AP20" s="53" t="s">
        <v>111</v>
      </c>
      <c r="AQ20" s="53" t="s">
        <v>111</v>
      </c>
      <c r="AR20" s="53" t="s">
        <v>111</v>
      </c>
      <c r="AS20" s="53" t="s">
        <v>111</v>
      </c>
      <c r="AT20" s="53" t="s">
        <v>111</v>
      </c>
      <c r="AU20" s="53" t="s">
        <v>111</v>
      </c>
      <c r="AV20" s="53" t="s">
        <v>111</v>
      </c>
      <c r="AW20" s="53" t="s">
        <v>111</v>
      </c>
      <c r="AX20" s="53" t="s">
        <v>111</v>
      </c>
      <c r="AY20" s="53" t="s">
        <v>111</v>
      </c>
      <c r="AZ20" s="53" t="s">
        <v>111</v>
      </c>
      <c r="BA20" s="53">
        <v>5</v>
      </c>
      <c r="BB20" s="53" t="s">
        <v>111</v>
      </c>
      <c r="BC20" s="53">
        <v>77</v>
      </c>
      <c r="BD20" s="53" t="s">
        <v>111</v>
      </c>
      <c r="BE20" s="53" t="s">
        <v>111</v>
      </c>
      <c r="BF20" s="53" t="s">
        <v>111</v>
      </c>
      <c r="BG20" s="53" t="s">
        <v>111</v>
      </c>
      <c r="BH20" s="53" t="s">
        <v>111</v>
      </c>
      <c r="BI20" s="53" t="s">
        <v>111</v>
      </c>
      <c r="BJ20" s="53" t="s">
        <v>111</v>
      </c>
      <c r="BK20" s="53" t="s">
        <v>111</v>
      </c>
      <c r="BL20" s="53" t="s">
        <v>111</v>
      </c>
      <c r="BM20" s="53" t="s">
        <v>111</v>
      </c>
    </row>
    <row r="21" spans="1:65" ht="15" customHeight="1" x14ac:dyDescent="0.2">
      <c r="A21" s="53" t="s">
        <v>127</v>
      </c>
      <c r="B21" s="53" t="s">
        <v>111</v>
      </c>
      <c r="C21" s="53">
        <v>5</v>
      </c>
      <c r="D21" s="53" t="s">
        <v>111</v>
      </c>
      <c r="E21" s="53">
        <v>280</v>
      </c>
      <c r="F21" s="53" t="s">
        <v>111</v>
      </c>
      <c r="G21" s="53" t="s">
        <v>111</v>
      </c>
      <c r="H21" s="53" t="s">
        <v>111</v>
      </c>
      <c r="I21" s="53" t="s">
        <v>111</v>
      </c>
      <c r="J21" s="53" t="s">
        <v>111</v>
      </c>
      <c r="K21" s="53" t="s">
        <v>111</v>
      </c>
      <c r="L21" s="53" t="s">
        <v>111</v>
      </c>
      <c r="M21" s="53" t="s">
        <v>111</v>
      </c>
      <c r="N21" s="53" t="s">
        <v>111</v>
      </c>
      <c r="O21" s="53" t="s">
        <v>111</v>
      </c>
      <c r="P21" s="53" t="s">
        <v>111</v>
      </c>
      <c r="Q21" s="53" t="s">
        <v>111</v>
      </c>
      <c r="R21" s="53" t="s">
        <v>111</v>
      </c>
      <c r="S21" s="53">
        <v>1</v>
      </c>
      <c r="T21" s="53" t="s">
        <v>111</v>
      </c>
      <c r="U21" s="53" t="s">
        <v>111</v>
      </c>
      <c r="V21" s="53" t="s">
        <v>111</v>
      </c>
      <c r="W21" s="53" t="s">
        <v>111</v>
      </c>
      <c r="X21" s="53" t="s">
        <v>111</v>
      </c>
      <c r="Y21" s="53">
        <v>0</v>
      </c>
      <c r="Z21" s="53" t="s">
        <v>111</v>
      </c>
      <c r="AA21" s="53" t="s">
        <v>111</v>
      </c>
      <c r="AB21" s="53" t="s">
        <v>111</v>
      </c>
      <c r="AC21" s="53" t="s">
        <v>111</v>
      </c>
      <c r="AD21" s="53" t="s">
        <v>111</v>
      </c>
      <c r="AE21" s="53" t="s">
        <v>111</v>
      </c>
      <c r="AF21" s="53" t="s">
        <v>111</v>
      </c>
      <c r="AG21" s="53" t="s">
        <v>111</v>
      </c>
      <c r="AH21" s="53" t="s">
        <v>111</v>
      </c>
      <c r="AI21" s="53" t="s">
        <v>111</v>
      </c>
      <c r="AJ21" s="53" t="s">
        <v>111</v>
      </c>
      <c r="AK21" s="53" t="s">
        <v>111</v>
      </c>
      <c r="AL21" s="53" t="s">
        <v>111</v>
      </c>
      <c r="AM21" s="53" t="s">
        <v>111</v>
      </c>
      <c r="AN21" s="53" t="s">
        <v>111</v>
      </c>
      <c r="AO21" s="53" t="s">
        <v>111</v>
      </c>
      <c r="AP21" s="53" t="s">
        <v>111</v>
      </c>
      <c r="AQ21" s="53" t="s">
        <v>111</v>
      </c>
      <c r="AR21" s="53" t="s">
        <v>111</v>
      </c>
      <c r="AS21" s="53" t="s">
        <v>111</v>
      </c>
      <c r="AT21" s="53" t="s">
        <v>111</v>
      </c>
      <c r="AU21" s="53" t="s">
        <v>111</v>
      </c>
      <c r="AV21" s="53" t="s">
        <v>111</v>
      </c>
      <c r="AW21" s="53" t="s">
        <v>111</v>
      </c>
      <c r="AX21" s="53" t="s">
        <v>111</v>
      </c>
      <c r="AY21" s="53" t="s">
        <v>111</v>
      </c>
      <c r="AZ21" s="53" t="s">
        <v>111</v>
      </c>
      <c r="BA21" s="53">
        <v>4</v>
      </c>
      <c r="BB21" s="53" t="s">
        <v>111</v>
      </c>
      <c r="BC21" s="53">
        <v>86</v>
      </c>
      <c r="BD21" s="53" t="s">
        <v>111</v>
      </c>
      <c r="BE21" s="53" t="s">
        <v>111</v>
      </c>
      <c r="BF21" s="53" t="s">
        <v>111</v>
      </c>
      <c r="BG21" s="53" t="s">
        <v>111</v>
      </c>
      <c r="BH21" s="53" t="s">
        <v>111</v>
      </c>
      <c r="BI21" s="53" t="s">
        <v>111</v>
      </c>
      <c r="BJ21" s="53" t="s">
        <v>111</v>
      </c>
      <c r="BK21" s="53" t="s">
        <v>111</v>
      </c>
      <c r="BL21" s="53" t="s">
        <v>111</v>
      </c>
      <c r="BM21" s="53" t="s">
        <v>111</v>
      </c>
    </row>
    <row r="22" spans="1:65" ht="15" customHeight="1" x14ac:dyDescent="0.2">
      <c r="A22" s="53" t="s">
        <v>126</v>
      </c>
      <c r="B22" s="53" t="s">
        <v>111</v>
      </c>
      <c r="C22" s="53">
        <v>2</v>
      </c>
      <c r="D22" s="53" t="s">
        <v>111</v>
      </c>
      <c r="E22" s="53">
        <v>293</v>
      </c>
      <c r="F22" s="53" t="s">
        <v>111</v>
      </c>
      <c r="G22" s="53" t="s">
        <v>111</v>
      </c>
      <c r="H22" s="53" t="s">
        <v>111</v>
      </c>
      <c r="I22" s="53" t="s">
        <v>111</v>
      </c>
      <c r="J22" s="53" t="s">
        <v>111</v>
      </c>
      <c r="K22" s="53" t="s">
        <v>111</v>
      </c>
      <c r="L22" s="53" t="s">
        <v>111</v>
      </c>
      <c r="M22" s="53" t="s">
        <v>111</v>
      </c>
      <c r="N22" s="53" t="s">
        <v>111</v>
      </c>
      <c r="O22" s="53" t="s">
        <v>111</v>
      </c>
      <c r="P22" s="53" t="s">
        <v>111</v>
      </c>
      <c r="Q22" s="53" t="s">
        <v>111</v>
      </c>
      <c r="R22" s="53" t="s">
        <v>111</v>
      </c>
      <c r="S22" s="53">
        <v>0</v>
      </c>
      <c r="T22" s="53" t="s">
        <v>111</v>
      </c>
      <c r="U22" s="53" t="s">
        <v>111</v>
      </c>
      <c r="V22" s="53" t="s">
        <v>111</v>
      </c>
      <c r="W22" s="53" t="s">
        <v>111</v>
      </c>
      <c r="X22" s="53" t="s">
        <v>111</v>
      </c>
      <c r="Y22" s="53">
        <v>0</v>
      </c>
      <c r="Z22" s="53" t="s">
        <v>111</v>
      </c>
      <c r="AA22" s="53" t="s">
        <v>111</v>
      </c>
      <c r="AB22" s="53" t="s">
        <v>111</v>
      </c>
      <c r="AC22" s="53" t="s">
        <v>111</v>
      </c>
      <c r="AD22" s="53" t="s">
        <v>111</v>
      </c>
      <c r="AE22" s="53" t="s">
        <v>111</v>
      </c>
      <c r="AF22" s="53" t="s">
        <v>111</v>
      </c>
      <c r="AG22" s="53" t="s">
        <v>111</v>
      </c>
      <c r="AH22" s="53" t="s">
        <v>111</v>
      </c>
      <c r="AI22" s="53" t="s">
        <v>111</v>
      </c>
      <c r="AJ22" s="53" t="s">
        <v>111</v>
      </c>
      <c r="AK22" s="53" t="s">
        <v>111</v>
      </c>
      <c r="AL22" s="53" t="s">
        <v>111</v>
      </c>
      <c r="AM22" s="53" t="s">
        <v>111</v>
      </c>
      <c r="AN22" s="53" t="s">
        <v>111</v>
      </c>
      <c r="AO22" s="53" t="s">
        <v>111</v>
      </c>
      <c r="AP22" s="53" t="s">
        <v>111</v>
      </c>
      <c r="AQ22" s="53" t="s">
        <v>111</v>
      </c>
      <c r="AR22" s="53" t="s">
        <v>111</v>
      </c>
      <c r="AS22" s="53" t="s">
        <v>111</v>
      </c>
      <c r="AT22" s="53" t="s">
        <v>111</v>
      </c>
      <c r="AU22" s="53" t="s">
        <v>111</v>
      </c>
      <c r="AV22" s="53" t="s">
        <v>111</v>
      </c>
      <c r="AW22" s="53" t="s">
        <v>111</v>
      </c>
      <c r="AX22" s="53" t="s">
        <v>111</v>
      </c>
      <c r="AY22" s="53" t="s">
        <v>111</v>
      </c>
      <c r="AZ22" s="53" t="s">
        <v>111</v>
      </c>
      <c r="BA22" s="53">
        <v>8</v>
      </c>
      <c r="BB22" s="53" t="s">
        <v>111</v>
      </c>
      <c r="BC22" s="53">
        <v>79</v>
      </c>
      <c r="BD22" s="53" t="s">
        <v>111</v>
      </c>
      <c r="BE22" s="53" t="s">
        <v>111</v>
      </c>
      <c r="BF22" s="53" t="s">
        <v>111</v>
      </c>
      <c r="BG22" s="53" t="s">
        <v>111</v>
      </c>
      <c r="BH22" s="53" t="s">
        <v>111</v>
      </c>
      <c r="BI22" s="53" t="s">
        <v>111</v>
      </c>
      <c r="BJ22" s="53" t="s">
        <v>111</v>
      </c>
      <c r="BK22" s="53" t="s">
        <v>111</v>
      </c>
      <c r="BL22" s="53" t="s">
        <v>111</v>
      </c>
      <c r="BM22" s="53" t="s">
        <v>111</v>
      </c>
    </row>
    <row r="23" spans="1:65" ht="15" customHeight="1" x14ac:dyDescent="0.2">
      <c r="A23" s="53" t="s">
        <v>125</v>
      </c>
      <c r="B23" s="53" t="s">
        <v>111</v>
      </c>
      <c r="C23" s="53">
        <v>0</v>
      </c>
      <c r="D23" s="53" t="s">
        <v>111</v>
      </c>
      <c r="E23" s="53">
        <v>0</v>
      </c>
      <c r="F23" s="53" t="s">
        <v>111</v>
      </c>
      <c r="G23" s="53" t="s">
        <v>111</v>
      </c>
      <c r="H23" s="53" t="s">
        <v>111</v>
      </c>
      <c r="I23" s="53" t="s">
        <v>111</v>
      </c>
      <c r="J23" s="53" t="s">
        <v>111</v>
      </c>
      <c r="K23" s="53" t="s">
        <v>111</v>
      </c>
      <c r="L23" s="53" t="s">
        <v>111</v>
      </c>
      <c r="M23" s="53" t="s">
        <v>111</v>
      </c>
      <c r="N23" s="53" t="s">
        <v>111</v>
      </c>
      <c r="O23" s="53" t="s">
        <v>111</v>
      </c>
      <c r="P23" s="53" t="s">
        <v>111</v>
      </c>
      <c r="Q23" s="53" t="s">
        <v>111</v>
      </c>
      <c r="R23" s="53" t="s">
        <v>111</v>
      </c>
      <c r="S23" s="53">
        <v>0</v>
      </c>
      <c r="T23" s="53" t="s">
        <v>111</v>
      </c>
      <c r="U23" s="53" t="s">
        <v>111</v>
      </c>
      <c r="V23" s="53" t="s">
        <v>111</v>
      </c>
      <c r="W23" s="53" t="s">
        <v>111</v>
      </c>
      <c r="X23" s="53" t="s">
        <v>111</v>
      </c>
      <c r="Y23" s="53">
        <v>0</v>
      </c>
      <c r="Z23" s="53" t="s">
        <v>111</v>
      </c>
      <c r="AA23" s="53" t="s">
        <v>111</v>
      </c>
      <c r="AB23" s="53" t="s">
        <v>111</v>
      </c>
      <c r="AC23" s="53" t="s">
        <v>111</v>
      </c>
      <c r="AD23" s="53" t="s">
        <v>111</v>
      </c>
      <c r="AE23" s="53" t="s">
        <v>111</v>
      </c>
      <c r="AF23" s="53" t="s">
        <v>111</v>
      </c>
      <c r="AG23" s="53" t="s">
        <v>111</v>
      </c>
      <c r="AH23" s="53" t="s">
        <v>111</v>
      </c>
      <c r="AI23" s="53" t="s">
        <v>111</v>
      </c>
      <c r="AJ23" s="53" t="s">
        <v>111</v>
      </c>
      <c r="AK23" s="53" t="s">
        <v>111</v>
      </c>
      <c r="AL23" s="53" t="s">
        <v>111</v>
      </c>
      <c r="AM23" s="53" t="s">
        <v>111</v>
      </c>
      <c r="AN23" s="53" t="s">
        <v>111</v>
      </c>
      <c r="AO23" s="53" t="s">
        <v>111</v>
      </c>
      <c r="AP23" s="53" t="s">
        <v>111</v>
      </c>
      <c r="AQ23" s="53" t="s">
        <v>111</v>
      </c>
      <c r="AR23" s="53" t="s">
        <v>111</v>
      </c>
      <c r="AS23" s="53" t="s">
        <v>111</v>
      </c>
      <c r="AT23" s="53" t="s">
        <v>111</v>
      </c>
      <c r="AU23" s="53" t="s">
        <v>111</v>
      </c>
      <c r="AV23" s="53" t="s">
        <v>111</v>
      </c>
      <c r="AW23" s="53" t="s">
        <v>111</v>
      </c>
      <c r="AX23" s="53" t="s">
        <v>111</v>
      </c>
      <c r="AY23" s="53" t="s">
        <v>111</v>
      </c>
      <c r="AZ23" s="53" t="s">
        <v>111</v>
      </c>
      <c r="BA23" s="53">
        <v>0</v>
      </c>
      <c r="BB23" s="53" t="s">
        <v>111</v>
      </c>
      <c r="BC23" s="53">
        <v>0</v>
      </c>
      <c r="BD23" s="53" t="s">
        <v>111</v>
      </c>
      <c r="BE23" s="53" t="s">
        <v>111</v>
      </c>
      <c r="BF23" s="53" t="s">
        <v>111</v>
      </c>
      <c r="BG23" s="53" t="s">
        <v>111</v>
      </c>
      <c r="BH23" s="53" t="s">
        <v>111</v>
      </c>
      <c r="BI23" s="53" t="s">
        <v>111</v>
      </c>
      <c r="BJ23" s="53" t="s">
        <v>111</v>
      </c>
      <c r="BK23" s="53" t="s">
        <v>111</v>
      </c>
      <c r="BL23" s="53" t="s">
        <v>111</v>
      </c>
      <c r="BM23" s="53" t="s">
        <v>111</v>
      </c>
    </row>
    <row r="24" spans="1:65" ht="15" customHeight="1" x14ac:dyDescent="0.2">
      <c r="A24" s="53" t="s">
        <v>124</v>
      </c>
      <c r="B24" s="53" t="s">
        <v>111</v>
      </c>
      <c r="C24" s="53">
        <v>3</v>
      </c>
      <c r="D24" s="53" t="s">
        <v>111</v>
      </c>
      <c r="E24" s="53">
        <v>153</v>
      </c>
      <c r="F24" s="53" t="s">
        <v>111</v>
      </c>
      <c r="G24" s="53" t="s">
        <v>111</v>
      </c>
      <c r="H24" s="53" t="s">
        <v>111</v>
      </c>
      <c r="I24" s="53" t="s">
        <v>111</v>
      </c>
      <c r="J24" s="53" t="s">
        <v>111</v>
      </c>
      <c r="K24" s="53" t="s">
        <v>111</v>
      </c>
      <c r="L24" s="53" t="s">
        <v>111</v>
      </c>
      <c r="M24" s="53" t="s">
        <v>111</v>
      </c>
      <c r="N24" s="53" t="s">
        <v>111</v>
      </c>
      <c r="O24" s="53" t="s">
        <v>111</v>
      </c>
      <c r="P24" s="53" t="s">
        <v>111</v>
      </c>
      <c r="Q24" s="53" t="s">
        <v>111</v>
      </c>
      <c r="R24" s="53" t="s">
        <v>111</v>
      </c>
      <c r="S24" s="53">
        <v>3</v>
      </c>
      <c r="T24" s="53" t="s">
        <v>111</v>
      </c>
      <c r="U24" s="53" t="s">
        <v>111</v>
      </c>
      <c r="V24" s="53" t="s">
        <v>111</v>
      </c>
      <c r="W24" s="53" t="s">
        <v>111</v>
      </c>
      <c r="X24" s="53" t="s">
        <v>111</v>
      </c>
      <c r="Y24" s="53">
        <v>0</v>
      </c>
      <c r="Z24" s="53" t="s">
        <v>111</v>
      </c>
      <c r="AA24" s="53" t="s">
        <v>111</v>
      </c>
      <c r="AB24" s="53" t="s">
        <v>111</v>
      </c>
      <c r="AC24" s="53" t="s">
        <v>111</v>
      </c>
      <c r="AD24" s="53" t="s">
        <v>111</v>
      </c>
      <c r="AE24" s="53" t="s">
        <v>111</v>
      </c>
      <c r="AF24" s="53" t="s">
        <v>111</v>
      </c>
      <c r="AG24" s="53" t="s">
        <v>111</v>
      </c>
      <c r="AH24" s="53" t="s">
        <v>111</v>
      </c>
      <c r="AI24" s="53" t="s">
        <v>111</v>
      </c>
      <c r="AJ24" s="53" t="s">
        <v>111</v>
      </c>
      <c r="AK24" s="53" t="s">
        <v>111</v>
      </c>
      <c r="AL24" s="53" t="s">
        <v>111</v>
      </c>
      <c r="AM24" s="53" t="s">
        <v>111</v>
      </c>
      <c r="AN24" s="53" t="s">
        <v>111</v>
      </c>
      <c r="AO24" s="53" t="s">
        <v>111</v>
      </c>
      <c r="AP24" s="53" t="s">
        <v>111</v>
      </c>
      <c r="AQ24" s="53" t="s">
        <v>111</v>
      </c>
      <c r="AR24" s="53" t="s">
        <v>111</v>
      </c>
      <c r="AS24" s="53" t="s">
        <v>111</v>
      </c>
      <c r="AT24" s="53" t="s">
        <v>111</v>
      </c>
      <c r="AU24" s="53" t="s">
        <v>111</v>
      </c>
      <c r="AV24" s="53" t="s">
        <v>111</v>
      </c>
      <c r="AW24" s="53" t="s">
        <v>111</v>
      </c>
      <c r="AX24" s="53" t="s">
        <v>111</v>
      </c>
      <c r="AY24" s="53" t="s">
        <v>111</v>
      </c>
      <c r="AZ24" s="53" t="s">
        <v>111</v>
      </c>
      <c r="BA24" s="53">
        <v>2</v>
      </c>
      <c r="BB24" s="53" t="s">
        <v>111</v>
      </c>
      <c r="BC24" s="53">
        <v>77</v>
      </c>
      <c r="BD24" s="53" t="s">
        <v>111</v>
      </c>
      <c r="BE24" s="53" t="s">
        <v>111</v>
      </c>
      <c r="BF24" s="53" t="s">
        <v>111</v>
      </c>
      <c r="BG24" s="53" t="s">
        <v>111</v>
      </c>
      <c r="BH24" s="53" t="s">
        <v>111</v>
      </c>
      <c r="BI24" s="53" t="s">
        <v>111</v>
      </c>
      <c r="BJ24" s="53" t="s">
        <v>111</v>
      </c>
      <c r="BK24" s="53" t="s">
        <v>111</v>
      </c>
      <c r="BL24" s="53" t="s">
        <v>111</v>
      </c>
      <c r="BM24" s="53" t="s">
        <v>111</v>
      </c>
    </row>
    <row r="25" spans="1:65" ht="15" customHeight="1" x14ac:dyDescent="0.2">
      <c r="A25" s="53" t="s">
        <v>123</v>
      </c>
      <c r="B25" s="53" t="s">
        <v>111</v>
      </c>
      <c r="C25" s="53">
        <v>2</v>
      </c>
      <c r="D25" s="53" t="s">
        <v>111</v>
      </c>
      <c r="E25" s="53">
        <v>158</v>
      </c>
      <c r="F25" s="53" t="s">
        <v>111</v>
      </c>
      <c r="G25" s="53" t="s">
        <v>111</v>
      </c>
      <c r="H25" s="53" t="s">
        <v>111</v>
      </c>
      <c r="I25" s="53" t="s">
        <v>111</v>
      </c>
      <c r="J25" s="53" t="s">
        <v>111</v>
      </c>
      <c r="K25" s="53" t="s">
        <v>111</v>
      </c>
      <c r="L25" s="53" t="s">
        <v>111</v>
      </c>
      <c r="M25" s="53" t="s">
        <v>111</v>
      </c>
      <c r="N25" s="53" t="s">
        <v>111</v>
      </c>
      <c r="O25" s="53" t="s">
        <v>111</v>
      </c>
      <c r="P25" s="53" t="s">
        <v>111</v>
      </c>
      <c r="Q25" s="53" t="s">
        <v>111</v>
      </c>
      <c r="R25" s="53" t="s">
        <v>111</v>
      </c>
      <c r="S25" s="53">
        <v>1</v>
      </c>
      <c r="T25" s="53" t="s">
        <v>111</v>
      </c>
      <c r="U25" s="53" t="s">
        <v>111</v>
      </c>
      <c r="V25" s="53" t="s">
        <v>111</v>
      </c>
      <c r="W25" s="53" t="s">
        <v>111</v>
      </c>
      <c r="X25" s="53" t="s">
        <v>111</v>
      </c>
      <c r="Y25" s="53">
        <v>0</v>
      </c>
      <c r="Z25" s="53" t="s">
        <v>111</v>
      </c>
      <c r="AA25" s="53" t="s">
        <v>111</v>
      </c>
      <c r="AB25" s="53" t="s">
        <v>111</v>
      </c>
      <c r="AC25" s="53" t="s">
        <v>111</v>
      </c>
      <c r="AD25" s="53" t="s">
        <v>111</v>
      </c>
      <c r="AE25" s="53" t="s">
        <v>111</v>
      </c>
      <c r="AF25" s="53" t="s">
        <v>111</v>
      </c>
      <c r="AG25" s="53" t="s">
        <v>111</v>
      </c>
      <c r="AH25" s="53" t="s">
        <v>111</v>
      </c>
      <c r="AI25" s="53" t="s">
        <v>111</v>
      </c>
      <c r="AJ25" s="53" t="s">
        <v>111</v>
      </c>
      <c r="AK25" s="53" t="s">
        <v>111</v>
      </c>
      <c r="AL25" s="53" t="s">
        <v>111</v>
      </c>
      <c r="AM25" s="53" t="s">
        <v>111</v>
      </c>
      <c r="AN25" s="53" t="s">
        <v>111</v>
      </c>
      <c r="AO25" s="53" t="s">
        <v>111</v>
      </c>
      <c r="AP25" s="53" t="s">
        <v>111</v>
      </c>
      <c r="AQ25" s="53" t="s">
        <v>111</v>
      </c>
      <c r="AR25" s="53" t="s">
        <v>111</v>
      </c>
      <c r="AS25" s="53" t="s">
        <v>111</v>
      </c>
      <c r="AT25" s="53" t="s">
        <v>111</v>
      </c>
      <c r="AU25" s="53" t="s">
        <v>111</v>
      </c>
      <c r="AV25" s="53" t="s">
        <v>111</v>
      </c>
      <c r="AW25" s="53" t="s">
        <v>111</v>
      </c>
      <c r="AX25" s="53" t="s">
        <v>111</v>
      </c>
      <c r="AY25" s="53" t="s">
        <v>111</v>
      </c>
      <c r="AZ25" s="53" t="s">
        <v>111</v>
      </c>
      <c r="BA25" s="53">
        <v>4</v>
      </c>
      <c r="BB25" s="53" t="s">
        <v>111</v>
      </c>
      <c r="BC25" s="53">
        <v>66</v>
      </c>
      <c r="BD25" s="53" t="s">
        <v>111</v>
      </c>
      <c r="BE25" s="53" t="s">
        <v>111</v>
      </c>
      <c r="BF25" s="53" t="s">
        <v>111</v>
      </c>
      <c r="BG25" s="53" t="s">
        <v>111</v>
      </c>
      <c r="BH25" s="53" t="s">
        <v>111</v>
      </c>
      <c r="BI25" s="53" t="s">
        <v>111</v>
      </c>
      <c r="BJ25" s="53" t="s">
        <v>111</v>
      </c>
      <c r="BK25" s="53" t="s">
        <v>111</v>
      </c>
      <c r="BL25" s="53" t="s">
        <v>111</v>
      </c>
      <c r="BM25" s="53" t="s">
        <v>111</v>
      </c>
    </row>
    <row r="26" spans="1:65" ht="15" customHeight="1" x14ac:dyDescent="0.2">
      <c r="A26" s="53" t="s">
        <v>122</v>
      </c>
      <c r="B26" s="53" t="s">
        <v>111</v>
      </c>
      <c r="C26" s="53">
        <v>2</v>
      </c>
      <c r="D26" s="53" t="s">
        <v>111</v>
      </c>
      <c r="E26" s="53">
        <v>175</v>
      </c>
      <c r="F26" s="53" t="s">
        <v>111</v>
      </c>
      <c r="G26" s="53" t="s">
        <v>111</v>
      </c>
      <c r="H26" s="53" t="s">
        <v>111</v>
      </c>
      <c r="I26" s="53" t="s">
        <v>111</v>
      </c>
      <c r="J26" s="53" t="s">
        <v>111</v>
      </c>
      <c r="K26" s="53" t="s">
        <v>111</v>
      </c>
      <c r="L26" s="53" t="s">
        <v>111</v>
      </c>
      <c r="M26" s="53" t="s">
        <v>111</v>
      </c>
      <c r="N26" s="53" t="s">
        <v>111</v>
      </c>
      <c r="O26" s="53" t="s">
        <v>111</v>
      </c>
      <c r="P26" s="53" t="s">
        <v>111</v>
      </c>
      <c r="Q26" s="53" t="s">
        <v>111</v>
      </c>
      <c r="R26" s="53" t="s">
        <v>111</v>
      </c>
      <c r="S26" s="53">
        <v>3</v>
      </c>
      <c r="T26" s="53" t="s">
        <v>111</v>
      </c>
      <c r="U26" s="53" t="s">
        <v>111</v>
      </c>
      <c r="V26" s="53" t="s">
        <v>111</v>
      </c>
      <c r="W26" s="53" t="s">
        <v>111</v>
      </c>
      <c r="X26" s="53" t="s">
        <v>111</v>
      </c>
      <c r="Y26" s="53">
        <v>0</v>
      </c>
      <c r="Z26" s="53" t="s">
        <v>111</v>
      </c>
      <c r="AA26" s="53" t="s">
        <v>111</v>
      </c>
      <c r="AB26" s="53" t="s">
        <v>111</v>
      </c>
      <c r="AC26" s="53" t="s">
        <v>111</v>
      </c>
      <c r="AD26" s="53" t="s">
        <v>111</v>
      </c>
      <c r="AE26" s="53" t="s">
        <v>111</v>
      </c>
      <c r="AF26" s="53" t="s">
        <v>111</v>
      </c>
      <c r="AG26" s="53" t="s">
        <v>111</v>
      </c>
      <c r="AH26" s="53" t="s">
        <v>111</v>
      </c>
      <c r="AI26" s="53" t="s">
        <v>111</v>
      </c>
      <c r="AJ26" s="53" t="s">
        <v>111</v>
      </c>
      <c r="AK26" s="53" t="s">
        <v>111</v>
      </c>
      <c r="AL26" s="53" t="s">
        <v>111</v>
      </c>
      <c r="AM26" s="53" t="s">
        <v>111</v>
      </c>
      <c r="AN26" s="53" t="s">
        <v>111</v>
      </c>
      <c r="AO26" s="53" t="s">
        <v>111</v>
      </c>
      <c r="AP26" s="53" t="s">
        <v>111</v>
      </c>
      <c r="AQ26" s="53" t="s">
        <v>111</v>
      </c>
      <c r="AR26" s="53" t="s">
        <v>111</v>
      </c>
      <c r="AS26" s="53" t="s">
        <v>111</v>
      </c>
      <c r="AT26" s="53" t="s">
        <v>111</v>
      </c>
      <c r="AU26" s="53" t="s">
        <v>111</v>
      </c>
      <c r="AV26" s="53" t="s">
        <v>111</v>
      </c>
      <c r="AW26" s="53" t="s">
        <v>111</v>
      </c>
      <c r="AX26" s="53" t="s">
        <v>111</v>
      </c>
      <c r="AY26" s="53" t="s">
        <v>111</v>
      </c>
      <c r="AZ26" s="53" t="s">
        <v>111</v>
      </c>
      <c r="BA26" s="53">
        <v>8</v>
      </c>
      <c r="BB26" s="53" t="s">
        <v>111</v>
      </c>
      <c r="BC26" s="53">
        <v>73</v>
      </c>
      <c r="BD26" s="53" t="s">
        <v>111</v>
      </c>
      <c r="BE26" s="53" t="s">
        <v>111</v>
      </c>
      <c r="BF26" s="53" t="s">
        <v>111</v>
      </c>
      <c r="BG26" s="53" t="s">
        <v>111</v>
      </c>
      <c r="BH26" s="53" t="s">
        <v>111</v>
      </c>
      <c r="BI26" s="53" t="s">
        <v>111</v>
      </c>
      <c r="BJ26" s="53" t="s">
        <v>111</v>
      </c>
      <c r="BK26" s="53" t="s">
        <v>111</v>
      </c>
      <c r="BL26" s="53" t="s">
        <v>111</v>
      </c>
      <c r="BM26" s="53" t="s">
        <v>111</v>
      </c>
    </row>
    <row r="27" spans="1:65" ht="15" customHeight="1" x14ac:dyDescent="0.2">
      <c r="A27" s="53" t="s">
        <v>121</v>
      </c>
      <c r="B27" s="53" t="s">
        <v>111</v>
      </c>
      <c r="C27" s="53">
        <v>3</v>
      </c>
      <c r="D27" s="53" t="s">
        <v>111</v>
      </c>
      <c r="E27" s="53">
        <v>181</v>
      </c>
      <c r="F27" s="53" t="s">
        <v>111</v>
      </c>
      <c r="G27" s="53" t="s">
        <v>111</v>
      </c>
      <c r="H27" s="53" t="s">
        <v>111</v>
      </c>
      <c r="I27" s="53" t="s">
        <v>111</v>
      </c>
      <c r="J27" s="53" t="s">
        <v>111</v>
      </c>
      <c r="K27" s="53" t="s">
        <v>111</v>
      </c>
      <c r="L27" s="53" t="s">
        <v>111</v>
      </c>
      <c r="M27" s="53" t="s">
        <v>111</v>
      </c>
      <c r="N27" s="53" t="s">
        <v>111</v>
      </c>
      <c r="O27" s="53" t="s">
        <v>111</v>
      </c>
      <c r="P27" s="53" t="s">
        <v>111</v>
      </c>
      <c r="Q27" s="53" t="s">
        <v>111</v>
      </c>
      <c r="R27" s="53" t="s">
        <v>111</v>
      </c>
      <c r="S27" s="53">
        <v>5</v>
      </c>
      <c r="T27" s="53" t="s">
        <v>111</v>
      </c>
      <c r="U27" s="53" t="s">
        <v>111</v>
      </c>
      <c r="V27" s="53" t="s">
        <v>111</v>
      </c>
      <c r="W27" s="53" t="s">
        <v>111</v>
      </c>
      <c r="X27" s="53" t="s">
        <v>111</v>
      </c>
      <c r="Y27" s="53">
        <v>0</v>
      </c>
      <c r="Z27" s="53" t="s">
        <v>111</v>
      </c>
      <c r="AA27" s="53" t="s">
        <v>111</v>
      </c>
      <c r="AB27" s="53" t="s">
        <v>111</v>
      </c>
      <c r="AC27" s="53" t="s">
        <v>111</v>
      </c>
      <c r="AD27" s="53" t="s">
        <v>111</v>
      </c>
      <c r="AE27" s="53" t="s">
        <v>111</v>
      </c>
      <c r="AF27" s="53" t="s">
        <v>111</v>
      </c>
      <c r="AG27" s="53" t="s">
        <v>111</v>
      </c>
      <c r="AH27" s="53" t="s">
        <v>111</v>
      </c>
      <c r="AI27" s="53" t="s">
        <v>111</v>
      </c>
      <c r="AJ27" s="53" t="s">
        <v>111</v>
      </c>
      <c r="AK27" s="53" t="s">
        <v>111</v>
      </c>
      <c r="AL27" s="53" t="s">
        <v>111</v>
      </c>
      <c r="AM27" s="53" t="s">
        <v>111</v>
      </c>
      <c r="AN27" s="53" t="s">
        <v>111</v>
      </c>
      <c r="AO27" s="53" t="s">
        <v>111</v>
      </c>
      <c r="AP27" s="53" t="s">
        <v>111</v>
      </c>
      <c r="AQ27" s="53" t="s">
        <v>111</v>
      </c>
      <c r="AR27" s="53" t="s">
        <v>111</v>
      </c>
      <c r="AS27" s="53" t="s">
        <v>111</v>
      </c>
      <c r="AT27" s="53" t="s">
        <v>111</v>
      </c>
      <c r="AU27" s="53" t="s">
        <v>111</v>
      </c>
      <c r="AV27" s="53" t="s">
        <v>111</v>
      </c>
      <c r="AW27" s="53" t="s">
        <v>111</v>
      </c>
      <c r="AX27" s="53" t="s">
        <v>111</v>
      </c>
      <c r="AY27" s="53" t="s">
        <v>111</v>
      </c>
      <c r="AZ27" s="53" t="s">
        <v>111</v>
      </c>
      <c r="BA27" s="53">
        <v>5</v>
      </c>
      <c r="BB27" s="53" t="s">
        <v>111</v>
      </c>
      <c r="BC27" s="53">
        <v>66</v>
      </c>
      <c r="BD27" s="53" t="s">
        <v>111</v>
      </c>
      <c r="BE27" s="53" t="s">
        <v>111</v>
      </c>
      <c r="BF27" s="53" t="s">
        <v>111</v>
      </c>
      <c r="BG27" s="53" t="s">
        <v>111</v>
      </c>
      <c r="BH27" s="53" t="s">
        <v>111</v>
      </c>
      <c r="BI27" s="53" t="s">
        <v>111</v>
      </c>
      <c r="BJ27" s="53" t="s">
        <v>111</v>
      </c>
      <c r="BK27" s="53" t="s">
        <v>111</v>
      </c>
      <c r="BL27" s="53" t="s">
        <v>111</v>
      </c>
      <c r="BM27" s="53" t="s">
        <v>111</v>
      </c>
    </row>
    <row r="28" spans="1:65" ht="15" customHeight="1" x14ac:dyDescent="0.2">
      <c r="A28" s="53" t="s">
        <v>120</v>
      </c>
      <c r="B28" s="53" t="s">
        <v>111</v>
      </c>
      <c r="C28" s="53">
        <v>0</v>
      </c>
      <c r="D28" s="53" t="s">
        <v>111</v>
      </c>
      <c r="E28" s="53">
        <v>0</v>
      </c>
      <c r="F28" s="53" t="s">
        <v>111</v>
      </c>
      <c r="G28" s="53" t="s">
        <v>111</v>
      </c>
      <c r="H28" s="53" t="s">
        <v>111</v>
      </c>
      <c r="I28" s="53" t="s">
        <v>111</v>
      </c>
      <c r="J28" s="53" t="s">
        <v>111</v>
      </c>
      <c r="K28" s="53" t="s">
        <v>111</v>
      </c>
      <c r="L28" s="53" t="s">
        <v>111</v>
      </c>
      <c r="M28" s="53" t="s">
        <v>111</v>
      </c>
      <c r="N28" s="53" t="s">
        <v>111</v>
      </c>
      <c r="O28" s="53" t="s">
        <v>111</v>
      </c>
      <c r="P28" s="53" t="s">
        <v>111</v>
      </c>
      <c r="Q28" s="53" t="s">
        <v>111</v>
      </c>
      <c r="R28" s="53" t="s">
        <v>111</v>
      </c>
      <c r="S28" s="53">
        <v>0</v>
      </c>
      <c r="T28" s="53" t="s">
        <v>111</v>
      </c>
      <c r="U28" s="53" t="s">
        <v>111</v>
      </c>
      <c r="V28" s="53" t="s">
        <v>111</v>
      </c>
      <c r="W28" s="53" t="s">
        <v>111</v>
      </c>
      <c r="X28" s="53" t="s">
        <v>111</v>
      </c>
      <c r="Y28" s="53">
        <v>0</v>
      </c>
      <c r="Z28" s="53" t="s">
        <v>111</v>
      </c>
      <c r="AA28" s="53" t="s">
        <v>111</v>
      </c>
      <c r="AB28" s="53" t="s">
        <v>111</v>
      </c>
      <c r="AC28" s="53" t="s">
        <v>111</v>
      </c>
      <c r="AD28" s="53" t="s">
        <v>111</v>
      </c>
      <c r="AE28" s="53" t="s">
        <v>111</v>
      </c>
      <c r="AF28" s="53" t="s">
        <v>111</v>
      </c>
      <c r="AG28" s="53" t="s">
        <v>111</v>
      </c>
      <c r="AH28" s="53" t="s">
        <v>111</v>
      </c>
      <c r="AI28" s="53" t="s">
        <v>111</v>
      </c>
      <c r="AJ28" s="53" t="s">
        <v>111</v>
      </c>
      <c r="AK28" s="53" t="s">
        <v>111</v>
      </c>
      <c r="AL28" s="53" t="s">
        <v>111</v>
      </c>
      <c r="AM28" s="53" t="s">
        <v>111</v>
      </c>
      <c r="AN28" s="53" t="s">
        <v>111</v>
      </c>
      <c r="AO28" s="53" t="s">
        <v>111</v>
      </c>
      <c r="AP28" s="53" t="s">
        <v>111</v>
      </c>
      <c r="AQ28" s="53" t="s">
        <v>111</v>
      </c>
      <c r="AR28" s="53" t="s">
        <v>111</v>
      </c>
      <c r="AS28" s="53" t="s">
        <v>111</v>
      </c>
      <c r="AT28" s="53" t="s">
        <v>111</v>
      </c>
      <c r="AU28" s="53" t="s">
        <v>111</v>
      </c>
      <c r="AV28" s="53" t="s">
        <v>111</v>
      </c>
      <c r="AW28" s="53" t="s">
        <v>111</v>
      </c>
      <c r="AX28" s="53" t="s">
        <v>111</v>
      </c>
      <c r="AY28" s="53" t="s">
        <v>111</v>
      </c>
      <c r="AZ28" s="53" t="s">
        <v>111</v>
      </c>
      <c r="BA28" s="53">
        <v>0</v>
      </c>
      <c r="BB28" s="53" t="s">
        <v>111</v>
      </c>
      <c r="BC28" s="53">
        <v>0</v>
      </c>
      <c r="BD28" s="53" t="s">
        <v>111</v>
      </c>
      <c r="BE28" s="53" t="s">
        <v>111</v>
      </c>
      <c r="BF28" s="53" t="s">
        <v>111</v>
      </c>
      <c r="BG28" s="53" t="s">
        <v>111</v>
      </c>
      <c r="BH28" s="53" t="s">
        <v>111</v>
      </c>
      <c r="BI28" s="53" t="s">
        <v>111</v>
      </c>
      <c r="BJ28" s="53" t="s">
        <v>111</v>
      </c>
      <c r="BK28" s="53" t="s">
        <v>111</v>
      </c>
      <c r="BL28" s="53" t="s">
        <v>111</v>
      </c>
      <c r="BM28" s="53" t="s">
        <v>111</v>
      </c>
    </row>
    <row r="29" spans="1:65" ht="15" customHeight="1" x14ac:dyDescent="0.2">
      <c r="A29" s="53" t="s">
        <v>119</v>
      </c>
      <c r="B29" s="53" t="s">
        <v>111</v>
      </c>
      <c r="C29" s="53">
        <v>2</v>
      </c>
      <c r="D29" s="53" t="s">
        <v>111</v>
      </c>
      <c r="E29" s="53">
        <v>212</v>
      </c>
      <c r="F29" s="53" t="s">
        <v>111</v>
      </c>
      <c r="G29" s="53" t="s">
        <v>111</v>
      </c>
      <c r="H29" s="53" t="s">
        <v>111</v>
      </c>
      <c r="I29" s="53" t="s">
        <v>111</v>
      </c>
      <c r="J29" s="53" t="s">
        <v>111</v>
      </c>
      <c r="K29" s="53" t="s">
        <v>111</v>
      </c>
      <c r="L29" s="53" t="s">
        <v>111</v>
      </c>
      <c r="M29" s="53" t="s">
        <v>111</v>
      </c>
      <c r="N29" s="53" t="s">
        <v>111</v>
      </c>
      <c r="O29" s="53" t="s">
        <v>111</v>
      </c>
      <c r="P29" s="53" t="s">
        <v>111</v>
      </c>
      <c r="Q29" s="53" t="s">
        <v>111</v>
      </c>
      <c r="R29" s="53" t="s">
        <v>111</v>
      </c>
      <c r="S29" s="53">
        <v>4</v>
      </c>
      <c r="T29" s="53" t="s">
        <v>111</v>
      </c>
      <c r="U29" s="53" t="s">
        <v>111</v>
      </c>
      <c r="V29" s="53" t="s">
        <v>111</v>
      </c>
      <c r="W29" s="53" t="s">
        <v>111</v>
      </c>
      <c r="X29" s="53" t="s">
        <v>111</v>
      </c>
      <c r="Y29" s="53">
        <v>0</v>
      </c>
      <c r="Z29" s="53" t="s">
        <v>111</v>
      </c>
      <c r="AA29" s="53" t="s">
        <v>111</v>
      </c>
      <c r="AB29" s="53" t="s">
        <v>111</v>
      </c>
      <c r="AC29" s="53" t="s">
        <v>111</v>
      </c>
      <c r="AD29" s="53" t="s">
        <v>111</v>
      </c>
      <c r="AE29" s="53" t="s">
        <v>111</v>
      </c>
      <c r="AF29" s="53" t="s">
        <v>111</v>
      </c>
      <c r="AG29" s="53" t="s">
        <v>111</v>
      </c>
      <c r="AH29" s="53" t="s">
        <v>111</v>
      </c>
      <c r="AI29" s="53" t="s">
        <v>111</v>
      </c>
      <c r="AJ29" s="53" t="s">
        <v>111</v>
      </c>
      <c r="AK29" s="53" t="s">
        <v>111</v>
      </c>
      <c r="AL29" s="53" t="s">
        <v>111</v>
      </c>
      <c r="AM29" s="53" t="s">
        <v>111</v>
      </c>
      <c r="AN29" s="53" t="s">
        <v>111</v>
      </c>
      <c r="AO29" s="53" t="s">
        <v>111</v>
      </c>
      <c r="AP29" s="53" t="s">
        <v>111</v>
      </c>
      <c r="AQ29" s="53" t="s">
        <v>111</v>
      </c>
      <c r="AR29" s="53" t="s">
        <v>111</v>
      </c>
      <c r="AS29" s="53" t="s">
        <v>111</v>
      </c>
      <c r="AT29" s="53" t="s">
        <v>111</v>
      </c>
      <c r="AU29" s="53" t="s">
        <v>111</v>
      </c>
      <c r="AV29" s="53" t="s">
        <v>111</v>
      </c>
      <c r="AW29" s="53" t="s">
        <v>111</v>
      </c>
      <c r="AX29" s="53" t="s">
        <v>111</v>
      </c>
      <c r="AY29" s="53" t="s">
        <v>111</v>
      </c>
      <c r="AZ29" s="53" t="s">
        <v>111</v>
      </c>
      <c r="BA29" s="53">
        <v>6</v>
      </c>
      <c r="BB29" s="53" t="s">
        <v>111</v>
      </c>
      <c r="BC29" s="53">
        <v>105</v>
      </c>
      <c r="BD29" s="53" t="s">
        <v>111</v>
      </c>
      <c r="BE29" s="53" t="s">
        <v>111</v>
      </c>
      <c r="BF29" s="53" t="s">
        <v>111</v>
      </c>
      <c r="BG29" s="53" t="s">
        <v>111</v>
      </c>
      <c r="BH29" s="53" t="s">
        <v>111</v>
      </c>
      <c r="BI29" s="53" t="s">
        <v>111</v>
      </c>
      <c r="BJ29" s="53" t="s">
        <v>111</v>
      </c>
      <c r="BK29" s="53" t="s">
        <v>111</v>
      </c>
      <c r="BL29" s="53" t="s">
        <v>111</v>
      </c>
      <c r="BM29" s="53" t="s">
        <v>111</v>
      </c>
    </row>
    <row r="30" spans="1:65" ht="15" customHeight="1" x14ac:dyDescent="0.2">
      <c r="A30" s="53" t="s">
        <v>118</v>
      </c>
      <c r="B30" s="53" t="s">
        <v>111</v>
      </c>
      <c r="C30" s="53">
        <v>5</v>
      </c>
      <c r="D30" s="53" t="s">
        <v>111</v>
      </c>
      <c r="E30" s="53">
        <v>233</v>
      </c>
      <c r="F30" s="53" t="s">
        <v>111</v>
      </c>
      <c r="G30" s="53" t="s">
        <v>111</v>
      </c>
      <c r="H30" s="53" t="s">
        <v>111</v>
      </c>
      <c r="I30" s="53" t="s">
        <v>111</v>
      </c>
      <c r="J30" s="53" t="s">
        <v>111</v>
      </c>
      <c r="K30" s="53" t="s">
        <v>111</v>
      </c>
      <c r="L30" s="53" t="s">
        <v>111</v>
      </c>
      <c r="M30" s="53" t="s">
        <v>111</v>
      </c>
      <c r="N30" s="53" t="s">
        <v>111</v>
      </c>
      <c r="O30" s="53" t="s">
        <v>111</v>
      </c>
      <c r="P30" s="53" t="s">
        <v>111</v>
      </c>
      <c r="Q30" s="53" t="s">
        <v>111</v>
      </c>
      <c r="R30" s="53" t="s">
        <v>111</v>
      </c>
      <c r="S30" s="53">
        <v>1</v>
      </c>
      <c r="T30" s="53" t="s">
        <v>111</v>
      </c>
      <c r="U30" s="53" t="s">
        <v>111</v>
      </c>
      <c r="V30" s="53" t="s">
        <v>111</v>
      </c>
      <c r="W30" s="53" t="s">
        <v>111</v>
      </c>
      <c r="X30" s="53" t="s">
        <v>111</v>
      </c>
      <c r="Y30" s="53">
        <v>0</v>
      </c>
      <c r="Z30" s="53" t="s">
        <v>111</v>
      </c>
      <c r="AA30" s="53" t="s">
        <v>111</v>
      </c>
      <c r="AB30" s="53" t="s">
        <v>111</v>
      </c>
      <c r="AC30" s="53" t="s">
        <v>111</v>
      </c>
      <c r="AD30" s="53" t="s">
        <v>111</v>
      </c>
      <c r="AE30" s="53" t="s">
        <v>111</v>
      </c>
      <c r="AF30" s="53" t="s">
        <v>111</v>
      </c>
      <c r="AG30" s="53" t="s">
        <v>111</v>
      </c>
      <c r="AH30" s="53" t="s">
        <v>111</v>
      </c>
      <c r="AI30" s="53" t="s">
        <v>111</v>
      </c>
      <c r="AJ30" s="53" t="s">
        <v>111</v>
      </c>
      <c r="AK30" s="53" t="s">
        <v>111</v>
      </c>
      <c r="AL30" s="53" t="s">
        <v>111</v>
      </c>
      <c r="AM30" s="53" t="s">
        <v>111</v>
      </c>
      <c r="AN30" s="53" t="s">
        <v>111</v>
      </c>
      <c r="AO30" s="53" t="s">
        <v>111</v>
      </c>
      <c r="AP30" s="53" t="s">
        <v>111</v>
      </c>
      <c r="AQ30" s="53" t="s">
        <v>111</v>
      </c>
      <c r="AR30" s="53" t="s">
        <v>111</v>
      </c>
      <c r="AS30" s="53" t="s">
        <v>111</v>
      </c>
      <c r="AT30" s="53" t="s">
        <v>111</v>
      </c>
      <c r="AU30" s="53" t="s">
        <v>111</v>
      </c>
      <c r="AV30" s="53" t="s">
        <v>111</v>
      </c>
      <c r="AW30" s="53" t="s">
        <v>111</v>
      </c>
      <c r="AX30" s="53" t="s">
        <v>111</v>
      </c>
      <c r="AY30" s="53" t="s">
        <v>111</v>
      </c>
      <c r="AZ30" s="53" t="s">
        <v>111</v>
      </c>
      <c r="BA30" s="53">
        <v>7</v>
      </c>
      <c r="BB30" s="53" t="s">
        <v>111</v>
      </c>
      <c r="BC30" s="53">
        <v>114</v>
      </c>
      <c r="BD30" s="53" t="s">
        <v>111</v>
      </c>
      <c r="BE30" s="53" t="s">
        <v>111</v>
      </c>
      <c r="BF30" s="53" t="s">
        <v>111</v>
      </c>
      <c r="BG30" s="53" t="s">
        <v>111</v>
      </c>
      <c r="BH30" s="53" t="s">
        <v>111</v>
      </c>
      <c r="BI30" s="53" t="s">
        <v>111</v>
      </c>
      <c r="BJ30" s="53" t="s">
        <v>111</v>
      </c>
      <c r="BK30" s="53" t="s">
        <v>111</v>
      </c>
      <c r="BL30" s="53" t="s">
        <v>111</v>
      </c>
      <c r="BM30" s="53" t="s">
        <v>111</v>
      </c>
    </row>
    <row r="31" spans="1:65" ht="15" customHeight="1" x14ac:dyDescent="0.2">
      <c r="A31" s="53" t="s">
        <v>117</v>
      </c>
      <c r="B31" s="53" t="s">
        <v>111</v>
      </c>
      <c r="C31" s="53">
        <v>7</v>
      </c>
      <c r="D31" s="53" t="s">
        <v>111</v>
      </c>
      <c r="E31" s="53">
        <v>208</v>
      </c>
      <c r="F31" s="53" t="s">
        <v>111</v>
      </c>
      <c r="G31" s="53" t="s">
        <v>111</v>
      </c>
      <c r="H31" s="53" t="s">
        <v>111</v>
      </c>
      <c r="I31" s="53" t="s">
        <v>111</v>
      </c>
      <c r="J31" s="53" t="s">
        <v>111</v>
      </c>
      <c r="K31" s="53" t="s">
        <v>111</v>
      </c>
      <c r="L31" s="53" t="s">
        <v>111</v>
      </c>
      <c r="M31" s="53" t="s">
        <v>111</v>
      </c>
      <c r="N31" s="53" t="s">
        <v>111</v>
      </c>
      <c r="O31" s="53" t="s">
        <v>111</v>
      </c>
      <c r="P31" s="53" t="s">
        <v>111</v>
      </c>
      <c r="Q31" s="53" t="s">
        <v>111</v>
      </c>
      <c r="R31" s="53" t="s">
        <v>111</v>
      </c>
      <c r="S31" s="53">
        <v>2</v>
      </c>
      <c r="T31" s="53" t="s">
        <v>111</v>
      </c>
      <c r="U31" s="53" t="s">
        <v>111</v>
      </c>
      <c r="V31" s="53" t="s">
        <v>111</v>
      </c>
      <c r="W31" s="53" t="s">
        <v>111</v>
      </c>
      <c r="X31" s="53" t="s">
        <v>111</v>
      </c>
      <c r="Y31" s="53">
        <v>0</v>
      </c>
      <c r="Z31" s="53" t="s">
        <v>111</v>
      </c>
      <c r="AA31" s="53" t="s">
        <v>111</v>
      </c>
      <c r="AB31" s="53" t="s">
        <v>111</v>
      </c>
      <c r="AC31" s="53" t="s">
        <v>111</v>
      </c>
      <c r="AD31" s="53" t="s">
        <v>111</v>
      </c>
      <c r="AE31" s="53" t="s">
        <v>111</v>
      </c>
      <c r="AF31" s="53" t="s">
        <v>111</v>
      </c>
      <c r="AG31" s="53" t="s">
        <v>111</v>
      </c>
      <c r="AH31" s="53" t="s">
        <v>111</v>
      </c>
      <c r="AI31" s="53" t="s">
        <v>111</v>
      </c>
      <c r="AJ31" s="53" t="s">
        <v>111</v>
      </c>
      <c r="AK31" s="53" t="s">
        <v>111</v>
      </c>
      <c r="AL31" s="53" t="s">
        <v>111</v>
      </c>
      <c r="AM31" s="53" t="s">
        <v>111</v>
      </c>
      <c r="AN31" s="53" t="s">
        <v>111</v>
      </c>
      <c r="AO31" s="53" t="s">
        <v>111</v>
      </c>
      <c r="AP31" s="53" t="s">
        <v>111</v>
      </c>
      <c r="AQ31" s="53" t="s">
        <v>111</v>
      </c>
      <c r="AR31" s="53" t="s">
        <v>111</v>
      </c>
      <c r="AS31" s="53" t="s">
        <v>111</v>
      </c>
      <c r="AT31" s="53" t="s">
        <v>111</v>
      </c>
      <c r="AU31" s="53" t="s">
        <v>111</v>
      </c>
      <c r="AV31" s="53" t="s">
        <v>111</v>
      </c>
      <c r="AW31" s="53" t="s">
        <v>111</v>
      </c>
      <c r="AX31" s="53" t="s">
        <v>111</v>
      </c>
      <c r="AY31" s="53" t="s">
        <v>111</v>
      </c>
      <c r="AZ31" s="53" t="s">
        <v>111</v>
      </c>
      <c r="BA31" s="53">
        <v>5</v>
      </c>
      <c r="BB31" s="53" t="s">
        <v>111</v>
      </c>
      <c r="BC31" s="53">
        <v>110</v>
      </c>
      <c r="BD31" s="53" t="s">
        <v>111</v>
      </c>
      <c r="BE31" s="53" t="s">
        <v>111</v>
      </c>
      <c r="BF31" s="53" t="s">
        <v>111</v>
      </c>
      <c r="BG31" s="53" t="s">
        <v>111</v>
      </c>
      <c r="BH31" s="53" t="s">
        <v>111</v>
      </c>
      <c r="BI31" s="53" t="s">
        <v>111</v>
      </c>
      <c r="BJ31" s="53" t="s">
        <v>111</v>
      </c>
      <c r="BK31" s="53" t="s">
        <v>111</v>
      </c>
      <c r="BL31" s="53" t="s">
        <v>111</v>
      </c>
      <c r="BM31" s="53" t="s">
        <v>111</v>
      </c>
    </row>
    <row r="32" spans="1:65" ht="15" customHeight="1" x14ac:dyDescent="0.2">
      <c r="A32" s="53" t="s">
        <v>116</v>
      </c>
      <c r="B32" s="53" t="s">
        <v>111</v>
      </c>
      <c r="C32" s="53">
        <v>2</v>
      </c>
      <c r="D32" s="53" t="s">
        <v>111</v>
      </c>
      <c r="E32" s="53">
        <v>199</v>
      </c>
      <c r="F32" s="53" t="s">
        <v>111</v>
      </c>
      <c r="G32" s="53" t="s">
        <v>111</v>
      </c>
      <c r="H32" s="53" t="s">
        <v>111</v>
      </c>
      <c r="I32" s="53" t="s">
        <v>111</v>
      </c>
      <c r="J32" s="53" t="s">
        <v>111</v>
      </c>
      <c r="K32" s="53" t="s">
        <v>111</v>
      </c>
      <c r="L32" s="53" t="s">
        <v>111</v>
      </c>
      <c r="M32" s="53" t="s">
        <v>111</v>
      </c>
      <c r="N32" s="53" t="s">
        <v>111</v>
      </c>
      <c r="O32" s="53" t="s">
        <v>111</v>
      </c>
      <c r="P32" s="53" t="s">
        <v>111</v>
      </c>
      <c r="Q32" s="53" t="s">
        <v>111</v>
      </c>
      <c r="R32" s="53" t="s">
        <v>111</v>
      </c>
      <c r="S32" s="53">
        <v>3</v>
      </c>
      <c r="T32" s="53" t="s">
        <v>111</v>
      </c>
      <c r="U32" s="53" t="s">
        <v>111</v>
      </c>
      <c r="V32" s="53" t="s">
        <v>111</v>
      </c>
      <c r="W32" s="53" t="s">
        <v>111</v>
      </c>
      <c r="X32" s="53" t="s">
        <v>111</v>
      </c>
      <c r="Y32" s="53">
        <v>0</v>
      </c>
      <c r="Z32" s="53" t="s">
        <v>111</v>
      </c>
      <c r="AA32" s="53" t="s">
        <v>111</v>
      </c>
      <c r="AB32" s="53" t="s">
        <v>111</v>
      </c>
      <c r="AC32" s="53" t="s">
        <v>111</v>
      </c>
      <c r="AD32" s="53" t="s">
        <v>111</v>
      </c>
      <c r="AE32" s="53" t="s">
        <v>111</v>
      </c>
      <c r="AF32" s="53" t="s">
        <v>111</v>
      </c>
      <c r="AG32" s="53" t="s">
        <v>111</v>
      </c>
      <c r="AH32" s="53" t="s">
        <v>111</v>
      </c>
      <c r="AI32" s="53" t="s">
        <v>111</v>
      </c>
      <c r="AJ32" s="53" t="s">
        <v>111</v>
      </c>
      <c r="AK32" s="53" t="s">
        <v>111</v>
      </c>
      <c r="AL32" s="53" t="s">
        <v>111</v>
      </c>
      <c r="AM32" s="53" t="s">
        <v>111</v>
      </c>
      <c r="AN32" s="53" t="s">
        <v>111</v>
      </c>
      <c r="AO32" s="53" t="s">
        <v>111</v>
      </c>
      <c r="AP32" s="53" t="s">
        <v>111</v>
      </c>
      <c r="AQ32" s="53" t="s">
        <v>111</v>
      </c>
      <c r="AR32" s="53" t="s">
        <v>111</v>
      </c>
      <c r="AS32" s="53" t="s">
        <v>111</v>
      </c>
      <c r="AT32" s="53" t="s">
        <v>111</v>
      </c>
      <c r="AU32" s="53" t="s">
        <v>111</v>
      </c>
      <c r="AV32" s="53" t="s">
        <v>111</v>
      </c>
      <c r="AW32" s="53" t="s">
        <v>111</v>
      </c>
      <c r="AX32" s="53" t="s">
        <v>111</v>
      </c>
      <c r="AY32" s="53" t="s">
        <v>111</v>
      </c>
      <c r="AZ32" s="53" t="s">
        <v>111</v>
      </c>
      <c r="BA32" s="53">
        <v>9</v>
      </c>
      <c r="BB32" s="53" t="s">
        <v>111</v>
      </c>
      <c r="BC32" s="53">
        <v>127</v>
      </c>
      <c r="BD32" s="53" t="s">
        <v>111</v>
      </c>
      <c r="BE32" s="53" t="s">
        <v>111</v>
      </c>
      <c r="BF32" s="53" t="s">
        <v>111</v>
      </c>
      <c r="BG32" s="53" t="s">
        <v>111</v>
      </c>
      <c r="BH32" s="53" t="s">
        <v>111</v>
      </c>
      <c r="BI32" s="53" t="s">
        <v>111</v>
      </c>
      <c r="BJ32" s="53" t="s">
        <v>111</v>
      </c>
      <c r="BK32" s="53" t="s">
        <v>111</v>
      </c>
      <c r="BL32" s="53" t="s">
        <v>111</v>
      </c>
      <c r="BM32" s="53" t="s">
        <v>111</v>
      </c>
    </row>
    <row r="33" spans="1:65" ht="15" customHeight="1" x14ac:dyDescent="0.2">
      <c r="A33" s="53" t="s">
        <v>115</v>
      </c>
      <c r="B33" s="53" t="s">
        <v>111</v>
      </c>
      <c r="C33" s="53">
        <v>5</v>
      </c>
      <c r="D33" s="53" t="s">
        <v>111</v>
      </c>
      <c r="E33" s="53">
        <v>190</v>
      </c>
      <c r="F33" s="53" t="s">
        <v>111</v>
      </c>
      <c r="G33" s="53" t="s">
        <v>111</v>
      </c>
      <c r="H33" s="53" t="s">
        <v>111</v>
      </c>
      <c r="I33" s="53" t="s">
        <v>111</v>
      </c>
      <c r="J33" s="53" t="s">
        <v>111</v>
      </c>
      <c r="K33" s="53" t="s">
        <v>111</v>
      </c>
      <c r="L33" s="53" t="s">
        <v>111</v>
      </c>
      <c r="M33" s="53" t="s">
        <v>111</v>
      </c>
      <c r="N33" s="53" t="s">
        <v>111</v>
      </c>
      <c r="O33" s="53" t="s">
        <v>111</v>
      </c>
      <c r="P33" s="53" t="s">
        <v>111</v>
      </c>
      <c r="Q33" s="53" t="s">
        <v>111</v>
      </c>
      <c r="R33" s="53" t="s">
        <v>111</v>
      </c>
      <c r="S33" s="53">
        <v>5</v>
      </c>
      <c r="T33" s="53" t="s">
        <v>111</v>
      </c>
      <c r="U33" s="53" t="s">
        <v>111</v>
      </c>
      <c r="V33" s="53" t="s">
        <v>111</v>
      </c>
      <c r="W33" s="53" t="s">
        <v>111</v>
      </c>
      <c r="X33" s="53" t="s">
        <v>111</v>
      </c>
      <c r="Y33" s="53">
        <v>0</v>
      </c>
      <c r="Z33" s="53" t="s">
        <v>111</v>
      </c>
      <c r="AA33" s="53" t="s">
        <v>111</v>
      </c>
      <c r="AB33" s="53" t="s">
        <v>111</v>
      </c>
      <c r="AC33" s="53" t="s">
        <v>111</v>
      </c>
      <c r="AD33" s="53" t="s">
        <v>111</v>
      </c>
      <c r="AE33" s="53" t="s">
        <v>111</v>
      </c>
      <c r="AF33" s="53" t="s">
        <v>111</v>
      </c>
      <c r="AG33" s="53" t="s">
        <v>111</v>
      </c>
      <c r="AH33" s="53" t="s">
        <v>111</v>
      </c>
      <c r="AI33" s="53" t="s">
        <v>111</v>
      </c>
      <c r="AJ33" s="53" t="s">
        <v>111</v>
      </c>
      <c r="AK33" s="53" t="s">
        <v>111</v>
      </c>
      <c r="AL33" s="53" t="s">
        <v>111</v>
      </c>
      <c r="AM33" s="53" t="s">
        <v>111</v>
      </c>
      <c r="AN33" s="53" t="s">
        <v>111</v>
      </c>
      <c r="AO33" s="53" t="s">
        <v>111</v>
      </c>
      <c r="AP33" s="53" t="s">
        <v>111</v>
      </c>
      <c r="AQ33" s="53" t="s">
        <v>111</v>
      </c>
      <c r="AR33" s="53" t="s">
        <v>111</v>
      </c>
      <c r="AS33" s="53" t="s">
        <v>111</v>
      </c>
      <c r="AT33" s="53" t="s">
        <v>111</v>
      </c>
      <c r="AU33" s="53" t="s">
        <v>111</v>
      </c>
      <c r="AV33" s="53" t="s">
        <v>111</v>
      </c>
      <c r="AW33" s="53" t="s">
        <v>111</v>
      </c>
      <c r="AX33" s="53" t="s">
        <v>111</v>
      </c>
      <c r="AY33" s="53" t="s">
        <v>111</v>
      </c>
      <c r="AZ33" s="53" t="s">
        <v>111</v>
      </c>
      <c r="BA33" s="53">
        <v>14</v>
      </c>
      <c r="BB33" s="53" t="s">
        <v>111</v>
      </c>
      <c r="BC33" s="53">
        <v>138</v>
      </c>
      <c r="BD33" s="53" t="s">
        <v>111</v>
      </c>
      <c r="BE33" s="53" t="s">
        <v>111</v>
      </c>
      <c r="BF33" s="53" t="s">
        <v>111</v>
      </c>
      <c r="BG33" s="53" t="s">
        <v>111</v>
      </c>
      <c r="BH33" s="53" t="s">
        <v>111</v>
      </c>
      <c r="BI33" s="53" t="s">
        <v>111</v>
      </c>
      <c r="BJ33" s="53" t="s">
        <v>111</v>
      </c>
      <c r="BK33" s="53" t="s">
        <v>111</v>
      </c>
      <c r="BL33" s="53" t="s">
        <v>111</v>
      </c>
      <c r="BM33" s="53" t="s">
        <v>111</v>
      </c>
    </row>
    <row r="34" spans="1:65" ht="15" customHeight="1" x14ac:dyDescent="0.2">
      <c r="A34" s="53" t="s">
        <v>114</v>
      </c>
      <c r="B34" s="53" t="s">
        <v>111</v>
      </c>
      <c r="C34" s="53">
        <v>4</v>
      </c>
      <c r="D34" s="53" t="s">
        <v>111</v>
      </c>
      <c r="E34" s="53">
        <v>187</v>
      </c>
      <c r="F34" s="53" t="s">
        <v>111</v>
      </c>
      <c r="G34" s="53" t="s">
        <v>111</v>
      </c>
      <c r="H34" s="53" t="s">
        <v>111</v>
      </c>
      <c r="I34" s="53" t="s">
        <v>111</v>
      </c>
      <c r="J34" s="53" t="s">
        <v>111</v>
      </c>
      <c r="K34" s="53" t="s">
        <v>111</v>
      </c>
      <c r="L34" s="53" t="s">
        <v>111</v>
      </c>
      <c r="M34" s="53" t="s">
        <v>111</v>
      </c>
      <c r="N34" s="53" t="s">
        <v>111</v>
      </c>
      <c r="O34" s="53" t="s">
        <v>111</v>
      </c>
      <c r="P34" s="53" t="s">
        <v>111</v>
      </c>
      <c r="Q34" s="53" t="s">
        <v>111</v>
      </c>
      <c r="R34" s="53" t="s">
        <v>111</v>
      </c>
      <c r="S34" s="53">
        <v>4</v>
      </c>
      <c r="T34" s="53" t="s">
        <v>111</v>
      </c>
      <c r="U34" s="53" t="s">
        <v>111</v>
      </c>
      <c r="V34" s="53" t="s">
        <v>111</v>
      </c>
      <c r="W34" s="53" t="s">
        <v>111</v>
      </c>
      <c r="X34" s="53" t="s">
        <v>111</v>
      </c>
      <c r="Y34" s="53">
        <v>0</v>
      </c>
      <c r="Z34" s="53" t="s">
        <v>111</v>
      </c>
      <c r="AA34" s="53" t="s">
        <v>111</v>
      </c>
      <c r="AB34" s="53" t="s">
        <v>111</v>
      </c>
      <c r="AC34" s="53" t="s">
        <v>111</v>
      </c>
      <c r="AD34" s="53" t="s">
        <v>111</v>
      </c>
      <c r="AE34" s="53" t="s">
        <v>111</v>
      </c>
      <c r="AF34" s="53" t="s">
        <v>111</v>
      </c>
      <c r="AG34" s="53" t="s">
        <v>111</v>
      </c>
      <c r="AH34" s="53" t="s">
        <v>111</v>
      </c>
      <c r="AI34" s="53" t="s">
        <v>111</v>
      </c>
      <c r="AJ34" s="53" t="s">
        <v>111</v>
      </c>
      <c r="AK34" s="53" t="s">
        <v>111</v>
      </c>
      <c r="AL34" s="53" t="s">
        <v>111</v>
      </c>
      <c r="AM34" s="53" t="s">
        <v>111</v>
      </c>
      <c r="AN34" s="53" t="s">
        <v>111</v>
      </c>
      <c r="AO34" s="53" t="s">
        <v>111</v>
      </c>
      <c r="AP34" s="53" t="s">
        <v>111</v>
      </c>
      <c r="AQ34" s="53" t="s">
        <v>111</v>
      </c>
      <c r="AR34" s="53" t="s">
        <v>111</v>
      </c>
      <c r="AS34" s="53" t="s">
        <v>111</v>
      </c>
      <c r="AT34" s="53" t="s">
        <v>111</v>
      </c>
      <c r="AU34" s="53" t="s">
        <v>111</v>
      </c>
      <c r="AV34" s="53" t="s">
        <v>111</v>
      </c>
      <c r="AW34" s="53" t="s">
        <v>111</v>
      </c>
      <c r="AX34" s="53" t="s">
        <v>111</v>
      </c>
      <c r="AY34" s="53" t="s">
        <v>111</v>
      </c>
      <c r="AZ34" s="53" t="s">
        <v>111</v>
      </c>
      <c r="BA34" s="53">
        <v>7</v>
      </c>
      <c r="BB34" s="53" t="s">
        <v>111</v>
      </c>
      <c r="BC34" s="53">
        <v>121</v>
      </c>
      <c r="BD34" s="53" t="s">
        <v>111</v>
      </c>
      <c r="BE34" s="53" t="s">
        <v>111</v>
      </c>
      <c r="BF34" s="53" t="s">
        <v>111</v>
      </c>
      <c r="BG34" s="53" t="s">
        <v>111</v>
      </c>
      <c r="BH34" s="53" t="s">
        <v>111</v>
      </c>
      <c r="BI34" s="53" t="s">
        <v>111</v>
      </c>
      <c r="BJ34" s="53" t="s">
        <v>111</v>
      </c>
      <c r="BK34" s="53" t="s">
        <v>111</v>
      </c>
      <c r="BL34" s="53" t="s">
        <v>111</v>
      </c>
      <c r="BM34" s="53" t="s">
        <v>111</v>
      </c>
    </row>
    <row r="35" spans="1:65" ht="15" customHeight="1" x14ac:dyDescent="0.2">
      <c r="A35" s="53" t="s">
        <v>113</v>
      </c>
      <c r="B35" s="53" t="s">
        <v>111</v>
      </c>
      <c r="C35" s="53">
        <v>2</v>
      </c>
      <c r="D35" s="53" t="s">
        <v>111</v>
      </c>
      <c r="E35" s="53">
        <v>201</v>
      </c>
      <c r="F35" s="53" t="s">
        <v>111</v>
      </c>
      <c r="G35" s="53" t="s">
        <v>111</v>
      </c>
      <c r="H35" s="53" t="s">
        <v>111</v>
      </c>
      <c r="I35" s="53" t="s">
        <v>111</v>
      </c>
      <c r="J35" s="53" t="s">
        <v>111</v>
      </c>
      <c r="K35" s="53" t="s">
        <v>111</v>
      </c>
      <c r="L35" s="53" t="s">
        <v>111</v>
      </c>
      <c r="M35" s="53" t="s">
        <v>111</v>
      </c>
      <c r="N35" s="53" t="s">
        <v>111</v>
      </c>
      <c r="O35" s="53" t="s">
        <v>111</v>
      </c>
      <c r="P35" s="53" t="s">
        <v>111</v>
      </c>
      <c r="Q35" s="53" t="s">
        <v>111</v>
      </c>
      <c r="R35" s="53" t="s">
        <v>111</v>
      </c>
      <c r="S35" s="53">
        <v>3</v>
      </c>
      <c r="T35" s="53" t="s">
        <v>111</v>
      </c>
      <c r="U35" s="53" t="s">
        <v>111</v>
      </c>
      <c r="V35" s="53" t="s">
        <v>111</v>
      </c>
      <c r="W35" s="53" t="s">
        <v>111</v>
      </c>
      <c r="X35" s="53" t="s">
        <v>111</v>
      </c>
      <c r="Y35" s="53">
        <v>0</v>
      </c>
      <c r="Z35" s="53" t="s">
        <v>111</v>
      </c>
      <c r="AA35" s="53" t="s">
        <v>111</v>
      </c>
      <c r="AB35" s="53" t="s">
        <v>111</v>
      </c>
      <c r="AC35" s="53" t="s">
        <v>111</v>
      </c>
      <c r="AD35" s="53" t="s">
        <v>111</v>
      </c>
      <c r="AE35" s="53" t="s">
        <v>111</v>
      </c>
      <c r="AF35" s="53" t="s">
        <v>111</v>
      </c>
      <c r="AG35" s="53" t="s">
        <v>111</v>
      </c>
      <c r="AH35" s="53" t="s">
        <v>111</v>
      </c>
      <c r="AI35" s="53" t="s">
        <v>111</v>
      </c>
      <c r="AJ35" s="53" t="s">
        <v>111</v>
      </c>
      <c r="AK35" s="53" t="s">
        <v>111</v>
      </c>
      <c r="AL35" s="53" t="s">
        <v>111</v>
      </c>
      <c r="AM35" s="53" t="s">
        <v>111</v>
      </c>
      <c r="AN35" s="53" t="s">
        <v>111</v>
      </c>
      <c r="AO35" s="53" t="s">
        <v>111</v>
      </c>
      <c r="AP35" s="53" t="s">
        <v>111</v>
      </c>
      <c r="AQ35" s="53" t="s">
        <v>111</v>
      </c>
      <c r="AR35" s="53" t="s">
        <v>111</v>
      </c>
      <c r="AS35" s="53" t="s">
        <v>111</v>
      </c>
      <c r="AT35" s="53" t="s">
        <v>111</v>
      </c>
      <c r="AU35" s="53" t="s">
        <v>111</v>
      </c>
      <c r="AV35" s="53" t="s">
        <v>111</v>
      </c>
      <c r="AW35" s="53" t="s">
        <v>111</v>
      </c>
      <c r="AX35" s="53" t="s">
        <v>111</v>
      </c>
      <c r="AY35" s="53" t="s">
        <v>111</v>
      </c>
      <c r="AZ35" s="53" t="s">
        <v>111</v>
      </c>
      <c r="BA35" s="53">
        <v>1</v>
      </c>
      <c r="BB35" s="53" t="s">
        <v>111</v>
      </c>
      <c r="BC35" s="53">
        <v>118</v>
      </c>
      <c r="BD35" s="53" t="s">
        <v>111</v>
      </c>
      <c r="BE35" s="53" t="s">
        <v>111</v>
      </c>
      <c r="BF35" s="53" t="s">
        <v>111</v>
      </c>
      <c r="BG35" s="53" t="s">
        <v>111</v>
      </c>
      <c r="BH35" s="53" t="s">
        <v>111</v>
      </c>
      <c r="BI35" s="53" t="s">
        <v>111</v>
      </c>
      <c r="BJ35" s="53" t="s">
        <v>111</v>
      </c>
      <c r="BK35" s="53" t="s">
        <v>111</v>
      </c>
      <c r="BL35" s="53" t="s">
        <v>111</v>
      </c>
      <c r="BM35" s="53" t="s">
        <v>111</v>
      </c>
    </row>
    <row r="36" spans="1:65" ht="15" customHeight="1" x14ac:dyDescent="0.2">
      <c r="A36" s="53" t="s">
        <v>112</v>
      </c>
      <c r="B36" s="53" t="s">
        <v>111</v>
      </c>
      <c r="C36" s="53">
        <v>1</v>
      </c>
      <c r="D36" s="53" t="s">
        <v>111</v>
      </c>
      <c r="E36" s="53">
        <v>198</v>
      </c>
      <c r="F36" s="53" t="s">
        <v>111</v>
      </c>
      <c r="G36" s="53" t="s">
        <v>111</v>
      </c>
      <c r="H36" s="53" t="s">
        <v>111</v>
      </c>
      <c r="I36" s="53" t="s">
        <v>111</v>
      </c>
      <c r="J36" s="53" t="s">
        <v>111</v>
      </c>
      <c r="K36" s="53" t="s">
        <v>111</v>
      </c>
      <c r="L36" s="53" t="s">
        <v>111</v>
      </c>
      <c r="M36" s="53" t="s">
        <v>111</v>
      </c>
      <c r="N36" s="53" t="s">
        <v>111</v>
      </c>
      <c r="O36" s="53" t="s">
        <v>111</v>
      </c>
      <c r="P36" s="53" t="s">
        <v>111</v>
      </c>
      <c r="Q36" s="53" t="s">
        <v>111</v>
      </c>
      <c r="R36" s="53" t="s">
        <v>111</v>
      </c>
      <c r="S36" s="53">
        <v>1</v>
      </c>
      <c r="T36" s="53" t="s">
        <v>111</v>
      </c>
      <c r="U36" s="53" t="s">
        <v>111</v>
      </c>
      <c r="V36" s="53" t="s">
        <v>111</v>
      </c>
      <c r="W36" s="53" t="s">
        <v>111</v>
      </c>
      <c r="X36" s="53" t="s">
        <v>111</v>
      </c>
      <c r="Y36" s="53">
        <v>0</v>
      </c>
      <c r="Z36" s="53" t="s">
        <v>111</v>
      </c>
      <c r="AA36" s="53" t="s">
        <v>111</v>
      </c>
      <c r="AB36" s="53" t="s">
        <v>111</v>
      </c>
      <c r="AC36" s="53" t="s">
        <v>111</v>
      </c>
      <c r="AD36" s="53" t="s">
        <v>111</v>
      </c>
      <c r="AE36" s="53" t="s">
        <v>111</v>
      </c>
      <c r="AF36" s="53" t="s">
        <v>111</v>
      </c>
      <c r="AG36" s="53" t="s">
        <v>111</v>
      </c>
      <c r="AH36" s="53" t="s">
        <v>111</v>
      </c>
      <c r="AI36" s="53" t="s">
        <v>111</v>
      </c>
      <c r="AJ36" s="53" t="s">
        <v>111</v>
      </c>
      <c r="AK36" s="53" t="s">
        <v>111</v>
      </c>
      <c r="AL36" s="53" t="s">
        <v>111</v>
      </c>
      <c r="AM36" s="53" t="s">
        <v>111</v>
      </c>
      <c r="AN36" s="53" t="s">
        <v>111</v>
      </c>
      <c r="AO36" s="53" t="s">
        <v>111</v>
      </c>
      <c r="AP36" s="53" t="s">
        <v>111</v>
      </c>
      <c r="AQ36" s="53" t="s">
        <v>111</v>
      </c>
      <c r="AR36" s="53" t="s">
        <v>111</v>
      </c>
      <c r="AS36" s="53" t="s">
        <v>111</v>
      </c>
      <c r="AT36" s="53" t="s">
        <v>111</v>
      </c>
      <c r="AU36" s="53" t="s">
        <v>111</v>
      </c>
      <c r="AV36" s="53" t="s">
        <v>111</v>
      </c>
      <c r="AW36" s="53" t="s">
        <v>111</v>
      </c>
      <c r="AX36" s="53" t="s">
        <v>111</v>
      </c>
      <c r="AY36" s="53" t="s">
        <v>111</v>
      </c>
      <c r="AZ36" s="53" t="s">
        <v>111</v>
      </c>
      <c r="BA36" s="53">
        <v>8</v>
      </c>
      <c r="BB36" s="53" t="s">
        <v>111</v>
      </c>
      <c r="BC36" s="53">
        <v>90</v>
      </c>
      <c r="BD36" s="53" t="s">
        <v>111</v>
      </c>
      <c r="BE36" s="53" t="s">
        <v>111</v>
      </c>
      <c r="BF36" s="53" t="s">
        <v>111</v>
      </c>
      <c r="BG36" s="53" t="s">
        <v>111</v>
      </c>
      <c r="BH36" s="53" t="s">
        <v>111</v>
      </c>
      <c r="BI36" s="53" t="s">
        <v>111</v>
      </c>
      <c r="BJ36" s="53" t="s">
        <v>111</v>
      </c>
      <c r="BK36" s="53" t="s">
        <v>111</v>
      </c>
      <c r="BL36" s="53" t="s">
        <v>111</v>
      </c>
      <c r="BM36" s="53"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C2DB-BB8E-47CE-B742-604D4616306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111</v>
      </c>
      <c r="B6" s="62"/>
      <c r="C6" s="61" t="s">
        <v>111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111</v>
      </c>
      <c r="B7" s="62"/>
      <c r="C7" s="61" t="s">
        <v>111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111</v>
      </c>
      <c r="B8" s="62"/>
      <c r="C8" s="61" t="s">
        <v>111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111</v>
      </c>
      <c r="B9" s="62"/>
      <c r="C9" s="61" t="s">
        <v>111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111</v>
      </c>
      <c r="B12" s="60" t="s">
        <v>152</v>
      </c>
      <c r="C12" s="59"/>
      <c r="D12" s="59"/>
      <c r="E12" s="59"/>
      <c r="F12" s="59"/>
      <c r="G12" s="59"/>
      <c r="H12" s="59"/>
      <c r="I12" s="58"/>
      <c r="J12" s="60" t="s">
        <v>150</v>
      </c>
      <c r="K12" s="59"/>
      <c r="L12" s="59"/>
      <c r="M12" s="59"/>
      <c r="N12" s="59"/>
      <c r="O12" s="59"/>
      <c r="P12" s="59"/>
      <c r="Q12" s="58"/>
      <c r="R12" s="60" t="s">
        <v>153</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111</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111</v>
      </c>
      <c r="C15" s="53">
        <v>0</v>
      </c>
      <c r="D15" s="53" t="s">
        <v>111</v>
      </c>
      <c r="E15" s="53">
        <v>8</v>
      </c>
      <c r="F15" s="53" t="s">
        <v>111</v>
      </c>
      <c r="G15" s="53" t="s">
        <v>111</v>
      </c>
      <c r="H15" s="53" t="s">
        <v>111</v>
      </c>
      <c r="I15" s="53" t="s">
        <v>111</v>
      </c>
      <c r="J15" s="53" t="s">
        <v>111</v>
      </c>
      <c r="K15" s="53" t="s">
        <v>111</v>
      </c>
      <c r="L15" s="53" t="s">
        <v>111</v>
      </c>
      <c r="M15" s="53" t="s">
        <v>111</v>
      </c>
      <c r="N15" s="53" t="s">
        <v>111</v>
      </c>
      <c r="O15" s="53" t="s">
        <v>111</v>
      </c>
      <c r="P15" s="53" t="s">
        <v>111</v>
      </c>
      <c r="Q15" s="53" t="s">
        <v>111</v>
      </c>
      <c r="R15" s="53" t="s">
        <v>111</v>
      </c>
      <c r="S15" s="53">
        <v>0</v>
      </c>
      <c r="T15" s="53" t="s">
        <v>111</v>
      </c>
      <c r="U15" s="53" t="s">
        <v>111</v>
      </c>
      <c r="V15" s="53" t="s">
        <v>111</v>
      </c>
      <c r="W15" s="53" t="s">
        <v>111</v>
      </c>
      <c r="X15" s="53" t="s">
        <v>111</v>
      </c>
      <c r="Y15" s="53">
        <v>0</v>
      </c>
      <c r="Z15" s="53" t="s">
        <v>111</v>
      </c>
      <c r="AA15" s="53" t="s">
        <v>111</v>
      </c>
      <c r="AB15" s="53" t="s">
        <v>111</v>
      </c>
      <c r="AC15" s="53" t="s">
        <v>111</v>
      </c>
      <c r="AD15" s="53" t="s">
        <v>111</v>
      </c>
      <c r="AE15" s="53" t="s">
        <v>111</v>
      </c>
      <c r="AF15" s="53" t="s">
        <v>111</v>
      </c>
      <c r="AG15" s="53" t="s">
        <v>111</v>
      </c>
      <c r="AH15" s="53" t="s">
        <v>111</v>
      </c>
      <c r="AI15" s="53" t="s">
        <v>111</v>
      </c>
      <c r="AJ15" s="53" t="s">
        <v>111</v>
      </c>
      <c r="AK15" s="53" t="s">
        <v>111</v>
      </c>
      <c r="AL15" s="53" t="s">
        <v>111</v>
      </c>
      <c r="AM15" s="53" t="s">
        <v>111</v>
      </c>
      <c r="AN15" s="53" t="s">
        <v>111</v>
      </c>
      <c r="AO15" s="53" t="s">
        <v>111</v>
      </c>
      <c r="AP15" s="53" t="s">
        <v>111</v>
      </c>
      <c r="AQ15" s="53" t="s">
        <v>111</v>
      </c>
      <c r="AR15" s="53" t="s">
        <v>111</v>
      </c>
      <c r="AS15" s="53" t="s">
        <v>111</v>
      </c>
      <c r="AT15" s="53" t="s">
        <v>111</v>
      </c>
      <c r="AU15" s="53" t="s">
        <v>111</v>
      </c>
      <c r="AV15" s="53" t="s">
        <v>111</v>
      </c>
      <c r="AW15" s="53" t="s">
        <v>111</v>
      </c>
      <c r="AX15" s="53" t="s">
        <v>111</v>
      </c>
      <c r="AY15" s="53" t="s">
        <v>111</v>
      </c>
      <c r="AZ15" s="53" t="s">
        <v>111</v>
      </c>
      <c r="BA15" s="53">
        <v>0</v>
      </c>
      <c r="BB15" s="53" t="s">
        <v>111</v>
      </c>
      <c r="BC15" s="53">
        <v>0</v>
      </c>
      <c r="BD15" s="53" t="s">
        <v>111</v>
      </c>
      <c r="BE15" s="53" t="s">
        <v>111</v>
      </c>
      <c r="BF15" s="53" t="s">
        <v>111</v>
      </c>
      <c r="BG15" s="53" t="s">
        <v>111</v>
      </c>
      <c r="BH15" s="53" t="s">
        <v>111</v>
      </c>
      <c r="BI15" s="53" t="s">
        <v>111</v>
      </c>
      <c r="BJ15" s="53" t="s">
        <v>111</v>
      </c>
      <c r="BK15" s="53" t="s">
        <v>111</v>
      </c>
      <c r="BL15" s="53" t="s">
        <v>111</v>
      </c>
      <c r="BM15" s="53" t="s">
        <v>111</v>
      </c>
    </row>
    <row r="16" spans="1:65" ht="15" customHeight="1" x14ac:dyDescent="0.2">
      <c r="A16" s="53" t="s">
        <v>132</v>
      </c>
      <c r="B16" s="53" t="s">
        <v>111</v>
      </c>
      <c r="C16" s="53">
        <v>0</v>
      </c>
      <c r="D16" s="53" t="s">
        <v>111</v>
      </c>
      <c r="E16" s="53">
        <v>7</v>
      </c>
      <c r="F16" s="53" t="s">
        <v>111</v>
      </c>
      <c r="G16" s="53" t="s">
        <v>111</v>
      </c>
      <c r="H16" s="53" t="s">
        <v>111</v>
      </c>
      <c r="I16" s="53" t="s">
        <v>111</v>
      </c>
      <c r="J16" s="53" t="s">
        <v>111</v>
      </c>
      <c r="K16" s="53" t="s">
        <v>111</v>
      </c>
      <c r="L16" s="53" t="s">
        <v>111</v>
      </c>
      <c r="M16" s="53" t="s">
        <v>111</v>
      </c>
      <c r="N16" s="53" t="s">
        <v>111</v>
      </c>
      <c r="O16" s="53" t="s">
        <v>111</v>
      </c>
      <c r="P16" s="53" t="s">
        <v>111</v>
      </c>
      <c r="Q16" s="53" t="s">
        <v>111</v>
      </c>
      <c r="R16" s="53" t="s">
        <v>111</v>
      </c>
      <c r="S16" s="53">
        <v>0</v>
      </c>
      <c r="T16" s="53" t="s">
        <v>111</v>
      </c>
      <c r="U16" s="53" t="s">
        <v>111</v>
      </c>
      <c r="V16" s="53" t="s">
        <v>111</v>
      </c>
      <c r="W16" s="53" t="s">
        <v>111</v>
      </c>
      <c r="X16" s="53" t="s">
        <v>111</v>
      </c>
      <c r="Y16" s="53">
        <v>0</v>
      </c>
      <c r="Z16" s="53" t="s">
        <v>111</v>
      </c>
      <c r="AA16" s="53" t="s">
        <v>111</v>
      </c>
      <c r="AB16" s="53" t="s">
        <v>111</v>
      </c>
      <c r="AC16" s="53" t="s">
        <v>111</v>
      </c>
      <c r="AD16" s="53" t="s">
        <v>111</v>
      </c>
      <c r="AE16" s="53" t="s">
        <v>111</v>
      </c>
      <c r="AF16" s="53" t="s">
        <v>111</v>
      </c>
      <c r="AG16" s="53" t="s">
        <v>111</v>
      </c>
      <c r="AH16" s="53" t="s">
        <v>111</v>
      </c>
      <c r="AI16" s="53" t="s">
        <v>111</v>
      </c>
      <c r="AJ16" s="53" t="s">
        <v>111</v>
      </c>
      <c r="AK16" s="53" t="s">
        <v>111</v>
      </c>
      <c r="AL16" s="53" t="s">
        <v>111</v>
      </c>
      <c r="AM16" s="53" t="s">
        <v>111</v>
      </c>
      <c r="AN16" s="53" t="s">
        <v>111</v>
      </c>
      <c r="AO16" s="53" t="s">
        <v>111</v>
      </c>
      <c r="AP16" s="53" t="s">
        <v>111</v>
      </c>
      <c r="AQ16" s="53" t="s">
        <v>111</v>
      </c>
      <c r="AR16" s="53" t="s">
        <v>111</v>
      </c>
      <c r="AS16" s="53" t="s">
        <v>111</v>
      </c>
      <c r="AT16" s="53" t="s">
        <v>111</v>
      </c>
      <c r="AU16" s="53" t="s">
        <v>111</v>
      </c>
      <c r="AV16" s="53" t="s">
        <v>111</v>
      </c>
      <c r="AW16" s="53" t="s">
        <v>111</v>
      </c>
      <c r="AX16" s="53" t="s">
        <v>111</v>
      </c>
      <c r="AY16" s="53" t="s">
        <v>111</v>
      </c>
      <c r="AZ16" s="53" t="s">
        <v>111</v>
      </c>
      <c r="BA16" s="53">
        <v>0</v>
      </c>
      <c r="BB16" s="53" t="s">
        <v>111</v>
      </c>
      <c r="BC16" s="53">
        <v>0</v>
      </c>
      <c r="BD16" s="53" t="s">
        <v>111</v>
      </c>
      <c r="BE16" s="53" t="s">
        <v>111</v>
      </c>
      <c r="BF16" s="53" t="s">
        <v>111</v>
      </c>
      <c r="BG16" s="53" t="s">
        <v>111</v>
      </c>
      <c r="BH16" s="53" t="s">
        <v>111</v>
      </c>
      <c r="BI16" s="53" t="s">
        <v>111</v>
      </c>
      <c r="BJ16" s="53" t="s">
        <v>111</v>
      </c>
      <c r="BK16" s="53" t="s">
        <v>111</v>
      </c>
      <c r="BL16" s="53" t="s">
        <v>111</v>
      </c>
      <c r="BM16" s="53" t="s">
        <v>111</v>
      </c>
    </row>
    <row r="17" spans="1:65" ht="15" customHeight="1" x14ac:dyDescent="0.2">
      <c r="A17" s="53" t="s">
        <v>131</v>
      </c>
      <c r="B17" s="53" t="s">
        <v>111</v>
      </c>
      <c r="C17" s="53">
        <v>0</v>
      </c>
      <c r="D17" s="53" t="s">
        <v>111</v>
      </c>
      <c r="E17" s="53">
        <v>4</v>
      </c>
      <c r="F17" s="53" t="s">
        <v>111</v>
      </c>
      <c r="G17" s="53" t="s">
        <v>111</v>
      </c>
      <c r="H17" s="53" t="s">
        <v>111</v>
      </c>
      <c r="I17" s="53" t="s">
        <v>111</v>
      </c>
      <c r="J17" s="53" t="s">
        <v>111</v>
      </c>
      <c r="K17" s="53" t="s">
        <v>111</v>
      </c>
      <c r="L17" s="53" t="s">
        <v>111</v>
      </c>
      <c r="M17" s="53" t="s">
        <v>111</v>
      </c>
      <c r="N17" s="53" t="s">
        <v>111</v>
      </c>
      <c r="O17" s="53" t="s">
        <v>111</v>
      </c>
      <c r="P17" s="53" t="s">
        <v>111</v>
      </c>
      <c r="Q17" s="53" t="s">
        <v>111</v>
      </c>
      <c r="R17" s="53" t="s">
        <v>111</v>
      </c>
      <c r="S17" s="53">
        <v>0</v>
      </c>
      <c r="T17" s="53" t="s">
        <v>111</v>
      </c>
      <c r="U17" s="53" t="s">
        <v>111</v>
      </c>
      <c r="V17" s="53" t="s">
        <v>111</v>
      </c>
      <c r="W17" s="53" t="s">
        <v>111</v>
      </c>
      <c r="X17" s="53" t="s">
        <v>111</v>
      </c>
      <c r="Y17" s="53">
        <v>0</v>
      </c>
      <c r="Z17" s="53" t="s">
        <v>111</v>
      </c>
      <c r="AA17" s="53" t="s">
        <v>111</v>
      </c>
      <c r="AB17" s="53" t="s">
        <v>111</v>
      </c>
      <c r="AC17" s="53" t="s">
        <v>111</v>
      </c>
      <c r="AD17" s="53" t="s">
        <v>111</v>
      </c>
      <c r="AE17" s="53" t="s">
        <v>111</v>
      </c>
      <c r="AF17" s="53" t="s">
        <v>111</v>
      </c>
      <c r="AG17" s="53" t="s">
        <v>111</v>
      </c>
      <c r="AH17" s="53" t="s">
        <v>111</v>
      </c>
      <c r="AI17" s="53" t="s">
        <v>111</v>
      </c>
      <c r="AJ17" s="53" t="s">
        <v>111</v>
      </c>
      <c r="AK17" s="53" t="s">
        <v>111</v>
      </c>
      <c r="AL17" s="53" t="s">
        <v>111</v>
      </c>
      <c r="AM17" s="53" t="s">
        <v>111</v>
      </c>
      <c r="AN17" s="53" t="s">
        <v>111</v>
      </c>
      <c r="AO17" s="53" t="s">
        <v>111</v>
      </c>
      <c r="AP17" s="53" t="s">
        <v>111</v>
      </c>
      <c r="AQ17" s="53" t="s">
        <v>111</v>
      </c>
      <c r="AR17" s="53" t="s">
        <v>111</v>
      </c>
      <c r="AS17" s="53" t="s">
        <v>111</v>
      </c>
      <c r="AT17" s="53" t="s">
        <v>111</v>
      </c>
      <c r="AU17" s="53" t="s">
        <v>111</v>
      </c>
      <c r="AV17" s="53" t="s">
        <v>111</v>
      </c>
      <c r="AW17" s="53" t="s">
        <v>111</v>
      </c>
      <c r="AX17" s="53" t="s">
        <v>111</v>
      </c>
      <c r="AY17" s="53" t="s">
        <v>111</v>
      </c>
      <c r="AZ17" s="53" t="s">
        <v>111</v>
      </c>
      <c r="BA17" s="53">
        <v>0</v>
      </c>
      <c r="BB17" s="53" t="s">
        <v>111</v>
      </c>
      <c r="BC17" s="53">
        <v>1</v>
      </c>
      <c r="BD17" s="53" t="s">
        <v>111</v>
      </c>
      <c r="BE17" s="53" t="s">
        <v>111</v>
      </c>
      <c r="BF17" s="53" t="s">
        <v>111</v>
      </c>
      <c r="BG17" s="53" t="s">
        <v>111</v>
      </c>
      <c r="BH17" s="53" t="s">
        <v>111</v>
      </c>
      <c r="BI17" s="53" t="s">
        <v>111</v>
      </c>
      <c r="BJ17" s="53" t="s">
        <v>111</v>
      </c>
      <c r="BK17" s="53" t="s">
        <v>111</v>
      </c>
      <c r="BL17" s="53" t="s">
        <v>111</v>
      </c>
      <c r="BM17" s="53" t="s">
        <v>111</v>
      </c>
    </row>
    <row r="18" spans="1:65" ht="15" customHeight="1" x14ac:dyDescent="0.2">
      <c r="A18" s="53" t="s">
        <v>130</v>
      </c>
      <c r="B18" s="53" t="s">
        <v>111</v>
      </c>
      <c r="C18" s="53">
        <v>0</v>
      </c>
      <c r="D18" s="53" t="s">
        <v>111</v>
      </c>
      <c r="E18" s="53">
        <v>11</v>
      </c>
      <c r="F18" s="53" t="s">
        <v>111</v>
      </c>
      <c r="G18" s="53" t="s">
        <v>111</v>
      </c>
      <c r="H18" s="53" t="s">
        <v>111</v>
      </c>
      <c r="I18" s="53" t="s">
        <v>111</v>
      </c>
      <c r="J18" s="53" t="s">
        <v>111</v>
      </c>
      <c r="K18" s="53" t="s">
        <v>111</v>
      </c>
      <c r="L18" s="53" t="s">
        <v>111</v>
      </c>
      <c r="M18" s="53" t="s">
        <v>111</v>
      </c>
      <c r="N18" s="53" t="s">
        <v>111</v>
      </c>
      <c r="O18" s="53" t="s">
        <v>111</v>
      </c>
      <c r="P18" s="53" t="s">
        <v>111</v>
      </c>
      <c r="Q18" s="53" t="s">
        <v>111</v>
      </c>
      <c r="R18" s="53" t="s">
        <v>111</v>
      </c>
      <c r="S18" s="53">
        <v>0</v>
      </c>
      <c r="T18" s="53" t="s">
        <v>111</v>
      </c>
      <c r="U18" s="53" t="s">
        <v>111</v>
      </c>
      <c r="V18" s="53" t="s">
        <v>111</v>
      </c>
      <c r="W18" s="53" t="s">
        <v>111</v>
      </c>
      <c r="X18" s="53" t="s">
        <v>111</v>
      </c>
      <c r="Y18" s="53">
        <v>0</v>
      </c>
      <c r="Z18" s="53" t="s">
        <v>111</v>
      </c>
      <c r="AA18" s="53" t="s">
        <v>111</v>
      </c>
      <c r="AB18" s="53" t="s">
        <v>111</v>
      </c>
      <c r="AC18" s="53" t="s">
        <v>111</v>
      </c>
      <c r="AD18" s="53" t="s">
        <v>111</v>
      </c>
      <c r="AE18" s="53" t="s">
        <v>111</v>
      </c>
      <c r="AF18" s="53" t="s">
        <v>111</v>
      </c>
      <c r="AG18" s="53" t="s">
        <v>111</v>
      </c>
      <c r="AH18" s="53" t="s">
        <v>111</v>
      </c>
      <c r="AI18" s="53" t="s">
        <v>111</v>
      </c>
      <c r="AJ18" s="53" t="s">
        <v>111</v>
      </c>
      <c r="AK18" s="53" t="s">
        <v>111</v>
      </c>
      <c r="AL18" s="53" t="s">
        <v>111</v>
      </c>
      <c r="AM18" s="53" t="s">
        <v>111</v>
      </c>
      <c r="AN18" s="53" t="s">
        <v>111</v>
      </c>
      <c r="AO18" s="53" t="s">
        <v>111</v>
      </c>
      <c r="AP18" s="53" t="s">
        <v>111</v>
      </c>
      <c r="AQ18" s="53" t="s">
        <v>111</v>
      </c>
      <c r="AR18" s="53" t="s">
        <v>111</v>
      </c>
      <c r="AS18" s="53" t="s">
        <v>111</v>
      </c>
      <c r="AT18" s="53" t="s">
        <v>111</v>
      </c>
      <c r="AU18" s="53" t="s">
        <v>111</v>
      </c>
      <c r="AV18" s="53" t="s">
        <v>111</v>
      </c>
      <c r="AW18" s="53" t="s">
        <v>111</v>
      </c>
      <c r="AX18" s="53" t="s">
        <v>111</v>
      </c>
      <c r="AY18" s="53" t="s">
        <v>111</v>
      </c>
      <c r="AZ18" s="53" t="s">
        <v>111</v>
      </c>
      <c r="BA18" s="53">
        <v>0</v>
      </c>
      <c r="BB18" s="53" t="s">
        <v>111</v>
      </c>
      <c r="BC18" s="53">
        <v>3</v>
      </c>
      <c r="BD18" s="53" t="s">
        <v>111</v>
      </c>
      <c r="BE18" s="53" t="s">
        <v>111</v>
      </c>
      <c r="BF18" s="53" t="s">
        <v>111</v>
      </c>
      <c r="BG18" s="53" t="s">
        <v>111</v>
      </c>
      <c r="BH18" s="53" t="s">
        <v>111</v>
      </c>
      <c r="BI18" s="53" t="s">
        <v>111</v>
      </c>
      <c r="BJ18" s="53" t="s">
        <v>111</v>
      </c>
      <c r="BK18" s="53" t="s">
        <v>111</v>
      </c>
      <c r="BL18" s="53" t="s">
        <v>111</v>
      </c>
      <c r="BM18" s="53" t="s">
        <v>111</v>
      </c>
    </row>
    <row r="19" spans="1:65" ht="15" customHeight="1" x14ac:dyDescent="0.2">
      <c r="A19" s="53" t="s">
        <v>129</v>
      </c>
      <c r="B19" s="53" t="s">
        <v>111</v>
      </c>
      <c r="C19" s="53">
        <v>0</v>
      </c>
      <c r="D19" s="53" t="s">
        <v>111</v>
      </c>
      <c r="E19" s="53">
        <v>8</v>
      </c>
      <c r="F19" s="53" t="s">
        <v>111</v>
      </c>
      <c r="G19" s="53" t="s">
        <v>111</v>
      </c>
      <c r="H19" s="53" t="s">
        <v>111</v>
      </c>
      <c r="I19" s="53" t="s">
        <v>111</v>
      </c>
      <c r="J19" s="53" t="s">
        <v>111</v>
      </c>
      <c r="K19" s="53" t="s">
        <v>111</v>
      </c>
      <c r="L19" s="53" t="s">
        <v>111</v>
      </c>
      <c r="M19" s="53" t="s">
        <v>111</v>
      </c>
      <c r="N19" s="53" t="s">
        <v>111</v>
      </c>
      <c r="O19" s="53" t="s">
        <v>111</v>
      </c>
      <c r="P19" s="53" t="s">
        <v>111</v>
      </c>
      <c r="Q19" s="53" t="s">
        <v>111</v>
      </c>
      <c r="R19" s="53" t="s">
        <v>111</v>
      </c>
      <c r="S19" s="53">
        <v>0</v>
      </c>
      <c r="T19" s="53" t="s">
        <v>111</v>
      </c>
      <c r="U19" s="53" t="s">
        <v>111</v>
      </c>
      <c r="V19" s="53" t="s">
        <v>111</v>
      </c>
      <c r="W19" s="53" t="s">
        <v>111</v>
      </c>
      <c r="X19" s="53" t="s">
        <v>111</v>
      </c>
      <c r="Y19" s="53">
        <v>0</v>
      </c>
      <c r="Z19" s="53" t="s">
        <v>111</v>
      </c>
      <c r="AA19" s="53" t="s">
        <v>111</v>
      </c>
      <c r="AB19" s="53" t="s">
        <v>111</v>
      </c>
      <c r="AC19" s="53" t="s">
        <v>111</v>
      </c>
      <c r="AD19" s="53" t="s">
        <v>111</v>
      </c>
      <c r="AE19" s="53" t="s">
        <v>111</v>
      </c>
      <c r="AF19" s="53" t="s">
        <v>111</v>
      </c>
      <c r="AG19" s="53" t="s">
        <v>111</v>
      </c>
      <c r="AH19" s="53" t="s">
        <v>111</v>
      </c>
      <c r="AI19" s="53" t="s">
        <v>111</v>
      </c>
      <c r="AJ19" s="53" t="s">
        <v>111</v>
      </c>
      <c r="AK19" s="53" t="s">
        <v>111</v>
      </c>
      <c r="AL19" s="53" t="s">
        <v>111</v>
      </c>
      <c r="AM19" s="53" t="s">
        <v>111</v>
      </c>
      <c r="AN19" s="53" t="s">
        <v>111</v>
      </c>
      <c r="AO19" s="53" t="s">
        <v>111</v>
      </c>
      <c r="AP19" s="53" t="s">
        <v>111</v>
      </c>
      <c r="AQ19" s="53" t="s">
        <v>111</v>
      </c>
      <c r="AR19" s="53" t="s">
        <v>111</v>
      </c>
      <c r="AS19" s="53" t="s">
        <v>111</v>
      </c>
      <c r="AT19" s="53" t="s">
        <v>111</v>
      </c>
      <c r="AU19" s="53" t="s">
        <v>111</v>
      </c>
      <c r="AV19" s="53" t="s">
        <v>111</v>
      </c>
      <c r="AW19" s="53" t="s">
        <v>111</v>
      </c>
      <c r="AX19" s="53" t="s">
        <v>111</v>
      </c>
      <c r="AY19" s="53" t="s">
        <v>111</v>
      </c>
      <c r="AZ19" s="53" t="s">
        <v>111</v>
      </c>
      <c r="BA19" s="53">
        <v>0</v>
      </c>
      <c r="BB19" s="53" t="s">
        <v>111</v>
      </c>
      <c r="BC19" s="53">
        <v>3</v>
      </c>
      <c r="BD19" s="53" t="s">
        <v>111</v>
      </c>
      <c r="BE19" s="53" t="s">
        <v>111</v>
      </c>
      <c r="BF19" s="53" t="s">
        <v>111</v>
      </c>
      <c r="BG19" s="53" t="s">
        <v>111</v>
      </c>
      <c r="BH19" s="53" t="s">
        <v>111</v>
      </c>
      <c r="BI19" s="53" t="s">
        <v>111</v>
      </c>
      <c r="BJ19" s="53" t="s">
        <v>111</v>
      </c>
      <c r="BK19" s="53" t="s">
        <v>111</v>
      </c>
      <c r="BL19" s="53" t="s">
        <v>111</v>
      </c>
      <c r="BM19" s="53" t="s">
        <v>111</v>
      </c>
    </row>
    <row r="20" spans="1:65" ht="15" customHeight="1" x14ac:dyDescent="0.2">
      <c r="A20" s="53" t="s">
        <v>128</v>
      </c>
      <c r="B20" s="53" t="s">
        <v>111</v>
      </c>
      <c r="C20" s="53">
        <v>0</v>
      </c>
      <c r="D20" s="53" t="s">
        <v>111</v>
      </c>
      <c r="E20" s="53">
        <v>5</v>
      </c>
      <c r="F20" s="53" t="s">
        <v>111</v>
      </c>
      <c r="G20" s="53" t="s">
        <v>111</v>
      </c>
      <c r="H20" s="53" t="s">
        <v>111</v>
      </c>
      <c r="I20" s="53" t="s">
        <v>111</v>
      </c>
      <c r="J20" s="53" t="s">
        <v>111</v>
      </c>
      <c r="K20" s="53" t="s">
        <v>111</v>
      </c>
      <c r="L20" s="53" t="s">
        <v>111</v>
      </c>
      <c r="M20" s="53" t="s">
        <v>111</v>
      </c>
      <c r="N20" s="53" t="s">
        <v>111</v>
      </c>
      <c r="O20" s="53" t="s">
        <v>111</v>
      </c>
      <c r="P20" s="53" t="s">
        <v>111</v>
      </c>
      <c r="Q20" s="53" t="s">
        <v>111</v>
      </c>
      <c r="R20" s="53" t="s">
        <v>111</v>
      </c>
      <c r="S20" s="53">
        <v>0</v>
      </c>
      <c r="T20" s="53" t="s">
        <v>111</v>
      </c>
      <c r="U20" s="53" t="s">
        <v>111</v>
      </c>
      <c r="V20" s="53" t="s">
        <v>111</v>
      </c>
      <c r="W20" s="53" t="s">
        <v>111</v>
      </c>
      <c r="X20" s="53" t="s">
        <v>111</v>
      </c>
      <c r="Y20" s="53">
        <v>0</v>
      </c>
      <c r="Z20" s="53" t="s">
        <v>111</v>
      </c>
      <c r="AA20" s="53" t="s">
        <v>111</v>
      </c>
      <c r="AB20" s="53" t="s">
        <v>111</v>
      </c>
      <c r="AC20" s="53" t="s">
        <v>111</v>
      </c>
      <c r="AD20" s="53" t="s">
        <v>111</v>
      </c>
      <c r="AE20" s="53" t="s">
        <v>111</v>
      </c>
      <c r="AF20" s="53" t="s">
        <v>111</v>
      </c>
      <c r="AG20" s="53" t="s">
        <v>111</v>
      </c>
      <c r="AH20" s="53" t="s">
        <v>111</v>
      </c>
      <c r="AI20" s="53" t="s">
        <v>111</v>
      </c>
      <c r="AJ20" s="53" t="s">
        <v>111</v>
      </c>
      <c r="AK20" s="53" t="s">
        <v>111</v>
      </c>
      <c r="AL20" s="53" t="s">
        <v>111</v>
      </c>
      <c r="AM20" s="53" t="s">
        <v>111</v>
      </c>
      <c r="AN20" s="53" t="s">
        <v>111</v>
      </c>
      <c r="AO20" s="53" t="s">
        <v>111</v>
      </c>
      <c r="AP20" s="53" t="s">
        <v>111</v>
      </c>
      <c r="AQ20" s="53" t="s">
        <v>111</v>
      </c>
      <c r="AR20" s="53" t="s">
        <v>111</v>
      </c>
      <c r="AS20" s="53" t="s">
        <v>111</v>
      </c>
      <c r="AT20" s="53" t="s">
        <v>111</v>
      </c>
      <c r="AU20" s="53" t="s">
        <v>111</v>
      </c>
      <c r="AV20" s="53" t="s">
        <v>111</v>
      </c>
      <c r="AW20" s="53" t="s">
        <v>111</v>
      </c>
      <c r="AX20" s="53" t="s">
        <v>111</v>
      </c>
      <c r="AY20" s="53" t="s">
        <v>111</v>
      </c>
      <c r="AZ20" s="53" t="s">
        <v>111</v>
      </c>
      <c r="BA20" s="53">
        <v>0</v>
      </c>
      <c r="BB20" s="53" t="s">
        <v>111</v>
      </c>
      <c r="BC20" s="53">
        <v>1</v>
      </c>
      <c r="BD20" s="53" t="s">
        <v>111</v>
      </c>
      <c r="BE20" s="53" t="s">
        <v>111</v>
      </c>
      <c r="BF20" s="53" t="s">
        <v>111</v>
      </c>
      <c r="BG20" s="53" t="s">
        <v>111</v>
      </c>
      <c r="BH20" s="53" t="s">
        <v>111</v>
      </c>
      <c r="BI20" s="53" t="s">
        <v>111</v>
      </c>
      <c r="BJ20" s="53" t="s">
        <v>111</v>
      </c>
      <c r="BK20" s="53" t="s">
        <v>111</v>
      </c>
      <c r="BL20" s="53" t="s">
        <v>111</v>
      </c>
      <c r="BM20" s="53" t="s">
        <v>111</v>
      </c>
    </row>
    <row r="21" spans="1:65" ht="15" customHeight="1" x14ac:dyDescent="0.2">
      <c r="A21" s="53" t="s">
        <v>127</v>
      </c>
      <c r="B21" s="53" t="s">
        <v>111</v>
      </c>
      <c r="C21" s="53">
        <v>0</v>
      </c>
      <c r="D21" s="53" t="s">
        <v>111</v>
      </c>
      <c r="E21" s="53">
        <v>6</v>
      </c>
      <c r="F21" s="53" t="s">
        <v>111</v>
      </c>
      <c r="G21" s="53" t="s">
        <v>111</v>
      </c>
      <c r="H21" s="53" t="s">
        <v>111</v>
      </c>
      <c r="I21" s="53" t="s">
        <v>111</v>
      </c>
      <c r="J21" s="53" t="s">
        <v>111</v>
      </c>
      <c r="K21" s="53" t="s">
        <v>111</v>
      </c>
      <c r="L21" s="53" t="s">
        <v>111</v>
      </c>
      <c r="M21" s="53" t="s">
        <v>111</v>
      </c>
      <c r="N21" s="53" t="s">
        <v>111</v>
      </c>
      <c r="O21" s="53" t="s">
        <v>111</v>
      </c>
      <c r="P21" s="53" t="s">
        <v>111</v>
      </c>
      <c r="Q21" s="53" t="s">
        <v>111</v>
      </c>
      <c r="R21" s="53" t="s">
        <v>111</v>
      </c>
      <c r="S21" s="53">
        <v>0</v>
      </c>
      <c r="T21" s="53" t="s">
        <v>111</v>
      </c>
      <c r="U21" s="53" t="s">
        <v>111</v>
      </c>
      <c r="V21" s="53" t="s">
        <v>111</v>
      </c>
      <c r="W21" s="53" t="s">
        <v>111</v>
      </c>
      <c r="X21" s="53" t="s">
        <v>111</v>
      </c>
      <c r="Y21" s="53">
        <v>0</v>
      </c>
      <c r="Z21" s="53" t="s">
        <v>111</v>
      </c>
      <c r="AA21" s="53" t="s">
        <v>111</v>
      </c>
      <c r="AB21" s="53" t="s">
        <v>111</v>
      </c>
      <c r="AC21" s="53" t="s">
        <v>111</v>
      </c>
      <c r="AD21" s="53" t="s">
        <v>111</v>
      </c>
      <c r="AE21" s="53" t="s">
        <v>111</v>
      </c>
      <c r="AF21" s="53" t="s">
        <v>111</v>
      </c>
      <c r="AG21" s="53" t="s">
        <v>111</v>
      </c>
      <c r="AH21" s="53" t="s">
        <v>111</v>
      </c>
      <c r="AI21" s="53" t="s">
        <v>111</v>
      </c>
      <c r="AJ21" s="53" t="s">
        <v>111</v>
      </c>
      <c r="AK21" s="53" t="s">
        <v>111</v>
      </c>
      <c r="AL21" s="53" t="s">
        <v>111</v>
      </c>
      <c r="AM21" s="53" t="s">
        <v>111</v>
      </c>
      <c r="AN21" s="53" t="s">
        <v>111</v>
      </c>
      <c r="AO21" s="53" t="s">
        <v>111</v>
      </c>
      <c r="AP21" s="53" t="s">
        <v>111</v>
      </c>
      <c r="AQ21" s="53" t="s">
        <v>111</v>
      </c>
      <c r="AR21" s="53" t="s">
        <v>111</v>
      </c>
      <c r="AS21" s="53" t="s">
        <v>111</v>
      </c>
      <c r="AT21" s="53" t="s">
        <v>111</v>
      </c>
      <c r="AU21" s="53" t="s">
        <v>111</v>
      </c>
      <c r="AV21" s="53" t="s">
        <v>111</v>
      </c>
      <c r="AW21" s="53" t="s">
        <v>111</v>
      </c>
      <c r="AX21" s="53" t="s">
        <v>111</v>
      </c>
      <c r="AY21" s="53" t="s">
        <v>111</v>
      </c>
      <c r="AZ21" s="53" t="s">
        <v>111</v>
      </c>
      <c r="BA21" s="53">
        <v>0</v>
      </c>
      <c r="BB21" s="53" t="s">
        <v>111</v>
      </c>
      <c r="BC21" s="53">
        <v>1</v>
      </c>
      <c r="BD21" s="53" t="s">
        <v>111</v>
      </c>
      <c r="BE21" s="53" t="s">
        <v>111</v>
      </c>
      <c r="BF21" s="53" t="s">
        <v>111</v>
      </c>
      <c r="BG21" s="53" t="s">
        <v>111</v>
      </c>
      <c r="BH21" s="53" t="s">
        <v>111</v>
      </c>
      <c r="BI21" s="53" t="s">
        <v>111</v>
      </c>
      <c r="BJ21" s="53" t="s">
        <v>111</v>
      </c>
      <c r="BK21" s="53" t="s">
        <v>111</v>
      </c>
      <c r="BL21" s="53" t="s">
        <v>111</v>
      </c>
      <c r="BM21" s="53" t="s">
        <v>111</v>
      </c>
    </row>
    <row r="22" spans="1:65" ht="15" customHeight="1" x14ac:dyDescent="0.2">
      <c r="A22" s="53" t="s">
        <v>126</v>
      </c>
      <c r="B22" s="53" t="s">
        <v>111</v>
      </c>
      <c r="C22" s="53">
        <v>0</v>
      </c>
      <c r="D22" s="53" t="s">
        <v>111</v>
      </c>
      <c r="E22" s="53">
        <v>4</v>
      </c>
      <c r="F22" s="53" t="s">
        <v>111</v>
      </c>
      <c r="G22" s="53" t="s">
        <v>111</v>
      </c>
      <c r="H22" s="53" t="s">
        <v>111</v>
      </c>
      <c r="I22" s="53" t="s">
        <v>111</v>
      </c>
      <c r="J22" s="53" t="s">
        <v>111</v>
      </c>
      <c r="K22" s="53" t="s">
        <v>111</v>
      </c>
      <c r="L22" s="53" t="s">
        <v>111</v>
      </c>
      <c r="M22" s="53" t="s">
        <v>111</v>
      </c>
      <c r="N22" s="53" t="s">
        <v>111</v>
      </c>
      <c r="O22" s="53" t="s">
        <v>111</v>
      </c>
      <c r="P22" s="53" t="s">
        <v>111</v>
      </c>
      <c r="Q22" s="53" t="s">
        <v>111</v>
      </c>
      <c r="R22" s="53" t="s">
        <v>111</v>
      </c>
      <c r="S22" s="53">
        <v>0</v>
      </c>
      <c r="T22" s="53" t="s">
        <v>111</v>
      </c>
      <c r="U22" s="53" t="s">
        <v>111</v>
      </c>
      <c r="V22" s="53" t="s">
        <v>111</v>
      </c>
      <c r="W22" s="53" t="s">
        <v>111</v>
      </c>
      <c r="X22" s="53" t="s">
        <v>111</v>
      </c>
      <c r="Y22" s="53">
        <v>0</v>
      </c>
      <c r="Z22" s="53" t="s">
        <v>111</v>
      </c>
      <c r="AA22" s="53" t="s">
        <v>111</v>
      </c>
      <c r="AB22" s="53" t="s">
        <v>111</v>
      </c>
      <c r="AC22" s="53" t="s">
        <v>111</v>
      </c>
      <c r="AD22" s="53" t="s">
        <v>111</v>
      </c>
      <c r="AE22" s="53" t="s">
        <v>111</v>
      </c>
      <c r="AF22" s="53" t="s">
        <v>111</v>
      </c>
      <c r="AG22" s="53" t="s">
        <v>111</v>
      </c>
      <c r="AH22" s="53" t="s">
        <v>111</v>
      </c>
      <c r="AI22" s="53" t="s">
        <v>111</v>
      </c>
      <c r="AJ22" s="53" t="s">
        <v>111</v>
      </c>
      <c r="AK22" s="53" t="s">
        <v>111</v>
      </c>
      <c r="AL22" s="53" t="s">
        <v>111</v>
      </c>
      <c r="AM22" s="53" t="s">
        <v>111</v>
      </c>
      <c r="AN22" s="53" t="s">
        <v>111</v>
      </c>
      <c r="AO22" s="53" t="s">
        <v>111</v>
      </c>
      <c r="AP22" s="53" t="s">
        <v>111</v>
      </c>
      <c r="AQ22" s="53" t="s">
        <v>111</v>
      </c>
      <c r="AR22" s="53" t="s">
        <v>111</v>
      </c>
      <c r="AS22" s="53" t="s">
        <v>111</v>
      </c>
      <c r="AT22" s="53" t="s">
        <v>111</v>
      </c>
      <c r="AU22" s="53" t="s">
        <v>111</v>
      </c>
      <c r="AV22" s="53" t="s">
        <v>111</v>
      </c>
      <c r="AW22" s="53" t="s">
        <v>111</v>
      </c>
      <c r="AX22" s="53" t="s">
        <v>111</v>
      </c>
      <c r="AY22" s="53" t="s">
        <v>111</v>
      </c>
      <c r="AZ22" s="53" t="s">
        <v>111</v>
      </c>
      <c r="BA22" s="53">
        <v>1</v>
      </c>
      <c r="BB22" s="53" t="s">
        <v>111</v>
      </c>
      <c r="BC22" s="53">
        <v>2</v>
      </c>
      <c r="BD22" s="53" t="s">
        <v>111</v>
      </c>
      <c r="BE22" s="53" t="s">
        <v>111</v>
      </c>
      <c r="BF22" s="53" t="s">
        <v>111</v>
      </c>
      <c r="BG22" s="53" t="s">
        <v>111</v>
      </c>
      <c r="BH22" s="53" t="s">
        <v>111</v>
      </c>
      <c r="BI22" s="53" t="s">
        <v>111</v>
      </c>
      <c r="BJ22" s="53" t="s">
        <v>111</v>
      </c>
      <c r="BK22" s="53" t="s">
        <v>111</v>
      </c>
      <c r="BL22" s="53" t="s">
        <v>111</v>
      </c>
      <c r="BM22" s="53" t="s">
        <v>111</v>
      </c>
    </row>
    <row r="23" spans="1:65" ht="15" customHeight="1" x14ac:dyDescent="0.2">
      <c r="A23" s="53" t="s">
        <v>125</v>
      </c>
      <c r="B23" s="53" t="s">
        <v>111</v>
      </c>
      <c r="C23" s="53">
        <v>0</v>
      </c>
      <c r="D23" s="53" t="s">
        <v>111</v>
      </c>
      <c r="E23" s="53">
        <v>0</v>
      </c>
      <c r="F23" s="53" t="s">
        <v>111</v>
      </c>
      <c r="G23" s="53" t="s">
        <v>111</v>
      </c>
      <c r="H23" s="53" t="s">
        <v>111</v>
      </c>
      <c r="I23" s="53" t="s">
        <v>111</v>
      </c>
      <c r="J23" s="53" t="s">
        <v>111</v>
      </c>
      <c r="K23" s="53" t="s">
        <v>111</v>
      </c>
      <c r="L23" s="53" t="s">
        <v>111</v>
      </c>
      <c r="M23" s="53" t="s">
        <v>111</v>
      </c>
      <c r="N23" s="53" t="s">
        <v>111</v>
      </c>
      <c r="O23" s="53" t="s">
        <v>111</v>
      </c>
      <c r="P23" s="53" t="s">
        <v>111</v>
      </c>
      <c r="Q23" s="53" t="s">
        <v>111</v>
      </c>
      <c r="R23" s="53" t="s">
        <v>111</v>
      </c>
      <c r="S23" s="53">
        <v>0</v>
      </c>
      <c r="T23" s="53" t="s">
        <v>111</v>
      </c>
      <c r="U23" s="53" t="s">
        <v>111</v>
      </c>
      <c r="V23" s="53" t="s">
        <v>111</v>
      </c>
      <c r="W23" s="53" t="s">
        <v>111</v>
      </c>
      <c r="X23" s="53" t="s">
        <v>111</v>
      </c>
      <c r="Y23" s="53">
        <v>0</v>
      </c>
      <c r="Z23" s="53" t="s">
        <v>111</v>
      </c>
      <c r="AA23" s="53" t="s">
        <v>111</v>
      </c>
      <c r="AB23" s="53" t="s">
        <v>111</v>
      </c>
      <c r="AC23" s="53" t="s">
        <v>111</v>
      </c>
      <c r="AD23" s="53" t="s">
        <v>111</v>
      </c>
      <c r="AE23" s="53" t="s">
        <v>111</v>
      </c>
      <c r="AF23" s="53" t="s">
        <v>111</v>
      </c>
      <c r="AG23" s="53" t="s">
        <v>111</v>
      </c>
      <c r="AH23" s="53" t="s">
        <v>111</v>
      </c>
      <c r="AI23" s="53" t="s">
        <v>111</v>
      </c>
      <c r="AJ23" s="53" t="s">
        <v>111</v>
      </c>
      <c r="AK23" s="53" t="s">
        <v>111</v>
      </c>
      <c r="AL23" s="53" t="s">
        <v>111</v>
      </c>
      <c r="AM23" s="53" t="s">
        <v>111</v>
      </c>
      <c r="AN23" s="53" t="s">
        <v>111</v>
      </c>
      <c r="AO23" s="53" t="s">
        <v>111</v>
      </c>
      <c r="AP23" s="53" t="s">
        <v>111</v>
      </c>
      <c r="AQ23" s="53" t="s">
        <v>111</v>
      </c>
      <c r="AR23" s="53" t="s">
        <v>111</v>
      </c>
      <c r="AS23" s="53" t="s">
        <v>111</v>
      </c>
      <c r="AT23" s="53" t="s">
        <v>111</v>
      </c>
      <c r="AU23" s="53" t="s">
        <v>111</v>
      </c>
      <c r="AV23" s="53" t="s">
        <v>111</v>
      </c>
      <c r="AW23" s="53" t="s">
        <v>111</v>
      </c>
      <c r="AX23" s="53" t="s">
        <v>111</v>
      </c>
      <c r="AY23" s="53" t="s">
        <v>111</v>
      </c>
      <c r="AZ23" s="53" t="s">
        <v>111</v>
      </c>
      <c r="BA23" s="53">
        <v>0</v>
      </c>
      <c r="BB23" s="53" t="s">
        <v>111</v>
      </c>
      <c r="BC23" s="53">
        <v>0</v>
      </c>
      <c r="BD23" s="53" t="s">
        <v>111</v>
      </c>
      <c r="BE23" s="53" t="s">
        <v>111</v>
      </c>
      <c r="BF23" s="53" t="s">
        <v>111</v>
      </c>
      <c r="BG23" s="53" t="s">
        <v>111</v>
      </c>
      <c r="BH23" s="53" t="s">
        <v>111</v>
      </c>
      <c r="BI23" s="53" t="s">
        <v>111</v>
      </c>
      <c r="BJ23" s="53" t="s">
        <v>111</v>
      </c>
      <c r="BK23" s="53" t="s">
        <v>111</v>
      </c>
      <c r="BL23" s="53" t="s">
        <v>111</v>
      </c>
      <c r="BM23" s="53" t="s">
        <v>111</v>
      </c>
    </row>
    <row r="24" spans="1:65" ht="15" customHeight="1" x14ac:dyDescent="0.2">
      <c r="A24" s="53" t="s">
        <v>124</v>
      </c>
      <c r="B24" s="53" t="s">
        <v>111</v>
      </c>
      <c r="C24" s="53">
        <v>0</v>
      </c>
      <c r="D24" s="53" t="s">
        <v>111</v>
      </c>
      <c r="E24" s="53">
        <v>11</v>
      </c>
      <c r="F24" s="53" t="s">
        <v>111</v>
      </c>
      <c r="G24" s="53" t="s">
        <v>111</v>
      </c>
      <c r="H24" s="53" t="s">
        <v>111</v>
      </c>
      <c r="I24" s="53" t="s">
        <v>111</v>
      </c>
      <c r="J24" s="53" t="s">
        <v>111</v>
      </c>
      <c r="K24" s="53" t="s">
        <v>111</v>
      </c>
      <c r="L24" s="53" t="s">
        <v>111</v>
      </c>
      <c r="M24" s="53" t="s">
        <v>111</v>
      </c>
      <c r="N24" s="53" t="s">
        <v>111</v>
      </c>
      <c r="O24" s="53" t="s">
        <v>111</v>
      </c>
      <c r="P24" s="53" t="s">
        <v>111</v>
      </c>
      <c r="Q24" s="53" t="s">
        <v>111</v>
      </c>
      <c r="R24" s="53" t="s">
        <v>111</v>
      </c>
      <c r="S24" s="53">
        <v>0</v>
      </c>
      <c r="T24" s="53" t="s">
        <v>111</v>
      </c>
      <c r="U24" s="53" t="s">
        <v>111</v>
      </c>
      <c r="V24" s="53" t="s">
        <v>111</v>
      </c>
      <c r="W24" s="53" t="s">
        <v>111</v>
      </c>
      <c r="X24" s="53" t="s">
        <v>111</v>
      </c>
      <c r="Y24" s="53">
        <v>0</v>
      </c>
      <c r="Z24" s="53" t="s">
        <v>111</v>
      </c>
      <c r="AA24" s="53" t="s">
        <v>111</v>
      </c>
      <c r="AB24" s="53" t="s">
        <v>111</v>
      </c>
      <c r="AC24" s="53" t="s">
        <v>111</v>
      </c>
      <c r="AD24" s="53" t="s">
        <v>111</v>
      </c>
      <c r="AE24" s="53" t="s">
        <v>111</v>
      </c>
      <c r="AF24" s="53" t="s">
        <v>111</v>
      </c>
      <c r="AG24" s="53" t="s">
        <v>111</v>
      </c>
      <c r="AH24" s="53" t="s">
        <v>111</v>
      </c>
      <c r="AI24" s="53" t="s">
        <v>111</v>
      </c>
      <c r="AJ24" s="53" t="s">
        <v>111</v>
      </c>
      <c r="AK24" s="53" t="s">
        <v>111</v>
      </c>
      <c r="AL24" s="53" t="s">
        <v>111</v>
      </c>
      <c r="AM24" s="53" t="s">
        <v>111</v>
      </c>
      <c r="AN24" s="53" t="s">
        <v>111</v>
      </c>
      <c r="AO24" s="53" t="s">
        <v>111</v>
      </c>
      <c r="AP24" s="53" t="s">
        <v>111</v>
      </c>
      <c r="AQ24" s="53" t="s">
        <v>111</v>
      </c>
      <c r="AR24" s="53" t="s">
        <v>111</v>
      </c>
      <c r="AS24" s="53" t="s">
        <v>111</v>
      </c>
      <c r="AT24" s="53" t="s">
        <v>111</v>
      </c>
      <c r="AU24" s="53" t="s">
        <v>111</v>
      </c>
      <c r="AV24" s="53" t="s">
        <v>111</v>
      </c>
      <c r="AW24" s="53" t="s">
        <v>111</v>
      </c>
      <c r="AX24" s="53" t="s">
        <v>111</v>
      </c>
      <c r="AY24" s="53" t="s">
        <v>111</v>
      </c>
      <c r="AZ24" s="53" t="s">
        <v>111</v>
      </c>
      <c r="BA24" s="53">
        <v>0</v>
      </c>
      <c r="BB24" s="53" t="s">
        <v>111</v>
      </c>
      <c r="BC24" s="53">
        <v>0</v>
      </c>
      <c r="BD24" s="53" t="s">
        <v>111</v>
      </c>
      <c r="BE24" s="53" t="s">
        <v>111</v>
      </c>
      <c r="BF24" s="53" t="s">
        <v>111</v>
      </c>
      <c r="BG24" s="53" t="s">
        <v>111</v>
      </c>
      <c r="BH24" s="53" t="s">
        <v>111</v>
      </c>
      <c r="BI24" s="53" t="s">
        <v>111</v>
      </c>
      <c r="BJ24" s="53" t="s">
        <v>111</v>
      </c>
      <c r="BK24" s="53" t="s">
        <v>111</v>
      </c>
      <c r="BL24" s="53" t="s">
        <v>111</v>
      </c>
      <c r="BM24" s="53" t="s">
        <v>111</v>
      </c>
    </row>
    <row r="25" spans="1:65" ht="15" customHeight="1" x14ac:dyDescent="0.2">
      <c r="A25" s="53" t="s">
        <v>123</v>
      </c>
      <c r="B25" s="53" t="s">
        <v>111</v>
      </c>
      <c r="C25" s="53">
        <v>0</v>
      </c>
      <c r="D25" s="53" t="s">
        <v>111</v>
      </c>
      <c r="E25" s="53">
        <v>6</v>
      </c>
      <c r="F25" s="53" t="s">
        <v>111</v>
      </c>
      <c r="G25" s="53" t="s">
        <v>111</v>
      </c>
      <c r="H25" s="53" t="s">
        <v>111</v>
      </c>
      <c r="I25" s="53" t="s">
        <v>111</v>
      </c>
      <c r="J25" s="53" t="s">
        <v>111</v>
      </c>
      <c r="K25" s="53" t="s">
        <v>111</v>
      </c>
      <c r="L25" s="53" t="s">
        <v>111</v>
      </c>
      <c r="M25" s="53" t="s">
        <v>111</v>
      </c>
      <c r="N25" s="53" t="s">
        <v>111</v>
      </c>
      <c r="O25" s="53" t="s">
        <v>111</v>
      </c>
      <c r="P25" s="53" t="s">
        <v>111</v>
      </c>
      <c r="Q25" s="53" t="s">
        <v>111</v>
      </c>
      <c r="R25" s="53" t="s">
        <v>111</v>
      </c>
      <c r="S25" s="53">
        <v>0</v>
      </c>
      <c r="T25" s="53" t="s">
        <v>111</v>
      </c>
      <c r="U25" s="53" t="s">
        <v>111</v>
      </c>
      <c r="V25" s="53" t="s">
        <v>111</v>
      </c>
      <c r="W25" s="53" t="s">
        <v>111</v>
      </c>
      <c r="X25" s="53" t="s">
        <v>111</v>
      </c>
      <c r="Y25" s="53">
        <v>0</v>
      </c>
      <c r="Z25" s="53" t="s">
        <v>111</v>
      </c>
      <c r="AA25" s="53" t="s">
        <v>111</v>
      </c>
      <c r="AB25" s="53" t="s">
        <v>111</v>
      </c>
      <c r="AC25" s="53" t="s">
        <v>111</v>
      </c>
      <c r="AD25" s="53" t="s">
        <v>111</v>
      </c>
      <c r="AE25" s="53" t="s">
        <v>111</v>
      </c>
      <c r="AF25" s="53" t="s">
        <v>111</v>
      </c>
      <c r="AG25" s="53" t="s">
        <v>111</v>
      </c>
      <c r="AH25" s="53" t="s">
        <v>111</v>
      </c>
      <c r="AI25" s="53" t="s">
        <v>111</v>
      </c>
      <c r="AJ25" s="53" t="s">
        <v>111</v>
      </c>
      <c r="AK25" s="53" t="s">
        <v>111</v>
      </c>
      <c r="AL25" s="53" t="s">
        <v>111</v>
      </c>
      <c r="AM25" s="53" t="s">
        <v>111</v>
      </c>
      <c r="AN25" s="53" t="s">
        <v>111</v>
      </c>
      <c r="AO25" s="53" t="s">
        <v>111</v>
      </c>
      <c r="AP25" s="53" t="s">
        <v>111</v>
      </c>
      <c r="AQ25" s="53" t="s">
        <v>111</v>
      </c>
      <c r="AR25" s="53" t="s">
        <v>111</v>
      </c>
      <c r="AS25" s="53" t="s">
        <v>111</v>
      </c>
      <c r="AT25" s="53" t="s">
        <v>111</v>
      </c>
      <c r="AU25" s="53" t="s">
        <v>111</v>
      </c>
      <c r="AV25" s="53" t="s">
        <v>111</v>
      </c>
      <c r="AW25" s="53" t="s">
        <v>111</v>
      </c>
      <c r="AX25" s="53" t="s">
        <v>111</v>
      </c>
      <c r="AY25" s="53" t="s">
        <v>111</v>
      </c>
      <c r="AZ25" s="53" t="s">
        <v>111</v>
      </c>
      <c r="BA25" s="53">
        <v>0</v>
      </c>
      <c r="BB25" s="53" t="s">
        <v>111</v>
      </c>
      <c r="BC25" s="53">
        <v>2</v>
      </c>
      <c r="BD25" s="53" t="s">
        <v>111</v>
      </c>
      <c r="BE25" s="53" t="s">
        <v>111</v>
      </c>
      <c r="BF25" s="53" t="s">
        <v>111</v>
      </c>
      <c r="BG25" s="53" t="s">
        <v>111</v>
      </c>
      <c r="BH25" s="53" t="s">
        <v>111</v>
      </c>
      <c r="BI25" s="53" t="s">
        <v>111</v>
      </c>
      <c r="BJ25" s="53" t="s">
        <v>111</v>
      </c>
      <c r="BK25" s="53" t="s">
        <v>111</v>
      </c>
      <c r="BL25" s="53" t="s">
        <v>111</v>
      </c>
      <c r="BM25" s="53" t="s">
        <v>111</v>
      </c>
    </row>
    <row r="26" spans="1:65" ht="15" customHeight="1" x14ac:dyDescent="0.2">
      <c r="A26" s="53" t="s">
        <v>122</v>
      </c>
      <c r="B26" s="53" t="s">
        <v>111</v>
      </c>
      <c r="C26" s="53">
        <v>0</v>
      </c>
      <c r="D26" s="53" t="s">
        <v>111</v>
      </c>
      <c r="E26" s="53">
        <v>5</v>
      </c>
      <c r="F26" s="53" t="s">
        <v>111</v>
      </c>
      <c r="G26" s="53" t="s">
        <v>111</v>
      </c>
      <c r="H26" s="53" t="s">
        <v>111</v>
      </c>
      <c r="I26" s="53" t="s">
        <v>111</v>
      </c>
      <c r="J26" s="53" t="s">
        <v>111</v>
      </c>
      <c r="K26" s="53" t="s">
        <v>111</v>
      </c>
      <c r="L26" s="53" t="s">
        <v>111</v>
      </c>
      <c r="M26" s="53" t="s">
        <v>111</v>
      </c>
      <c r="N26" s="53" t="s">
        <v>111</v>
      </c>
      <c r="O26" s="53" t="s">
        <v>111</v>
      </c>
      <c r="P26" s="53" t="s">
        <v>111</v>
      </c>
      <c r="Q26" s="53" t="s">
        <v>111</v>
      </c>
      <c r="R26" s="53" t="s">
        <v>111</v>
      </c>
      <c r="S26" s="53">
        <v>0</v>
      </c>
      <c r="T26" s="53" t="s">
        <v>111</v>
      </c>
      <c r="U26" s="53" t="s">
        <v>111</v>
      </c>
      <c r="V26" s="53" t="s">
        <v>111</v>
      </c>
      <c r="W26" s="53" t="s">
        <v>111</v>
      </c>
      <c r="X26" s="53" t="s">
        <v>111</v>
      </c>
      <c r="Y26" s="53">
        <v>0</v>
      </c>
      <c r="Z26" s="53" t="s">
        <v>111</v>
      </c>
      <c r="AA26" s="53" t="s">
        <v>111</v>
      </c>
      <c r="AB26" s="53" t="s">
        <v>111</v>
      </c>
      <c r="AC26" s="53" t="s">
        <v>111</v>
      </c>
      <c r="AD26" s="53" t="s">
        <v>111</v>
      </c>
      <c r="AE26" s="53" t="s">
        <v>111</v>
      </c>
      <c r="AF26" s="53" t="s">
        <v>111</v>
      </c>
      <c r="AG26" s="53" t="s">
        <v>111</v>
      </c>
      <c r="AH26" s="53" t="s">
        <v>111</v>
      </c>
      <c r="AI26" s="53" t="s">
        <v>111</v>
      </c>
      <c r="AJ26" s="53" t="s">
        <v>111</v>
      </c>
      <c r="AK26" s="53" t="s">
        <v>111</v>
      </c>
      <c r="AL26" s="53" t="s">
        <v>111</v>
      </c>
      <c r="AM26" s="53" t="s">
        <v>111</v>
      </c>
      <c r="AN26" s="53" t="s">
        <v>111</v>
      </c>
      <c r="AO26" s="53" t="s">
        <v>111</v>
      </c>
      <c r="AP26" s="53" t="s">
        <v>111</v>
      </c>
      <c r="AQ26" s="53" t="s">
        <v>111</v>
      </c>
      <c r="AR26" s="53" t="s">
        <v>111</v>
      </c>
      <c r="AS26" s="53" t="s">
        <v>111</v>
      </c>
      <c r="AT26" s="53" t="s">
        <v>111</v>
      </c>
      <c r="AU26" s="53" t="s">
        <v>111</v>
      </c>
      <c r="AV26" s="53" t="s">
        <v>111</v>
      </c>
      <c r="AW26" s="53" t="s">
        <v>111</v>
      </c>
      <c r="AX26" s="53" t="s">
        <v>111</v>
      </c>
      <c r="AY26" s="53" t="s">
        <v>111</v>
      </c>
      <c r="AZ26" s="53" t="s">
        <v>111</v>
      </c>
      <c r="BA26" s="53">
        <v>0</v>
      </c>
      <c r="BB26" s="53" t="s">
        <v>111</v>
      </c>
      <c r="BC26" s="53">
        <v>0</v>
      </c>
      <c r="BD26" s="53" t="s">
        <v>111</v>
      </c>
      <c r="BE26" s="53" t="s">
        <v>111</v>
      </c>
      <c r="BF26" s="53" t="s">
        <v>111</v>
      </c>
      <c r="BG26" s="53" t="s">
        <v>111</v>
      </c>
      <c r="BH26" s="53" t="s">
        <v>111</v>
      </c>
      <c r="BI26" s="53" t="s">
        <v>111</v>
      </c>
      <c r="BJ26" s="53" t="s">
        <v>111</v>
      </c>
      <c r="BK26" s="53" t="s">
        <v>111</v>
      </c>
      <c r="BL26" s="53" t="s">
        <v>111</v>
      </c>
      <c r="BM26" s="53" t="s">
        <v>111</v>
      </c>
    </row>
    <row r="27" spans="1:65" ht="15" customHeight="1" x14ac:dyDescent="0.2">
      <c r="A27" s="53" t="s">
        <v>121</v>
      </c>
      <c r="B27" s="53" t="s">
        <v>111</v>
      </c>
      <c r="C27" s="53">
        <v>0</v>
      </c>
      <c r="D27" s="53" t="s">
        <v>111</v>
      </c>
      <c r="E27" s="53">
        <v>5</v>
      </c>
      <c r="F27" s="53" t="s">
        <v>111</v>
      </c>
      <c r="G27" s="53" t="s">
        <v>111</v>
      </c>
      <c r="H27" s="53" t="s">
        <v>111</v>
      </c>
      <c r="I27" s="53" t="s">
        <v>111</v>
      </c>
      <c r="J27" s="53" t="s">
        <v>111</v>
      </c>
      <c r="K27" s="53" t="s">
        <v>111</v>
      </c>
      <c r="L27" s="53" t="s">
        <v>111</v>
      </c>
      <c r="M27" s="53" t="s">
        <v>111</v>
      </c>
      <c r="N27" s="53" t="s">
        <v>111</v>
      </c>
      <c r="O27" s="53" t="s">
        <v>111</v>
      </c>
      <c r="P27" s="53" t="s">
        <v>111</v>
      </c>
      <c r="Q27" s="53" t="s">
        <v>111</v>
      </c>
      <c r="R27" s="53" t="s">
        <v>111</v>
      </c>
      <c r="S27" s="53">
        <v>0</v>
      </c>
      <c r="T27" s="53" t="s">
        <v>111</v>
      </c>
      <c r="U27" s="53" t="s">
        <v>111</v>
      </c>
      <c r="V27" s="53" t="s">
        <v>111</v>
      </c>
      <c r="W27" s="53" t="s">
        <v>111</v>
      </c>
      <c r="X27" s="53" t="s">
        <v>111</v>
      </c>
      <c r="Y27" s="53">
        <v>0</v>
      </c>
      <c r="Z27" s="53" t="s">
        <v>111</v>
      </c>
      <c r="AA27" s="53" t="s">
        <v>111</v>
      </c>
      <c r="AB27" s="53" t="s">
        <v>111</v>
      </c>
      <c r="AC27" s="53" t="s">
        <v>111</v>
      </c>
      <c r="AD27" s="53" t="s">
        <v>111</v>
      </c>
      <c r="AE27" s="53" t="s">
        <v>111</v>
      </c>
      <c r="AF27" s="53" t="s">
        <v>111</v>
      </c>
      <c r="AG27" s="53" t="s">
        <v>111</v>
      </c>
      <c r="AH27" s="53" t="s">
        <v>111</v>
      </c>
      <c r="AI27" s="53" t="s">
        <v>111</v>
      </c>
      <c r="AJ27" s="53" t="s">
        <v>111</v>
      </c>
      <c r="AK27" s="53" t="s">
        <v>111</v>
      </c>
      <c r="AL27" s="53" t="s">
        <v>111</v>
      </c>
      <c r="AM27" s="53" t="s">
        <v>111</v>
      </c>
      <c r="AN27" s="53" t="s">
        <v>111</v>
      </c>
      <c r="AO27" s="53" t="s">
        <v>111</v>
      </c>
      <c r="AP27" s="53" t="s">
        <v>111</v>
      </c>
      <c r="AQ27" s="53" t="s">
        <v>111</v>
      </c>
      <c r="AR27" s="53" t="s">
        <v>111</v>
      </c>
      <c r="AS27" s="53" t="s">
        <v>111</v>
      </c>
      <c r="AT27" s="53" t="s">
        <v>111</v>
      </c>
      <c r="AU27" s="53" t="s">
        <v>111</v>
      </c>
      <c r="AV27" s="53" t="s">
        <v>111</v>
      </c>
      <c r="AW27" s="53" t="s">
        <v>111</v>
      </c>
      <c r="AX27" s="53" t="s">
        <v>111</v>
      </c>
      <c r="AY27" s="53" t="s">
        <v>111</v>
      </c>
      <c r="AZ27" s="53" t="s">
        <v>111</v>
      </c>
      <c r="BA27" s="53">
        <v>0</v>
      </c>
      <c r="BB27" s="53" t="s">
        <v>111</v>
      </c>
      <c r="BC27" s="53">
        <v>0</v>
      </c>
      <c r="BD27" s="53" t="s">
        <v>111</v>
      </c>
      <c r="BE27" s="53" t="s">
        <v>111</v>
      </c>
      <c r="BF27" s="53" t="s">
        <v>111</v>
      </c>
      <c r="BG27" s="53" t="s">
        <v>111</v>
      </c>
      <c r="BH27" s="53" t="s">
        <v>111</v>
      </c>
      <c r="BI27" s="53" t="s">
        <v>111</v>
      </c>
      <c r="BJ27" s="53" t="s">
        <v>111</v>
      </c>
      <c r="BK27" s="53" t="s">
        <v>111</v>
      </c>
      <c r="BL27" s="53" t="s">
        <v>111</v>
      </c>
      <c r="BM27" s="53" t="s">
        <v>111</v>
      </c>
    </row>
    <row r="28" spans="1:65" ht="15" customHeight="1" x14ac:dyDescent="0.2">
      <c r="A28" s="53" t="s">
        <v>120</v>
      </c>
      <c r="B28" s="53" t="s">
        <v>111</v>
      </c>
      <c r="C28" s="53">
        <v>0</v>
      </c>
      <c r="D28" s="53" t="s">
        <v>111</v>
      </c>
      <c r="E28" s="53">
        <v>0</v>
      </c>
      <c r="F28" s="53" t="s">
        <v>111</v>
      </c>
      <c r="G28" s="53" t="s">
        <v>111</v>
      </c>
      <c r="H28" s="53" t="s">
        <v>111</v>
      </c>
      <c r="I28" s="53" t="s">
        <v>111</v>
      </c>
      <c r="J28" s="53" t="s">
        <v>111</v>
      </c>
      <c r="K28" s="53" t="s">
        <v>111</v>
      </c>
      <c r="L28" s="53" t="s">
        <v>111</v>
      </c>
      <c r="M28" s="53" t="s">
        <v>111</v>
      </c>
      <c r="N28" s="53" t="s">
        <v>111</v>
      </c>
      <c r="O28" s="53" t="s">
        <v>111</v>
      </c>
      <c r="P28" s="53" t="s">
        <v>111</v>
      </c>
      <c r="Q28" s="53" t="s">
        <v>111</v>
      </c>
      <c r="R28" s="53" t="s">
        <v>111</v>
      </c>
      <c r="S28" s="53">
        <v>0</v>
      </c>
      <c r="T28" s="53" t="s">
        <v>111</v>
      </c>
      <c r="U28" s="53" t="s">
        <v>111</v>
      </c>
      <c r="V28" s="53" t="s">
        <v>111</v>
      </c>
      <c r="W28" s="53" t="s">
        <v>111</v>
      </c>
      <c r="X28" s="53" t="s">
        <v>111</v>
      </c>
      <c r="Y28" s="53">
        <v>0</v>
      </c>
      <c r="Z28" s="53" t="s">
        <v>111</v>
      </c>
      <c r="AA28" s="53" t="s">
        <v>111</v>
      </c>
      <c r="AB28" s="53" t="s">
        <v>111</v>
      </c>
      <c r="AC28" s="53" t="s">
        <v>111</v>
      </c>
      <c r="AD28" s="53" t="s">
        <v>111</v>
      </c>
      <c r="AE28" s="53" t="s">
        <v>111</v>
      </c>
      <c r="AF28" s="53" t="s">
        <v>111</v>
      </c>
      <c r="AG28" s="53" t="s">
        <v>111</v>
      </c>
      <c r="AH28" s="53" t="s">
        <v>111</v>
      </c>
      <c r="AI28" s="53" t="s">
        <v>111</v>
      </c>
      <c r="AJ28" s="53" t="s">
        <v>111</v>
      </c>
      <c r="AK28" s="53" t="s">
        <v>111</v>
      </c>
      <c r="AL28" s="53" t="s">
        <v>111</v>
      </c>
      <c r="AM28" s="53" t="s">
        <v>111</v>
      </c>
      <c r="AN28" s="53" t="s">
        <v>111</v>
      </c>
      <c r="AO28" s="53" t="s">
        <v>111</v>
      </c>
      <c r="AP28" s="53" t="s">
        <v>111</v>
      </c>
      <c r="AQ28" s="53" t="s">
        <v>111</v>
      </c>
      <c r="AR28" s="53" t="s">
        <v>111</v>
      </c>
      <c r="AS28" s="53" t="s">
        <v>111</v>
      </c>
      <c r="AT28" s="53" t="s">
        <v>111</v>
      </c>
      <c r="AU28" s="53" t="s">
        <v>111</v>
      </c>
      <c r="AV28" s="53" t="s">
        <v>111</v>
      </c>
      <c r="AW28" s="53" t="s">
        <v>111</v>
      </c>
      <c r="AX28" s="53" t="s">
        <v>111</v>
      </c>
      <c r="AY28" s="53" t="s">
        <v>111</v>
      </c>
      <c r="AZ28" s="53" t="s">
        <v>111</v>
      </c>
      <c r="BA28" s="53">
        <v>0</v>
      </c>
      <c r="BB28" s="53" t="s">
        <v>111</v>
      </c>
      <c r="BC28" s="53">
        <v>0</v>
      </c>
      <c r="BD28" s="53" t="s">
        <v>111</v>
      </c>
      <c r="BE28" s="53" t="s">
        <v>111</v>
      </c>
      <c r="BF28" s="53" t="s">
        <v>111</v>
      </c>
      <c r="BG28" s="53" t="s">
        <v>111</v>
      </c>
      <c r="BH28" s="53" t="s">
        <v>111</v>
      </c>
      <c r="BI28" s="53" t="s">
        <v>111</v>
      </c>
      <c r="BJ28" s="53" t="s">
        <v>111</v>
      </c>
      <c r="BK28" s="53" t="s">
        <v>111</v>
      </c>
      <c r="BL28" s="53" t="s">
        <v>111</v>
      </c>
      <c r="BM28" s="53" t="s">
        <v>111</v>
      </c>
    </row>
    <row r="29" spans="1:65" ht="15" customHeight="1" x14ac:dyDescent="0.2">
      <c r="A29" s="53" t="s">
        <v>119</v>
      </c>
      <c r="B29" s="53" t="s">
        <v>111</v>
      </c>
      <c r="C29" s="53">
        <v>0</v>
      </c>
      <c r="D29" s="53" t="s">
        <v>111</v>
      </c>
      <c r="E29" s="53">
        <v>8</v>
      </c>
      <c r="F29" s="53" t="s">
        <v>111</v>
      </c>
      <c r="G29" s="53" t="s">
        <v>111</v>
      </c>
      <c r="H29" s="53" t="s">
        <v>111</v>
      </c>
      <c r="I29" s="53" t="s">
        <v>111</v>
      </c>
      <c r="J29" s="53" t="s">
        <v>111</v>
      </c>
      <c r="K29" s="53" t="s">
        <v>111</v>
      </c>
      <c r="L29" s="53" t="s">
        <v>111</v>
      </c>
      <c r="M29" s="53" t="s">
        <v>111</v>
      </c>
      <c r="N29" s="53" t="s">
        <v>111</v>
      </c>
      <c r="O29" s="53" t="s">
        <v>111</v>
      </c>
      <c r="P29" s="53" t="s">
        <v>111</v>
      </c>
      <c r="Q29" s="53" t="s">
        <v>111</v>
      </c>
      <c r="R29" s="53" t="s">
        <v>111</v>
      </c>
      <c r="S29" s="53">
        <v>0</v>
      </c>
      <c r="T29" s="53" t="s">
        <v>111</v>
      </c>
      <c r="U29" s="53" t="s">
        <v>111</v>
      </c>
      <c r="V29" s="53" t="s">
        <v>111</v>
      </c>
      <c r="W29" s="53" t="s">
        <v>111</v>
      </c>
      <c r="X29" s="53" t="s">
        <v>111</v>
      </c>
      <c r="Y29" s="53">
        <v>0</v>
      </c>
      <c r="Z29" s="53" t="s">
        <v>111</v>
      </c>
      <c r="AA29" s="53" t="s">
        <v>111</v>
      </c>
      <c r="AB29" s="53" t="s">
        <v>111</v>
      </c>
      <c r="AC29" s="53" t="s">
        <v>111</v>
      </c>
      <c r="AD29" s="53" t="s">
        <v>111</v>
      </c>
      <c r="AE29" s="53" t="s">
        <v>111</v>
      </c>
      <c r="AF29" s="53" t="s">
        <v>111</v>
      </c>
      <c r="AG29" s="53" t="s">
        <v>111</v>
      </c>
      <c r="AH29" s="53" t="s">
        <v>111</v>
      </c>
      <c r="AI29" s="53" t="s">
        <v>111</v>
      </c>
      <c r="AJ29" s="53" t="s">
        <v>111</v>
      </c>
      <c r="AK29" s="53" t="s">
        <v>111</v>
      </c>
      <c r="AL29" s="53" t="s">
        <v>111</v>
      </c>
      <c r="AM29" s="53" t="s">
        <v>111</v>
      </c>
      <c r="AN29" s="53" t="s">
        <v>111</v>
      </c>
      <c r="AO29" s="53" t="s">
        <v>111</v>
      </c>
      <c r="AP29" s="53" t="s">
        <v>111</v>
      </c>
      <c r="AQ29" s="53" t="s">
        <v>111</v>
      </c>
      <c r="AR29" s="53" t="s">
        <v>111</v>
      </c>
      <c r="AS29" s="53" t="s">
        <v>111</v>
      </c>
      <c r="AT29" s="53" t="s">
        <v>111</v>
      </c>
      <c r="AU29" s="53" t="s">
        <v>111</v>
      </c>
      <c r="AV29" s="53" t="s">
        <v>111</v>
      </c>
      <c r="AW29" s="53" t="s">
        <v>111</v>
      </c>
      <c r="AX29" s="53" t="s">
        <v>111</v>
      </c>
      <c r="AY29" s="53" t="s">
        <v>111</v>
      </c>
      <c r="AZ29" s="53" t="s">
        <v>111</v>
      </c>
      <c r="BA29" s="53">
        <v>0</v>
      </c>
      <c r="BB29" s="53" t="s">
        <v>111</v>
      </c>
      <c r="BC29" s="53">
        <v>1</v>
      </c>
      <c r="BD29" s="53" t="s">
        <v>111</v>
      </c>
      <c r="BE29" s="53" t="s">
        <v>111</v>
      </c>
      <c r="BF29" s="53" t="s">
        <v>111</v>
      </c>
      <c r="BG29" s="53" t="s">
        <v>111</v>
      </c>
      <c r="BH29" s="53" t="s">
        <v>111</v>
      </c>
      <c r="BI29" s="53" t="s">
        <v>111</v>
      </c>
      <c r="BJ29" s="53" t="s">
        <v>111</v>
      </c>
      <c r="BK29" s="53" t="s">
        <v>111</v>
      </c>
      <c r="BL29" s="53" t="s">
        <v>111</v>
      </c>
      <c r="BM29" s="53" t="s">
        <v>111</v>
      </c>
    </row>
    <row r="30" spans="1:65" ht="15" customHeight="1" x14ac:dyDescent="0.2">
      <c r="A30" s="53" t="s">
        <v>118</v>
      </c>
      <c r="B30" s="53" t="s">
        <v>111</v>
      </c>
      <c r="C30" s="53">
        <v>0</v>
      </c>
      <c r="D30" s="53" t="s">
        <v>111</v>
      </c>
      <c r="E30" s="53">
        <v>4</v>
      </c>
      <c r="F30" s="53" t="s">
        <v>111</v>
      </c>
      <c r="G30" s="53" t="s">
        <v>111</v>
      </c>
      <c r="H30" s="53" t="s">
        <v>111</v>
      </c>
      <c r="I30" s="53" t="s">
        <v>111</v>
      </c>
      <c r="J30" s="53" t="s">
        <v>111</v>
      </c>
      <c r="K30" s="53" t="s">
        <v>111</v>
      </c>
      <c r="L30" s="53" t="s">
        <v>111</v>
      </c>
      <c r="M30" s="53" t="s">
        <v>111</v>
      </c>
      <c r="N30" s="53" t="s">
        <v>111</v>
      </c>
      <c r="O30" s="53" t="s">
        <v>111</v>
      </c>
      <c r="P30" s="53" t="s">
        <v>111</v>
      </c>
      <c r="Q30" s="53" t="s">
        <v>111</v>
      </c>
      <c r="R30" s="53" t="s">
        <v>111</v>
      </c>
      <c r="S30" s="53">
        <v>0</v>
      </c>
      <c r="T30" s="53" t="s">
        <v>111</v>
      </c>
      <c r="U30" s="53" t="s">
        <v>111</v>
      </c>
      <c r="V30" s="53" t="s">
        <v>111</v>
      </c>
      <c r="W30" s="53" t="s">
        <v>111</v>
      </c>
      <c r="X30" s="53" t="s">
        <v>111</v>
      </c>
      <c r="Y30" s="53">
        <v>0</v>
      </c>
      <c r="Z30" s="53" t="s">
        <v>111</v>
      </c>
      <c r="AA30" s="53" t="s">
        <v>111</v>
      </c>
      <c r="AB30" s="53" t="s">
        <v>111</v>
      </c>
      <c r="AC30" s="53" t="s">
        <v>111</v>
      </c>
      <c r="AD30" s="53" t="s">
        <v>111</v>
      </c>
      <c r="AE30" s="53" t="s">
        <v>111</v>
      </c>
      <c r="AF30" s="53" t="s">
        <v>111</v>
      </c>
      <c r="AG30" s="53" t="s">
        <v>111</v>
      </c>
      <c r="AH30" s="53" t="s">
        <v>111</v>
      </c>
      <c r="AI30" s="53" t="s">
        <v>111</v>
      </c>
      <c r="AJ30" s="53" t="s">
        <v>111</v>
      </c>
      <c r="AK30" s="53" t="s">
        <v>111</v>
      </c>
      <c r="AL30" s="53" t="s">
        <v>111</v>
      </c>
      <c r="AM30" s="53" t="s">
        <v>111</v>
      </c>
      <c r="AN30" s="53" t="s">
        <v>111</v>
      </c>
      <c r="AO30" s="53" t="s">
        <v>111</v>
      </c>
      <c r="AP30" s="53" t="s">
        <v>111</v>
      </c>
      <c r="AQ30" s="53" t="s">
        <v>111</v>
      </c>
      <c r="AR30" s="53" t="s">
        <v>111</v>
      </c>
      <c r="AS30" s="53" t="s">
        <v>111</v>
      </c>
      <c r="AT30" s="53" t="s">
        <v>111</v>
      </c>
      <c r="AU30" s="53" t="s">
        <v>111</v>
      </c>
      <c r="AV30" s="53" t="s">
        <v>111</v>
      </c>
      <c r="AW30" s="53" t="s">
        <v>111</v>
      </c>
      <c r="AX30" s="53" t="s">
        <v>111</v>
      </c>
      <c r="AY30" s="53" t="s">
        <v>111</v>
      </c>
      <c r="AZ30" s="53" t="s">
        <v>111</v>
      </c>
      <c r="BA30" s="53">
        <v>0</v>
      </c>
      <c r="BB30" s="53" t="s">
        <v>111</v>
      </c>
      <c r="BC30" s="53">
        <v>1</v>
      </c>
      <c r="BD30" s="53" t="s">
        <v>111</v>
      </c>
      <c r="BE30" s="53" t="s">
        <v>111</v>
      </c>
      <c r="BF30" s="53" t="s">
        <v>111</v>
      </c>
      <c r="BG30" s="53" t="s">
        <v>111</v>
      </c>
      <c r="BH30" s="53" t="s">
        <v>111</v>
      </c>
      <c r="BI30" s="53" t="s">
        <v>111</v>
      </c>
      <c r="BJ30" s="53" t="s">
        <v>111</v>
      </c>
      <c r="BK30" s="53" t="s">
        <v>111</v>
      </c>
      <c r="BL30" s="53" t="s">
        <v>111</v>
      </c>
      <c r="BM30" s="53" t="s">
        <v>111</v>
      </c>
    </row>
    <row r="31" spans="1:65" ht="15" customHeight="1" x14ac:dyDescent="0.2">
      <c r="A31" s="53" t="s">
        <v>117</v>
      </c>
      <c r="B31" s="53" t="s">
        <v>111</v>
      </c>
      <c r="C31" s="53">
        <v>0</v>
      </c>
      <c r="D31" s="53" t="s">
        <v>111</v>
      </c>
      <c r="E31" s="53">
        <v>1</v>
      </c>
      <c r="F31" s="53" t="s">
        <v>111</v>
      </c>
      <c r="G31" s="53" t="s">
        <v>111</v>
      </c>
      <c r="H31" s="53" t="s">
        <v>111</v>
      </c>
      <c r="I31" s="53" t="s">
        <v>111</v>
      </c>
      <c r="J31" s="53" t="s">
        <v>111</v>
      </c>
      <c r="K31" s="53" t="s">
        <v>111</v>
      </c>
      <c r="L31" s="53" t="s">
        <v>111</v>
      </c>
      <c r="M31" s="53" t="s">
        <v>111</v>
      </c>
      <c r="N31" s="53" t="s">
        <v>111</v>
      </c>
      <c r="O31" s="53" t="s">
        <v>111</v>
      </c>
      <c r="P31" s="53" t="s">
        <v>111</v>
      </c>
      <c r="Q31" s="53" t="s">
        <v>111</v>
      </c>
      <c r="R31" s="53" t="s">
        <v>111</v>
      </c>
      <c r="S31" s="53">
        <v>0</v>
      </c>
      <c r="T31" s="53" t="s">
        <v>111</v>
      </c>
      <c r="U31" s="53" t="s">
        <v>111</v>
      </c>
      <c r="V31" s="53" t="s">
        <v>111</v>
      </c>
      <c r="W31" s="53" t="s">
        <v>111</v>
      </c>
      <c r="X31" s="53" t="s">
        <v>111</v>
      </c>
      <c r="Y31" s="53">
        <v>0</v>
      </c>
      <c r="Z31" s="53" t="s">
        <v>111</v>
      </c>
      <c r="AA31" s="53" t="s">
        <v>111</v>
      </c>
      <c r="AB31" s="53" t="s">
        <v>111</v>
      </c>
      <c r="AC31" s="53" t="s">
        <v>111</v>
      </c>
      <c r="AD31" s="53" t="s">
        <v>111</v>
      </c>
      <c r="AE31" s="53" t="s">
        <v>111</v>
      </c>
      <c r="AF31" s="53" t="s">
        <v>111</v>
      </c>
      <c r="AG31" s="53" t="s">
        <v>111</v>
      </c>
      <c r="AH31" s="53" t="s">
        <v>111</v>
      </c>
      <c r="AI31" s="53" t="s">
        <v>111</v>
      </c>
      <c r="AJ31" s="53" t="s">
        <v>111</v>
      </c>
      <c r="AK31" s="53" t="s">
        <v>111</v>
      </c>
      <c r="AL31" s="53" t="s">
        <v>111</v>
      </c>
      <c r="AM31" s="53" t="s">
        <v>111</v>
      </c>
      <c r="AN31" s="53" t="s">
        <v>111</v>
      </c>
      <c r="AO31" s="53" t="s">
        <v>111</v>
      </c>
      <c r="AP31" s="53" t="s">
        <v>111</v>
      </c>
      <c r="AQ31" s="53" t="s">
        <v>111</v>
      </c>
      <c r="AR31" s="53" t="s">
        <v>111</v>
      </c>
      <c r="AS31" s="53" t="s">
        <v>111</v>
      </c>
      <c r="AT31" s="53" t="s">
        <v>111</v>
      </c>
      <c r="AU31" s="53" t="s">
        <v>111</v>
      </c>
      <c r="AV31" s="53" t="s">
        <v>111</v>
      </c>
      <c r="AW31" s="53" t="s">
        <v>111</v>
      </c>
      <c r="AX31" s="53" t="s">
        <v>111</v>
      </c>
      <c r="AY31" s="53" t="s">
        <v>111</v>
      </c>
      <c r="AZ31" s="53" t="s">
        <v>111</v>
      </c>
      <c r="BA31" s="53">
        <v>0</v>
      </c>
      <c r="BB31" s="53" t="s">
        <v>111</v>
      </c>
      <c r="BC31" s="53">
        <v>1</v>
      </c>
      <c r="BD31" s="53" t="s">
        <v>111</v>
      </c>
      <c r="BE31" s="53" t="s">
        <v>111</v>
      </c>
      <c r="BF31" s="53" t="s">
        <v>111</v>
      </c>
      <c r="BG31" s="53" t="s">
        <v>111</v>
      </c>
      <c r="BH31" s="53" t="s">
        <v>111</v>
      </c>
      <c r="BI31" s="53" t="s">
        <v>111</v>
      </c>
      <c r="BJ31" s="53" t="s">
        <v>111</v>
      </c>
      <c r="BK31" s="53" t="s">
        <v>111</v>
      </c>
      <c r="BL31" s="53" t="s">
        <v>111</v>
      </c>
      <c r="BM31" s="53" t="s">
        <v>111</v>
      </c>
    </row>
    <row r="32" spans="1:65" ht="15" customHeight="1" x14ac:dyDescent="0.2">
      <c r="A32" s="53" t="s">
        <v>116</v>
      </c>
      <c r="B32" s="53" t="s">
        <v>111</v>
      </c>
      <c r="C32" s="53">
        <v>0</v>
      </c>
      <c r="D32" s="53" t="s">
        <v>111</v>
      </c>
      <c r="E32" s="53">
        <v>1</v>
      </c>
      <c r="F32" s="53" t="s">
        <v>111</v>
      </c>
      <c r="G32" s="53" t="s">
        <v>111</v>
      </c>
      <c r="H32" s="53" t="s">
        <v>111</v>
      </c>
      <c r="I32" s="53" t="s">
        <v>111</v>
      </c>
      <c r="J32" s="53" t="s">
        <v>111</v>
      </c>
      <c r="K32" s="53" t="s">
        <v>111</v>
      </c>
      <c r="L32" s="53" t="s">
        <v>111</v>
      </c>
      <c r="M32" s="53" t="s">
        <v>111</v>
      </c>
      <c r="N32" s="53" t="s">
        <v>111</v>
      </c>
      <c r="O32" s="53" t="s">
        <v>111</v>
      </c>
      <c r="P32" s="53" t="s">
        <v>111</v>
      </c>
      <c r="Q32" s="53" t="s">
        <v>111</v>
      </c>
      <c r="R32" s="53" t="s">
        <v>111</v>
      </c>
      <c r="S32" s="53">
        <v>0</v>
      </c>
      <c r="T32" s="53" t="s">
        <v>111</v>
      </c>
      <c r="U32" s="53" t="s">
        <v>111</v>
      </c>
      <c r="V32" s="53" t="s">
        <v>111</v>
      </c>
      <c r="W32" s="53" t="s">
        <v>111</v>
      </c>
      <c r="X32" s="53" t="s">
        <v>111</v>
      </c>
      <c r="Y32" s="53">
        <v>0</v>
      </c>
      <c r="Z32" s="53" t="s">
        <v>111</v>
      </c>
      <c r="AA32" s="53" t="s">
        <v>111</v>
      </c>
      <c r="AB32" s="53" t="s">
        <v>111</v>
      </c>
      <c r="AC32" s="53" t="s">
        <v>111</v>
      </c>
      <c r="AD32" s="53" t="s">
        <v>111</v>
      </c>
      <c r="AE32" s="53" t="s">
        <v>111</v>
      </c>
      <c r="AF32" s="53" t="s">
        <v>111</v>
      </c>
      <c r="AG32" s="53" t="s">
        <v>111</v>
      </c>
      <c r="AH32" s="53" t="s">
        <v>111</v>
      </c>
      <c r="AI32" s="53" t="s">
        <v>111</v>
      </c>
      <c r="AJ32" s="53" t="s">
        <v>111</v>
      </c>
      <c r="AK32" s="53" t="s">
        <v>111</v>
      </c>
      <c r="AL32" s="53" t="s">
        <v>111</v>
      </c>
      <c r="AM32" s="53" t="s">
        <v>111</v>
      </c>
      <c r="AN32" s="53" t="s">
        <v>111</v>
      </c>
      <c r="AO32" s="53" t="s">
        <v>111</v>
      </c>
      <c r="AP32" s="53" t="s">
        <v>111</v>
      </c>
      <c r="AQ32" s="53" t="s">
        <v>111</v>
      </c>
      <c r="AR32" s="53" t="s">
        <v>111</v>
      </c>
      <c r="AS32" s="53" t="s">
        <v>111</v>
      </c>
      <c r="AT32" s="53" t="s">
        <v>111</v>
      </c>
      <c r="AU32" s="53" t="s">
        <v>111</v>
      </c>
      <c r="AV32" s="53" t="s">
        <v>111</v>
      </c>
      <c r="AW32" s="53" t="s">
        <v>111</v>
      </c>
      <c r="AX32" s="53" t="s">
        <v>111</v>
      </c>
      <c r="AY32" s="53" t="s">
        <v>111</v>
      </c>
      <c r="AZ32" s="53" t="s">
        <v>111</v>
      </c>
      <c r="BA32" s="53">
        <v>0</v>
      </c>
      <c r="BB32" s="53" t="s">
        <v>111</v>
      </c>
      <c r="BC32" s="53">
        <v>2</v>
      </c>
      <c r="BD32" s="53" t="s">
        <v>111</v>
      </c>
      <c r="BE32" s="53" t="s">
        <v>111</v>
      </c>
      <c r="BF32" s="53" t="s">
        <v>111</v>
      </c>
      <c r="BG32" s="53" t="s">
        <v>111</v>
      </c>
      <c r="BH32" s="53" t="s">
        <v>111</v>
      </c>
      <c r="BI32" s="53" t="s">
        <v>111</v>
      </c>
      <c r="BJ32" s="53" t="s">
        <v>111</v>
      </c>
      <c r="BK32" s="53" t="s">
        <v>111</v>
      </c>
      <c r="BL32" s="53" t="s">
        <v>111</v>
      </c>
      <c r="BM32" s="53" t="s">
        <v>111</v>
      </c>
    </row>
    <row r="33" spans="1:65" ht="15" customHeight="1" x14ac:dyDescent="0.2">
      <c r="A33" s="53" t="s">
        <v>115</v>
      </c>
      <c r="B33" s="53" t="s">
        <v>111</v>
      </c>
      <c r="C33" s="53">
        <v>0</v>
      </c>
      <c r="D33" s="53" t="s">
        <v>111</v>
      </c>
      <c r="E33" s="53">
        <v>0</v>
      </c>
      <c r="F33" s="53" t="s">
        <v>111</v>
      </c>
      <c r="G33" s="53" t="s">
        <v>111</v>
      </c>
      <c r="H33" s="53" t="s">
        <v>111</v>
      </c>
      <c r="I33" s="53" t="s">
        <v>111</v>
      </c>
      <c r="J33" s="53" t="s">
        <v>111</v>
      </c>
      <c r="K33" s="53" t="s">
        <v>111</v>
      </c>
      <c r="L33" s="53" t="s">
        <v>111</v>
      </c>
      <c r="M33" s="53" t="s">
        <v>111</v>
      </c>
      <c r="N33" s="53" t="s">
        <v>111</v>
      </c>
      <c r="O33" s="53" t="s">
        <v>111</v>
      </c>
      <c r="P33" s="53" t="s">
        <v>111</v>
      </c>
      <c r="Q33" s="53" t="s">
        <v>111</v>
      </c>
      <c r="R33" s="53" t="s">
        <v>111</v>
      </c>
      <c r="S33" s="53">
        <v>0</v>
      </c>
      <c r="T33" s="53" t="s">
        <v>111</v>
      </c>
      <c r="U33" s="53" t="s">
        <v>111</v>
      </c>
      <c r="V33" s="53" t="s">
        <v>111</v>
      </c>
      <c r="W33" s="53" t="s">
        <v>111</v>
      </c>
      <c r="X33" s="53" t="s">
        <v>111</v>
      </c>
      <c r="Y33" s="53">
        <v>0</v>
      </c>
      <c r="Z33" s="53" t="s">
        <v>111</v>
      </c>
      <c r="AA33" s="53" t="s">
        <v>111</v>
      </c>
      <c r="AB33" s="53" t="s">
        <v>111</v>
      </c>
      <c r="AC33" s="53" t="s">
        <v>111</v>
      </c>
      <c r="AD33" s="53" t="s">
        <v>111</v>
      </c>
      <c r="AE33" s="53" t="s">
        <v>111</v>
      </c>
      <c r="AF33" s="53" t="s">
        <v>111</v>
      </c>
      <c r="AG33" s="53" t="s">
        <v>111</v>
      </c>
      <c r="AH33" s="53" t="s">
        <v>111</v>
      </c>
      <c r="AI33" s="53" t="s">
        <v>111</v>
      </c>
      <c r="AJ33" s="53" t="s">
        <v>111</v>
      </c>
      <c r="AK33" s="53" t="s">
        <v>111</v>
      </c>
      <c r="AL33" s="53" t="s">
        <v>111</v>
      </c>
      <c r="AM33" s="53" t="s">
        <v>111</v>
      </c>
      <c r="AN33" s="53" t="s">
        <v>111</v>
      </c>
      <c r="AO33" s="53" t="s">
        <v>111</v>
      </c>
      <c r="AP33" s="53" t="s">
        <v>111</v>
      </c>
      <c r="AQ33" s="53" t="s">
        <v>111</v>
      </c>
      <c r="AR33" s="53" t="s">
        <v>111</v>
      </c>
      <c r="AS33" s="53" t="s">
        <v>111</v>
      </c>
      <c r="AT33" s="53" t="s">
        <v>111</v>
      </c>
      <c r="AU33" s="53" t="s">
        <v>111</v>
      </c>
      <c r="AV33" s="53" t="s">
        <v>111</v>
      </c>
      <c r="AW33" s="53" t="s">
        <v>111</v>
      </c>
      <c r="AX33" s="53" t="s">
        <v>111</v>
      </c>
      <c r="AY33" s="53" t="s">
        <v>111</v>
      </c>
      <c r="AZ33" s="53" t="s">
        <v>111</v>
      </c>
      <c r="BA33" s="53">
        <v>0</v>
      </c>
      <c r="BB33" s="53" t="s">
        <v>111</v>
      </c>
      <c r="BC33" s="53">
        <v>1</v>
      </c>
      <c r="BD33" s="53" t="s">
        <v>111</v>
      </c>
      <c r="BE33" s="53" t="s">
        <v>111</v>
      </c>
      <c r="BF33" s="53" t="s">
        <v>111</v>
      </c>
      <c r="BG33" s="53" t="s">
        <v>111</v>
      </c>
      <c r="BH33" s="53" t="s">
        <v>111</v>
      </c>
      <c r="BI33" s="53" t="s">
        <v>111</v>
      </c>
      <c r="BJ33" s="53" t="s">
        <v>111</v>
      </c>
      <c r="BK33" s="53" t="s">
        <v>111</v>
      </c>
      <c r="BL33" s="53" t="s">
        <v>111</v>
      </c>
      <c r="BM33" s="53" t="s">
        <v>111</v>
      </c>
    </row>
    <row r="34" spans="1:65" ht="15" customHeight="1" x14ac:dyDescent="0.2">
      <c r="A34" s="53" t="s">
        <v>114</v>
      </c>
      <c r="B34" s="53" t="s">
        <v>111</v>
      </c>
      <c r="C34" s="53">
        <v>0</v>
      </c>
      <c r="D34" s="53" t="s">
        <v>111</v>
      </c>
      <c r="E34" s="53">
        <v>3</v>
      </c>
      <c r="F34" s="53" t="s">
        <v>111</v>
      </c>
      <c r="G34" s="53" t="s">
        <v>111</v>
      </c>
      <c r="H34" s="53" t="s">
        <v>111</v>
      </c>
      <c r="I34" s="53" t="s">
        <v>111</v>
      </c>
      <c r="J34" s="53" t="s">
        <v>111</v>
      </c>
      <c r="K34" s="53" t="s">
        <v>111</v>
      </c>
      <c r="L34" s="53" t="s">
        <v>111</v>
      </c>
      <c r="M34" s="53" t="s">
        <v>111</v>
      </c>
      <c r="N34" s="53" t="s">
        <v>111</v>
      </c>
      <c r="O34" s="53" t="s">
        <v>111</v>
      </c>
      <c r="P34" s="53" t="s">
        <v>111</v>
      </c>
      <c r="Q34" s="53" t="s">
        <v>111</v>
      </c>
      <c r="R34" s="53" t="s">
        <v>111</v>
      </c>
      <c r="S34" s="53">
        <v>0</v>
      </c>
      <c r="T34" s="53" t="s">
        <v>111</v>
      </c>
      <c r="U34" s="53" t="s">
        <v>111</v>
      </c>
      <c r="V34" s="53" t="s">
        <v>111</v>
      </c>
      <c r="W34" s="53" t="s">
        <v>111</v>
      </c>
      <c r="X34" s="53" t="s">
        <v>111</v>
      </c>
      <c r="Y34" s="53">
        <v>0</v>
      </c>
      <c r="Z34" s="53" t="s">
        <v>111</v>
      </c>
      <c r="AA34" s="53" t="s">
        <v>111</v>
      </c>
      <c r="AB34" s="53" t="s">
        <v>111</v>
      </c>
      <c r="AC34" s="53" t="s">
        <v>111</v>
      </c>
      <c r="AD34" s="53" t="s">
        <v>111</v>
      </c>
      <c r="AE34" s="53" t="s">
        <v>111</v>
      </c>
      <c r="AF34" s="53" t="s">
        <v>111</v>
      </c>
      <c r="AG34" s="53" t="s">
        <v>111</v>
      </c>
      <c r="AH34" s="53" t="s">
        <v>111</v>
      </c>
      <c r="AI34" s="53" t="s">
        <v>111</v>
      </c>
      <c r="AJ34" s="53" t="s">
        <v>111</v>
      </c>
      <c r="AK34" s="53" t="s">
        <v>111</v>
      </c>
      <c r="AL34" s="53" t="s">
        <v>111</v>
      </c>
      <c r="AM34" s="53" t="s">
        <v>111</v>
      </c>
      <c r="AN34" s="53" t="s">
        <v>111</v>
      </c>
      <c r="AO34" s="53" t="s">
        <v>111</v>
      </c>
      <c r="AP34" s="53" t="s">
        <v>111</v>
      </c>
      <c r="AQ34" s="53" t="s">
        <v>111</v>
      </c>
      <c r="AR34" s="53" t="s">
        <v>111</v>
      </c>
      <c r="AS34" s="53" t="s">
        <v>111</v>
      </c>
      <c r="AT34" s="53" t="s">
        <v>111</v>
      </c>
      <c r="AU34" s="53" t="s">
        <v>111</v>
      </c>
      <c r="AV34" s="53" t="s">
        <v>111</v>
      </c>
      <c r="AW34" s="53" t="s">
        <v>111</v>
      </c>
      <c r="AX34" s="53" t="s">
        <v>111</v>
      </c>
      <c r="AY34" s="53" t="s">
        <v>111</v>
      </c>
      <c r="AZ34" s="53" t="s">
        <v>111</v>
      </c>
      <c r="BA34" s="53">
        <v>0</v>
      </c>
      <c r="BB34" s="53" t="s">
        <v>111</v>
      </c>
      <c r="BC34" s="53">
        <v>0</v>
      </c>
      <c r="BD34" s="53" t="s">
        <v>111</v>
      </c>
      <c r="BE34" s="53" t="s">
        <v>111</v>
      </c>
      <c r="BF34" s="53" t="s">
        <v>111</v>
      </c>
      <c r="BG34" s="53" t="s">
        <v>111</v>
      </c>
      <c r="BH34" s="53" t="s">
        <v>111</v>
      </c>
      <c r="BI34" s="53" t="s">
        <v>111</v>
      </c>
      <c r="BJ34" s="53" t="s">
        <v>111</v>
      </c>
      <c r="BK34" s="53" t="s">
        <v>111</v>
      </c>
      <c r="BL34" s="53" t="s">
        <v>111</v>
      </c>
      <c r="BM34" s="53" t="s">
        <v>111</v>
      </c>
    </row>
    <row r="35" spans="1:65" ht="15" customHeight="1" x14ac:dyDescent="0.2">
      <c r="A35" s="53" t="s">
        <v>113</v>
      </c>
      <c r="B35" s="53" t="s">
        <v>111</v>
      </c>
      <c r="C35" s="53">
        <v>0</v>
      </c>
      <c r="D35" s="53" t="s">
        <v>111</v>
      </c>
      <c r="E35" s="53">
        <v>0</v>
      </c>
      <c r="F35" s="53" t="s">
        <v>111</v>
      </c>
      <c r="G35" s="53" t="s">
        <v>111</v>
      </c>
      <c r="H35" s="53" t="s">
        <v>111</v>
      </c>
      <c r="I35" s="53" t="s">
        <v>111</v>
      </c>
      <c r="J35" s="53" t="s">
        <v>111</v>
      </c>
      <c r="K35" s="53" t="s">
        <v>111</v>
      </c>
      <c r="L35" s="53" t="s">
        <v>111</v>
      </c>
      <c r="M35" s="53" t="s">
        <v>111</v>
      </c>
      <c r="N35" s="53" t="s">
        <v>111</v>
      </c>
      <c r="O35" s="53" t="s">
        <v>111</v>
      </c>
      <c r="P35" s="53" t="s">
        <v>111</v>
      </c>
      <c r="Q35" s="53" t="s">
        <v>111</v>
      </c>
      <c r="R35" s="53" t="s">
        <v>111</v>
      </c>
      <c r="S35" s="53">
        <v>0</v>
      </c>
      <c r="T35" s="53" t="s">
        <v>111</v>
      </c>
      <c r="U35" s="53" t="s">
        <v>111</v>
      </c>
      <c r="V35" s="53" t="s">
        <v>111</v>
      </c>
      <c r="W35" s="53" t="s">
        <v>111</v>
      </c>
      <c r="X35" s="53" t="s">
        <v>111</v>
      </c>
      <c r="Y35" s="53">
        <v>0</v>
      </c>
      <c r="Z35" s="53" t="s">
        <v>111</v>
      </c>
      <c r="AA35" s="53" t="s">
        <v>111</v>
      </c>
      <c r="AB35" s="53" t="s">
        <v>111</v>
      </c>
      <c r="AC35" s="53" t="s">
        <v>111</v>
      </c>
      <c r="AD35" s="53" t="s">
        <v>111</v>
      </c>
      <c r="AE35" s="53" t="s">
        <v>111</v>
      </c>
      <c r="AF35" s="53" t="s">
        <v>111</v>
      </c>
      <c r="AG35" s="53" t="s">
        <v>111</v>
      </c>
      <c r="AH35" s="53" t="s">
        <v>111</v>
      </c>
      <c r="AI35" s="53" t="s">
        <v>111</v>
      </c>
      <c r="AJ35" s="53" t="s">
        <v>111</v>
      </c>
      <c r="AK35" s="53" t="s">
        <v>111</v>
      </c>
      <c r="AL35" s="53" t="s">
        <v>111</v>
      </c>
      <c r="AM35" s="53" t="s">
        <v>111</v>
      </c>
      <c r="AN35" s="53" t="s">
        <v>111</v>
      </c>
      <c r="AO35" s="53" t="s">
        <v>111</v>
      </c>
      <c r="AP35" s="53" t="s">
        <v>111</v>
      </c>
      <c r="AQ35" s="53" t="s">
        <v>111</v>
      </c>
      <c r="AR35" s="53" t="s">
        <v>111</v>
      </c>
      <c r="AS35" s="53" t="s">
        <v>111</v>
      </c>
      <c r="AT35" s="53" t="s">
        <v>111</v>
      </c>
      <c r="AU35" s="53" t="s">
        <v>111</v>
      </c>
      <c r="AV35" s="53" t="s">
        <v>111</v>
      </c>
      <c r="AW35" s="53" t="s">
        <v>111</v>
      </c>
      <c r="AX35" s="53" t="s">
        <v>111</v>
      </c>
      <c r="AY35" s="53" t="s">
        <v>111</v>
      </c>
      <c r="AZ35" s="53" t="s">
        <v>111</v>
      </c>
      <c r="BA35" s="53">
        <v>0</v>
      </c>
      <c r="BB35" s="53" t="s">
        <v>111</v>
      </c>
      <c r="BC35" s="53">
        <v>1</v>
      </c>
      <c r="BD35" s="53" t="s">
        <v>111</v>
      </c>
      <c r="BE35" s="53" t="s">
        <v>111</v>
      </c>
      <c r="BF35" s="53" t="s">
        <v>111</v>
      </c>
      <c r="BG35" s="53" t="s">
        <v>111</v>
      </c>
      <c r="BH35" s="53" t="s">
        <v>111</v>
      </c>
      <c r="BI35" s="53" t="s">
        <v>111</v>
      </c>
      <c r="BJ35" s="53" t="s">
        <v>111</v>
      </c>
      <c r="BK35" s="53" t="s">
        <v>111</v>
      </c>
      <c r="BL35" s="53" t="s">
        <v>111</v>
      </c>
      <c r="BM35" s="53" t="s">
        <v>111</v>
      </c>
    </row>
    <row r="36" spans="1:65" ht="15" customHeight="1" x14ac:dyDescent="0.2">
      <c r="A36" s="53" t="s">
        <v>112</v>
      </c>
      <c r="B36" s="53" t="s">
        <v>111</v>
      </c>
      <c r="C36" s="53">
        <v>0</v>
      </c>
      <c r="D36" s="53" t="s">
        <v>111</v>
      </c>
      <c r="E36" s="53">
        <v>0</v>
      </c>
      <c r="F36" s="53" t="s">
        <v>111</v>
      </c>
      <c r="G36" s="53" t="s">
        <v>111</v>
      </c>
      <c r="H36" s="53" t="s">
        <v>111</v>
      </c>
      <c r="I36" s="53" t="s">
        <v>111</v>
      </c>
      <c r="J36" s="53" t="s">
        <v>111</v>
      </c>
      <c r="K36" s="53" t="s">
        <v>111</v>
      </c>
      <c r="L36" s="53" t="s">
        <v>111</v>
      </c>
      <c r="M36" s="53" t="s">
        <v>111</v>
      </c>
      <c r="N36" s="53" t="s">
        <v>111</v>
      </c>
      <c r="O36" s="53" t="s">
        <v>111</v>
      </c>
      <c r="P36" s="53" t="s">
        <v>111</v>
      </c>
      <c r="Q36" s="53" t="s">
        <v>111</v>
      </c>
      <c r="R36" s="53" t="s">
        <v>111</v>
      </c>
      <c r="S36" s="53">
        <v>0</v>
      </c>
      <c r="T36" s="53" t="s">
        <v>111</v>
      </c>
      <c r="U36" s="53" t="s">
        <v>111</v>
      </c>
      <c r="V36" s="53" t="s">
        <v>111</v>
      </c>
      <c r="W36" s="53" t="s">
        <v>111</v>
      </c>
      <c r="X36" s="53" t="s">
        <v>111</v>
      </c>
      <c r="Y36" s="53">
        <v>0</v>
      </c>
      <c r="Z36" s="53" t="s">
        <v>111</v>
      </c>
      <c r="AA36" s="53" t="s">
        <v>111</v>
      </c>
      <c r="AB36" s="53" t="s">
        <v>111</v>
      </c>
      <c r="AC36" s="53" t="s">
        <v>111</v>
      </c>
      <c r="AD36" s="53" t="s">
        <v>111</v>
      </c>
      <c r="AE36" s="53" t="s">
        <v>111</v>
      </c>
      <c r="AF36" s="53" t="s">
        <v>111</v>
      </c>
      <c r="AG36" s="53" t="s">
        <v>111</v>
      </c>
      <c r="AH36" s="53" t="s">
        <v>111</v>
      </c>
      <c r="AI36" s="53" t="s">
        <v>111</v>
      </c>
      <c r="AJ36" s="53" t="s">
        <v>111</v>
      </c>
      <c r="AK36" s="53" t="s">
        <v>111</v>
      </c>
      <c r="AL36" s="53" t="s">
        <v>111</v>
      </c>
      <c r="AM36" s="53" t="s">
        <v>111</v>
      </c>
      <c r="AN36" s="53" t="s">
        <v>111</v>
      </c>
      <c r="AO36" s="53" t="s">
        <v>111</v>
      </c>
      <c r="AP36" s="53" t="s">
        <v>111</v>
      </c>
      <c r="AQ36" s="53" t="s">
        <v>111</v>
      </c>
      <c r="AR36" s="53" t="s">
        <v>111</v>
      </c>
      <c r="AS36" s="53" t="s">
        <v>111</v>
      </c>
      <c r="AT36" s="53" t="s">
        <v>111</v>
      </c>
      <c r="AU36" s="53" t="s">
        <v>111</v>
      </c>
      <c r="AV36" s="53" t="s">
        <v>111</v>
      </c>
      <c r="AW36" s="53" t="s">
        <v>111</v>
      </c>
      <c r="AX36" s="53" t="s">
        <v>111</v>
      </c>
      <c r="AY36" s="53" t="s">
        <v>111</v>
      </c>
      <c r="AZ36" s="53" t="s">
        <v>111</v>
      </c>
      <c r="BA36" s="53">
        <v>0</v>
      </c>
      <c r="BB36" s="53" t="s">
        <v>111</v>
      </c>
      <c r="BC36" s="53">
        <v>2</v>
      </c>
      <c r="BD36" s="53" t="s">
        <v>111</v>
      </c>
      <c r="BE36" s="53" t="s">
        <v>111</v>
      </c>
      <c r="BF36" s="53" t="s">
        <v>111</v>
      </c>
      <c r="BG36" s="53" t="s">
        <v>111</v>
      </c>
      <c r="BH36" s="53" t="s">
        <v>111</v>
      </c>
      <c r="BI36" s="53" t="s">
        <v>111</v>
      </c>
      <c r="BJ36" s="53" t="s">
        <v>111</v>
      </c>
      <c r="BK36" s="53" t="s">
        <v>111</v>
      </c>
      <c r="BL36" s="53" t="s">
        <v>111</v>
      </c>
      <c r="BM36" s="53"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C9528-651D-45C4-930C-3CF586FA208E}">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111</v>
      </c>
      <c r="B6" s="62"/>
      <c r="C6" s="61" t="s">
        <v>111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111</v>
      </c>
      <c r="B7" s="62"/>
      <c r="C7" s="61" t="s">
        <v>111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111</v>
      </c>
      <c r="B8" s="62"/>
      <c r="C8" s="61" t="s">
        <v>111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111</v>
      </c>
      <c r="B9" s="62"/>
      <c r="C9" s="61" t="s">
        <v>111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111</v>
      </c>
      <c r="B12" s="60" t="s">
        <v>152</v>
      </c>
      <c r="C12" s="59"/>
      <c r="D12" s="59"/>
      <c r="E12" s="59"/>
      <c r="F12" s="59"/>
      <c r="G12" s="59"/>
      <c r="H12" s="59"/>
      <c r="I12" s="58"/>
      <c r="J12" s="60" t="s">
        <v>150</v>
      </c>
      <c r="K12" s="59"/>
      <c r="L12" s="59"/>
      <c r="M12" s="59"/>
      <c r="N12" s="59"/>
      <c r="O12" s="59"/>
      <c r="P12" s="59"/>
      <c r="Q12" s="58"/>
      <c r="R12" s="60" t="s">
        <v>153</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111</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111</v>
      </c>
      <c r="C15" s="53">
        <v>0</v>
      </c>
      <c r="D15" s="53" t="s">
        <v>111</v>
      </c>
      <c r="E15" s="53">
        <v>1</v>
      </c>
      <c r="F15" s="53" t="s">
        <v>111</v>
      </c>
      <c r="G15" s="53" t="s">
        <v>111</v>
      </c>
      <c r="H15" s="53" t="s">
        <v>111</v>
      </c>
      <c r="I15" s="53" t="s">
        <v>111</v>
      </c>
      <c r="J15" s="53" t="s">
        <v>111</v>
      </c>
      <c r="K15" s="53" t="s">
        <v>111</v>
      </c>
      <c r="L15" s="53" t="s">
        <v>111</v>
      </c>
      <c r="M15" s="53" t="s">
        <v>111</v>
      </c>
      <c r="N15" s="53" t="s">
        <v>111</v>
      </c>
      <c r="O15" s="53" t="s">
        <v>111</v>
      </c>
      <c r="P15" s="53" t="s">
        <v>111</v>
      </c>
      <c r="Q15" s="53" t="s">
        <v>111</v>
      </c>
      <c r="R15" s="53" t="s">
        <v>111</v>
      </c>
      <c r="S15" s="53">
        <v>2</v>
      </c>
      <c r="T15" s="53" t="s">
        <v>111</v>
      </c>
      <c r="U15" s="53" t="s">
        <v>111</v>
      </c>
      <c r="V15" s="53" t="s">
        <v>111</v>
      </c>
      <c r="W15" s="53" t="s">
        <v>111</v>
      </c>
      <c r="X15" s="53" t="s">
        <v>111</v>
      </c>
      <c r="Y15" s="53">
        <v>0</v>
      </c>
      <c r="Z15" s="53" t="s">
        <v>111</v>
      </c>
      <c r="AA15" s="53" t="s">
        <v>111</v>
      </c>
      <c r="AB15" s="53" t="s">
        <v>111</v>
      </c>
      <c r="AC15" s="53" t="s">
        <v>111</v>
      </c>
      <c r="AD15" s="53" t="s">
        <v>111</v>
      </c>
      <c r="AE15" s="53" t="s">
        <v>111</v>
      </c>
      <c r="AF15" s="53" t="s">
        <v>111</v>
      </c>
      <c r="AG15" s="53" t="s">
        <v>111</v>
      </c>
      <c r="AH15" s="53" t="s">
        <v>111</v>
      </c>
      <c r="AI15" s="53" t="s">
        <v>111</v>
      </c>
      <c r="AJ15" s="53" t="s">
        <v>111</v>
      </c>
      <c r="AK15" s="53" t="s">
        <v>111</v>
      </c>
      <c r="AL15" s="53" t="s">
        <v>111</v>
      </c>
      <c r="AM15" s="53" t="s">
        <v>111</v>
      </c>
      <c r="AN15" s="53" t="s">
        <v>111</v>
      </c>
      <c r="AO15" s="53" t="s">
        <v>111</v>
      </c>
      <c r="AP15" s="53" t="s">
        <v>111</v>
      </c>
      <c r="AQ15" s="53" t="s">
        <v>111</v>
      </c>
      <c r="AR15" s="53" t="s">
        <v>111</v>
      </c>
      <c r="AS15" s="53" t="s">
        <v>111</v>
      </c>
      <c r="AT15" s="53" t="s">
        <v>111</v>
      </c>
      <c r="AU15" s="53" t="s">
        <v>111</v>
      </c>
      <c r="AV15" s="53" t="s">
        <v>111</v>
      </c>
      <c r="AW15" s="53" t="s">
        <v>111</v>
      </c>
      <c r="AX15" s="53" t="s">
        <v>111</v>
      </c>
      <c r="AY15" s="53" t="s">
        <v>111</v>
      </c>
      <c r="AZ15" s="53" t="s">
        <v>111</v>
      </c>
      <c r="BA15" s="53">
        <v>0</v>
      </c>
      <c r="BB15" s="53" t="s">
        <v>111</v>
      </c>
      <c r="BC15" s="53">
        <v>2</v>
      </c>
      <c r="BD15" s="53" t="s">
        <v>111</v>
      </c>
      <c r="BE15" s="53" t="s">
        <v>111</v>
      </c>
      <c r="BF15" s="53" t="s">
        <v>111</v>
      </c>
      <c r="BG15" s="53" t="s">
        <v>111</v>
      </c>
      <c r="BH15" s="53" t="s">
        <v>111</v>
      </c>
      <c r="BI15" s="53" t="s">
        <v>111</v>
      </c>
      <c r="BJ15" s="53" t="s">
        <v>111</v>
      </c>
      <c r="BK15" s="53" t="s">
        <v>111</v>
      </c>
      <c r="BL15" s="53" t="s">
        <v>111</v>
      </c>
      <c r="BM15" s="53" t="s">
        <v>111</v>
      </c>
    </row>
    <row r="16" spans="1:65" ht="15" customHeight="1" x14ac:dyDescent="0.2">
      <c r="A16" s="53" t="s">
        <v>132</v>
      </c>
      <c r="B16" s="53" t="s">
        <v>111</v>
      </c>
      <c r="C16" s="53">
        <v>0</v>
      </c>
      <c r="D16" s="53" t="s">
        <v>111</v>
      </c>
      <c r="E16" s="53">
        <v>9</v>
      </c>
      <c r="F16" s="53" t="s">
        <v>111</v>
      </c>
      <c r="G16" s="53" t="s">
        <v>111</v>
      </c>
      <c r="H16" s="53" t="s">
        <v>111</v>
      </c>
      <c r="I16" s="53" t="s">
        <v>111</v>
      </c>
      <c r="J16" s="53" t="s">
        <v>111</v>
      </c>
      <c r="K16" s="53" t="s">
        <v>111</v>
      </c>
      <c r="L16" s="53" t="s">
        <v>111</v>
      </c>
      <c r="M16" s="53" t="s">
        <v>111</v>
      </c>
      <c r="N16" s="53" t="s">
        <v>111</v>
      </c>
      <c r="O16" s="53" t="s">
        <v>111</v>
      </c>
      <c r="P16" s="53" t="s">
        <v>111</v>
      </c>
      <c r="Q16" s="53" t="s">
        <v>111</v>
      </c>
      <c r="R16" s="53" t="s">
        <v>111</v>
      </c>
      <c r="S16" s="53">
        <v>2</v>
      </c>
      <c r="T16" s="53" t="s">
        <v>111</v>
      </c>
      <c r="U16" s="53" t="s">
        <v>111</v>
      </c>
      <c r="V16" s="53" t="s">
        <v>111</v>
      </c>
      <c r="W16" s="53" t="s">
        <v>111</v>
      </c>
      <c r="X16" s="53" t="s">
        <v>111</v>
      </c>
      <c r="Y16" s="53">
        <v>0</v>
      </c>
      <c r="Z16" s="53" t="s">
        <v>111</v>
      </c>
      <c r="AA16" s="53" t="s">
        <v>111</v>
      </c>
      <c r="AB16" s="53" t="s">
        <v>111</v>
      </c>
      <c r="AC16" s="53" t="s">
        <v>111</v>
      </c>
      <c r="AD16" s="53" t="s">
        <v>111</v>
      </c>
      <c r="AE16" s="53" t="s">
        <v>111</v>
      </c>
      <c r="AF16" s="53" t="s">
        <v>111</v>
      </c>
      <c r="AG16" s="53" t="s">
        <v>111</v>
      </c>
      <c r="AH16" s="53" t="s">
        <v>111</v>
      </c>
      <c r="AI16" s="53" t="s">
        <v>111</v>
      </c>
      <c r="AJ16" s="53" t="s">
        <v>111</v>
      </c>
      <c r="AK16" s="53" t="s">
        <v>111</v>
      </c>
      <c r="AL16" s="53" t="s">
        <v>111</v>
      </c>
      <c r="AM16" s="53" t="s">
        <v>111</v>
      </c>
      <c r="AN16" s="53" t="s">
        <v>111</v>
      </c>
      <c r="AO16" s="53" t="s">
        <v>111</v>
      </c>
      <c r="AP16" s="53" t="s">
        <v>111</v>
      </c>
      <c r="AQ16" s="53" t="s">
        <v>111</v>
      </c>
      <c r="AR16" s="53" t="s">
        <v>111</v>
      </c>
      <c r="AS16" s="53" t="s">
        <v>111</v>
      </c>
      <c r="AT16" s="53" t="s">
        <v>111</v>
      </c>
      <c r="AU16" s="53" t="s">
        <v>111</v>
      </c>
      <c r="AV16" s="53" t="s">
        <v>111</v>
      </c>
      <c r="AW16" s="53" t="s">
        <v>111</v>
      </c>
      <c r="AX16" s="53" t="s">
        <v>111</v>
      </c>
      <c r="AY16" s="53" t="s">
        <v>111</v>
      </c>
      <c r="AZ16" s="53" t="s">
        <v>111</v>
      </c>
      <c r="BA16" s="53">
        <v>0</v>
      </c>
      <c r="BB16" s="53" t="s">
        <v>111</v>
      </c>
      <c r="BC16" s="53">
        <v>1</v>
      </c>
      <c r="BD16" s="53" t="s">
        <v>111</v>
      </c>
      <c r="BE16" s="53" t="s">
        <v>111</v>
      </c>
      <c r="BF16" s="53" t="s">
        <v>111</v>
      </c>
      <c r="BG16" s="53" t="s">
        <v>111</v>
      </c>
      <c r="BH16" s="53" t="s">
        <v>111</v>
      </c>
      <c r="BI16" s="53" t="s">
        <v>111</v>
      </c>
      <c r="BJ16" s="53" t="s">
        <v>111</v>
      </c>
      <c r="BK16" s="53" t="s">
        <v>111</v>
      </c>
      <c r="BL16" s="53" t="s">
        <v>111</v>
      </c>
      <c r="BM16" s="53" t="s">
        <v>111</v>
      </c>
    </row>
    <row r="17" spans="1:65" ht="15" customHeight="1" x14ac:dyDescent="0.2">
      <c r="A17" s="53" t="s">
        <v>131</v>
      </c>
      <c r="B17" s="53" t="s">
        <v>111</v>
      </c>
      <c r="C17" s="53">
        <v>1</v>
      </c>
      <c r="D17" s="53" t="s">
        <v>111</v>
      </c>
      <c r="E17" s="53">
        <v>8</v>
      </c>
      <c r="F17" s="53" t="s">
        <v>111</v>
      </c>
      <c r="G17" s="53" t="s">
        <v>111</v>
      </c>
      <c r="H17" s="53" t="s">
        <v>111</v>
      </c>
      <c r="I17" s="53" t="s">
        <v>111</v>
      </c>
      <c r="J17" s="53" t="s">
        <v>111</v>
      </c>
      <c r="K17" s="53" t="s">
        <v>111</v>
      </c>
      <c r="L17" s="53" t="s">
        <v>111</v>
      </c>
      <c r="M17" s="53" t="s">
        <v>111</v>
      </c>
      <c r="N17" s="53" t="s">
        <v>111</v>
      </c>
      <c r="O17" s="53" t="s">
        <v>111</v>
      </c>
      <c r="P17" s="53" t="s">
        <v>111</v>
      </c>
      <c r="Q17" s="53" t="s">
        <v>111</v>
      </c>
      <c r="R17" s="53" t="s">
        <v>111</v>
      </c>
      <c r="S17" s="53">
        <v>5</v>
      </c>
      <c r="T17" s="53" t="s">
        <v>111</v>
      </c>
      <c r="U17" s="53" t="s">
        <v>111</v>
      </c>
      <c r="V17" s="53" t="s">
        <v>111</v>
      </c>
      <c r="W17" s="53" t="s">
        <v>111</v>
      </c>
      <c r="X17" s="53" t="s">
        <v>111</v>
      </c>
      <c r="Y17" s="53">
        <v>0</v>
      </c>
      <c r="Z17" s="53" t="s">
        <v>111</v>
      </c>
      <c r="AA17" s="53" t="s">
        <v>111</v>
      </c>
      <c r="AB17" s="53" t="s">
        <v>111</v>
      </c>
      <c r="AC17" s="53" t="s">
        <v>111</v>
      </c>
      <c r="AD17" s="53" t="s">
        <v>111</v>
      </c>
      <c r="AE17" s="53" t="s">
        <v>111</v>
      </c>
      <c r="AF17" s="53" t="s">
        <v>111</v>
      </c>
      <c r="AG17" s="53" t="s">
        <v>111</v>
      </c>
      <c r="AH17" s="53" t="s">
        <v>111</v>
      </c>
      <c r="AI17" s="53" t="s">
        <v>111</v>
      </c>
      <c r="AJ17" s="53" t="s">
        <v>111</v>
      </c>
      <c r="AK17" s="53" t="s">
        <v>111</v>
      </c>
      <c r="AL17" s="53" t="s">
        <v>111</v>
      </c>
      <c r="AM17" s="53" t="s">
        <v>111</v>
      </c>
      <c r="AN17" s="53" t="s">
        <v>111</v>
      </c>
      <c r="AO17" s="53" t="s">
        <v>111</v>
      </c>
      <c r="AP17" s="53" t="s">
        <v>111</v>
      </c>
      <c r="AQ17" s="53" t="s">
        <v>111</v>
      </c>
      <c r="AR17" s="53" t="s">
        <v>111</v>
      </c>
      <c r="AS17" s="53" t="s">
        <v>111</v>
      </c>
      <c r="AT17" s="53" t="s">
        <v>111</v>
      </c>
      <c r="AU17" s="53" t="s">
        <v>111</v>
      </c>
      <c r="AV17" s="53" t="s">
        <v>111</v>
      </c>
      <c r="AW17" s="53" t="s">
        <v>111</v>
      </c>
      <c r="AX17" s="53" t="s">
        <v>111</v>
      </c>
      <c r="AY17" s="53" t="s">
        <v>111</v>
      </c>
      <c r="AZ17" s="53" t="s">
        <v>111</v>
      </c>
      <c r="BA17" s="53">
        <v>0</v>
      </c>
      <c r="BB17" s="53" t="s">
        <v>111</v>
      </c>
      <c r="BC17" s="53">
        <v>1</v>
      </c>
      <c r="BD17" s="53" t="s">
        <v>111</v>
      </c>
      <c r="BE17" s="53" t="s">
        <v>111</v>
      </c>
      <c r="BF17" s="53" t="s">
        <v>111</v>
      </c>
      <c r="BG17" s="53" t="s">
        <v>111</v>
      </c>
      <c r="BH17" s="53" t="s">
        <v>111</v>
      </c>
      <c r="BI17" s="53" t="s">
        <v>111</v>
      </c>
      <c r="BJ17" s="53" t="s">
        <v>111</v>
      </c>
      <c r="BK17" s="53" t="s">
        <v>111</v>
      </c>
      <c r="BL17" s="53" t="s">
        <v>111</v>
      </c>
      <c r="BM17" s="53" t="s">
        <v>111</v>
      </c>
    </row>
    <row r="18" spans="1:65" ht="15" customHeight="1" x14ac:dyDescent="0.2">
      <c r="A18" s="53" t="s">
        <v>130</v>
      </c>
      <c r="B18" s="53" t="s">
        <v>111</v>
      </c>
      <c r="C18" s="53">
        <v>0</v>
      </c>
      <c r="D18" s="53" t="s">
        <v>111</v>
      </c>
      <c r="E18" s="53">
        <v>7</v>
      </c>
      <c r="F18" s="53" t="s">
        <v>111</v>
      </c>
      <c r="G18" s="53" t="s">
        <v>111</v>
      </c>
      <c r="H18" s="53" t="s">
        <v>111</v>
      </c>
      <c r="I18" s="53" t="s">
        <v>111</v>
      </c>
      <c r="J18" s="53" t="s">
        <v>111</v>
      </c>
      <c r="K18" s="53" t="s">
        <v>111</v>
      </c>
      <c r="L18" s="53" t="s">
        <v>111</v>
      </c>
      <c r="M18" s="53" t="s">
        <v>111</v>
      </c>
      <c r="N18" s="53" t="s">
        <v>111</v>
      </c>
      <c r="O18" s="53" t="s">
        <v>111</v>
      </c>
      <c r="P18" s="53" t="s">
        <v>111</v>
      </c>
      <c r="Q18" s="53" t="s">
        <v>111</v>
      </c>
      <c r="R18" s="53" t="s">
        <v>111</v>
      </c>
      <c r="S18" s="53">
        <v>8</v>
      </c>
      <c r="T18" s="53" t="s">
        <v>111</v>
      </c>
      <c r="U18" s="53" t="s">
        <v>111</v>
      </c>
      <c r="V18" s="53" t="s">
        <v>111</v>
      </c>
      <c r="W18" s="53" t="s">
        <v>111</v>
      </c>
      <c r="X18" s="53" t="s">
        <v>111</v>
      </c>
      <c r="Y18" s="53">
        <v>0</v>
      </c>
      <c r="Z18" s="53" t="s">
        <v>111</v>
      </c>
      <c r="AA18" s="53" t="s">
        <v>111</v>
      </c>
      <c r="AB18" s="53" t="s">
        <v>111</v>
      </c>
      <c r="AC18" s="53" t="s">
        <v>111</v>
      </c>
      <c r="AD18" s="53" t="s">
        <v>111</v>
      </c>
      <c r="AE18" s="53" t="s">
        <v>111</v>
      </c>
      <c r="AF18" s="53" t="s">
        <v>111</v>
      </c>
      <c r="AG18" s="53" t="s">
        <v>111</v>
      </c>
      <c r="AH18" s="53" t="s">
        <v>111</v>
      </c>
      <c r="AI18" s="53" t="s">
        <v>111</v>
      </c>
      <c r="AJ18" s="53" t="s">
        <v>111</v>
      </c>
      <c r="AK18" s="53" t="s">
        <v>111</v>
      </c>
      <c r="AL18" s="53" t="s">
        <v>111</v>
      </c>
      <c r="AM18" s="53" t="s">
        <v>111</v>
      </c>
      <c r="AN18" s="53" t="s">
        <v>111</v>
      </c>
      <c r="AO18" s="53" t="s">
        <v>111</v>
      </c>
      <c r="AP18" s="53" t="s">
        <v>111</v>
      </c>
      <c r="AQ18" s="53" t="s">
        <v>111</v>
      </c>
      <c r="AR18" s="53" t="s">
        <v>111</v>
      </c>
      <c r="AS18" s="53" t="s">
        <v>111</v>
      </c>
      <c r="AT18" s="53" t="s">
        <v>111</v>
      </c>
      <c r="AU18" s="53" t="s">
        <v>111</v>
      </c>
      <c r="AV18" s="53" t="s">
        <v>111</v>
      </c>
      <c r="AW18" s="53" t="s">
        <v>111</v>
      </c>
      <c r="AX18" s="53" t="s">
        <v>111</v>
      </c>
      <c r="AY18" s="53" t="s">
        <v>111</v>
      </c>
      <c r="AZ18" s="53" t="s">
        <v>111</v>
      </c>
      <c r="BA18" s="53">
        <v>0</v>
      </c>
      <c r="BB18" s="53" t="s">
        <v>111</v>
      </c>
      <c r="BC18" s="53">
        <v>2</v>
      </c>
      <c r="BD18" s="53" t="s">
        <v>111</v>
      </c>
      <c r="BE18" s="53" t="s">
        <v>111</v>
      </c>
      <c r="BF18" s="53" t="s">
        <v>111</v>
      </c>
      <c r="BG18" s="53" t="s">
        <v>111</v>
      </c>
      <c r="BH18" s="53" t="s">
        <v>111</v>
      </c>
      <c r="BI18" s="53" t="s">
        <v>111</v>
      </c>
      <c r="BJ18" s="53" t="s">
        <v>111</v>
      </c>
      <c r="BK18" s="53" t="s">
        <v>111</v>
      </c>
      <c r="BL18" s="53" t="s">
        <v>111</v>
      </c>
      <c r="BM18" s="53" t="s">
        <v>111</v>
      </c>
    </row>
    <row r="19" spans="1:65" ht="15" customHeight="1" x14ac:dyDescent="0.2">
      <c r="A19" s="53" t="s">
        <v>129</v>
      </c>
      <c r="B19" s="53" t="s">
        <v>111</v>
      </c>
      <c r="C19" s="53">
        <v>0</v>
      </c>
      <c r="D19" s="53" t="s">
        <v>111</v>
      </c>
      <c r="E19" s="53">
        <v>4</v>
      </c>
      <c r="F19" s="53" t="s">
        <v>111</v>
      </c>
      <c r="G19" s="53" t="s">
        <v>111</v>
      </c>
      <c r="H19" s="53" t="s">
        <v>111</v>
      </c>
      <c r="I19" s="53" t="s">
        <v>111</v>
      </c>
      <c r="J19" s="53" t="s">
        <v>111</v>
      </c>
      <c r="K19" s="53" t="s">
        <v>111</v>
      </c>
      <c r="L19" s="53" t="s">
        <v>111</v>
      </c>
      <c r="M19" s="53" t="s">
        <v>111</v>
      </c>
      <c r="N19" s="53" t="s">
        <v>111</v>
      </c>
      <c r="O19" s="53" t="s">
        <v>111</v>
      </c>
      <c r="P19" s="53" t="s">
        <v>111</v>
      </c>
      <c r="Q19" s="53" t="s">
        <v>111</v>
      </c>
      <c r="R19" s="53" t="s">
        <v>111</v>
      </c>
      <c r="S19" s="53">
        <v>2</v>
      </c>
      <c r="T19" s="53" t="s">
        <v>111</v>
      </c>
      <c r="U19" s="53" t="s">
        <v>111</v>
      </c>
      <c r="V19" s="53" t="s">
        <v>111</v>
      </c>
      <c r="W19" s="53" t="s">
        <v>111</v>
      </c>
      <c r="X19" s="53" t="s">
        <v>111</v>
      </c>
      <c r="Y19" s="53">
        <v>0</v>
      </c>
      <c r="Z19" s="53" t="s">
        <v>111</v>
      </c>
      <c r="AA19" s="53" t="s">
        <v>111</v>
      </c>
      <c r="AB19" s="53" t="s">
        <v>111</v>
      </c>
      <c r="AC19" s="53" t="s">
        <v>111</v>
      </c>
      <c r="AD19" s="53" t="s">
        <v>111</v>
      </c>
      <c r="AE19" s="53" t="s">
        <v>111</v>
      </c>
      <c r="AF19" s="53" t="s">
        <v>111</v>
      </c>
      <c r="AG19" s="53" t="s">
        <v>111</v>
      </c>
      <c r="AH19" s="53" t="s">
        <v>111</v>
      </c>
      <c r="AI19" s="53" t="s">
        <v>111</v>
      </c>
      <c r="AJ19" s="53" t="s">
        <v>111</v>
      </c>
      <c r="AK19" s="53" t="s">
        <v>111</v>
      </c>
      <c r="AL19" s="53" t="s">
        <v>111</v>
      </c>
      <c r="AM19" s="53" t="s">
        <v>111</v>
      </c>
      <c r="AN19" s="53" t="s">
        <v>111</v>
      </c>
      <c r="AO19" s="53" t="s">
        <v>111</v>
      </c>
      <c r="AP19" s="53" t="s">
        <v>111</v>
      </c>
      <c r="AQ19" s="53" t="s">
        <v>111</v>
      </c>
      <c r="AR19" s="53" t="s">
        <v>111</v>
      </c>
      <c r="AS19" s="53" t="s">
        <v>111</v>
      </c>
      <c r="AT19" s="53" t="s">
        <v>111</v>
      </c>
      <c r="AU19" s="53" t="s">
        <v>111</v>
      </c>
      <c r="AV19" s="53" t="s">
        <v>111</v>
      </c>
      <c r="AW19" s="53" t="s">
        <v>111</v>
      </c>
      <c r="AX19" s="53" t="s">
        <v>111</v>
      </c>
      <c r="AY19" s="53" t="s">
        <v>111</v>
      </c>
      <c r="AZ19" s="53" t="s">
        <v>111</v>
      </c>
      <c r="BA19" s="53">
        <v>1</v>
      </c>
      <c r="BB19" s="53" t="s">
        <v>111</v>
      </c>
      <c r="BC19" s="53">
        <v>0</v>
      </c>
      <c r="BD19" s="53" t="s">
        <v>111</v>
      </c>
      <c r="BE19" s="53" t="s">
        <v>111</v>
      </c>
      <c r="BF19" s="53" t="s">
        <v>111</v>
      </c>
      <c r="BG19" s="53" t="s">
        <v>111</v>
      </c>
      <c r="BH19" s="53" t="s">
        <v>111</v>
      </c>
      <c r="BI19" s="53" t="s">
        <v>111</v>
      </c>
      <c r="BJ19" s="53" t="s">
        <v>111</v>
      </c>
      <c r="BK19" s="53" t="s">
        <v>111</v>
      </c>
      <c r="BL19" s="53" t="s">
        <v>111</v>
      </c>
      <c r="BM19" s="53" t="s">
        <v>111</v>
      </c>
    </row>
    <row r="20" spans="1:65" ht="15" customHeight="1" x14ac:dyDescent="0.2">
      <c r="A20" s="53" t="s">
        <v>128</v>
      </c>
      <c r="B20" s="53" t="s">
        <v>111</v>
      </c>
      <c r="C20" s="53">
        <v>0</v>
      </c>
      <c r="D20" s="53" t="s">
        <v>111</v>
      </c>
      <c r="E20" s="53">
        <v>13</v>
      </c>
      <c r="F20" s="53" t="s">
        <v>111</v>
      </c>
      <c r="G20" s="53" t="s">
        <v>111</v>
      </c>
      <c r="H20" s="53" t="s">
        <v>111</v>
      </c>
      <c r="I20" s="53" t="s">
        <v>111</v>
      </c>
      <c r="J20" s="53" t="s">
        <v>111</v>
      </c>
      <c r="K20" s="53" t="s">
        <v>111</v>
      </c>
      <c r="L20" s="53" t="s">
        <v>111</v>
      </c>
      <c r="M20" s="53" t="s">
        <v>111</v>
      </c>
      <c r="N20" s="53" t="s">
        <v>111</v>
      </c>
      <c r="O20" s="53" t="s">
        <v>111</v>
      </c>
      <c r="P20" s="53" t="s">
        <v>111</v>
      </c>
      <c r="Q20" s="53" t="s">
        <v>111</v>
      </c>
      <c r="R20" s="53" t="s">
        <v>111</v>
      </c>
      <c r="S20" s="53">
        <v>7</v>
      </c>
      <c r="T20" s="53" t="s">
        <v>111</v>
      </c>
      <c r="U20" s="53" t="s">
        <v>111</v>
      </c>
      <c r="V20" s="53" t="s">
        <v>111</v>
      </c>
      <c r="W20" s="53" t="s">
        <v>111</v>
      </c>
      <c r="X20" s="53" t="s">
        <v>111</v>
      </c>
      <c r="Y20" s="53">
        <v>0</v>
      </c>
      <c r="Z20" s="53" t="s">
        <v>111</v>
      </c>
      <c r="AA20" s="53" t="s">
        <v>111</v>
      </c>
      <c r="AB20" s="53" t="s">
        <v>111</v>
      </c>
      <c r="AC20" s="53" t="s">
        <v>111</v>
      </c>
      <c r="AD20" s="53" t="s">
        <v>111</v>
      </c>
      <c r="AE20" s="53" t="s">
        <v>111</v>
      </c>
      <c r="AF20" s="53" t="s">
        <v>111</v>
      </c>
      <c r="AG20" s="53" t="s">
        <v>111</v>
      </c>
      <c r="AH20" s="53" t="s">
        <v>111</v>
      </c>
      <c r="AI20" s="53" t="s">
        <v>111</v>
      </c>
      <c r="AJ20" s="53" t="s">
        <v>111</v>
      </c>
      <c r="AK20" s="53" t="s">
        <v>111</v>
      </c>
      <c r="AL20" s="53" t="s">
        <v>111</v>
      </c>
      <c r="AM20" s="53" t="s">
        <v>111</v>
      </c>
      <c r="AN20" s="53" t="s">
        <v>111</v>
      </c>
      <c r="AO20" s="53" t="s">
        <v>111</v>
      </c>
      <c r="AP20" s="53" t="s">
        <v>111</v>
      </c>
      <c r="AQ20" s="53" t="s">
        <v>111</v>
      </c>
      <c r="AR20" s="53" t="s">
        <v>111</v>
      </c>
      <c r="AS20" s="53" t="s">
        <v>111</v>
      </c>
      <c r="AT20" s="53" t="s">
        <v>111</v>
      </c>
      <c r="AU20" s="53" t="s">
        <v>111</v>
      </c>
      <c r="AV20" s="53" t="s">
        <v>111</v>
      </c>
      <c r="AW20" s="53" t="s">
        <v>111</v>
      </c>
      <c r="AX20" s="53" t="s">
        <v>111</v>
      </c>
      <c r="AY20" s="53" t="s">
        <v>111</v>
      </c>
      <c r="AZ20" s="53" t="s">
        <v>111</v>
      </c>
      <c r="BA20" s="53">
        <v>20</v>
      </c>
      <c r="BB20" s="53" t="s">
        <v>111</v>
      </c>
      <c r="BC20" s="53">
        <v>0</v>
      </c>
      <c r="BD20" s="53" t="s">
        <v>111</v>
      </c>
      <c r="BE20" s="53" t="s">
        <v>111</v>
      </c>
      <c r="BF20" s="53" t="s">
        <v>111</v>
      </c>
      <c r="BG20" s="53" t="s">
        <v>111</v>
      </c>
      <c r="BH20" s="53" t="s">
        <v>111</v>
      </c>
      <c r="BI20" s="53" t="s">
        <v>111</v>
      </c>
      <c r="BJ20" s="53" t="s">
        <v>111</v>
      </c>
      <c r="BK20" s="53" t="s">
        <v>111</v>
      </c>
      <c r="BL20" s="53" t="s">
        <v>111</v>
      </c>
      <c r="BM20" s="53" t="s">
        <v>111</v>
      </c>
    </row>
    <row r="21" spans="1:65" ht="15" customHeight="1" x14ac:dyDescent="0.2">
      <c r="A21" s="53" t="s">
        <v>127</v>
      </c>
      <c r="B21" s="53" t="s">
        <v>111</v>
      </c>
      <c r="C21" s="53">
        <v>1</v>
      </c>
      <c r="D21" s="53" t="s">
        <v>111</v>
      </c>
      <c r="E21" s="53">
        <v>3</v>
      </c>
      <c r="F21" s="53" t="s">
        <v>111</v>
      </c>
      <c r="G21" s="53" t="s">
        <v>111</v>
      </c>
      <c r="H21" s="53" t="s">
        <v>111</v>
      </c>
      <c r="I21" s="53" t="s">
        <v>111</v>
      </c>
      <c r="J21" s="53" t="s">
        <v>111</v>
      </c>
      <c r="K21" s="53" t="s">
        <v>111</v>
      </c>
      <c r="L21" s="53" t="s">
        <v>111</v>
      </c>
      <c r="M21" s="53" t="s">
        <v>111</v>
      </c>
      <c r="N21" s="53" t="s">
        <v>111</v>
      </c>
      <c r="O21" s="53" t="s">
        <v>111</v>
      </c>
      <c r="P21" s="53" t="s">
        <v>111</v>
      </c>
      <c r="Q21" s="53" t="s">
        <v>111</v>
      </c>
      <c r="R21" s="53" t="s">
        <v>111</v>
      </c>
      <c r="S21" s="53">
        <v>3</v>
      </c>
      <c r="T21" s="53" t="s">
        <v>111</v>
      </c>
      <c r="U21" s="53" t="s">
        <v>111</v>
      </c>
      <c r="V21" s="53" t="s">
        <v>111</v>
      </c>
      <c r="W21" s="53" t="s">
        <v>111</v>
      </c>
      <c r="X21" s="53" t="s">
        <v>111</v>
      </c>
      <c r="Y21" s="53">
        <v>0</v>
      </c>
      <c r="Z21" s="53" t="s">
        <v>111</v>
      </c>
      <c r="AA21" s="53" t="s">
        <v>111</v>
      </c>
      <c r="AB21" s="53" t="s">
        <v>111</v>
      </c>
      <c r="AC21" s="53" t="s">
        <v>111</v>
      </c>
      <c r="AD21" s="53" t="s">
        <v>111</v>
      </c>
      <c r="AE21" s="53" t="s">
        <v>111</v>
      </c>
      <c r="AF21" s="53" t="s">
        <v>111</v>
      </c>
      <c r="AG21" s="53" t="s">
        <v>111</v>
      </c>
      <c r="AH21" s="53" t="s">
        <v>111</v>
      </c>
      <c r="AI21" s="53" t="s">
        <v>111</v>
      </c>
      <c r="AJ21" s="53" t="s">
        <v>111</v>
      </c>
      <c r="AK21" s="53" t="s">
        <v>111</v>
      </c>
      <c r="AL21" s="53" t="s">
        <v>111</v>
      </c>
      <c r="AM21" s="53" t="s">
        <v>111</v>
      </c>
      <c r="AN21" s="53" t="s">
        <v>111</v>
      </c>
      <c r="AO21" s="53" t="s">
        <v>111</v>
      </c>
      <c r="AP21" s="53" t="s">
        <v>111</v>
      </c>
      <c r="AQ21" s="53" t="s">
        <v>111</v>
      </c>
      <c r="AR21" s="53" t="s">
        <v>111</v>
      </c>
      <c r="AS21" s="53" t="s">
        <v>111</v>
      </c>
      <c r="AT21" s="53" t="s">
        <v>111</v>
      </c>
      <c r="AU21" s="53" t="s">
        <v>111</v>
      </c>
      <c r="AV21" s="53" t="s">
        <v>111</v>
      </c>
      <c r="AW21" s="53" t="s">
        <v>111</v>
      </c>
      <c r="AX21" s="53" t="s">
        <v>111</v>
      </c>
      <c r="AY21" s="53" t="s">
        <v>111</v>
      </c>
      <c r="AZ21" s="53" t="s">
        <v>111</v>
      </c>
      <c r="BA21" s="53">
        <v>0</v>
      </c>
      <c r="BB21" s="53" t="s">
        <v>111</v>
      </c>
      <c r="BC21" s="53">
        <v>0</v>
      </c>
      <c r="BD21" s="53" t="s">
        <v>111</v>
      </c>
      <c r="BE21" s="53" t="s">
        <v>111</v>
      </c>
      <c r="BF21" s="53" t="s">
        <v>111</v>
      </c>
      <c r="BG21" s="53" t="s">
        <v>111</v>
      </c>
      <c r="BH21" s="53" t="s">
        <v>111</v>
      </c>
      <c r="BI21" s="53" t="s">
        <v>111</v>
      </c>
      <c r="BJ21" s="53" t="s">
        <v>111</v>
      </c>
      <c r="BK21" s="53" t="s">
        <v>111</v>
      </c>
      <c r="BL21" s="53" t="s">
        <v>111</v>
      </c>
      <c r="BM21" s="53" t="s">
        <v>111</v>
      </c>
    </row>
    <row r="22" spans="1:65" ht="15" customHeight="1" x14ac:dyDescent="0.2">
      <c r="A22" s="53" t="s">
        <v>126</v>
      </c>
      <c r="B22" s="53" t="s">
        <v>111</v>
      </c>
      <c r="C22" s="53">
        <v>1</v>
      </c>
      <c r="D22" s="53" t="s">
        <v>111</v>
      </c>
      <c r="E22" s="53">
        <v>3</v>
      </c>
      <c r="F22" s="53" t="s">
        <v>111</v>
      </c>
      <c r="G22" s="53" t="s">
        <v>111</v>
      </c>
      <c r="H22" s="53" t="s">
        <v>111</v>
      </c>
      <c r="I22" s="53" t="s">
        <v>111</v>
      </c>
      <c r="J22" s="53" t="s">
        <v>111</v>
      </c>
      <c r="K22" s="53" t="s">
        <v>111</v>
      </c>
      <c r="L22" s="53" t="s">
        <v>111</v>
      </c>
      <c r="M22" s="53" t="s">
        <v>111</v>
      </c>
      <c r="N22" s="53" t="s">
        <v>111</v>
      </c>
      <c r="O22" s="53" t="s">
        <v>111</v>
      </c>
      <c r="P22" s="53" t="s">
        <v>111</v>
      </c>
      <c r="Q22" s="53" t="s">
        <v>111</v>
      </c>
      <c r="R22" s="53" t="s">
        <v>111</v>
      </c>
      <c r="S22" s="53">
        <v>0</v>
      </c>
      <c r="T22" s="53" t="s">
        <v>111</v>
      </c>
      <c r="U22" s="53" t="s">
        <v>111</v>
      </c>
      <c r="V22" s="53" t="s">
        <v>111</v>
      </c>
      <c r="W22" s="53" t="s">
        <v>111</v>
      </c>
      <c r="X22" s="53" t="s">
        <v>111</v>
      </c>
      <c r="Y22" s="53">
        <v>0</v>
      </c>
      <c r="Z22" s="53" t="s">
        <v>111</v>
      </c>
      <c r="AA22" s="53" t="s">
        <v>111</v>
      </c>
      <c r="AB22" s="53" t="s">
        <v>111</v>
      </c>
      <c r="AC22" s="53" t="s">
        <v>111</v>
      </c>
      <c r="AD22" s="53" t="s">
        <v>111</v>
      </c>
      <c r="AE22" s="53" t="s">
        <v>111</v>
      </c>
      <c r="AF22" s="53" t="s">
        <v>111</v>
      </c>
      <c r="AG22" s="53" t="s">
        <v>111</v>
      </c>
      <c r="AH22" s="53" t="s">
        <v>111</v>
      </c>
      <c r="AI22" s="53" t="s">
        <v>111</v>
      </c>
      <c r="AJ22" s="53" t="s">
        <v>111</v>
      </c>
      <c r="AK22" s="53" t="s">
        <v>111</v>
      </c>
      <c r="AL22" s="53" t="s">
        <v>111</v>
      </c>
      <c r="AM22" s="53" t="s">
        <v>111</v>
      </c>
      <c r="AN22" s="53" t="s">
        <v>111</v>
      </c>
      <c r="AO22" s="53" t="s">
        <v>111</v>
      </c>
      <c r="AP22" s="53" t="s">
        <v>111</v>
      </c>
      <c r="AQ22" s="53" t="s">
        <v>111</v>
      </c>
      <c r="AR22" s="53" t="s">
        <v>111</v>
      </c>
      <c r="AS22" s="53" t="s">
        <v>111</v>
      </c>
      <c r="AT22" s="53" t="s">
        <v>111</v>
      </c>
      <c r="AU22" s="53" t="s">
        <v>111</v>
      </c>
      <c r="AV22" s="53" t="s">
        <v>111</v>
      </c>
      <c r="AW22" s="53" t="s">
        <v>111</v>
      </c>
      <c r="AX22" s="53" t="s">
        <v>111</v>
      </c>
      <c r="AY22" s="53" t="s">
        <v>111</v>
      </c>
      <c r="AZ22" s="53" t="s">
        <v>111</v>
      </c>
      <c r="BA22" s="53">
        <v>0</v>
      </c>
      <c r="BB22" s="53" t="s">
        <v>111</v>
      </c>
      <c r="BC22" s="53">
        <v>0</v>
      </c>
      <c r="BD22" s="53" t="s">
        <v>111</v>
      </c>
      <c r="BE22" s="53" t="s">
        <v>111</v>
      </c>
      <c r="BF22" s="53" t="s">
        <v>111</v>
      </c>
      <c r="BG22" s="53" t="s">
        <v>111</v>
      </c>
      <c r="BH22" s="53" t="s">
        <v>111</v>
      </c>
      <c r="BI22" s="53" t="s">
        <v>111</v>
      </c>
      <c r="BJ22" s="53" t="s">
        <v>111</v>
      </c>
      <c r="BK22" s="53" t="s">
        <v>111</v>
      </c>
      <c r="BL22" s="53" t="s">
        <v>111</v>
      </c>
      <c r="BM22" s="53" t="s">
        <v>111</v>
      </c>
    </row>
    <row r="23" spans="1:65" ht="15" customHeight="1" x14ac:dyDescent="0.2">
      <c r="A23" s="53" t="s">
        <v>125</v>
      </c>
      <c r="B23" s="53" t="s">
        <v>111</v>
      </c>
      <c r="C23" s="53">
        <v>0</v>
      </c>
      <c r="D23" s="53" t="s">
        <v>111</v>
      </c>
      <c r="E23" s="53">
        <v>0</v>
      </c>
      <c r="F23" s="53" t="s">
        <v>111</v>
      </c>
      <c r="G23" s="53" t="s">
        <v>111</v>
      </c>
      <c r="H23" s="53" t="s">
        <v>111</v>
      </c>
      <c r="I23" s="53" t="s">
        <v>111</v>
      </c>
      <c r="J23" s="53" t="s">
        <v>111</v>
      </c>
      <c r="K23" s="53" t="s">
        <v>111</v>
      </c>
      <c r="L23" s="53" t="s">
        <v>111</v>
      </c>
      <c r="M23" s="53" t="s">
        <v>111</v>
      </c>
      <c r="N23" s="53" t="s">
        <v>111</v>
      </c>
      <c r="O23" s="53" t="s">
        <v>111</v>
      </c>
      <c r="P23" s="53" t="s">
        <v>111</v>
      </c>
      <c r="Q23" s="53" t="s">
        <v>111</v>
      </c>
      <c r="R23" s="53" t="s">
        <v>111</v>
      </c>
      <c r="S23" s="53">
        <v>0</v>
      </c>
      <c r="T23" s="53" t="s">
        <v>111</v>
      </c>
      <c r="U23" s="53" t="s">
        <v>111</v>
      </c>
      <c r="V23" s="53" t="s">
        <v>111</v>
      </c>
      <c r="W23" s="53" t="s">
        <v>111</v>
      </c>
      <c r="X23" s="53" t="s">
        <v>111</v>
      </c>
      <c r="Y23" s="53">
        <v>0</v>
      </c>
      <c r="Z23" s="53" t="s">
        <v>111</v>
      </c>
      <c r="AA23" s="53" t="s">
        <v>111</v>
      </c>
      <c r="AB23" s="53" t="s">
        <v>111</v>
      </c>
      <c r="AC23" s="53" t="s">
        <v>111</v>
      </c>
      <c r="AD23" s="53" t="s">
        <v>111</v>
      </c>
      <c r="AE23" s="53" t="s">
        <v>111</v>
      </c>
      <c r="AF23" s="53" t="s">
        <v>111</v>
      </c>
      <c r="AG23" s="53" t="s">
        <v>111</v>
      </c>
      <c r="AH23" s="53" t="s">
        <v>111</v>
      </c>
      <c r="AI23" s="53" t="s">
        <v>111</v>
      </c>
      <c r="AJ23" s="53" t="s">
        <v>111</v>
      </c>
      <c r="AK23" s="53" t="s">
        <v>111</v>
      </c>
      <c r="AL23" s="53" t="s">
        <v>111</v>
      </c>
      <c r="AM23" s="53" t="s">
        <v>111</v>
      </c>
      <c r="AN23" s="53" t="s">
        <v>111</v>
      </c>
      <c r="AO23" s="53" t="s">
        <v>111</v>
      </c>
      <c r="AP23" s="53" t="s">
        <v>111</v>
      </c>
      <c r="AQ23" s="53" t="s">
        <v>111</v>
      </c>
      <c r="AR23" s="53" t="s">
        <v>111</v>
      </c>
      <c r="AS23" s="53" t="s">
        <v>111</v>
      </c>
      <c r="AT23" s="53" t="s">
        <v>111</v>
      </c>
      <c r="AU23" s="53" t="s">
        <v>111</v>
      </c>
      <c r="AV23" s="53" t="s">
        <v>111</v>
      </c>
      <c r="AW23" s="53" t="s">
        <v>111</v>
      </c>
      <c r="AX23" s="53" t="s">
        <v>111</v>
      </c>
      <c r="AY23" s="53" t="s">
        <v>111</v>
      </c>
      <c r="AZ23" s="53" t="s">
        <v>111</v>
      </c>
      <c r="BA23" s="53">
        <v>0</v>
      </c>
      <c r="BB23" s="53" t="s">
        <v>111</v>
      </c>
      <c r="BC23" s="53">
        <v>0</v>
      </c>
      <c r="BD23" s="53" t="s">
        <v>111</v>
      </c>
      <c r="BE23" s="53" t="s">
        <v>111</v>
      </c>
      <c r="BF23" s="53" t="s">
        <v>111</v>
      </c>
      <c r="BG23" s="53" t="s">
        <v>111</v>
      </c>
      <c r="BH23" s="53" t="s">
        <v>111</v>
      </c>
      <c r="BI23" s="53" t="s">
        <v>111</v>
      </c>
      <c r="BJ23" s="53" t="s">
        <v>111</v>
      </c>
      <c r="BK23" s="53" t="s">
        <v>111</v>
      </c>
      <c r="BL23" s="53" t="s">
        <v>111</v>
      </c>
      <c r="BM23" s="53" t="s">
        <v>111</v>
      </c>
    </row>
    <row r="24" spans="1:65" ht="15" customHeight="1" x14ac:dyDescent="0.2">
      <c r="A24" s="53" t="s">
        <v>124</v>
      </c>
      <c r="B24" s="53" t="s">
        <v>111</v>
      </c>
      <c r="C24" s="53">
        <v>0</v>
      </c>
      <c r="D24" s="53" t="s">
        <v>111</v>
      </c>
      <c r="E24" s="53">
        <v>0</v>
      </c>
      <c r="F24" s="53" t="s">
        <v>111</v>
      </c>
      <c r="G24" s="53" t="s">
        <v>111</v>
      </c>
      <c r="H24" s="53" t="s">
        <v>111</v>
      </c>
      <c r="I24" s="53" t="s">
        <v>111</v>
      </c>
      <c r="J24" s="53" t="s">
        <v>111</v>
      </c>
      <c r="K24" s="53" t="s">
        <v>111</v>
      </c>
      <c r="L24" s="53" t="s">
        <v>111</v>
      </c>
      <c r="M24" s="53" t="s">
        <v>111</v>
      </c>
      <c r="N24" s="53" t="s">
        <v>111</v>
      </c>
      <c r="O24" s="53" t="s">
        <v>111</v>
      </c>
      <c r="P24" s="53" t="s">
        <v>111</v>
      </c>
      <c r="Q24" s="53" t="s">
        <v>111</v>
      </c>
      <c r="R24" s="53" t="s">
        <v>111</v>
      </c>
      <c r="S24" s="53">
        <v>0</v>
      </c>
      <c r="T24" s="53" t="s">
        <v>111</v>
      </c>
      <c r="U24" s="53" t="s">
        <v>111</v>
      </c>
      <c r="V24" s="53" t="s">
        <v>111</v>
      </c>
      <c r="W24" s="53" t="s">
        <v>111</v>
      </c>
      <c r="X24" s="53" t="s">
        <v>111</v>
      </c>
      <c r="Y24" s="53">
        <v>0</v>
      </c>
      <c r="Z24" s="53" t="s">
        <v>111</v>
      </c>
      <c r="AA24" s="53" t="s">
        <v>111</v>
      </c>
      <c r="AB24" s="53" t="s">
        <v>111</v>
      </c>
      <c r="AC24" s="53" t="s">
        <v>111</v>
      </c>
      <c r="AD24" s="53" t="s">
        <v>111</v>
      </c>
      <c r="AE24" s="53" t="s">
        <v>111</v>
      </c>
      <c r="AF24" s="53" t="s">
        <v>111</v>
      </c>
      <c r="AG24" s="53" t="s">
        <v>111</v>
      </c>
      <c r="AH24" s="53" t="s">
        <v>111</v>
      </c>
      <c r="AI24" s="53" t="s">
        <v>111</v>
      </c>
      <c r="AJ24" s="53" t="s">
        <v>111</v>
      </c>
      <c r="AK24" s="53" t="s">
        <v>111</v>
      </c>
      <c r="AL24" s="53" t="s">
        <v>111</v>
      </c>
      <c r="AM24" s="53" t="s">
        <v>111</v>
      </c>
      <c r="AN24" s="53" t="s">
        <v>111</v>
      </c>
      <c r="AO24" s="53" t="s">
        <v>111</v>
      </c>
      <c r="AP24" s="53" t="s">
        <v>111</v>
      </c>
      <c r="AQ24" s="53" t="s">
        <v>111</v>
      </c>
      <c r="AR24" s="53" t="s">
        <v>111</v>
      </c>
      <c r="AS24" s="53" t="s">
        <v>111</v>
      </c>
      <c r="AT24" s="53" t="s">
        <v>111</v>
      </c>
      <c r="AU24" s="53" t="s">
        <v>111</v>
      </c>
      <c r="AV24" s="53" t="s">
        <v>111</v>
      </c>
      <c r="AW24" s="53" t="s">
        <v>111</v>
      </c>
      <c r="AX24" s="53" t="s">
        <v>111</v>
      </c>
      <c r="AY24" s="53" t="s">
        <v>111</v>
      </c>
      <c r="AZ24" s="53" t="s">
        <v>111</v>
      </c>
      <c r="BA24" s="53">
        <v>1</v>
      </c>
      <c r="BB24" s="53" t="s">
        <v>111</v>
      </c>
      <c r="BC24" s="53">
        <v>0</v>
      </c>
      <c r="BD24" s="53" t="s">
        <v>111</v>
      </c>
      <c r="BE24" s="53" t="s">
        <v>111</v>
      </c>
      <c r="BF24" s="53" t="s">
        <v>111</v>
      </c>
      <c r="BG24" s="53" t="s">
        <v>111</v>
      </c>
      <c r="BH24" s="53" t="s">
        <v>111</v>
      </c>
      <c r="BI24" s="53" t="s">
        <v>111</v>
      </c>
      <c r="BJ24" s="53" t="s">
        <v>111</v>
      </c>
      <c r="BK24" s="53" t="s">
        <v>111</v>
      </c>
      <c r="BL24" s="53" t="s">
        <v>111</v>
      </c>
      <c r="BM24" s="53" t="s">
        <v>111</v>
      </c>
    </row>
    <row r="25" spans="1:65" ht="15" customHeight="1" x14ac:dyDescent="0.2">
      <c r="A25" s="53" t="s">
        <v>123</v>
      </c>
      <c r="B25" s="53" t="s">
        <v>111</v>
      </c>
      <c r="C25" s="53">
        <v>0</v>
      </c>
      <c r="D25" s="53" t="s">
        <v>111</v>
      </c>
      <c r="E25" s="53">
        <v>2</v>
      </c>
      <c r="F25" s="53" t="s">
        <v>111</v>
      </c>
      <c r="G25" s="53" t="s">
        <v>111</v>
      </c>
      <c r="H25" s="53" t="s">
        <v>111</v>
      </c>
      <c r="I25" s="53" t="s">
        <v>111</v>
      </c>
      <c r="J25" s="53" t="s">
        <v>111</v>
      </c>
      <c r="K25" s="53" t="s">
        <v>111</v>
      </c>
      <c r="L25" s="53" t="s">
        <v>111</v>
      </c>
      <c r="M25" s="53" t="s">
        <v>111</v>
      </c>
      <c r="N25" s="53" t="s">
        <v>111</v>
      </c>
      <c r="O25" s="53" t="s">
        <v>111</v>
      </c>
      <c r="P25" s="53" t="s">
        <v>111</v>
      </c>
      <c r="Q25" s="53" t="s">
        <v>111</v>
      </c>
      <c r="R25" s="53" t="s">
        <v>111</v>
      </c>
      <c r="S25" s="53">
        <v>0</v>
      </c>
      <c r="T25" s="53" t="s">
        <v>111</v>
      </c>
      <c r="U25" s="53" t="s">
        <v>111</v>
      </c>
      <c r="V25" s="53" t="s">
        <v>111</v>
      </c>
      <c r="W25" s="53" t="s">
        <v>111</v>
      </c>
      <c r="X25" s="53" t="s">
        <v>111</v>
      </c>
      <c r="Y25" s="53">
        <v>0</v>
      </c>
      <c r="Z25" s="53" t="s">
        <v>111</v>
      </c>
      <c r="AA25" s="53" t="s">
        <v>111</v>
      </c>
      <c r="AB25" s="53" t="s">
        <v>111</v>
      </c>
      <c r="AC25" s="53" t="s">
        <v>111</v>
      </c>
      <c r="AD25" s="53" t="s">
        <v>111</v>
      </c>
      <c r="AE25" s="53" t="s">
        <v>111</v>
      </c>
      <c r="AF25" s="53" t="s">
        <v>111</v>
      </c>
      <c r="AG25" s="53" t="s">
        <v>111</v>
      </c>
      <c r="AH25" s="53" t="s">
        <v>111</v>
      </c>
      <c r="AI25" s="53" t="s">
        <v>111</v>
      </c>
      <c r="AJ25" s="53" t="s">
        <v>111</v>
      </c>
      <c r="AK25" s="53" t="s">
        <v>111</v>
      </c>
      <c r="AL25" s="53" t="s">
        <v>111</v>
      </c>
      <c r="AM25" s="53" t="s">
        <v>111</v>
      </c>
      <c r="AN25" s="53" t="s">
        <v>111</v>
      </c>
      <c r="AO25" s="53" t="s">
        <v>111</v>
      </c>
      <c r="AP25" s="53" t="s">
        <v>111</v>
      </c>
      <c r="AQ25" s="53" t="s">
        <v>111</v>
      </c>
      <c r="AR25" s="53" t="s">
        <v>111</v>
      </c>
      <c r="AS25" s="53" t="s">
        <v>111</v>
      </c>
      <c r="AT25" s="53" t="s">
        <v>111</v>
      </c>
      <c r="AU25" s="53" t="s">
        <v>111</v>
      </c>
      <c r="AV25" s="53" t="s">
        <v>111</v>
      </c>
      <c r="AW25" s="53" t="s">
        <v>111</v>
      </c>
      <c r="AX25" s="53" t="s">
        <v>111</v>
      </c>
      <c r="AY25" s="53" t="s">
        <v>111</v>
      </c>
      <c r="AZ25" s="53" t="s">
        <v>111</v>
      </c>
      <c r="BA25" s="53">
        <v>0</v>
      </c>
      <c r="BB25" s="53" t="s">
        <v>111</v>
      </c>
      <c r="BC25" s="53">
        <v>1</v>
      </c>
      <c r="BD25" s="53" t="s">
        <v>111</v>
      </c>
      <c r="BE25" s="53" t="s">
        <v>111</v>
      </c>
      <c r="BF25" s="53" t="s">
        <v>111</v>
      </c>
      <c r="BG25" s="53" t="s">
        <v>111</v>
      </c>
      <c r="BH25" s="53" t="s">
        <v>111</v>
      </c>
      <c r="BI25" s="53" t="s">
        <v>111</v>
      </c>
      <c r="BJ25" s="53" t="s">
        <v>111</v>
      </c>
      <c r="BK25" s="53" t="s">
        <v>111</v>
      </c>
      <c r="BL25" s="53" t="s">
        <v>111</v>
      </c>
      <c r="BM25" s="53" t="s">
        <v>111</v>
      </c>
    </row>
    <row r="26" spans="1:65" ht="15" customHeight="1" x14ac:dyDescent="0.2">
      <c r="A26" s="53" t="s">
        <v>122</v>
      </c>
      <c r="B26" s="53" t="s">
        <v>111</v>
      </c>
      <c r="C26" s="53">
        <v>0</v>
      </c>
      <c r="D26" s="53" t="s">
        <v>111</v>
      </c>
      <c r="E26" s="53">
        <v>0</v>
      </c>
      <c r="F26" s="53" t="s">
        <v>111</v>
      </c>
      <c r="G26" s="53" t="s">
        <v>111</v>
      </c>
      <c r="H26" s="53" t="s">
        <v>111</v>
      </c>
      <c r="I26" s="53" t="s">
        <v>111</v>
      </c>
      <c r="J26" s="53" t="s">
        <v>111</v>
      </c>
      <c r="K26" s="53" t="s">
        <v>111</v>
      </c>
      <c r="L26" s="53" t="s">
        <v>111</v>
      </c>
      <c r="M26" s="53" t="s">
        <v>111</v>
      </c>
      <c r="N26" s="53" t="s">
        <v>111</v>
      </c>
      <c r="O26" s="53" t="s">
        <v>111</v>
      </c>
      <c r="P26" s="53" t="s">
        <v>111</v>
      </c>
      <c r="Q26" s="53" t="s">
        <v>111</v>
      </c>
      <c r="R26" s="53" t="s">
        <v>111</v>
      </c>
      <c r="S26" s="53">
        <v>0</v>
      </c>
      <c r="T26" s="53" t="s">
        <v>111</v>
      </c>
      <c r="U26" s="53" t="s">
        <v>111</v>
      </c>
      <c r="V26" s="53" t="s">
        <v>111</v>
      </c>
      <c r="W26" s="53" t="s">
        <v>111</v>
      </c>
      <c r="X26" s="53" t="s">
        <v>111</v>
      </c>
      <c r="Y26" s="53">
        <v>0</v>
      </c>
      <c r="Z26" s="53" t="s">
        <v>111</v>
      </c>
      <c r="AA26" s="53" t="s">
        <v>111</v>
      </c>
      <c r="AB26" s="53" t="s">
        <v>111</v>
      </c>
      <c r="AC26" s="53" t="s">
        <v>111</v>
      </c>
      <c r="AD26" s="53" t="s">
        <v>111</v>
      </c>
      <c r="AE26" s="53" t="s">
        <v>111</v>
      </c>
      <c r="AF26" s="53" t="s">
        <v>111</v>
      </c>
      <c r="AG26" s="53" t="s">
        <v>111</v>
      </c>
      <c r="AH26" s="53" t="s">
        <v>111</v>
      </c>
      <c r="AI26" s="53" t="s">
        <v>111</v>
      </c>
      <c r="AJ26" s="53" t="s">
        <v>111</v>
      </c>
      <c r="AK26" s="53" t="s">
        <v>111</v>
      </c>
      <c r="AL26" s="53" t="s">
        <v>111</v>
      </c>
      <c r="AM26" s="53" t="s">
        <v>111</v>
      </c>
      <c r="AN26" s="53" t="s">
        <v>111</v>
      </c>
      <c r="AO26" s="53" t="s">
        <v>111</v>
      </c>
      <c r="AP26" s="53" t="s">
        <v>111</v>
      </c>
      <c r="AQ26" s="53" t="s">
        <v>111</v>
      </c>
      <c r="AR26" s="53" t="s">
        <v>111</v>
      </c>
      <c r="AS26" s="53" t="s">
        <v>111</v>
      </c>
      <c r="AT26" s="53" t="s">
        <v>111</v>
      </c>
      <c r="AU26" s="53" t="s">
        <v>111</v>
      </c>
      <c r="AV26" s="53" t="s">
        <v>111</v>
      </c>
      <c r="AW26" s="53" t="s">
        <v>111</v>
      </c>
      <c r="AX26" s="53" t="s">
        <v>111</v>
      </c>
      <c r="AY26" s="53" t="s">
        <v>111</v>
      </c>
      <c r="AZ26" s="53" t="s">
        <v>111</v>
      </c>
      <c r="BA26" s="53">
        <v>0</v>
      </c>
      <c r="BB26" s="53" t="s">
        <v>111</v>
      </c>
      <c r="BC26" s="53">
        <v>0</v>
      </c>
      <c r="BD26" s="53" t="s">
        <v>111</v>
      </c>
      <c r="BE26" s="53" t="s">
        <v>111</v>
      </c>
      <c r="BF26" s="53" t="s">
        <v>111</v>
      </c>
      <c r="BG26" s="53" t="s">
        <v>111</v>
      </c>
      <c r="BH26" s="53" t="s">
        <v>111</v>
      </c>
      <c r="BI26" s="53" t="s">
        <v>111</v>
      </c>
      <c r="BJ26" s="53" t="s">
        <v>111</v>
      </c>
      <c r="BK26" s="53" t="s">
        <v>111</v>
      </c>
      <c r="BL26" s="53" t="s">
        <v>111</v>
      </c>
      <c r="BM26" s="53" t="s">
        <v>111</v>
      </c>
    </row>
    <row r="27" spans="1:65" ht="15" customHeight="1" x14ac:dyDescent="0.2">
      <c r="A27" s="53" t="s">
        <v>121</v>
      </c>
      <c r="B27" s="53" t="s">
        <v>111</v>
      </c>
      <c r="C27" s="53">
        <v>0</v>
      </c>
      <c r="D27" s="53" t="s">
        <v>111</v>
      </c>
      <c r="E27" s="53">
        <v>0</v>
      </c>
      <c r="F27" s="53" t="s">
        <v>111</v>
      </c>
      <c r="G27" s="53" t="s">
        <v>111</v>
      </c>
      <c r="H27" s="53" t="s">
        <v>111</v>
      </c>
      <c r="I27" s="53" t="s">
        <v>111</v>
      </c>
      <c r="J27" s="53" t="s">
        <v>111</v>
      </c>
      <c r="K27" s="53" t="s">
        <v>111</v>
      </c>
      <c r="L27" s="53" t="s">
        <v>111</v>
      </c>
      <c r="M27" s="53" t="s">
        <v>111</v>
      </c>
      <c r="N27" s="53" t="s">
        <v>111</v>
      </c>
      <c r="O27" s="53" t="s">
        <v>111</v>
      </c>
      <c r="P27" s="53" t="s">
        <v>111</v>
      </c>
      <c r="Q27" s="53" t="s">
        <v>111</v>
      </c>
      <c r="R27" s="53" t="s">
        <v>111</v>
      </c>
      <c r="S27" s="53">
        <v>0</v>
      </c>
      <c r="T27" s="53" t="s">
        <v>111</v>
      </c>
      <c r="U27" s="53" t="s">
        <v>111</v>
      </c>
      <c r="V27" s="53" t="s">
        <v>111</v>
      </c>
      <c r="W27" s="53" t="s">
        <v>111</v>
      </c>
      <c r="X27" s="53" t="s">
        <v>111</v>
      </c>
      <c r="Y27" s="53">
        <v>0</v>
      </c>
      <c r="Z27" s="53" t="s">
        <v>111</v>
      </c>
      <c r="AA27" s="53" t="s">
        <v>111</v>
      </c>
      <c r="AB27" s="53" t="s">
        <v>111</v>
      </c>
      <c r="AC27" s="53" t="s">
        <v>111</v>
      </c>
      <c r="AD27" s="53" t="s">
        <v>111</v>
      </c>
      <c r="AE27" s="53" t="s">
        <v>111</v>
      </c>
      <c r="AF27" s="53" t="s">
        <v>111</v>
      </c>
      <c r="AG27" s="53" t="s">
        <v>111</v>
      </c>
      <c r="AH27" s="53" t="s">
        <v>111</v>
      </c>
      <c r="AI27" s="53" t="s">
        <v>111</v>
      </c>
      <c r="AJ27" s="53" t="s">
        <v>111</v>
      </c>
      <c r="AK27" s="53" t="s">
        <v>111</v>
      </c>
      <c r="AL27" s="53" t="s">
        <v>111</v>
      </c>
      <c r="AM27" s="53" t="s">
        <v>111</v>
      </c>
      <c r="AN27" s="53" t="s">
        <v>111</v>
      </c>
      <c r="AO27" s="53" t="s">
        <v>111</v>
      </c>
      <c r="AP27" s="53" t="s">
        <v>111</v>
      </c>
      <c r="AQ27" s="53" t="s">
        <v>111</v>
      </c>
      <c r="AR27" s="53" t="s">
        <v>111</v>
      </c>
      <c r="AS27" s="53" t="s">
        <v>111</v>
      </c>
      <c r="AT27" s="53" t="s">
        <v>111</v>
      </c>
      <c r="AU27" s="53" t="s">
        <v>111</v>
      </c>
      <c r="AV27" s="53" t="s">
        <v>111</v>
      </c>
      <c r="AW27" s="53" t="s">
        <v>111</v>
      </c>
      <c r="AX27" s="53" t="s">
        <v>111</v>
      </c>
      <c r="AY27" s="53" t="s">
        <v>111</v>
      </c>
      <c r="AZ27" s="53" t="s">
        <v>111</v>
      </c>
      <c r="BA27" s="53">
        <v>1</v>
      </c>
      <c r="BB27" s="53" t="s">
        <v>111</v>
      </c>
      <c r="BC27" s="53">
        <v>1</v>
      </c>
      <c r="BD27" s="53" t="s">
        <v>111</v>
      </c>
      <c r="BE27" s="53" t="s">
        <v>111</v>
      </c>
      <c r="BF27" s="53" t="s">
        <v>111</v>
      </c>
      <c r="BG27" s="53" t="s">
        <v>111</v>
      </c>
      <c r="BH27" s="53" t="s">
        <v>111</v>
      </c>
      <c r="BI27" s="53" t="s">
        <v>111</v>
      </c>
      <c r="BJ27" s="53" t="s">
        <v>111</v>
      </c>
      <c r="BK27" s="53" t="s">
        <v>111</v>
      </c>
      <c r="BL27" s="53" t="s">
        <v>111</v>
      </c>
      <c r="BM27" s="53" t="s">
        <v>111</v>
      </c>
    </row>
    <row r="28" spans="1:65" ht="15" customHeight="1" x14ac:dyDescent="0.2">
      <c r="A28" s="53" t="s">
        <v>120</v>
      </c>
      <c r="B28" s="53" t="s">
        <v>111</v>
      </c>
      <c r="C28" s="53">
        <v>0</v>
      </c>
      <c r="D28" s="53" t="s">
        <v>111</v>
      </c>
      <c r="E28" s="53">
        <v>0</v>
      </c>
      <c r="F28" s="53" t="s">
        <v>111</v>
      </c>
      <c r="G28" s="53" t="s">
        <v>111</v>
      </c>
      <c r="H28" s="53" t="s">
        <v>111</v>
      </c>
      <c r="I28" s="53" t="s">
        <v>111</v>
      </c>
      <c r="J28" s="53" t="s">
        <v>111</v>
      </c>
      <c r="K28" s="53" t="s">
        <v>111</v>
      </c>
      <c r="L28" s="53" t="s">
        <v>111</v>
      </c>
      <c r="M28" s="53" t="s">
        <v>111</v>
      </c>
      <c r="N28" s="53" t="s">
        <v>111</v>
      </c>
      <c r="O28" s="53" t="s">
        <v>111</v>
      </c>
      <c r="P28" s="53" t="s">
        <v>111</v>
      </c>
      <c r="Q28" s="53" t="s">
        <v>111</v>
      </c>
      <c r="R28" s="53" t="s">
        <v>111</v>
      </c>
      <c r="S28" s="53">
        <v>0</v>
      </c>
      <c r="T28" s="53" t="s">
        <v>111</v>
      </c>
      <c r="U28" s="53" t="s">
        <v>111</v>
      </c>
      <c r="V28" s="53" t="s">
        <v>111</v>
      </c>
      <c r="W28" s="53" t="s">
        <v>111</v>
      </c>
      <c r="X28" s="53" t="s">
        <v>111</v>
      </c>
      <c r="Y28" s="53">
        <v>0</v>
      </c>
      <c r="Z28" s="53" t="s">
        <v>111</v>
      </c>
      <c r="AA28" s="53" t="s">
        <v>111</v>
      </c>
      <c r="AB28" s="53" t="s">
        <v>111</v>
      </c>
      <c r="AC28" s="53" t="s">
        <v>111</v>
      </c>
      <c r="AD28" s="53" t="s">
        <v>111</v>
      </c>
      <c r="AE28" s="53" t="s">
        <v>111</v>
      </c>
      <c r="AF28" s="53" t="s">
        <v>111</v>
      </c>
      <c r="AG28" s="53" t="s">
        <v>111</v>
      </c>
      <c r="AH28" s="53" t="s">
        <v>111</v>
      </c>
      <c r="AI28" s="53" t="s">
        <v>111</v>
      </c>
      <c r="AJ28" s="53" t="s">
        <v>111</v>
      </c>
      <c r="AK28" s="53" t="s">
        <v>111</v>
      </c>
      <c r="AL28" s="53" t="s">
        <v>111</v>
      </c>
      <c r="AM28" s="53" t="s">
        <v>111</v>
      </c>
      <c r="AN28" s="53" t="s">
        <v>111</v>
      </c>
      <c r="AO28" s="53" t="s">
        <v>111</v>
      </c>
      <c r="AP28" s="53" t="s">
        <v>111</v>
      </c>
      <c r="AQ28" s="53" t="s">
        <v>111</v>
      </c>
      <c r="AR28" s="53" t="s">
        <v>111</v>
      </c>
      <c r="AS28" s="53" t="s">
        <v>111</v>
      </c>
      <c r="AT28" s="53" t="s">
        <v>111</v>
      </c>
      <c r="AU28" s="53" t="s">
        <v>111</v>
      </c>
      <c r="AV28" s="53" t="s">
        <v>111</v>
      </c>
      <c r="AW28" s="53" t="s">
        <v>111</v>
      </c>
      <c r="AX28" s="53" t="s">
        <v>111</v>
      </c>
      <c r="AY28" s="53" t="s">
        <v>111</v>
      </c>
      <c r="AZ28" s="53" t="s">
        <v>111</v>
      </c>
      <c r="BA28" s="53">
        <v>0</v>
      </c>
      <c r="BB28" s="53" t="s">
        <v>111</v>
      </c>
      <c r="BC28" s="53">
        <v>0</v>
      </c>
      <c r="BD28" s="53" t="s">
        <v>111</v>
      </c>
      <c r="BE28" s="53" t="s">
        <v>111</v>
      </c>
      <c r="BF28" s="53" t="s">
        <v>111</v>
      </c>
      <c r="BG28" s="53" t="s">
        <v>111</v>
      </c>
      <c r="BH28" s="53" t="s">
        <v>111</v>
      </c>
      <c r="BI28" s="53" t="s">
        <v>111</v>
      </c>
      <c r="BJ28" s="53" t="s">
        <v>111</v>
      </c>
      <c r="BK28" s="53" t="s">
        <v>111</v>
      </c>
      <c r="BL28" s="53" t="s">
        <v>111</v>
      </c>
      <c r="BM28" s="53" t="s">
        <v>111</v>
      </c>
    </row>
    <row r="29" spans="1:65" ht="15" customHeight="1" x14ac:dyDescent="0.2">
      <c r="A29" s="53" t="s">
        <v>119</v>
      </c>
      <c r="B29" s="53" t="s">
        <v>111</v>
      </c>
      <c r="C29" s="53">
        <v>0</v>
      </c>
      <c r="D29" s="53" t="s">
        <v>111</v>
      </c>
      <c r="E29" s="53">
        <v>2</v>
      </c>
      <c r="F29" s="53" t="s">
        <v>111</v>
      </c>
      <c r="G29" s="53" t="s">
        <v>111</v>
      </c>
      <c r="H29" s="53" t="s">
        <v>111</v>
      </c>
      <c r="I29" s="53" t="s">
        <v>111</v>
      </c>
      <c r="J29" s="53" t="s">
        <v>111</v>
      </c>
      <c r="K29" s="53" t="s">
        <v>111</v>
      </c>
      <c r="L29" s="53" t="s">
        <v>111</v>
      </c>
      <c r="M29" s="53" t="s">
        <v>111</v>
      </c>
      <c r="N29" s="53" t="s">
        <v>111</v>
      </c>
      <c r="O29" s="53" t="s">
        <v>111</v>
      </c>
      <c r="P29" s="53" t="s">
        <v>111</v>
      </c>
      <c r="Q29" s="53" t="s">
        <v>111</v>
      </c>
      <c r="R29" s="53" t="s">
        <v>111</v>
      </c>
      <c r="S29" s="53">
        <v>1</v>
      </c>
      <c r="T29" s="53" t="s">
        <v>111</v>
      </c>
      <c r="U29" s="53" t="s">
        <v>111</v>
      </c>
      <c r="V29" s="53" t="s">
        <v>111</v>
      </c>
      <c r="W29" s="53" t="s">
        <v>111</v>
      </c>
      <c r="X29" s="53" t="s">
        <v>111</v>
      </c>
      <c r="Y29" s="53">
        <v>0</v>
      </c>
      <c r="Z29" s="53" t="s">
        <v>111</v>
      </c>
      <c r="AA29" s="53" t="s">
        <v>111</v>
      </c>
      <c r="AB29" s="53" t="s">
        <v>111</v>
      </c>
      <c r="AC29" s="53" t="s">
        <v>111</v>
      </c>
      <c r="AD29" s="53" t="s">
        <v>111</v>
      </c>
      <c r="AE29" s="53" t="s">
        <v>111</v>
      </c>
      <c r="AF29" s="53" t="s">
        <v>111</v>
      </c>
      <c r="AG29" s="53" t="s">
        <v>111</v>
      </c>
      <c r="AH29" s="53" t="s">
        <v>111</v>
      </c>
      <c r="AI29" s="53" t="s">
        <v>111</v>
      </c>
      <c r="AJ29" s="53" t="s">
        <v>111</v>
      </c>
      <c r="AK29" s="53" t="s">
        <v>111</v>
      </c>
      <c r="AL29" s="53" t="s">
        <v>111</v>
      </c>
      <c r="AM29" s="53" t="s">
        <v>111</v>
      </c>
      <c r="AN29" s="53" t="s">
        <v>111</v>
      </c>
      <c r="AO29" s="53" t="s">
        <v>111</v>
      </c>
      <c r="AP29" s="53" t="s">
        <v>111</v>
      </c>
      <c r="AQ29" s="53" t="s">
        <v>111</v>
      </c>
      <c r="AR29" s="53" t="s">
        <v>111</v>
      </c>
      <c r="AS29" s="53" t="s">
        <v>111</v>
      </c>
      <c r="AT29" s="53" t="s">
        <v>111</v>
      </c>
      <c r="AU29" s="53" t="s">
        <v>111</v>
      </c>
      <c r="AV29" s="53" t="s">
        <v>111</v>
      </c>
      <c r="AW29" s="53" t="s">
        <v>111</v>
      </c>
      <c r="AX29" s="53" t="s">
        <v>111</v>
      </c>
      <c r="AY29" s="53" t="s">
        <v>111</v>
      </c>
      <c r="AZ29" s="53" t="s">
        <v>111</v>
      </c>
      <c r="BA29" s="53">
        <v>0</v>
      </c>
      <c r="BB29" s="53" t="s">
        <v>111</v>
      </c>
      <c r="BC29" s="53">
        <v>1</v>
      </c>
      <c r="BD29" s="53" t="s">
        <v>111</v>
      </c>
      <c r="BE29" s="53" t="s">
        <v>111</v>
      </c>
      <c r="BF29" s="53" t="s">
        <v>111</v>
      </c>
      <c r="BG29" s="53" t="s">
        <v>111</v>
      </c>
      <c r="BH29" s="53" t="s">
        <v>111</v>
      </c>
      <c r="BI29" s="53" t="s">
        <v>111</v>
      </c>
      <c r="BJ29" s="53" t="s">
        <v>111</v>
      </c>
      <c r="BK29" s="53" t="s">
        <v>111</v>
      </c>
      <c r="BL29" s="53" t="s">
        <v>111</v>
      </c>
      <c r="BM29" s="53" t="s">
        <v>111</v>
      </c>
    </row>
    <row r="30" spans="1:65" ht="15" customHeight="1" x14ac:dyDescent="0.2">
      <c r="A30" s="53" t="s">
        <v>118</v>
      </c>
      <c r="B30" s="53" t="s">
        <v>111</v>
      </c>
      <c r="C30" s="53">
        <v>0</v>
      </c>
      <c r="D30" s="53" t="s">
        <v>111</v>
      </c>
      <c r="E30" s="53">
        <v>1</v>
      </c>
      <c r="F30" s="53" t="s">
        <v>111</v>
      </c>
      <c r="G30" s="53" t="s">
        <v>111</v>
      </c>
      <c r="H30" s="53" t="s">
        <v>111</v>
      </c>
      <c r="I30" s="53" t="s">
        <v>111</v>
      </c>
      <c r="J30" s="53" t="s">
        <v>111</v>
      </c>
      <c r="K30" s="53" t="s">
        <v>111</v>
      </c>
      <c r="L30" s="53" t="s">
        <v>111</v>
      </c>
      <c r="M30" s="53" t="s">
        <v>111</v>
      </c>
      <c r="N30" s="53" t="s">
        <v>111</v>
      </c>
      <c r="O30" s="53" t="s">
        <v>111</v>
      </c>
      <c r="P30" s="53" t="s">
        <v>111</v>
      </c>
      <c r="Q30" s="53" t="s">
        <v>111</v>
      </c>
      <c r="R30" s="53" t="s">
        <v>111</v>
      </c>
      <c r="S30" s="53">
        <v>0</v>
      </c>
      <c r="T30" s="53" t="s">
        <v>111</v>
      </c>
      <c r="U30" s="53" t="s">
        <v>111</v>
      </c>
      <c r="V30" s="53" t="s">
        <v>111</v>
      </c>
      <c r="W30" s="53" t="s">
        <v>111</v>
      </c>
      <c r="X30" s="53" t="s">
        <v>111</v>
      </c>
      <c r="Y30" s="53">
        <v>0</v>
      </c>
      <c r="Z30" s="53" t="s">
        <v>111</v>
      </c>
      <c r="AA30" s="53" t="s">
        <v>111</v>
      </c>
      <c r="AB30" s="53" t="s">
        <v>111</v>
      </c>
      <c r="AC30" s="53" t="s">
        <v>111</v>
      </c>
      <c r="AD30" s="53" t="s">
        <v>111</v>
      </c>
      <c r="AE30" s="53" t="s">
        <v>111</v>
      </c>
      <c r="AF30" s="53" t="s">
        <v>111</v>
      </c>
      <c r="AG30" s="53" t="s">
        <v>111</v>
      </c>
      <c r="AH30" s="53" t="s">
        <v>111</v>
      </c>
      <c r="AI30" s="53" t="s">
        <v>111</v>
      </c>
      <c r="AJ30" s="53" t="s">
        <v>111</v>
      </c>
      <c r="AK30" s="53" t="s">
        <v>111</v>
      </c>
      <c r="AL30" s="53" t="s">
        <v>111</v>
      </c>
      <c r="AM30" s="53" t="s">
        <v>111</v>
      </c>
      <c r="AN30" s="53" t="s">
        <v>111</v>
      </c>
      <c r="AO30" s="53" t="s">
        <v>111</v>
      </c>
      <c r="AP30" s="53" t="s">
        <v>111</v>
      </c>
      <c r="AQ30" s="53" t="s">
        <v>111</v>
      </c>
      <c r="AR30" s="53" t="s">
        <v>111</v>
      </c>
      <c r="AS30" s="53" t="s">
        <v>111</v>
      </c>
      <c r="AT30" s="53" t="s">
        <v>111</v>
      </c>
      <c r="AU30" s="53" t="s">
        <v>111</v>
      </c>
      <c r="AV30" s="53" t="s">
        <v>111</v>
      </c>
      <c r="AW30" s="53" t="s">
        <v>111</v>
      </c>
      <c r="AX30" s="53" t="s">
        <v>111</v>
      </c>
      <c r="AY30" s="53" t="s">
        <v>111</v>
      </c>
      <c r="AZ30" s="53" t="s">
        <v>111</v>
      </c>
      <c r="BA30" s="53">
        <v>3</v>
      </c>
      <c r="BB30" s="53" t="s">
        <v>111</v>
      </c>
      <c r="BC30" s="53">
        <v>1</v>
      </c>
      <c r="BD30" s="53" t="s">
        <v>111</v>
      </c>
      <c r="BE30" s="53" t="s">
        <v>111</v>
      </c>
      <c r="BF30" s="53" t="s">
        <v>111</v>
      </c>
      <c r="BG30" s="53" t="s">
        <v>111</v>
      </c>
      <c r="BH30" s="53" t="s">
        <v>111</v>
      </c>
      <c r="BI30" s="53" t="s">
        <v>111</v>
      </c>
      <c r="BJ30" s="53" t="s">
        <v>111</v>
      </c>
      <c r="BK30" s="53" t="s">
        <v>111</v>
      </c>
      <c r="BL30" s="53" t="s">
        <v>111</v>
      </c>
      <c r="BM30" s="53" t="s">
        <v>111</v>
      </c>
    </row>
    <row r="31" spans="1:65" ht="15" customHeight="1" x14ac:dyDescent="0.2">
      <c r="A31" s="53" t="s">
        <v>117</v>
      </c>
      <c r="B31" s="53" t="s">
        <v>111</v>
      </c>
      <c r="C31" s="53">
        <v>0</v>
      </c>
      <c r="D31" s="53" t="s">
        <v>111</v>
      </c>
      <c r="E31" s="53">
        <v>0</v>
      </c>
      <c r="F31" s="53" t="s">
        <v>111</v>
      </c>
      <c r="G31" s="53" t="s">
        <v>111</v>
      </c>
      <c r="H31" s="53" t="s">
        <v>111</v>
      </c>
      <c r="I31" s="53" t="s">
        <v>111</v>
      </c>
      <c r="J31" s="53" t="s">
        <v>111</v>
      </c>
      <c r="K31" s="53" t="s">
        <v>111</v>
      </c>
      <c r="L31" s="53" t="s">
        <v>111</v>
      </c>
      <c r="M31" s="53" t="s">
        <v>111</v>
      </c>
      <c r="N31" s="53" t="s">
        <v>111</v>
      </c>
      <c r="O31" s="53" t="s">
        <v>111</v>
      </c>
      <c r="P31" s="53" t="s">
        <v>111</v>
      </c>
      <c r="Q31" s="53" t="s">
        <v>111</v>
      </c>
      <c r="R31" s="53" t="s">
        <v>111</v>
      </c>
      <c r="S31" s="53">
        <v>0</v>
      </c>
      <c r="T31" s="53" t="s">
        <v>111</v>
      </c>
      <c r="U31" s="53" t="s">
        <v>111</v>
      </c>
      <c r="V31" s="53" t="s">
        <v>111</v>
      </c>
      <c r="W31" s="53" t="s">
        <v>111</v>
      </c>
      <c r="X31" s="53" t="s">
        <v>111</v>
      </c>
      <c r="Y31" s="53">
        <v>0</v>
      </c>
      <c r="Z31" s="53" t="s">
        <v>111</v>
      </c>
      <c r="AA31" s="53" t="s">
        <v>111</v>
      </c>
      <c r="AB31" s="53" t="s">
        <v>111</v>
      </c>
      <c r="AC31" s="53" t="s">
        <v>111</v>
      </c>
      <c r="AD31" s="53" t="s">
        <v>111</v>
      </c>
      <c r="AE31" s="53" t="s">
        <v>111</v>
      </c>
      <c r="AF31" s="53" t="s">
        <v>111</v>
      </c>
      <c r="AG31" s="53" t="s">
        <v>111</v>
      </c>
      <c r="AH31" s="53" t="s">
        <v>111</v>
      </c>
      <c r="AI31" s="53" t="s">
        <v>111</v>
      </c>
      <c r="AJ31" s="53" t="s">
        <v>111</v>
      </c>
      <c r="AK31" s="53" t="s">
        <v>111</v>
      </c>
      <c r="AL31" s="53" t="s">
        <v>111</v>
      </c>
      <c r="AM31" s="53" t="s">
        <v>111</v>
      </c>
      <c r="AN31" s="53" t="s">
        <v>111</v>
      </c>
      <c r="AO31" s="53" t="s">
        <v>111</v>
      </c>
      <c r="AP31" s="53" t="s">
        <v>111</v>
      </c>
      <c r="AQ31" s="53" t="s">
        <v>111</v>
      </c>
      <c r="AR31" s="53" t="s">
        <v>111</v>
      </c>
      <c r="AS31" s="53" t="s">
        <v>111</v>
      </c>
      <c r="AT31" s="53" t="s">
        <v>111</v>
      </c>
      <c r="AU31" s="53" t="s">
        <v>111</v>
      </c>
      <c r="AV31" s="53" t="s">
        <v>111</v>
      </c>
      <c r="AW31" s="53" t="s">
        <v>111</v>
      </c>
      <c r="AX31" s="53" t="s">
        <v>111</v>
      </c>
      <c r="AY31" s="53" t="s">
        <v>111</v>
      </c>
      <c r="AZ31" s="53" t="s">
        <v>111</v>
      </c>
      <c r="BA31" s="53">
        <v>1</v>
      </c>
      <c r="BB31" s="53" t="s">
        <v>111</v>
      </c>
      <c r="BC31" s="53">
        <v>1</v>
      </c>
      <c r="BD31" s="53" t="s">
        <v>111</v>
      </c>
      <c r="BE31" s="53" t="s">
        <v>111</v>
      </c>
      <c r="BF31" s="53" t="s">
        <v>111</v>
      </c>
      <c r="BG31" s="53" t="s">
        <v>111</v>
      </c>
      <c r="BH31" s="53" t="s">
        <v>111</v>
      </c>
      <c r="BI31" s="53" t="s">
        <v>111</v>
      </c>
      <c r="BJ31" s="53" t="s">
        <v>111</v>
      </c>
      <c r="BK31" s="53" t="s">
        <v>111</v>
      </c>
      <c r="BL31" s="53" t="s">
        <v>111</v>
      </c>
      <c r="BM31" s="53" t="s">
        <v>111</v>
      </c>
    </row>
    <row r="32" spans="1:65" ht="15" customHeight="1" x14ac:dyDescent="0.2">
      <c r="A32" s="53" t="s">
        <v>116</v>
      </c>
      <c r="B32" s="53" t="s">
        <v>111</v>
      </c>
      <c r="C32" s="53">
        <v>0</v>
      </c>
      <c r="D32" s="53" t="s">
        <v>111</v>
      </c>
      <c r="E32" s="53">
        <v>3</v>
      </c>
      <c r="F32" s="53" t="s">
        <v>111</v>
      </c>
      <c r="G32" s="53" t="s">
        <v>111</v>
      </c>
      <c r="H32" s="53" t="s">
        <v>111</v>
      </c>
      <c r="I32" s="53" t="s">
        <v>111</v>
      </c>
      <c r="J32" s="53" t="s">
        <v>111</v>
      </c>
      <c r="K32" s="53" t="s">
        <v>111</v>
      </c>
      <c r="L32" s="53" t="s">
        <v>111</v>
      </c>
      <c r="M32" s="53" t="s">
        <v>111</v>
      </c>
      <c r="N32" s="53" t="s">
        <v>111</v>
      </c>
      <c r="O32" s="53" t="s">
        <v>111</v>
      </c>
      <c r="P32" s="53" t="s">
        <v>111</v>
      </c>
      <c r="Q32" s="53" t="s">
        <v>111</v>
      </c>
      <c r="R32" s="53" t="s">
        <v>111</v>
      </c>
      <c r="S32" s="53">
        <v>1</v>
      </c>
      <c r="T32" s="53" t="s">
        <v>111</v>
      </c>
      <c r="U32" s="53" t="s">
        <v>111</v>
      </c>
      <c r="V32" s="53" t="s">
        <v>111</v>
      </c>
      <c r="W32" s="53" t="s">
        <v>111</v>
      </c>
      <c r="X32" s="53" t="s">
        <v>111</v>
      </c>
      <c r="Y32" s="53">
        <v>0</v>
      </c>
      <c r="Z32" s="53" t="s">
        <v>111</v>
      </c>
      <c r="AA32" s="53" t="s">
        <v>111</v>
      </c>
      <c r="AB32" s="53" t="s">
        <v>111</v>
      </c>
      <c r="AC32" s="53" t="s">
        <v>111</v>
      </c>
      <c r="AD32" s="53" t="s">
        <v>111</v>
      </c>
      <c r="AE32" s="53" t="s">
        <v>111</v>
      </c>
      <c r="AF32" s="53" t="s">
        <v>111</v>
      </c>
      <c r="AG32" s="53" t="s">
        <v>111</v>
      </c>
      <c r="AH32" s="53" t="s">
        <v>111</v>
      </c>
      <c r="AI32" s="53" t="s">
        <v>111</v>
      </c>
      <c r="AJ32" s="53" t="s">
        <v>111</v>
      </c>
      <c r="AK32" s="53" t="s">
        <v>111</v>
      </c>
      <c r="AL32" s="53" t="s">
        <v>111</v>
      </c>
      <c r="AM32" s="53" t="s">
        <v>111</v>
      </c>
      <c r="AN32" s="53" t="s">
        <v>111</v>
      </c>
      <c r="AO32" s="53" t="s">
        <v>111</v>
      </c>
      <c r="AP32" s="53" t="s">
        <v>111</v>
      </c>
      <c r="AQ32" s="53" t="s">
        <v>111</v>
      </c>
      <c r="AR32" s="53" t="s">
        <v>111</v>
      </c>
      <c r="AS32" s="53" t="s">
        <v>111</v>
      </c>
      <c r="AT32" s="53" t="s">
        <v>111</v>
      </c>
      <c r="AU32" s="53" t="s">
        <v>111</v>
      </c>
      <c r="AV32" s="53" t="s">
        <v>111</v>
      </c>
      <c r="AW32" s="53" t="s">
        <v>111</v>
      </c>
      <c r="AX32" s="53" t="s">
        <v>111</v>
      </c>
      <c r="AY32" s="53" t="s">
        <v>111</v>
      </c>
      <c r="AZ32" s="53" t="s">
        <v>111</v>
      </c>
      <c r="BA32" s="53">
        <v>2</v>
      </c>
      <c r="BB32" s="53" t="s">
        <v>111</v>
      </c>
      <c r="BC32" s="53">
        <v>6</v>
      </c>
      <c r="BD32" s="53" t="s">
        <v>111</v>
      </c>
      <c r="BE32" s="53" t="s">
        <v>111</v>
      </c>
      <c r="BF32" s="53" t="s">
        <v>111</v>
      </c>
      <c r="BG32" s="53" t="s">
        <v>111</v>
      </c>
      <c r="BH32" s="53" t="s">
        <v>111</v>
      </c>
      <c r="BI32" s="53" t="s">
        <v>111</v>
      </c>
      <c r="BJ32" s="53" t="s">
        <v>111</v>
      </c>
      <c r="BK32" s="53" t="s">
        <v>111</v>
      </c>
      <c r="BL32" s="53" t="s">
        <v>111</v>
      </c>
      <c r="BM32" s="53" t="s">
        <v>111</v>
      </c>
    </row>
    <row r="33" spans="1:65" ht="15" customHeight="1" x14ac:dyDescent="0.2">
      <c r="A33" s="53" t="s">
        <v>115</v>
      </c>
      <c r="B33" s="53" t="s">
        <v>111</v>
      </c>
      <c r="C33" s="53">
        <v>0</v>
      </c>
      <c r="D33" s="53" t="s">
        <v>111</v>
      </c>
      <c r="E33" s="53">
        <v>1</v>
      </c>
      <c r="F33" s="53" t="s">
        <v>111</v>
      </c>
      <c r="G33" s="53" t="s">
        <v>111</v>
      </c>
      <c r="H33" s="53" t="s">
        <v>111</v>
      </c>
      <c r="I33" s="53" t="s">
        <v>111</v>
      </c>
      <c r="J33" s="53" t="s">
        <v>111</v>
      </c>
      <c r="K33" s="53" t="s">
        <v>111</v>
      </c>
      <c r="L33" s="53" t="s">
        <v>111</v>
      </c>
      <c r="M33" s="53" t="s">
        <v>111</v>
      </c>
      <c r="N33" s="53" t="s">
        <v>111</v>
      </c>
      <c r="O33" s="53" t="s">
        <v>111</v>
      </c>
      <c r="P33" s="53" t="s">
        <v>111</v>
      </c>
      <c r="Q33" s="53" t="s">
        <v>111</v>
      </c>
      <c r="R33" s="53" t="s">
        <v>111</v>
      </c>
      <c r="S33" s="53">
        <v>0</v>
      </c>
      <c r="T33" s="53" t="s">
        <v>111</v>
      </c>
      <c r="U33" s="53" t="s">
        <v>111</v>
      </c>
      <c r="V33" s="53" t="s">
        <v>111</v>
      </c>
      <c r="W33" s="53" t="s">
        <v>111</v>
      </c>
      <c r="X33" s="53" t="s">
        <v>111</v>
      </c>
      <c r="Y33" s="53">
        <v>0</v>
      </c>
      <c r="Z33" s="53" t="s">
        <v>111</v>
      </c>
      <c r="AA33" s="53" t="s">
        <v>111</v>
      </c>
      <c r="AB33" s="53" t="s">
        <v>111</v>
      </c>
      <c r="AC33" s="53" t="s">
        <v>111</v>
      </c>
      <c r="AD33" s="53" t="s">
        <v>111</v>
      </c>
      <c r="AE33" s="53" t="s">
        <v>111</v>
      </c>
      <c r="AF33" s="53" t="s">
        <v>111</v>
      </c>
      <c r="AG33" s="53" t="s">
        <v>111</v>
      </c>
      <c r="AH33" s="53" t="s">
        <v>111</v>
      </c>
      <c r="AI33" s="53" t="s">
        <v>111</v>
      </c>
      <c r="AJ33" s="53" t="s">
        <v>111</v>
      </c>
      <c r="AK33" s="53" t="s">
        <v>111</v>
      </c>
      <c r="AL33" s="53" t="s">
        <v>111</v>
      </c>
      <c r="AM33" s="53" t="s">
        <v>111</v>
      </c>
      <c r="AN33" s="53" t="s">
        <v>111</v>
      </c>
      <c r="AO33" s="53" t="s">
        <v>111</v>
      </c>
      <c r="AP33" s="53" t="s">
        <v>111</v>
      </c>
      <c r="AQ33" s="53" t="s">
        <v>111</v>
      </c>
      <c r="AR33" s="53" t="s">
        <v>111</v>
      </c>
      <c r="AS33" s="53" t="s">
        <v>111</v>
      </c>
      <c r="AT33" s="53" t="s">
        <v>111</v>
      </c>
      <c r="AU33" s="53" t="s">
        <v>111</v>
      </c>
      <c r="AV33" s="53" t="s">
        <v>111</v>
      </c>
      <c r="AW33" s="53" t="s">
        <v>111</v>
      </c>
      <c r="AX33" s="53" t="s">
        <v>111</v>
      </c>
      <c r="AY33" s="53" t="s">
        <v>111</v>
      </c>
      <c r="AZ33" s="53" t="s">
        <v>111</v>
      </c>
      <c r="BA33" s="53">
        <v>1</v>
      </c>
      <c r="BB33" s="53" t="s">
        <v>111</v>
      </c>
      <c r="BC33" s="53">
        <v>2</v>
      </c>
      <c r="BD33" s="53" t="s">
        <v>111</v>
      </c>
      <c r="BE33" s="53" t="s">
        <v>111</v>
      </c>
      <c r="BF33" s="53" t="s">
        <v>111</v>
      </c>
      <c r="BG33" s="53" t="s">
        <v>111</v>
      </c>
      <c r="BH33" s="53" t="s">
        <v>111</v>
      </c>
      <c r="BI33" s="53" t="s">
        <v>111</v>
      </c>
      <c r="BJ33" s="53" t="s">
        <v>111</v>
      </c>
      <c r="BK33" s="53" t="s">
        <v>111</v>
      </c>
      <c r="BL33" s="53" t="s">
        <v>111</v>
      </c>
      <c r="BM33" s="53" t="s">
        <v>111</v>
      </c>
    </row>
    <row r="34" spans="1:65" ht="15" customHeight="1" x14ac:dyDescent="0.2">
      <c r="A34" s="53" t="s">
        <v>114</v>
      </c>
      <c r="B34" s="53" t="s">
        <v>111</v>
      </c>
      <c r="C34" s="53">
        <v>0</v>
      </c>
      <c r="D34" s="53" t="s">
        <v>111</v>
      </c>
      <c r="E34" s="53">
        <v>1</v>
      </c>
      <c r="F34" s="53" t="s">
        <v>111</v>
      </c>
      <c r="G34" s="53" t="s">
        <v>111</v>
      </c>
      <c r="H34" s="53" t="s">
        <v>111</v>
      </c>
      <c r="I34" s="53" t="s">
        <v>111</v>
      </c>
      <c r="J34" s="53" t="s">
        <v>111</v>
      </c>
      <c r="K34" s="53" t="s">
        <v>111</v>
      </c>
      <c r="L34" s="53" t="s">
        <v>111</v>
      </c>
      <c r="M34" s="53" t="s">
        <v>111</v>
      </c>
      <c r="N34" s="53" t="s">
        <v>111</v>
      </c>
      <c r="O34" s="53" t="s">
        <v>111</v>
      </c>
      <c r="P34" s="53" t="s">
        <v>111</v>
      </c>
      <c r="Q34" s="53" t="s">
        <v>111</v>
      </c>
      <c r="R34" s="53" t="s">
        <v>111</v>
      </c>
      <c r="S34" s="53">
        <v>1</v>
      </c>
      <c r="T34" s="53" t="s">
        <v>111</v>
      </c>
      <c r="U34" s="53" t="s">
        <v>111</v>
      </c>
      <c r="V34" s="53" t="s">
        <v>111</v>
      </c>
      <c r="W34" s="53" t="s">
        <v>111</v>
      </c>
      <c r="X34" s="53" t="s">
        <v>111</v>
      </c>
      <c r="Y34" s="53">
        <v>0</v>
      </c>
      <c r="Z34" s="53" t="s">
        <v>111</v>
      </c>
      <c r="AA34" s="53" t="s">
        <v>111</v>
      </c>
      <c r="AB34" s="53" t="s">
        <v>111</v>
      </c>
      <c r="AC34" s="53" t="s">
        <v>111</v>
      </c>
      <c r="AD34" s="53" t="s">
        <v>111</v>
      </c>
      <c r="AE34" s="53" t="s">
        <v>111</v>
      </c>
      <c r="AF34" s="53" t="s">
        <v>111</v>
      </c>
      <c r="AG34" s="53" t="s">
        <v>111</v>
      </c>
      <c r="AH34" s="53" t="s">
        <v>111</v>
      </c>
      <c r="AI34" s="53" t="s">
        <v>111</v>
      </c>
      <c r="AJ34" s="53" t="s">
        <v>111</v>
      </c>
      <c r="AK34" s="53" t="s">
        <v>111</v>
      </c>
      <c r="AL34" s="53" t="s">
        <v>111</v>
      </c>
      <c r="AM34" s="53" t="s">
        <v>111</v>
      </c>
      <c r="AN34" s="53" t="s">
        <v>111</v>
      </c>
      <c r="AO34" s="53" t="s">
        <v>111</v>
      </c>
      <c r="AP34" s="53" t="s">
        <v>111</v>
      </c>
      <c r="AQ34" s="53" t="s">
        <v>111</v>
      </c>
      <c r="AR34" s="53" t="s">
        <v>111</v>
      </c>
      <c r="AS34" s="53" t="s">
        <v>111</v>
      </c>
      <c r="AT34" s="53" t="s">
        <v>111</v>
      </c>
      <c r="AU34" s="53" t="s">
        <v>111</v>
      </c>
      <c r="AV34" s="53" t="s">
        <v>111</v>
      </c>
      <c r="AW34" s="53" t="s">
        <v>111</v>
      </c>
      <c r="AX34" s="53" t="s">
        <v>111</v>
      </c>
      <c r="AY34" s="53" t="s">
        <v>111</v>
      </c>
      <c r="AZ34" s="53" t="s">
        <v>111</v>
      </c>
      <c r="BA34" s="53">
        <v>6</v>
      </c>
      <c r="BB34" s="53" t="s">
        <v>111</v>
      </c>
      <c r="BC34" s="53">
        <v>4</v>
      </c>
      <c r="BD34" s="53" t="s">
        <v>111</v>
      </c>
      <c r="BE34" s="53" t="s">
        <v>111</v>
      </c>
      <c r="BF34" s="53" t="s">
        <v>111</v>
      </c>
      <c r="BG34" s="53" t="s">
        <v>111</v>
      </c>
      <c r="BH34" s="53" t="s">
        <v>111</v>
      </c>
      <c r="BI34" s="53" t="s">
        <v>111</v>
      </c>
      <c r="BJ34" s="53" t="s">
        <v>111</v>
      </c>
      <c r="BK34" s="53" t="s">
        <v>111</v>
      </c>
      <c r="BL34" s="53" t="s">
        <v>111</v>
      </c>
      <c r="BM34" s="53" t="s">
        <v>111</v>
      </c>
    </row>
    <row r="35" spans="1:65" ht="15" customHeight="1" x14ac:dyDescent="0.2">
      <c r="A35" s="53" t="s">
        <v>113</v>
      </c>
      <c r="B35" s="53" t="s">
        <v>111</v>
      </c>
      <c r="C35" s="53">
        <v>0</v>
      </c>
      <c r="D35" s="53" t="s">
        <v>111</v>
      </c>
      <c r="E35" s="53">
        <v>2</v>
      </c>
      <c r="F35" s="53" t="s">
        <v>111</v>
      </c>
      <c r="G35" s="53" t="s">
        <v>111</v>
      </c>
      <c r="H35" s="53" t="s">
        <v>111</v>
      </c>
      <c r="I35" s="53" t="s">
        <v>111</v>
      </c>
      <c r="J35" s="53" t="s">
        <v>111</v>
      </c>
      <c r="K35" s="53" t="s">
        <v>111</v>
      </c>
      <c r="L35" s="53" t="s">
        <v>111</v>
      </c>
      <c r="M35" s="53" t="s">
        <v>111</v>
      </c>
      <c r="N35" s="53" t="s">
        <v>111</v>
      </c>
      <c r="O35" s="53" t="s">
        <v>111</v>
      </c>
      <c r="P35" s="53" t="s">
        <v>111</v>
      </c>
      <c r="Q35" s="53" t="s">
        <v>111</v>
      </c>
      <c r="R35" s="53" t="s">
        <v>111</v>
      </c>
      <c r="S35" s="53">
        <v>0</v>
      </c>
      <c r="T35" s="53" t="s">
        <v>111</v>
      </c>
      <c r="U35" s="53" t="s">
        <v>111</v>
      </c>
      <c r="V35" s="53" t="s">
        <v>111</v>
      </c>
      <c r="W35" s="53" t="s">
        <v>111</v>
      </c>
      <c r="X35" s="53" t="s">
        <v>111</v>
      </c>
      <c r="Y35" s="53">
        <v>0</v>
      </c>
      <c r="Z35" s="53" t="s">
        <v>111</v>
      </c>
      <c r="AA35" s="53" t="s">
        <v>111</v>
      </c>
      <c r="AB35" s="53" t="s">
        <v>111</v>
      </c>
      <c r="AC35" s="53" t="s">
        <v>111</v>
      </c>
      <c r="AD35" s="53" t="s">
        <v>111</v>
      </c>
      <c r="AE35" s="53" t="s">
        <v>111</v>
      </c>
      <c r="AF35" s="53" t="s">
        <v>111</v>
      </c>
      <c r="AG35" s="53" t="s">
        <v>111</v>
      </c>
      <c r="AH35" s="53" t="s">
        <v>111</v>
      </c>
      <c r="AI35" s="53" t="s">
        <v>111</v>
      </c>
      <c r="AJ35" s="53" t="s">
        <v>111</v>
      </c>
      <c r="AK35" s="53" t="s">
        <v>111</v>
      </c>
      <c r="AL35" s="53" t="s">
        <v>111</v>
      </c>
      <c r="AM35" s="53" t="s">
        <v>111</v>
      </c>
      <c r="AN35" s="53" t="s">
        <v>111</v>
      </c>
      <c r="AO35" s="53" t="s">
        <v>111</v>
      </c>
      <c r="AP35" s="53" t="s">
        <v>111</v>
      </c>
      <c r="AQ35" s="53" t="s">
        <v>111</v>
      </c>
      <c r="AR35" s="53" t="s">
        <v>111</v>
      </c>
      <c r="AS35" s="53" t="s">
        <v>111</v>
      </c>
      <c r="AT35" s="53" t="s">
        <v>111</v>
      </c>
      <c r="AU35" s="53" t="s">
        <v>111</v>
      </c>
      <c r="AV35" s="53" t="s">
        <v>111</v>
      </c>
      <c r="AW35" s="53" t="s">
        <v>111</v>
      </c>
      <c r="AX35" s="53" t="s">
        <v>111</v>
      </c>
      <c r="AY35" s="53" t="s">
        <v>111</v>
      </c>
      <c r="AZ35" s="53" t="s">
        <v>111</v>
      </c>
      <c r="BA35" s="53">
        <v>1</v>
      </c>
      <c r="BB35" s="53" t="s">
        <v>111</v>
      </c>
      <c r="BC35" s="53">
        <v>3</v>
      </c>
      <c r="BD35" s="53" t="s">
        <v>111</v>
      </c>
      <c r="BE35" s="53" t="s">
        <v>111</v>
      </c>
      <c r="BF35" s="53" t="s">
        <v>111</v>
      </c>
      <c r="BG35" s="53" t="s">
        <v>111</v>
      </c>
      <c r="BH35" s="53" t="s">
        <v>111</v>
      </c>
      <c r="BI35" s="53" t="s">
        <v>111</v>
      </c>
      <c r="BJ35" s="53" t="s">
        <v>111</v>
      </c>
      <c r="BK35" s="53" t="s">
        <v>111</v>
      </c>
      <c r="BL35" s="53" t="s">
        <v>111</v>
      </c>
      <c r="BM35" s="53" t="s">
        <v>111</v>
      </c>
    </row>
    <row r="36" spans="1:65" ht="15" customHeight="1" x14ac:dyDescent="0.2">
      <c r="A36" s="53" t="s">
        <v>112</v>
      </c>
      <c r="B36" s="53" t="s">
        <v>111</v>
      </c>
      <c r="C36" s="53">
        <v>1</v>
      </c>
      <c r="D36" s="53" t="s">
        <v>111</v>
      </c>
      <c r="E36" s="53">
        <v>2</v>
      </c>
      <c r="F36" s="53" t="s">
        <v>111</v>
      </c>
      <c r="G36" s="53" t="s">
        <v>111</v>
      </c>
      <c r="H36" s="53" t="s">
        <v>111</v>
      </c>
      <c r="I36" s="53" t="s">
        <v>111</v>
      </c>
      <c r="J36" s="53" t="s">
        <v>111</v>
      </c>
      <c r="K36" s="53" t="s">
        <v>111</v>
      </c>
      <c r="L36" s="53" t="s">
        <v>111</v>
      </c>
      <c r="M36" s="53" t="s">
        <v>111</v>
      </c>
      <c r="N36" s="53" t="s">
        <v>111</v>
      </c>
      <c r="O36" s="53" t="s">
        <v>111</v>
      </c>
      <c r="P36" s="53" t="s">
        <v>111</v>
      </c>
      <c r="Q36" s="53" t="s">
        <v>111</v>
      </c>
      <c r="R36" s="53" t="s">
        <v>111</v>
      </c>
      <c r="S36" s="53">
        <v>0</v>
      </c>
      <c r="T36" s="53" t="s">
        <v>111</v>
      </c>
      <c r="U36" s="53" t="s">
        <v>111</v>
      </c>
      <c r="V36" s="53" t="s">
        <v>111</v>
      </c>
      <c r="W36" s="53" t="s">
        <v>111</v>
      </c>
      <c r="X36" s="53" t="s">
        <v>111</v>
      </c>
      <c r="Y36" s="53">
        <v>0</v>
      </c>
      <c r="Z36" s="53" t="s">
        <v>111</v>
      </c>
      <c r="AA36" s="53" t="s">
        <v>111</v>
      </c>
      <c r="AB36" s="53" t="s">
        <v>111</v>
      </c>
      <c r="AC36" s="53" t="s">
        <v>111</v>
      </c>
      <c r="AD36" s="53" t="s">
        <v>111</v>
      </c>
      <c r="AE36" s="53" t="s">
        <v>111</v>
      </c>
      <c r="AF36" s="53" t="s">
        <v>111</v>
      </c>
      <c r="AG36" s="53" t="s">
        <v>111</v>
      </c>
      <c r="AH36" s="53" t="s">
        <v>111</v>
      </c>
      <c r="AI36" s="53" t="s">
        <v>111</v>
      </c>
      <c r="AJ36" s="53" t="s">
        <v>111</v>
      </c>
      <c r="AK36" s="53" t="s">
        <v>111</v>
      </c>
      <c r="AL36" s="53" t="s">
        <v>111</v>
      </c>
      <c r="AM36" s="53" t="s">
        <v>111</v>
      </c>
      <c r="AN36" s="53" t="s">
        <v>111</v>
      </c>
      <c r="AO36" s="53" t="s">
        <v>111</v>
      </c>
      <c r="AP36" s="53" t="s">
        <v>111</v>
      </c>
      <c r="AQ36" s="53" t="s">
        <v>111</v>
      </c>
      <c r="AR36" s="53" t="s">
        <v>111</v>
      </c>
      <c r="AS36" s="53" t="s">
        <v>111</v>
      </c>
      <c r="AT36" s="53" t="s">
        <v>111</v>
      </c>
      <c r="AU36" s="53" t="s">
        <v>111</v>
      </c>
      <c r="AV36" s="53" t="s">
        <v>111</v>
      </c>
      <c r="AW36" s="53" t="s">
        <v>111</v>
      </c>
      <c r="AX36" s="53" t="s">
        <v>111</v>
      </c>
      <c r="AY36" s="53" t="s">
        <v>111</v>
      </c>
      <c r="AZ36" s="53" t="s">
        <v>111</v>
      </c>
      <c r="BA36" s="53">
        <v>0</v>
      </c>
      <c r="BB36" s="53" t="s">
        <v>111</v>
      </c>
      <c r="BC36" s="53">
        <v>1</v>
      </c>
      <c r="BD36" s="53" t="s">
        <v>111</v>
      </c>
      <c r="BE36" s="53" t="s">
        <v>111</v>
      </c>
      <c r="BF36" s="53" t="s">
        <v>111</v>
      </c>
      <c r="BG36" s="53" t="s">
        <v>111</v>
      </c>
      <c r="BH36" s="53" t="s">
        <v>111</v>
      </c>
      <c r="BI36" s="53" t="s">
        <v>111</v>
      </c>
      <c r="BJ36" s="53" t="s">
        <v>111</v>
      </c>
      <c r="BK36" s="53" t="s">
        <v>111</v>
      </c>
      <c r="BL36" s="53" t="s">
        <v>111</v>
      </c>
      <c r="BM36" s="53"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85CE-86D3-4DFF-96EB-EB0383270796}">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111</v>
      </c>
      <c r="B6" s="62"/>
      <c r="C6" s="61" t="s">
        <v>111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111</v>
      </c>
      <c r="B7" s="62"/>
      <c r="C7" s="61" t="s">
        <v>111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111</v>
      </c>
      <c r="B8" s="62"/>
      <c r="C8" s="61" t="s">
        <v>111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111</v>
      </c>
      <c r="B9" s="62"/>
      <c r="C9" s="61" t="s">
        <v>111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111</v>
      </c>
      <c r="B12" s="60" t="s">
        <v>152</v>
      </c>
      <c r="C12" s="59"/>
      <c r="D12" s="59"/>
      <c r="E12" s="59"/>
      <c r="F12" s="59"/>
      <c r="G12" s="59"/>
      <c r="H12" s="59"/>
      <c r="I12" s="58"/>
      <c r="J12" s="60" t="s">
        <v>150</v>
      </c>
      <c r="K12" s="59"/>
      <c r="L12" s="59"/>
      <c r="M12" s="59"/>
      <c r="N12" s="59"/>
      <c r="O12" s="59"/>
      <c r="P12" s="59"/>
      <c r="Q12" s="58"/>
      <c r="R12" s="60" t="s">
        <v>153</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111</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111</v>
      </c>
      <c r="C15" s="53">
        <v>1</v>
      </c>
      <c r="D15" s="53" t="s">
        <v>111</v>
      </c>
      <c r="E15" s="53">
        <v>244</v>
      </c>
      <c r="F15" s="53" t="s">
        <v>111</v>
      </c>
      <c r="G15" s="53" t="s">
        <v>111</v>
      </c>
      <c r="H15" s="53" t="s">
        <v>111</v>
      </c>
      <c r="I15" s="53" t="s">
        <v>111</v>
      </c>
      <c r="J15" s="53" t="s">
        <v>111</v>
      </c>
      <c r="K15" s="53" t="s">
        <v>111</v>
      </c>
      <c r="L15" s="53" t="s">
        <v>111</v>
      </c>
      <c r="M15" s="53" t="s">
        <v>111</v>
      </c>
      <c r="N15" s="53" t="s">
        <v>111</v>
      </c>
      <c r="O15" s="53" t="s">
        <v>111</v>
      </c>
      <c r="P15" s="53" t="s">
        <v>111</v>
      </c>
      <c r="Q15" s="53" t="s">
        <v>111</v>
      </c>
      <c r="R15" s="53" t="s">
        <v>111</v>
      </c>
      <c r="S15" s="53">
        <v>3</v>
      </c>
      <c r="T15" s="53" t="s">
        <v>111</v>
      </c>
      <c r="U15" s="53" t="s">
        <v>111</v>
      </c>
      <c r="V15" s="53" t="s">
        <v>111</v>
      </c>
      <c r="W15" s="53" t="s">
        <v>111</v>
      </c>
      <c r="X15" s="53" t="s">
        <v>111</v>
      </c>
      <c r="Y15" s="53">
        <v>0</v>
      </c>
      <c r="Z15" s="53" t="s">
        <v>111</v>
      </c>
      <c r="AA15" s="53" t="s">
        <v>111</v>
      </c>
      <c r="AB15" s="53" t="s">
        <v>111</v>
      </c>
      <c r="AC15" s="53" t="s">
        <v>111</v>
      </c>
      <c r="AD15" s="53" t="s">
        <v>111</v>
      </c>
      <c r="AE15" s="53" t="s">
        <v>111</v>
      </c>
      <c r="AF15" s="53" t="s">
        <v>111</v>
      </c>
      <c r="AG15" s="53" t="s">
        <v>111</v>
      </c>
      <c r="AH15" s="53" t="s">
        <v>111</v>
      </c>
      <c r="AI15" s="53" t="s">
        <v>111</v>
      </c>
      <c r="AJ15" s="53" t="s">
        <v>111</v>
      </c>
      <c r="AK15" s="53" t="s">
        <v>111</v>
      </c>
      <c r="AL15" s="53" t="s">
        <v>111</v>
      </c>
      <c r="AM15" s="53" t="s">
        <v>111</v>
      </c>
      <c r="AN15" s="53" t="s">
        <v>111</v>
      </c>
      <c r="AO15" s="53" t="s">
        <v>111</v>
      </c>
      <c r="AP15" s="53" t="s">
        <v>111</v>
      </c>
      <c r="AQ15" s="53" t="s">
        <v>111</v>
      </c>
      <c r="AR15" s="53" t="s">
        <v>111</v>
      </c>
      <c r="AS15" s="53" t="s">
        <v>111</v>
      </c>
      <c r="AT15" s="53" t="s">
        <v>111</v>
      </c>
      <c r="AU15" s="53" t="s">
        <v>111</v>
      </c>
      <c r="AV15" s="53" t="s">
        <v>111</v>
      </c>
      <c r="AW15" s="53" t="s">
        <v>111</v>
      </c>
      <c r="AX15" s="53" t="s">
        <v>111</v>
      </c>
      <c r="AY15" s="53" t="s">
        <v>111</v>
      </c>
      <c r="AZ15" s="53" t="s">
        <v>111</v>
      </c>
      <c r="BA15" s="53">
        <v>0</v>
      </c>
      <c r="BB15" s="53" t="s">
        <v>111</v>
      </c>
      <c r="BC15" s="53">
        <v>29</v>
      </c>
      <c r="BD15" s="53" t="s">
        <v>111</v>
      </c>
      <c r="BE15" s="53" t="s">
        <v>111</v>
      </c>
      <c r="BF15" s="53" t="s">
        <v>111</v>
      </c>
      <c r="BG15" s="53" t="s">
        <v>111</v>
      </c>
      <c r="BH15" s="53" t="s">
        <v>111</v>
      </c>
      <c r="BI15" s="53" t="s">
        <v>111</v>
      </c>
      <c r="BJ15" s="53" t="s">
        <v>111</v>
      </c>
      <c r="BK15" s="53" t="s">
        <v>111</v>
      </c>
      <c r="BL15" s="53" t="s">
        <v>111</v>
      </c>
      <c r="BM15" s="53" t="s">
        <v>111</v>
      </c>
    </row>
    <row r="16" spans="1:65" ht="15" customHeight="1" x14ac:dyDescent="0.2">
      <c r="A16" s="53" t="s">
        <v>132</v>
      </c>
      <c r="B16" s="53" t="s">
        <v>111</v>
      </c>
      <c r="C16" s="53">
        <v>0</v>
      </c>
      <c r="D16" s="53" t="s">
        <v>111</v>
      </c>
      <c r="E16" s="53">
        <v>314</v>
      </c>
      <c r="F16" s="53" t="s">
        <v>111</v>
      </c>
      <c r="G16" s="53" t="s">
        <v>111</v>
      </c>
      <c r="H16" s="53" t="s">
        <v>111</v>
      </c>
      <c r="I16" s="53" t="s">
        <v>111</v>
      </c>
      <c r="J16" s="53" t="s">
        <v>111</v>
      </c>
      <c r="K16" s="53" t="s">
        <v>111</v>
      </c>
      <c r="L16" s="53" t="s">
        <v>111</v>
      </c>
      <c r="M16" s="53" t="s">
        <v>111</v>
      </c>
      <c r="N16" s="53" t="s">
        <v>111</v>
      </c>
      <c r="O16" s="53" t="s">
        <v>111</v>
      </c>
      <c r="P16" s="53" t="s">
        <v>111</v>
      </c>
      <c r="Q16" s="53" t="s">
        <v>111</v>
      </c>
      <c r="R16" s="53" t="s">
        <v>111</v>
      </c>
      <c r="S16" s="53">
        <v>3</v>
      </c>
      <c r="T16" s="53" t="s">
        <v>111</v>
      </c>
      <c r="U16" s="53" t="s">
        <v>111</v>
      </c>
      <c r="V16" s="53" t="s">
        <v>111</v>
      </c>
      <c r="W16" s="53" t="s">
        <v>111</v>
      </c>
      <c r="X16" s="53" t="s">
        <v>111</v>
      </c>
      <c r="Y16" s="53">
        <v>0</v>
      </c>
      <c r="Z16" s="53" t="s">
        <v>111</v>
      </c>
      <c r="AA16" s="53" t="s">
        <v>111</v>
      </c>
      <c r="AB16" s="53" t="s">
        <v>111</v>
      </c>
      <c r="AC16" s="53" t="s">
        <v>111</v>
      </c>
      <c r="AD16" s="53" t="s">
        <v>111</v>
      </c>
      <c r="AE16" s="53" t="s">
        <v>111</v>
      </c>
      <c r="AF16" s="53" t="s">
        <v>111</v>
      </c>
      <c r="AG16" s="53" t="s">
        <v>111</v>
      </c>
      <c r="AH16" s="53" t="s">
        <v>111</v>
      </c>
      <c r="AI16" s="53" t="s">
        <v>111</v>
      </c>
      <c r="AJ16" s="53" t="s">
        <v>111</v>
      </c>
      <c r="AK16" s="53" t="s">
        <v>111</v>
      </c>
      <c r="AL16" s="53" t="s">
        <v>111</v>
      </c>
      <c r="AM16" s="53" t="s">
        <v>111</v>
      </c>
      <c r="AN16" s="53" t="s">
        <v>111</v>
      </c>
      <c r="AO16" s="53" t="s">
        <v>111</v>
      </c>
      <c r="AP16" s="53" t="s">
        <v>111</v>
      </c>
      <c r="AQ16" s="53" t="s">
        <v>111</v>
      </c>
      <c r="AR16" s="53" t="s">
        <v>111</v>
      </c>
      <c r="AS16" s="53" t="s">
        <v>111</v>
      </c>
      <c r="AT16" s="53" t="s">
        <v>111</v>
      </c>
      <c r="AU16" s="53" t="s">
        <v>111</v>
      </c>
      <c r="AV16" s="53" t="s">
        <v>111</v>
      </c>
      <c r="AW16" s="53" t="s">
        <v>111</v>
      </c>
      <c r="AX16" s="53" t="s">
        <v>111</v>
      </c>
      <c r="AY16" s="53" t="s">
        <v>111</v>
      </c>
      <c r="AZ16" s="53" t="s">
        <v>111</v>
      </c>
      <c r="BA16" s="53">
        <v>4</v>
      </c>
      <c r="BB16" s="53" t="s">
        <v>111</v>
      </c>
      <c r="BC16" s="53">
        <v>50</v>
      </c>
      <c r="BD16" s="53" t="s">
        <v>111</v>
      </c>
      <c r="BE16" s="53" t="s">
        <v>111</v>
      </c>
      <c r="BF16" s="53" t="s">
        <v>111</v>
      </c>
      <c r="BG16" s="53" t="s">
        <v>111</v>
      </c>
      <c r="BH16" s="53" t="s">
        <v>111</v>
      </c>
      <c r="BI16" s="53" t="s">
        <v>111</v>
      </c>
      <c r="BJ16" s="53" t="s">
        <v>111</v>
      </c>
      <c r="BK16" s="53" t="s">
        <v>111</v>
      </c>
      <c r="BL16" s="53" t="s">
        <v>111</v>
      </c>
      <c r="BM16" s="53" t="s">
        <v>111</v>
      </c>
    </row>
    <row r="17" spans="1:65" ht="15" customHeight="1" x14ac:dyDescent="0.2">
      <c r="A17" s="53" t="s">
        <v>131</v>
      </c>
      <c r="B17" s="53" t="s">
        <v>111</v>
      </c>
      <c r="C17" s="53">
        <v>2</v>
      </c>
      <c r="D17" s="53" t="s">
        <v>111</v>
      </c>
      <c r="E17" s="53">
        <v>316</v>
      </c>
      <c r="F17" s="53" t="s">
        <v>111</v>
      </c>
      <c r="G17" s="53" t="s">
        <v>111</v>
      </c>
      <c r="H17" s="53" t="s">
        <v>111</v>
      </c>
      <c r="I17" s="53" t="s">
        <v>111</v>
      </c>
      <c r="J17" s="53" t="s">
        <v>111</v>
      </c>
      <c r="K17" s="53" t="s">
        <v>111</v>
      </c>
      <c r="L17" s="53" t="s">
        <v>111</v>
      </c>
      <c r="M17" s="53" t="s">
        <v>111</v>
      </c>
      <c r="N17" s="53" t="s">
        <v>111</v>
      </c>
      <c r="O17" s="53" t="s">
        <v>111</v>
      </c>
      <c r="P17" s="53" t="s">
        <v>111</v>
      </c>
      <c r="Q17" s="53" t="s">
        <v>111</v>
      </c>
      <c r="R17" s="53" t="s">
        <v>111</v>
      </c>
      <c r="S17" s="53">
        <v>8</v>
      </c>
      <c r="T17" s="53" t="s">
        <v>111</v>
      </c>
      <c r="U17" s="53" t="s">
        <v>111</v>
      </c>
      <c r="V17" s="53" t="s">
        <v>111</v>
      </c>
      <c r="W17" s="53" t="s">
        <v>111</v>
      </c>
      <c r="X17" s="53" t="s">
        <v>111</v>
      </c>
      <c r="Y17" s="53">
        <v>0</v>
      </c>
      <c r="Z17" s="53" t="s">
        <v>111</v>
      </c>
      <c r="AA17" s="53" t="s">
        <v>111</v>
      </c>
      <c r="AB17" s="53" t="s">
        <v>111</v>
      </c>
      <c r="AC17" s="53" t="s">
        <v>111</v>
      </c>
      <c r="AD17" s="53" t="s">
        <v>111</v>
      </c>
      <c r="AE17" s="53" t="s">
        <v>111</v>
      </c>
      <c r="AF17" s="53" t="s">
        <v>111</v>
      </c>
      <c r="AG17" s="53" t="s">
        <v>111</v>
      </c>
      <c r="AH17" s="53" t="s">
        <v>111</v>
      </c>
      <c r="AI17" s="53" t="s">
        <v>111</v>
      </c>
      <c r="AJ17" s="53" t="s">
        <v>111</v>
      </c>
      <c r="AK17" s="53" t="s">
        <v>111</v>
      </c>
      <c r="AL17" s="53" t="s">
        <v>111</v>
      </c>
      <c r="AM17" s="53" t="s">
        <v>111</v>
      </c>
      <c r="AN17" s="53" t="s">
        <v>111</v>
      </c>
      <c r="AO17" s="53" t="s">
        <v>111</v>
      </c>
      <c r="AP17" s="53" t="s">
        <v>111</v>
      </c>
      <c r="AQ17" s="53" t="s">
        <v>111</v>
      </c>
      <c r="AR17" s="53" t="s">
        <v>111</v>
      </c>
      <c r="AS17" s="53" t="s">
        <v>111</v>
      </c>
      <c r="AT17" s="53" t="s">
        <v>111</v>
      </c>
      <c r="AU17" s="53" t="s">
        <v>111</v>
      </c>
      <c r="AV17" s="53" t="s">
        <v>111</v>
      </c>
      <c r="AW17" s="53" t="s">
        <v>111</v>
      </c>
      <c r="AX17" s="53" t="s">
        <v>111</v>
      </c>
      <c r="AY17" s="53" t="s">
        <v>111</v>
      </c>
      <c r="AZ17" s="53" t="s">
        <v>111</v>
      </c>
      <c r="BA17" s="53">
        <v>1</v>
      </c>
      <c r="BB17" s="53" t="s">
        <v>111</v>
      </c>
      <c r="BC17" s="53">
        <v>60</v>
      </c>
      <c r="BD17" s="53" t="s">
        <v>111</v>
      </c>
      <c r="BE17" s="53" t="s">
        <v>111</v>
      </c>
      <c r="BF17" s="53" t="s">
        <v>111</v>
      </c>
      <c r="BG17" s="53" t="s">
        <v>111</v>
      </c>
      <c r="BH17" s="53" t="s">
        <v>111</v>
      </c>
      <c r="BI17" s="53" t="s">
        <v>111</v>
      </c>
      <c r="BJ17" s="53" t="s">
        <v>111</v>
      </c>
      <c r="BK17" s="53" t="s">
        <v>111</v>
      </c>
      <c r="BL17" s="53" t="s">
        <v>111</v>
      </c>
      <c r="BM17" s="53" t="s">
        <v>111</v>
      </c>
    </row>
    <row r="18" spans="1:65" ht="15" customHeight="1" x14ac:dyDescent="0.2">
      <c r="A18" s="53" t="s">
        <v>130</v>
      </c>
      <c r="B18" s="53" t="s">
        <v>111</v>
      </c>
      <c r="C18" s="53">
        <v>2</v>
      </c>
      <c r="D18" s="53" t="s">
        <v>111</v>
      </c>
      <c r="E18" s="53">
        <v>319</v>
      </c>
      <c r="F18" s="53" t="s">
        <v>111</v>
      </c>
      <c r="G18" s="53" t="s">
        <v>111</v>
      </c>
      <c r="H18" s="53" t="s">
        <v>111</v>
      </c>
      <c r="I18" s="53" t="s">
        <v>111</v>
      </c>
      <c r="J18" s="53" t="s">
        <v>111</v>
      </c>
      <c r="K18" s="53" t="s">
        <v>111</v>
      </c>
      <c r="L18" s="53" t="s">
        <v>111</v>
      </c>
      <c r="M18" s="53" t="s">
        <v>111</v>
      </c>
      <c r="N18" s="53" t="s">
        <v>111</v>
      </c>
      <c r="O18" s="53" t="s">
        <v>111</v>
      </c>
      <c r="P18" s="53" t="s">
        <v>111</v>
      </c>
      <c r="Q18" s="53" t="s">
        <v>111</v>
      </c>
      <c r="R18" s="53" t="s">
        <v>111</v>
      </c>
      <c r="S18" s="53">
        <v>11</v>
      </c>
      <c r="T18" s="53" t="s">
        <v>111</v>
      </c>
      <c r="U18" s="53" t="s">
        <v>111</v>
      </c>
      <c r="V18" s="53" t="s">
        <v>111</v>
      </c>
      <c r="W18" s="53" t="s">
        <v>111</v>
      </c>
      <c r="X18" s="53" t="s">
        <v>111</v>
      </c>
      <c r="Y18" s="53">
        <v>0</v>
      </c>
      <c r="Z18" s="53" t="s">
        <v>111</v>
      </c>
      <c r="AA18" s="53" t="s">
        <v>111</v>
      </c>
      <c r="AB18" s="53" t="s">
        <v>111</v>
      </c>
      <c r="AC18" s="53" t="s">
        <v>111</v>
      </c>
      <c r="AD18" s="53" t="s">
        <v>111</v>
      </c>
      <c r="AE18" s="53" t="s">
        <v>111</v>
      </c>
      <c r="AF18" s="53" t="s">
        <v>111</v>
      </c>
      <c r="AG18" s="53" t="s">
        <v>111</v>
      </c>
      <c r="AH18" s="53" t="s">
        <v>111</v>
      </c>
      <c r="AI18" s="53" t="s">
        <v>111</v>
      </c>
      <c r="AJ18" s="53" t="s">
        <v>111</v>
      </c>
      <c r="AK18" s="53" t="s">
        <v>111</v>
      </c>
      <c r="AL18" s="53" t="s">
        <v>111</v>
      </c>
      <c r="AM18" s="53" t="s">
        <v>111</v>
      </c>
      <c r="AN18" s="53" t="s">
        <v>111</v>
      </c>
      <c r="AO18" s="53" t="s">
        <v>111</v>
      </c>
      <c r="AP18" s="53" t="s">
        <v>111</v>
      </c>
      <c r="AQ18" s="53" t="s">
        <v>111</v>
      </c>
      <c r="AR18" s="53" t="s">
        <v>111</v>
      </c>
      <c r="AS18" s="53" t="s">
        <v>111</v>
      </c>
      <c r="AT18" s="53" t="s">
        <v>111</v>
      </c>
      <c r="AU18" s="53" t="s">
        <v>111</v>
      </c>
      <c r="AV18" s="53" t="s">
        <v>111</v>
      </c>
      <c r="AW18" s="53" t="s">
        <v>111</v>
      </c>
      <c r="AX18" s="53" t="s">
        <v>111</v>
      </c>
      <c r="AY18" s="53" t="s">
        <v>111</v>
      </c>
      <c r="AZ18" s="53" t="s">
        <v>111</v>
      </c>
      <c r="BA18" s="53">
        <v>4</v>
      </c>
      <c r="BB18" s="53" t="s">
        <v>111</v>
      </c>
      <c r="BC18" s="53">
        <v>73</v>
      </c>
      <c r="BD18" s="53" t="s">
        <v>111</v>
      </c>
      <c r="BE18" s="53" t="s">
        <v>111</v>
      </c>
      <c r="BF18" s="53" t="s">
        <v>111</v>
      </c>
      <c r="BG18" s="53" t="s">
        <v>111</v>
      </c>
      <c r="BH18" s="53" t="s">
        <v>111</v>
      </c>
      <c r="BI18" s="53" t="s">
        <v>111</v>
      </c>
      <c r="BJ18" s="53" t="s">
        <v>111</v>
      </c>
      <c r="BK18" s="53" t="s">
        <v>111</v>
      </c>
      <c r="BL18" s="53" t="s">
        <v>111</v>
      </c>
      <c r="BM18" s="53" t="s">
        <v>111</v>
      </c>
    </row>
    <row r="19" spans="1:65" ht="15" customHeight="1" x14ac:dyDescent="0.2">
      <c r="A19" s="53" t="s">
        <v>129</v>
      </c>
      <c r="B19" s="53" t="s">
        <v>111</v>
      </c>
      <c r="C19" s="53">
        <v>1</v>
      </c>
      <c r="D19" s="53" t="s">
        <v>111</v>
      </c>
      <c r="E19" s="53">
        <v>329</v>
      </c>
      <c r="F19" s="53" t="s">
        <v>111</v>
      </c>
      <c r="G19" s="53" t="s">
        <v>111</v>
      </c>
      <c r="H19" s="53" t="s">
        <v>111</v>
      </c>
      <c r="I19" s="53" t="s">
        <v>111</v>
      </c>
      <c r="J19" s="53" t="s">
        <v>111</v>
      </c>
      <c r="K19" s="53" t="s">
        <v>111</v>
      </c>
      <c r="L19" s="53" t="s">
        <v>111</v>
      </c>
      <c r="M19" s="53" t="s">
        <v>111</v>
      </c>
      <c r="N19" s="53" t="s">
        <v>111</v>
      </c>
      <c r="O19" s="53" t="s">
        <v>111</v>
      </c>
      <c r="P19" s="53" t="s">
        <v>111</v>
      </c>
      <c r="Q19" s="53" t="s">
        <v>111</v>
      </c>
      <c r="R19" s="53" t="s">
        <v>111</v>
      </c>
      <c r="S19" s="53">
        <v>3</v>
      </c>
      <c r="T19" s="53" t="s">
        <v>111</v>
      </c>
      <c r="U19" s="53" t="s">
        <v>111</v>
      </c>
      <c r="V19" s="53" t="s">
        <v>111</v>
      </c>
      <c r="W19" s="53" t="s">
        <v>111</v>
      </c>
      <c r="X19" s="53" t="s">
        <v>111</v>
      </c>
      <c r="Y19" s="53">
        <v>0</v>
      </c>
      <c r="Z19" s="53" t="s">
        <v>111</v>
      </c>
      <c r="AA19" s="53" t="s">
        <v>111</v>
      </c>
      <c r="AB19" s="53" t="s">
        <v>111</v>
      </c>
      <c r="AC19" s="53" t="s">
        <v>111</v>
      </c>
      <c r="AD19" s="53" t="s">
        <v>111</v>
      </c>
      <c r="AE19" s="53" t="s">
        <v>111</v>
      </c>
      <c r="AF19" s="53" t="s">
        <v>111</v>
      </c>
      <c r="AG19" s="53" t="s">
        <v>111</v>
      </c>
      <c r="AH19" s="53" t="s">
        <v>111</v>
      </c>
      <c r="AI19" s="53" t="s">
        <v>111</v>
      </c>
      <c r="AJ19" s="53" t="s">
        <v>111</v>
      </c>
      <c r="AK19" s="53" t="s">
        <v>111</v>
      </c>
      <c r="AL19" s="53" t="s">
        <v>111</v>
      </c>
      <c r="AM19" s="53" t="s">
        <v>111</v>
      </c>
      <c r="AN19" s="53" t="s">
        <v>111</v>
      </c>
      <c r="AO19" s="53" t="s">
        <v>111</v>
      </c>
      <c r="AP19" s="53" t="s">
        <v>111</v>
      </c>
      <c r="AQ19" s="53" t="s">
        <v>111</v>
      </c>
      <c r="AR19" s="53" t="s">
        <v>111</v>
      </c>
      <c r="AS19" s="53" t="s">
        <v>111</v>
      </c>
      <c r="AT19" s="53" t="s">
        <v>111</v>
      </c>
      <c r="AU19" s="53" t="s">
        <v>111</v>
      </c>
      <c r="AV19" s="53" t="s">
        <v>111</v>
      </c>
      <c r="AW19" s="53" t="s">
        <v>111</v>
      </c>
      <c r="AX19" s="53" t="s">
        <v>111</v>
      </c>
      <c r="AY19" s="53" t="s">
        <v>111</v>
      </c>
      <c r="AZ19" s="53" t="s">
        <v>111</v>
      </c>
      <c r="BA19" s="53">
        <v>3</v>
      </c>
      <c r="BB19" s="53" t="s">
        <v>111</v>
      </c>
      <c r="BC19" s="53">
        <v>71</v>
      </c>
      <c r="BD19" s="53" t="s">
        <v>111</v>
      </c>
      <c r="BE19" s="53" t="s">
        <v>111</v>
      </c>
      <c r="BF19" s="53" t="s">
        <v>111</v>
      </c>
      <c r="BG19" s="53" t="s">
        <v>111</v>
      </c>
      <c r="BH19" s="53" t="s">
        <v>111</v>
      </c>
      <c r="BI19" s="53" t="s">
        <v>111</v>
      </c>
      <c r="BJ19" s="53" t="s">
        <v>111</v>
      </c>
      <c r="BK19" s="53" t="s">
        <v>111</v>
      </c>
      <c r="BL19" s="53" t="s">
        <v>111</v>
      </c>
      <c r="BM19" s="53" t="s">
        <v>111</v>
      </c>
    </row>
    <row r="20" spans="1:65" ht="15" customHeight="1" x14ac:dyDescent="0.2">
      <c r="A20" s="53" t="s">
        <v>128</v>
      </c>
      <c r="B20" s="53" t="s">
        <v>111</v>
      </c>
      <c r="C20" s="53">
        <v>3</v>
      </c>
      <c r="D20" s="53" t="s">
        <v>111</v>
      </c>
      <c r="E20" s="53">
        <v>313</v>
      </c>
      <c r="F20" s="53" t="s">
        <v>111</v>
      </c>
      <c r="G20" s="53" t="s">
        <v>111</v>
      </c>
      <c r="H20" s="53" t="s">
        <v>111</v>
      </c>
      <c r="I20" s="53" t="s">
        <v>111</v>
      </c>
      <c r="J20" s="53" t="s">
        <v>111</v>
      </c>
      <c r="K20" s="53" t="s">
        <v>111</v>
      </c>
      <c r="L20" s="53" t="s">
        <v>111</v>
      </c>
      <c r="M20" s="53" t="s">
        <v>111</v>
      </c>
      <c r="N20" s="53" t="s">
        <v>111</v>
      </c>
      <c r="O20" s="53" t="s">
        <v>111</v>
      </c>
      <c r="P20" s="53" t="s">
        <v>111</v>
      </c>
      <c r="Q20" s="53" t="s">
        <v>111</v>
      </c>
      <c r="R20" s="53" t="s">
        <v>111</v>
      </c>
      <c r="S20" s="53">
        <v>11</v>
      </c>
      <c r="T20" s="53" t="s">
        <v>111</v>
      </c>
      <c r="U20" s="53" t="s">
        <v>111</v>
      </c>
      <c r="V20" s="53" t="s">
        <v>111</v>
      </c>
      <c r="W20" s="53" t="s">
        <v>111</v>
      </c>
      <c r="X20" s="53" t="s">
        <v>111</v>
      </c>
      <c r="Y20" s="53">
        <v>0</v>
      </c>
      <c r="Z20" s="53" t="s">
        <v>111</v>
      </c>
      <c r="AA20" s="53" t="s">
        <v>111</v>
      </c>
      <c r="AB20" s="53" t="s">
        <v>111</v>
      </c>
      <c r="AC20" s="53" t="s">
        <v>111</v>
      </c>
      <c r="AD20" s="53" t="s">
        <v>111</v>
      </c>
      <c r="AE20" s="53" t="s">
        <v>111</v>
      </c>
      <c r="AF20" s="53" t="s">
        <v>111</v>
      </c>
      <c r="AG20" s="53" t="s">
        <v>111</v>
      </c>
      <c r="AH20" s="53" t="s">
        <v>111</v>
      </c>
      <c r="AI20" s="53" t="s">
        <v>111</v>
      </c>
      <c r="AJ20" s="53" t="s">
        <v>111</v>
      </c>
      <c r="AK20" s="53" t="s">
        <v>111</v>
      </c>
      <c r="AL20" s="53" t="s">
        <v>111</v>
      </c>
      <c r="AM20" s="53" t="s">
        <v>111</v>
      </c>
      <c r="AN20" s="53" t="s">
        <v>111</v>
      </c>
      <c r="AO20" s="53" t="s">
        <v>111</v>
      </c>
      <c r="AP20" s="53" t="s">
        <v>111</v>
      </c>
      <c r="AQ20" s="53" t="s">
        <v>111</v>
      </c>
      <c r="AR20" s="53" t="s">
        <v>111</v>
      </c>
      <c r="AS20" s="53" t="s">
        <v>111</v>
      </c>
      <c r="AT20" s="53" t="s">
        <v>111</v>
      </c>
      <c r="AU20" s="53" t="s">
        <v>111</v>
      </c>
      <c r="AV20" s="53" t="s">
        <v>111</v>
      </c>
      <c r="AW20" s="53" t="s">
        <v>111</v>
      </c>
      <c r="AX20" s="53" t="s">
        <v>111</v>
      </c>
      <c r="AY20" s="53" t="s">
        <v>111</v>
      </c>
      <c r="AZ20" s="53" t="s">
        <v>111</v>
      </c>
      <c r="BA20" s="53">
        <v>25</v>
      </c>
      <c r="BB20" s="53" t="s">
        <v>111</v>
      </c>
      <c r="BC20" s="53">
        <v>78</v>
      </c>
      <c r="BD20" s="53" t="s">
        <v>111</v>
      </c>
      <c r="BE20" s="53" t="s">
        <v>111</v>
      </c>
      <c r="BF20" s="53" t="s">
        <v>111</v>
      </c>
      <c r="BG20" s="53" t="s">
        <v>111</v>
      </c>
      <c r="BH20" s="53" t="s">
        <v>111</v>
      </c>
      <c r="BI20" s="53" t="s">
        <v>111</v>
      </c>
      <c r="BJ20" s="53" t="s">
        <v>111</v>
      </c>
      <c r="BK20" s="53" t="s">
        <v>111</v>
      </c>
      <c r="BL20" s="53" t="s">
        <v>111</v>
      </c>
      <c r="BM20" s="53" t="s">
        <v>111</v>
      </c>
    </row>
    <row r="21" spans="1:65" ht="15" customHeight="1" x14ac:dyDescent="0.2">
      <c r="A21" s="53" t="s">
        <v>127</v>
      </c>
      <c r="B21" s="53" t="s">
        <v>111</v>
      </c>
      <c r="C21" s="53">
        <v>6</v>
      </c>
      <c r="D21" s="53" t="s">
        <v>111</v>
      </c>
      <c r="E21" s="53">
        <v>289</v>
      </c>
      <c r="F21" s="53" t="s">
        <v>111</v>
      </c>
      <c r="G21" s="53" t="s">
        <v>111</v>
      </c>
      <c r="H21" s="53" t="s">
        <v>111</v>
      </c>
      <c r="I21" s="53" t="s">
        <v>111</v>
      </c>
      <c r="J21" s="53" t="s">
        <v>111</v>
      </c>
      <c r="K21" s="53" t="s">
        <v>111</v>
      </c>
      <c r="L21" s="53" t="s">
        <v>111</v>
      </c>
      <c r="M21" s="53" t="s">
        <v>111</v>
      </c>
      <c r="N21" s="53" t="s">
        <v>111</v>
      </c>
      <c r="O21" s="53" t="s">
        <v>111</v>
      </c>
      <c r="P21" s="53" t="s">
        <v>111</v>
      </c>
      <c r="Q21" s="53" t="s">
        <v>111</v>
      </c>
      <c r="R21" s="53" t="s">
        <v>111</v>
      </c>
      <c r="S21" s="53">
        <v>4</v>
      </c>
      <c r="T21" s="53" t="s">
        <v>111</v>
      </c>
      <c r="U21" s="53" t="s">
        <v>111</v>
      </c>
      <c r="V21" s="53" t="s">
        <v>111</v>
      </c>
      <c r="W21" s="53" t="s">
        <v>111</v>
      </c>
      <c r="X21" s="53" t="s">
        <v>111</v>
      </c>
      <c r="Y21" s="53">
        <v>0</v>
      </c>
      <c r="Z21" s="53" t="s">
        <v>111</v>
      </c>
      <c r="AA21" s="53" t="s">
        <v>111</v>
      </c>
      <c r="AB21" s="53" t="s">
        <v>111</v>
      </c>
      <c r="AC21" s="53" t="s">
        <v>111</v>
      </c>
      <c r="AD21" s="53" t="s">
        <v>111</v>
      </c>
      <c r="AE21" s="53" t="s">
        <v>111</v>
      </c>
      <c r="AF21" s="53" t="s">
        <v>111</v>
      </c>
      <c r="AG21" s="53" t="s">
        <v>111</v>
      </c>
      <c r="AH21" s="53" t="s">
        <v>111</v>
      </c>
      <c r="AI21" s="53" t="s">
        <v>111</v>
      </c>
      <c r="AJ21" s="53" t="s">
        <v>111</v>
      </c>
      <c r="AK21" s="53" t="s">
        <v>111</v>
      </c>
      <c r="AL21" s="53" t="s">
        <v>111</v>
      </c>
      <c r="AM21" s="53" t="s">
        <v>111</v>
      </c>
      <c r="AN21" s="53" t="s">
        <v>111</v>
      </c>
      <c r="AO21" s="53" t="s">
        <v>111</v>
      </c>
      <c r="AP21" s="53" t="s">
        <v>111</v>
      </c>
      <c r="AQ21" s="53" t="s">
        <v>111</v>
      </c>
      <c r="AR21" s="53" t="s">
        <v>111</v>
      </c>
      <c r="AS21" s="53" t="s">
        <v>111</v>
      </c>
      <c r="AT21" s="53" t="s">
        <v>111</v>
      </c>
      <c r="AU21" s="53" t="s">
        <v>111</v>
      </c>
      <c r="AV21" s="53" t="s">
        <v>111</v>
      </c>
      <c r="AW21" s="53" t="s">
        <v>111</v>
      </c>
      <c r="AX21" s="53" t="s">
        <v>111</v>
      </c>
      <c r="AY21" s="53" t="s">
        <v>111</v>
      </c>
      <c r="AZ21" s="53" t="s">
        <v>111</v>
      </c>
      <c r="BA21" s="53">
        <v>4</v>
      </c>
      <c r="BB21" s="53" t="s">
        <v>111</v>
      </c>
      <c r="BC21" s="53">
        <v>87</v>
      </c>
      <c r="BD21" s="53" t="s">
        <v>111</v>
      </c>
      <c r="BE21" s="53" t="s">
        <v>111</v>
      </c>
      <c r="BF21" s="53" t="s">
        <v>111</v>
      </c>
      <c r="BG21" s="53" t="s">
        <v>111</v>
      </c>
      <c r="BH21" s="53" t="s">
        <v>111</v>
      </c>
      <c r="BI21" s="53" t="s">
        <v>111</v>
      </c>
      <c r="BJ21" s="53" t="s">
        <v>111</v>
      </c>
      <c r="BK21" s="53" t="s">
        <v>111</v>
      </c>
      <c r="BL21" s="53" t="s">
        <v>111</v>
      </c>
      <c r="BM21" s="53" t="s">
        <v>111</v>
      </c>
    </row>
    <row r="22" spans="1:65" ht="15" customHeight="1" x14ac:dyDescent="0.2">
      <c r="A22" s="53" t="s">
        <v>126</v>
      </c>
      <c r="B22" s="53" t="s">
        <v>111</v>
      </c>
      <c r="C22" s="53">
        <v>3</v>
      </c>
      <c r="D22" s="53" t="s">
        <v>111</v>
      </c>
      <c r="E22" s="53">
        <v>300</v>
      </c>
      <c r="F22" s="53" t="s">
        <v>111</v>
      </c>
      <c r="G22" s="53" t="s">
        <v>111</v>
      </c>
      <c r="H22" s="53" t="s">
        <v>111</v>
      </c>
      <c r="I22" s="53" t="s">
        <v>111</v>
      </c>
      <c r="J22" s="53" t="s">
        <v>111</v>
      </c>
      <c r="K22" s="53" t="s">
        <v>111</v>
      </c>
      <c r="L22" s="53" t="s">
        <v>111</v>
      </c>
      <c r="M22" s="53" t="s">
        <v>111</v>
      </c>
      <c r="N22" s="53" t="s">
        <v>111</v>
      </c>
      <c r="O22" s="53" t="s">
        <v>111</v>
      </c>
      <c r="P22" s="53" t="s">
        <v>111</v>
      </c>
      <c r="Q22" s="53" t="s">
        <v>111</v>
      </c>
      <c r="R22" s="53" t="s">
        <v>111</v>
      </c>
      <c r="S22" s="53">
        <v>0</v>
      </c>
      <c r="T22" s="53" t="s">
        <v>111</v>
      </c>
      <c r="U22" s="53" t="s">
        <v>111</v>
      </c>
      <c r="V22" s="53" t="s">
        <v>111</v>
      </c>
      <c r="W22" s="53" t="s">
        <v>111</v>
      </c>
      <c r="X22" s="53" t="s">
        <v>111</v>
      </c>
      <c r="Y22" s="53">
        <v>0</v>
      </c>
      <c r="Z22" s="53" t="s">
        <v>111</v>
      </c>
      <c r="AA22" s="53" t="s">
        <v>111</v>
      </c>
      <c r="AB22" s="53" t="s">
        <v>111</v>
      </c>
      <c r="AC22" s="53" t="s">
        <v>111</v>
      </c>
      <c r="AD22" s="53" t="s">
        <v>111</v>
      </c>
      <c r="AE22" s="53" t="s">
        <v>111</v>
      </c>
      <c r="AF22" s="53" t="s">
        <v>111</v>
      </c>
      <c r="AG22" s="53" t="s">
        <v>111</v>
      </c>
      <c r="AH22" s="53" t="s">
        <v>111</v>
      </c>
      <c r="AI22" s="53" t="s">
        <v>111</v>
      </c>
      <c r="AJ22" s="53" t="s">
        <v>111</v>
      </c>
      <c r="AK22" s="53" t="s">
        <v>111</v>
      </c>
      <c r="AL22" s="53" t="s">
        <v>111</v>
      </c>
      <c r="AM22" s="53" t="s">
        <v>111</v>
      </c>
      <c r="AN22" s="53" t="s">
        <v>111</v>
      </c>
      <c r="AO22" s="53" t="s">
        <v>111</v>
      </c>
      <c r="AP22" s="53" t="s">
        <v>111</v>
      </c>
      <c r="AQ22" s="53" t="s">
        <v>111</v>
      </c>
      <c r="AR22" s="53" t="s">
        <v>111</v>
      </c>
      <c r="AS22" s="53" t="s">
        <v>111</v>
      </c>
      <c r="AT22" s="53" t="s">
        <v>111</v>
      </c>
      <c r="AU22" s="53" t="s">
        <v>111</v>
      </c>
      <c r="AV22" s="53" t="s">
        <v>111</v>
      </c>
      <c r="AW22" s="53" t="s">
        <v>111</v>
      </c>
      <c r="AX22" s="53" t="s">
        <v>111</v>
      </c>
      <c r="AY22" s="53" t="s">
        <v>111</v>
      </c>
      <c r="AZ22" s="53" t="s">
        <v>111</v>
      </c>
      <c r="BA22" s="53">
        <v>9</v>
      </c>
      <c r="BB22" s="53" t="s">
        <v>111</v>
      </c>
      <c r="BC22" s="53">
        <v>81</v>
      </c>
      <c r="BD22" s="53" t="s">
        <v>111</v>
      </c>
      <c r="BE22" s="53" t="s">
        <v>111</v>
      </c>
      <c r="BF22" s="53" t="s">
        <v>111</v>
      </c>
      <c r="BG22" s="53" t="s">
        <v>111</v>
      </c>
      <c r="BH22" s="53" t="s">
        <v>111</v>
      </c>
      <c r="BI22" s="53" t="s">
        <v>111</v>
      </c>
      <c r="BJ22" s="53" t="s">
        <v>111</v>
      </c>
      <c r="BK22" s="53" t="s">
        <v>111</v>
      </c>
      <c r="BL22" s="53" t="s">
        <v>111</v>
      </c>
      <c r="BM22" s="53" t="s">
        <v>111</v>
      </c>
    </row>
    <row r="23" spans="1:65" ht="15" customHeight="1" x14ac:dyDescent="0.2">
      <c r="A23" s="53" t="s">
        <v>125</v>
      </c>
      <c r="B23" s="53" t="s">
        <v>111</v>
      </c>
      <c r="C23" s="53">
        <v>0</v>
      </c>
      <c r="D23" s="53" t="s">
        <v>111</v>
      </c>
      <c r="E23" s="53">
        <v>0</v>
      </c>
      <c r="F23" s="53" t="s">
        <v>111</v>
      </c>
      <c r="G23" s="53" t="s">
        <v>111</v>
      </c>
      <c r="H23" s="53" t="s">
        <v>111</v>
      </c>
      <c r="I23" s="53" t="s">
        <v>111</v>
      </c>
      <c r="J23" s="53" t="s">
        <v>111</v>
      </c>
      <c r="K23" s="53" t="s">
        <v>111</v>
      </c>
      <c r="L23" s="53" t="s">
        <v>111</v>
      </c>
      <c r="M23" s="53" t="s">
        <v>111</v>
      </c>
      <c r="N23" s="53" t="s">
        <v>111</v>
      </c>
      <c r="O23" s="53" t="s">
        <v>111</v>
      </c>
      <c r="P23" s="53" t="s">
        <v>111</v>
      </c>
      <c r="Q23" s="53" t="s">
        <v>111</v>
      </c>
      <c r="R23" s="53" t="s">
        <v>111</v>
      </c>
      <c r="S23" s="53">
        <v>0</v>
      </c>
      <c r="T23" s="53" t="s">
        <v>111</v>
      </c>
      <c r="U23" s="53" t="s">
        <v>111</v>
      </c>
      <c r="V23" s="53" t="s">
        <v>111</v>
      </c>
      <c r="W23" s="53" t="s">
        <v>111</v>
      </c>
      <c r="X23" s="53" t="s">
        <v>111</v>
      </c>
      <c r="Y23" s="53">
        <v>0</v>
      </c>
      <c r="Z23" s="53" t="s">
        <v>111</v>
      </c>
      <c r="AA23" s="53" t="s">
        <v>111</v>
      </c>
      <c r="AB23" s="53" t="s">
        <v>111</v>
      </c>
      <c r="AC23" s="53" t="s">
        <v>111</v>
      </c>
      <c r="AD23" s="53" t="s">
        <v>111</v>
      </c>
      <c r="AE23" s="53" t="s">
        <v>111</v>
      </c>
      <c r="AF23" s="53" t="s">
        <v>111</v>
      </c>
      <c r="AG23" s="53" t="s">
        <v>111</v>
      </c>
      <c r="AH23" s="53" t="s">
        <v>111</v>
      </c>
      <c r="AI23" s="53" t="s">
        <v>111</v>
      </c>
      <c r="AJ23" s="53" t="s">
        <v>111</v>
      </c>
      <c r="AK23" s="53" t="s">
        <v>111</v>
      </c>
      <c r="AL23" s="53" t="s">
        <v>111</v>
      </c>
      <c r="AM23" s="53" t="s">
        <v>111</v>
      </c>
      <c r="AN23" s="53" t="s">
        <v>111</v>
      </c>
      <c r="AO23" s="53" t="s">
        <v>111</v>
      </c>
      <c r="AP23" s="53" t="s">
        <v>111</v>
      </c>
      <c r="AQ23" s="53" t="s">
        <v>111</v>
      </c>
      <c r="AR23" s="53" t="s">
        <v>111</v>
      </c>
      <c r="AS23" s="53" t="s">
        <v>111</v>
      </c>
      <c r="AT23" s="53" t="s">
        <v>111</v>
      </c>
      <c r="AU23" s="53" t="s">
        <v>111</v>
      </c>
      <c r="AV23" s="53" t="s">
        <v>111</v>
      </c>
      <c r="AW23" s="53" t="s">
        <v>111</v>
      </c>
      <c r="AX23" s="53" t="s">
        <v>111</v>
      </c>
      <c r="AY23" s="53" t="s">
        <v>111</v>
      </c>
      <c r="AZ23" s="53" t="s">
        <v>111</v>
      </c>
      <c r="BA23" s="53">
        <v>0</v>
      </c>
      <c r="BB23" s="53" t="s">
        <v>111</v>
      </c>
      <c r="BC23" s="53">
        <v>0</v>
      </c>
      <c r="BD23" s="53" t="s">
        <v>111</v>
      </c>
      <c r="BE23" s="53" t="s">
        <v>111</v>
      </c>
      <c r="BF23" s="53" t="s">
        <v>111</v>
      </c>
      <c r="BG23" s="53" t="s">
        <v>111</v>
      </c>
      <c r="BH23" s="53" t="s">
        <v>111</v>
      </c>
      <c r="BI23" s="53" t="s">
        <v>111</v>
      </c>
      <c r="BJ23" s="53" t="s">
        <v>111</v>
      </c>
      <c r="BK23" s="53" t="s">
        <v>111</v>
      </c>
      <c r="BL23" s="53" t="s">
        <v>111</v>
      </c>
      <c r="BM23" s="53" t="s">
        <v>111</v>
      </c>
    </row>
    <row r="24" spans="1:65" ht="15" customHeight="1" x14ac:dyDescent="0.2">
      <c r="A24" s="53" t="s">
        <v>124</v>
      </c>
      <c r="B24" s="53" t="s">
        <v>111</v>
      </c>
      <c r="C24" s="53">
        <v>3</v>
      </c>
      <c r="D24" s="53" t="s">
        <v>111</v>
      </c>
      <c r="E24" s="53">
        <v>164</v>
      </c>
      <c r="F24" s="53" t="s">
        <v>111</v>
      </c>
      <c r="G24" s="53" t="s">
        <v>111</v>
      </c>
      <c r="H24" s="53" t="s">
        <v>111</v>
      </c>
      <c r="I24" s="53" t="s">
        <v>111</v>
      </c>
      <c r="J24" s="53" t="s">
        <v>111</v>
      </c>
      <c r="K24" s="53" t="s">
        <v>111</v>
      </c>
      <c r="L24" s="53" t="s">
        <v>111</v>
      </c>
      <c r="M24" s="53" t="s">
        <v>111</v>
      </c>
      <c r="N24" s="53" t="s">
        <v>111</v>
      </c>
      <c r="O24" s="53" t="s">
        <v>111</v>
      </c>
      <c r="P24" s="53" t="s">
        <v>111</v>
      </c>
      <c r="Q24" s="53" t="s">
        <v>111</v>
      </c>
      <c r="R24" s="53" t="s">
        <v>111</v>
      </c>
      <c r="S24" s="53">
        <v>3</v>
      </c>
      <c r="T24" s="53" t="s">
        <v>111</v>
      </c>
      <c r="U24" s="53" t="s">
        <v>111</v>
      </c>
      <c r="V24" s="53" t="s">
        <v>111</v>
      </c>
      <c r="W24" s="53" t="s">
        <v>111</v>
      </c>
      <c r="X24" s="53" t="s">
        <v>111</v>
      </c>
      <c r="Y24" s="53">
        <v>0</v>
      </c>
      <c r="Z24" s="53" t="s">
        <v>111</v>
      </c>
      <c r="AA24" s="53" t="s">
        <v>111</v>
      </c>
      <c r="AB24" s="53" t="s">
        <v>111</v>
      </c>
      <c r="AC24" s="53" t="s">
        <v>111</v>
      </c>
      <c r="AD24" s="53" t="s">
        <v>111</v>
      </c>
      <c r="AE24" s="53" t="s">
        <v>111</v>
      </c>
      <c r="AF24" s="53" t="s">
        <v>111</v>
      </c>
      <c r="AG24" s="53" t="s">
        <v>111</v>
      </c>
      <c r="AH24" s="53" t="s">
        <v>111</v>
      </c>
      <c r="AI24" s="53" t="s">
        <v>111</v>
      </c>
      <c r="AJ24" s="53" t="s">
        <v>111</v>
      </c>
      <c r="AK24" s="53" t="s">
        <v>111</v>
      </c>
      <c r="AL24" s="53" t="s">
        <v>111</v>
      </c>
      <c r="AM24" s="53" t="s">
        <v>111</v>
      </c>
      <c r="AN24" s="53" t="s">
        <v>111</v>
      </c>
      <c r="AO24" s="53" t="s">
        <v>111</v>
      </c>
      <c r="AP24" s="53" t="s">
        <v>111</v>
      </c>
      <c r="AQ24" s="53" t="s">
        <v>111</v>
      </c>
      <c r="AR24" s="53" t="s">
        <v>111</v>
      </c>
      <c r="AS24" s="53" t="s">
        <v>111</v>
      </c>
      <c r="AT24" s="53" t="s">
        <v>111</v>
      </c>
      <c r="AU24" s="53" t="s">
        <v>111</v>
      </c>
      <c r="AV24" s="53" t="s">
        <v>111</v>
      </c>
      <c r="AW24" s="53" t="s">
        <v>111</v>
      </c>
      <c r="AX24" s="53" t="s">
        <v>111</v>
      </c>
      <c r="AY24" s="53" t="s">
        <v>111</v>
      </c>
      <c r="AZ24" s="53" t="s">
        <v>111</v>
      </c>
      <c r="BA24" s="53">
        <v>3</v>
      </c>
      <c r="BB24" s="53" t="s">
        <v>111</v>
      </c>
      <c r="BC24" s="53">
        <v>77</v>
      </c>
      <c r="BD24" s="53" t="s">
        <v>111</v>
      </c>
      <c r="BE24" s="53" t="s">
        <v>111</v>
      </c>
      <c r="BF24" s="53" t="s">
        <v>111</v>
      </c>
      <c r="BG24" s="53" t="s">
        <v>111</v>
      </c>
      <c r="BH24" s="53" t="s">
        <v>111</v>
      </c>
      <c r="BI24" s="53" t="s">
        <v>111</v>
      </c>
      <c r="BJ24" s="53" t="s">
        <v>111</v>
      </c>
      <c r="BK24" s="53" t="s">
        <v>111</v>
      </c>
      <c r="BL24" s="53" t="s">
        <v>111</v>
      </c>
      <c r="BM24" s="53" t="s">
        <v>111</v>
      </c>
    </row>
    <row r="25" spans="1:65" ht="15" customHeight="1" x14ac:dyDescent="0.2">
      <c r="A25" s="53" t="s">
        <v>123</v>
      </c>
      <c r="B25" s="53" t="s">
        <v>111</v>
      </c>
      <c r="C25" s="53">
        <v>2</v>
      </c>
      <c r="D25" s="53" t="s">
        <v>111</v>
      </c>
      <c r="E25" s="53">
        <v>166</v>
      </c>
      <c r="F25" s="53" t="s">
        <v>111</v>
      </c>
      <c r="G25" s="53" t="s">
        <v>111</v>
      </c>
      <c r="H25" s="53" t="s">
        <v>111</v>
      </c>
      <c r="I25" s="53" t="s">
        <v>111</v>
      </c>
      <c r="J25" s="53" t="s">
        <v>111</v>
      </c>
      <c r="K25" s="53" t="s">
        <v>111</v>
      </c>
      <c r="L25" s="53" t="s">
        <v>111</v>
      </c>
      <c r="M25" s="53" t="s">
        <v>111</v>
      </c>
      <c r="N25" s="53" t="s">
        <v>111</v>
      </c>
      <c r="O25" s="53" t="s">
        <v>111</v>
      </c>
      <c r="P25" s="53" t="s">
        <v>111</v>
      </c>
      <c r="Q25" s="53" t="s">
        <v>111</v>
      </c>
      <c r="R25" s="53" t="s">
        <v>111</v>
      </c>
      <c r="S25" s="53">
        <v>1</v>
      </c>
      <c r="T25" s="53" t="s">
        <v>111</v>
      </c>
      <c r="U25" s="53" t="s">
        <v>111</v>
      </c>
      <c r="V25" s="53" t="s">
        <v>111</v>
      </c>
      <c r="W25" s="53" t="s">
        <v>111</v>
      </c>
      <c r="X25" s="53" t="s">
        <v>111</v>
      </c>
      <c r="Y25" s="53">
        <v>0</v>
      </c>
      <c r="Z25" s="53" t="s">
        <v>111</v>
      </c>
      <c r="AA25" s="53" t="s">
        <v>111</v>
      </c>
      <c r="AB25" s="53" t="s">
        <v>111</v>
      </c>
      <c r="AC25" s="53" t="s">
        <v>111</v>
      </c>
      <c r="AD25" s="53" t="s">
        <v>111</v>
      </c>
      <c r="AE25" s="53" t="s">
        <v>111</v>
      </c>
      <c r="AF25" s="53" t="s">
        <v>111</v>
      </c>
      <c r="AG25" s="53" t="s">
        <v>111</v>
      </c>
      <c r="AH25" s="53" t="s">
        <v>111</v>
      </c>
      <c r="AI25" s="53" t="s">
        <v>111</v>
      </c>
      <c r="AJ25" s="53" t="s">
        <v>111</v>
      </c>
      <c r="AK25" s="53" t="s">
        <v>111</v>
      </c>
      <c r="AL25" s="53" t="s">
        <v>111</v>
      </c>
      <c r="AM25" s="53" t="s">
        <v>111</v>
      </c>
      <c r="AN25" s="53" t="s">
        <v>111</v>
      </c>
      <c r="AO25" s="53" t="s">
        <v>111</v>
      </c>
      <c r="AP25" s="53" t="s">
        <v>111</v>
      </c>
      <c r="AQ25" s="53" t="s">
        <v>111</v>
      </c>
      <c r="AR25" s="53" t="s">
        <v>111</v>
      </c>
      <c r="AS25" s="53" t="s">
        <v>111</v>
      </c>
      <c r="AT25" s="53" t="s">
        <v>111</v>
      </c>
      <c r="AU25" s="53" t="s">
        <v>111</v>
      </c>
      <c r="AV25" s="53" t="s">
        <v>111</v>
      </c>
      <c r="AW25" s="53" t="s">
        <v>111</v>
      </c>
      <c r="AX25" s="53" t="s">
        <v>111</v>
      </c>
      <c r="AY25" s="53" t="s">
        <v>111</v>
      </c>
      <c r="AZ25" s="53" t="s">
        <v>111</v>
      </c>
      <c r="BA25" s="53">
        <v>4</v>
      </c>
      <c r="BB25" s="53" t="s">
        <v>111</v>
      </c>
      <c r="BC25" s="53">
        <v>69</v>
      </c>
      <c r="BD25" s="53" t="s">
        <v>111</v>
      </c>
      <c r="BE25" s="53" t="s">
        <v>111</v>
      </c>
      <c r="BF25" s="53" t="s">
        <v>111</v>
      </c>
      <c r="BG25" s="53" t="s">
        <v>111</v>
      </c>
      <c r="BH25" s="53" t="s">
        <v>111</v>
      </c>
      <c r="BI25" s="53" t="s">
        <v>111</v>
      </c>
      <c r="BJ25" s="53" t="s">
        <v>111</v>
      </c>
      <c r="BK25" s="53" t="s">
        <v>111</v>
      </c>
      <c r="BL25" s="53" t="s">
        <v>111</v>
      </c>
      <c r="BM25" s="53" t="s">
        <v>111</v>
      </c>
    </row>
    <row r="26" spans="1:65" ht="15" customHeight="1" x14ac:dyDescent="0.2">
      <c r="A26" s="53" t="s">
        <v>122</v>
      </c>
      <c r="B26" s="53" t="s">
        <v>111</v>
      </c>
      <c r="C26" s="53">
        <v>2</v>
      </c>
      <c r="D26" s="53" t="s">
        <v>111</v>
      </c>
      <c r="E26" s="53">
        <v>180</v>
      </c>
      <c r="F26" s="53" t="s">
        <v>111</v>
      </c>
      <c r="G26" s="53" t="s">
        <v>111</v>
      </c>
      <c r="H26" s="53" t="s">
        <v>111</v>
      </c>
      <c r="I26" s="53" t="s">
        <v>111</v>
      </c>
      <c r="J26" s="53" t="s">
        <v>111</v>
      </c>
      <c r="K26" s="53" t="s">
        <v>111</v>
      </c>
      <c r="L26" s="53" t="s">
        <v>111</v>
      </c>
      <c r="M26" s="53" t="s">
        <v>111</v>
      </c>
      <c r="N26" s="53" t="s">
        <v>111</v>
      </c>
      <c r="O26" s="53" t="s">
        <v>111</v>
      </c>
      <c r="P26" s="53" t="s">
        <v>111</v>
      </c>
      <c r="Q26" s="53" t="s">
        <v>111</v>
      </c>
      <c r="R26" s="53" t="s">
        <v>111</v>
      </c>
      <c r="S26" s="53">
        <v>3</v>
      </c>
      <c r="T26" s="53" t="s">
        <v>111</v>
      </c>
      <c r="U26" s="53" t="s">
        <v>111</v>
      </c>
      <c r="V26" s="53" t="s">
        <v>111</v>
      </c>
      <c r="W26" s="53" t="s">
        <v>111</v>
      </c>
      <c r="X26" s="53" t="s">
        <v>111</v>
      </c>
      <c r="Y26" s="53">
        <v>0</v>
      </c>
      <c r="Z26" s="53" t="s">
        <v>111</v>
      </c>
      <c r="AA26" s="53" t="s">
        <v>111</v>
      </c>
      <c r="AB26" s="53" t="s">
        <v>111</v>
      </c>
      <c r="AC26" s="53" t="s">
        <v>111</v>
      </c>
      <c r="AD26" s="53" t="s">
        <v>111</v>
      </c>
      <c r="AE26" s="53" t="s">
        <v>111</v>
      </c>
      <c r="AF26" s="53" t="s">
        <v>111</v>
      </c>
      <c r="AG26" s="53" t="s">
        <v>111</v>
      </c>
      <c r="AH26" s="53" t="s">
        <v>111</v>
      </c>
      <c r="AI26" s="53" t="s">
        <v>111</v>
      </c>
      <c r="AJ26" s="53" t="s">
        <v>111</v>
      </c>
      <c r="AK26" s="53" t="s">
        <v>111</v>
      </c>
      <c r="AL26" s="53" t="s">
        <v>111</v>
      </c>
      <c r="AM26" s="53" t="s">
        <v>111</v>
      </c>
      <c r="AN26" s="53" t="s">
        <v>111</v>
      </c>
      <c r="AO26" s="53" t="s">
        <v>111</v>
      </c>
      <c r="AP26" s="53" t="s">
        <v>111</v>
      </c>
      <c r="AQ26" s="53" t="s">
        <v>111</v>
      </c>
      <c r="AR26" s="53" t="s">
        <v>111</v>
      </c>
      <c r="AS26" s="53" t="s">
        <v>111</v>
      </c>
      <c r="AT26" s="53" t="s">
        <v>111</v>
      </c>
      <c r="AU26" s="53" t="s">
        <v>111</v>
      </c>
      <c r="AV26" s="53" t="s">
        <v>111</v>
      </c>
      <c r="AW26" s="53" t="s">
        <v>111</v>
      </c>
      <c r="AX26" s="53" t="s">
        <v>111</v>
      </c>
      <c r="AY26" s="53" t="s">
        <v>111</v>
      </c>
      <c r="AZ26" s="53" t="s">
        <v>111</v>
      </c>
      <c r="BA26" s="53">
        <v>8</v>
      </c>
      <c r="BB26" s="53" t="s">
        <v>111</v>
      </c>
      <c r="BC26" s="53">
        <v>73</v>
      </c>
      <c r="BD26" s="53" t="s">
        <v>111</v>
      </c>
      <c r="BE26" s="53" t="s">
        <v>111</v>
      </c>
      <c r="BF26" s="53" t="s">
        <v>111</v>
      </c>
      <c r="BG26" s="53" t="s">
        <v>111</v>
      </c>
      <c r="BH26" s="53" t="s">
        <v>111</v>
      </c>
      <c r="BI26" s="53" t="s">
        <v>111</v>
      </c>
      <c r="BJ26" s="53" t="s">
        <v>111</v>
      </c>
      <c r="BK26" s="53" t="s">
        <v>111</v>
      </c>
      <c r="BL26" s="53" t="s">
        <v>111</v>
      </c>
      <c r="BM26" s="53" t="s">
        <v>111</v>
      </c>
    </row>
    <row r="27" spans="1:65" ht="15" customHeight="1" x14ac:dyDescent="0.2">
      <c r="A27" s="53" t="s">
        <v>121</v>
      </c>
      <c r="B27" s="53" t="s">
        <v>111</v>
      </c>
      <c r="C27" s="53">
        <v>3</v>
      </c>
      <c r="D27" s="53" t="s">
        <v>111</v>
      </c>
      <c r="E27" s="53">
        <v>186</v>
      </c>
      <c r="F27" s="53" t="s">
        <v>111</v>
      </c>
      <c r="G27" s="53" t="s">
        <v>111</v>
      </c>
      <c r="H27" s="53" t="s">
        <v>111</v>
      </c>
      <c r="I27" s="53" t="s">
        <v>111</v>
      </c>
      <c r="J27" s="53" t="s">
        <v>111</v>
      </c>
      <c r="K27" s="53" t="s">
        <v>111</v>
      </c>
      <c r="L27" s="53" t="s">
        <v>111</v>
      </c>
      <c r="M27" s="53" t="s">
        <v>111</v>
      </c>
      <c r="N27" s="53" t="s">
        <v>111</v>
      </c>
      <c r="O27" s="53" t="s">
        <v>111</v>
      </c>
      <c r="P27" s="53" t="s">
        <v>111</v>
      </c>
      <c r="Q27" s="53" t="s">
        <v>111</v>
      </c>
      <c r="R27" s="53" t="s">
        <v>111</v>
      </c>
      <c r="S27" s="53">
        <v>5</v>
      </c>
      <c r="T27" s="53" t="s">
        <v>111</v>
      </c>
      <c r="U27" s="53" t="s">
        <v>111</v>
      </c>
      <c r="V27" s="53" t="s">
        <v>111</v>
      </c>
      <c r="W27" s="53" t="s">
        <v>111</v>
      </c>
      <c r="X27" s="53" t="s">
        <v>111</v>
      </c>
      <c r="Y27" s="53">
        <v>0</v>
      </c>
      <c r="Z27" s="53" t="s">
        <v>111</v>
      </c>
      <c r="AA27" s="53" t="s">
        <v>111</v>
      </c>
      <c r="AB27" s="53" t="s">
        <v>111</v>
      </c>
      <c r="AC27" s="53" t="s">
        <v>111</v>
      </c>
      <c r="AD27" s="53" t="s">
        <v>111</v>
      </c>
      <c r="AE27" s="53" t="s">
        <v>111</v>
      </c>
      <c r="AF27" s="53" t="s">
        <v>111</v>
      </c>
      <c r="AG27" s="53" t="s">
        <v>111</v>
      </c>
      <c r="AH27" s="53" t="s">
        <v>111</v>
      </c>
      <c r="AI27" s="53" t="s">
        <v>111</v>
      </c>
      <c r="AJ27" s="53" t="s">
        <v>111</v>
      </c>
      <c r="AK27" s="53" t="s">
        <v>111</v>
      </c>
      <c r="AL27" s="53" t="s">
        <v>111</v>
      </c>
      <c r="AM27" s="53" t="s">
        <v>111</v>
      </c>
      <c r="AN27" s="53" t="s">
        <v>111</v>
      </c>
      <c r="AO27" s="53" t="s">
        <v>111</v>
      </c>
      <c r="AP27" s="53" t="s">
        <v>111</v>
      </c>
      <c r="AQ27" s="53" t="s">
        <v>111</v>
      </c>
      <c r="AR27" s="53" t="s">
        <v>111</v>
      </c>
      <c r="AS27" s="53" t="s">
        <v>111</v>
      </c>
      <c r="AT27" s="53" t="s">
        <v>111</v>
      </c>
      <c r="AU27" s="53" t="s">
        <v>111</v>
      </c>
      <c r="AV27" s="53" t="s">
        <v>111</v>
      </c>
      <c r="AW27" s="53" t="s">
        <v>111</v>
      </c>
      <c r="AX27" s="53" t="s">
        <v>111</v>
      </c>
      <c r="AY27" s="53" t="s">
        <v>111</v>
      </c>
      <c r="AZ27" s="53" t="s">
        <v>111</v>
      </c>
      <c r="BA27" s="53">
        <v>6</v>
      </c>
      <c r="BB27" s="53" t="s">
        <v>111</v>
      </c>
      <c r="BC27" s="53">
        <v>67</v>
      </c>
      <c r="BD27" s="53" t="s">
        <v>111</v>
      </c>
      <c r="BE27" s="53" t="s">
        <v>111</v>
      </c>
      <c r="BF27" s="53" t="s">
        <v>111</v>
      </c>
      <c r="BG27" s="53" t="s">
        <v>111</v>
      </c>
      <c r="BH27" s="53" t="s">
        <v>111</v>
      </c>
      <c r="BI27" s="53" t="s">
        <v>111</v>
      </c>
      <c r="BJ27" s="53" t="s">
        <v>111</v>
      </c>
      <c r="BK27" s="53" t="s">
        <v>111</v>
      </c>
      <c r="BL27" s="53" t="s">
        <v>111</v>
      </c>
      <c r="BM27" s="53" t="s">
        <v>111</v>
      </c>
    </row>
    <row r="28" spans="1:65" ht="15" customHeight="1" x14ac:dyDescent="0.2">
      <c r="A28" s="53" t="s">
        <v>120</v>
      </c>
      <c r="B28" s="53" t="s">
        <v>111</v>
      </c>
      <c r="C28" s="53">
        <v>0</v>
      </c>
      <c r="D28" s="53" t="s">
        <v>111</v>
      </c>
      <c r="E28" s="53">
        <v>0</v>
      </c>
      <c r="F28" s="53" t="s">
        <v>111</v>
      </c>
      <c r="G28" s="53" t="s">
        <v>111</v>
      </c>
      <c r="H28" s="53" t="s">
        <v>111</v>
      </c>
      <c r="I28" s="53" t="s">
        <v>111</v>
      </c>
      <c r="J28" s="53" t="s">
        <v>111</v>
      </c>
      <c r="K28" s="53" t="s">
        <v>111</v>
      </c>
      <c r="L28" s="53" t="s">
        <v>111</v>
      </c>
      <c r="M28" s="53" t="s">
        <v>111</v>
      </c>
      <c r="N28" s="53" t="s">
        <v>111</v>
      </c>
      <c r="O28" s="53" t="s">
        <v>111</v>
      </c>
      <c r="P28" s="53" t="s">
        <v>111</v>
      </c>
      <c r="Q28" s="53" t="s">
        <v>111</v>
      </c>
      <c r="R28" s="53" t="s">
        <v>111</v>
      </c>
      <c r="S28" s="53">
        <v>0</v>
      </c>
      <c r="T28" s="53" t="s">
        <v>111</v>
      </c>
      <c r="U28" s="53" t="s">
        <v>111</v>
      </c>
      <c r="V28" s="53" t="s">
        <v>111</v>
      </c>
      <c r="W28" s="53" t="s">
        <v>111</v>
      </c>
      <c r="X28" s="53" t="s">
        <v>111</v>
      </c>
      <c r="Y28" s="53">
        <v>0</v>
      </c>
      <c r="Z28" s="53" t="s">
        <v>111</v>
      </c>
      <c r="AA28" s="53" t="s">
        <v>111</v>
      </c>
      <c r="AB28" s="53" t="s">
        <v>111</v>
      </c>
      <c r="AC28" s="53" t="s">
        <v>111</v>
      </c>
      <c r="AD28" s="53" t="s">
        <v>111</v>
      </c>
      <c r="AE28" s="53" t="s">
        <v>111</v>
      </c>
      <c r="AF28" s="53" t="s">
        <v>111</v>
      </c>
      <c r="AG28" s="53" t="s">
        <v>111</v>
      </c>
      <c r="AH28" s="53" t="s">
        <v>111</v>
      </c>
      <c r="AI28" s="53" t="s">
        <v>111</v>
      </c>
      <c r="AJ28" s="53" t="s">
        <v>111</v>
      </c>
      <c r="AK28" s="53" t="s">
        <v>111</v>
      </c>
      <c r="AL28" s="53" t="s">
        <v>111</v>
      </c>
      <c r="AM28" s="53" t="s">
        <v>111</v>
      </c>
      <c r="AN28" s="53" t="s">
        <v>111</v>
      </c>
      <c r="AO28" s="53" t="s">
        <v>111</v>
      </c>
      <c r="AP28" s="53" t="s">
        <v>111</v>
      </c>
      <c r="AQ28" s="53" t="s">
        <v>111</v>
      </c>
      <c r="AR28" s="53" t="s">
        <v>111</v>
      </c>
      <c r="AS28" s="53" t="s">
        <v>111</v>
      </c>
      <c r="AT28" s="53" t="s">
        <v>111</v>
      </c>
      <c r="AU28" s="53" t="s">
        <v>111</v>
      </c>
      <c r="AV28" s="53" t="s">
        <v>111</v>
      </c>
      <c r="AW28" s="53" t="s">
        <v>111</v>
      </c>
      <c r="AX28" s="53" t="s">
        <v>111</v>
      </c>
      <c r="AY28" s="53" t="s">
        <v>111</v>
      </c>
      <c r="AZ28" s="53" t="s">
        <v>111</v>
      </c>
      <c r="BA28" s="53">
        <v>0</v>
      </c>
      <c r="BB28" s="53" t="s">
        <v>111</v>
      </c>
      <c r="BC28" s="53">
        <v>0</v>
      </c>
      <c r="BD28" s="53" t="s">
        <v>111</v>
      </c>
      <c r="BE28" s="53" t="s">
        <v>111</v>
      </c>
      <c r="BF28" s="53" t="s">
        <v>111</v>
      </c>
      <c r="BG28" s="53" t="s">
        <v>111</v>
      </c>
      <c r="BH28" s="53" t="s">
        <v>111</v>
      </c>
      <c r="BI28" s="53" t="s">
        <v>111</v>
      </c>
      <c r="BJ28" s="53" t="s">
        <v>111</v>
      </c>
      <c r="BK28" s="53" t="s">
        <v>111</v>
      </c>
      <c r="BL28" s="53" t="s">
        <v>111</v>
      </c>
      <c r="BM28" s="53" t="s">
        <v>111</v>
      </c>
    </row>
    <row r="29" spans="1:65" ht="15" customHeight="1" x14ac:dyDescent="0.2">
      <c r="A29" s="53" t="s">
        <v>119</v>
      </c>
      <c r="B29" s="53" t="s">
        <v>111</v>
      </c>
      <c r="C29" s="53">
        <v>2</v>
      </c>
      <c r="D29" s="53" t="s">
        <v>111</v>
      </c>
      <c r="E29" s="53">
        <v>222</v>
      </c>
      <c r="F29" s="53" t="s">
        <v>111</v>
      </c>
      <c r="G29" s="53" t="s">
        <v>111</v>
      </c>
      <c r="H29" s="53" t="s">
        <v>111</v>
      </c>
      <c r="I29" s="53" t="s">
        <v>111</v>
      </c>
      <c r="J29" s="53" t="s">
        <v>111</v>
      </c>
      <c r="K29" s="53" t="s">
        <v>111</v>
      </c>
      <c r="L29" s="53" t="s">
        <v>111</v>
      </c>
      <c r="M29" s="53" t="s">
        <v>111</v>
      </c>
      <c r="N29" s="53" t="s">
        <v>111</v>
      </c>
      <c r="O29" s="53" t="s">
        <v>111</v>
      </c>
      <c r="P29" s="53" t="s">
        <v>111</v>
      </c>
      <c r="Q29" s="53" t="s">
        <v>111</v>
      </c>
      <c r="R29" s="53" t="s">
        <v>111</v>
      </c>
      <c r="S29" s="53">
        <v>5</v>
      </c>
      <c r="T29" s="53" t="s">
        <v>111</v>
      </c>
      <c r="U29" s="53" t="s">
        <v>111</v>
      </c>
      <c r="V29" s="53" t="s">
        <v>111</v>
      </c>
      <c r="W29" s="53" t="s">
        <v>111</v>
      </c>
      <c r="X29" s="53" t="s">
        <v>111</v>
      </c>
      <c r="Y29" s="53">
        <v>0</v>
      </c>
      <c r="Z29" s="53" t="s">
        <v>111</v>
      </c>
      <c r="AA29" s="53" t="s">
        <v>111</v>
      </c>
      <c r="AB29" s="53" t="s">
        <v>111</v>
      </c>
      <c r="AC29" s="53" t="s">
        <v>111</v>
      </c>
      <c r="AD29" s="53" t="s">
        <v>111</v>
      </c>
      <c r="AE29" s="53" t="s">
        <v>111</v>
      </c>
      <c r="AF29" s="53" t="s">
        <v>111</v>
      </c>
      <c r="AG29" s="53" t="s">
        <v>111</v>
      </c>
      <c r="AH29" s="53" t="s">
        <v>111</v>
      </c>
      <c r="AI29" s="53" t="s">
        <v>111</v>
      </c>
      <c r="AJ29" s="53" t="s">
        <v>111</v>
      </c>
      <c r="AK29" s="53" t="s">
        <v>111</v>
      </c>
      <c r="AL29" s="53" t="s">
        <v>111</v>
      </c>
      <c r="AM29" s="53" t="s">
        <v>111</v>
      </c>
      <c r="AN29" s="53" t="s">
        <v>111</v>
      </c>
      <c r="AO29" s="53" t="s">
        <v>111</v>
      </c>
      <c r="AP29" s="53" t="s">
        <v>111</v>
      </c>
      <c r="AQ29" s="53" t="s">
        <v>111</v>
      </c>
      <c r="AR29" s="53" t="s">
        <v>111</v>
      </c>
      <c r="AS29" s="53" t="s">
        <v>111</v>
      </c>
      <c r="AT29" s="53" t="s">
        <v>111</v>
      </c>
      <c r="AU29" s="53" t="s">
        <v>111</v>
      </c>
      <c r="AV29" s="53" t="s">
        <v>111</v>
      </c>
      <c r="AW29" s="53" t="s">
        <v>111</v>
      </c>
      <c r="AX29" s="53" t="s">
        <v>111</v>
      </c>
      <c r="AY29" s="53" t="s">
        <v>111</v>
      </c>
      <c r="AZ29" s="53" t="s">
        <v>111</v>
      </c>
      <c r="BA29" s="53">
        <v>6</v>
      </c>
      <c r="BB29" s="53" t="s">
        <v>111</v>
      </c>
      <c r="BC29" s="53">
        <v>107</v>
      </c>
      <c r="BD29" s="53" t="s">
        <v>111</v>
      </c>
      <c r="BE29" s="53" t="s">
        <v>111</v>
      </c>
      <c r="BF29" s="53" t="s">
        <v>111</v>
      </c>
      <c r="BG29" s="53" t="s">
        <v>111</v>
      </c>
      <c r="BH29" s="53" t="s">
        <v>111</v>
      </c>
      <c r="BI29" s="53" t="s">
        <v>111</v>
      </c>
      <c r="BJ29" s="53" t="s">
        <v>111</v>
      </c>
      <c r="BK29" s="53" t="s">
        <v>111</v>
      </c>
      <c r="BL29" s="53" t="s">
        <v>111</v>
      </c>
      <c r="BM29" s="53" t="s">
        <v>111</v>
      </c>
    </row>
    <row r="30" spans="1:65" ht="15" customHeight="1" x14ac:dyDescent="0.2">
      <c r="A30" s="53" t="s">
        <v>118</v>
      </c>
      <c r="B30" s="53" t="s">
        <v>111</v>
      </c>
      <c r="C30" s="53">
        <v>5</v>
      </c>
      <c r="D30" s="53" t="s">
        <v>111</v>
      </c>
      <c r="E30" s="53">
        <v>238</v>
      </c>
      <c r="F30" s="53" t="s">
        <v>111</v>
      </c>
      <c r="G30" s="53" t="s">
        <v>111</v>
      </c>
      <c r="H30" s="53" t="s">
        <v>111</v>
      </c>
      <c r="I30" s="53" t="s">
        <v>111</v>
      </c>
      <c r="J30" s="53" t="s">
        <v>111</v>
      </c>
      <c r="K30" s="53" t="s">
        <v>111</v>
      </c>
      <c r="L30" s="53" t="s">
        <v>111</v>
      </c>
      <c r="M30" s="53" t="s">
        <v>111</v>
      </c>
      <c r="N30" s="53" t="s">
        <v>111</v>
      </c>
      <c r="O30" s="53" t="s">
        <v>111</v>
      </c>
      <c r="P30" s="53" t="s">
        <v>111</v>
      </c>
      <c r="Q30" s="53" t="s">
        <v>111</v>
      </c>
      <c r="R30" s="53" t="s">
        <v>111</v>
      </c>
      <c r="S30" s="53">
        <v>1</v>
      </c>
      <c r="T30" s="53" t="s">
        <v>111</v>
      </c>
      <c r="U30" s="53" t="s">
        <v>111</v>
      </c>
      <c r="V30" s="53" t="s">
        <v>111</v>
      </c>
      <c r="W30" s="53" t="s">
        <v>111</v>
      </c>
      <c r="X30" s="53" t="s">
        <v>111</v>
      </c>
      <c r="Y30" s="53">
        <v>0</v>
      </c>
      <c r="Z30" s="53" t="s">
        <v>111</v>
      </c>
      <c r="AA30" s="53" t="s">
        <v>111</v>
      </c>
      <c r="AB30" s="53" t="s">
        <v>111</v>
      </c>
      <c r="AC30" s="53" t="s">
        <v>111</v>
      </c>
      <c r="AD30" s="53" t="s">
        <v>111</v>
      </c>
      <c r="AE30" s="53" t="s">
        <v>111</v>
      </c>
      <c r="AF30" s="53" t="s">
        <v>111</v>
      </c>
      <c r="AG30" s="53" t="s">
        <v>111</v>
      </c>
      <c r="AH30" s="53" t="s">
        <v>111</v>
      </c>
      <c r="AI30" s="53" t="s">
        <v>111</v>
      </c>
      <c r="AJ30" s="53" t="s">
        <v>111</v>
      </c>
      <c r="AK30" s="53" t="s">
        <v>111</v>
      </c>
      <c r="AL30" s="53" t="s">
        <v>111</v>
      </c>
      <c r="AM30" s="53" t="s">
        <v>111</v>
      </c>
      <c r="AN30" s="53" t="s">
        <v>111</v>
      </c>
      <c r="AO30" s="53" t="s">
        <v>111</v>
      </c>
      <c r="AP30" s="53" t="s">
        <v>111</v>
      </c>
      <c r="AQ30" s="53" t="s">
        <v>111</v>
      </c>
      <c r="AR30" s="53" t="s">
        <v>111</v>
      </c>
      <c r="AS30" s="53" t="s">
        <v>111</v>
      </c>
      <c r="AT30" s="53" t="s">
        <v>111</v>
      </c>
      <c r="AU30" s="53" t="s">
        <v>111</v>
      </c>
      <c r="AV30" s="53" t="s">
        <v>111</v>
      </c>
      <c r="AW30" s="53" t="s">
        <v>111</v>
      </c>
      <c r="AX30" s="53" t="s">
        <v>111</v>
      </c>
      <c r="AY30" s="53" t="s">
        <v>111</v>
      </c>
      <c r="AZ30" s="53" t="s">
        <v>111</v>
      </c>
      <c r="BA30" s="53">
        <v>10</v>
      </c>
      <c r="BB30" s="53" t="s">
        <v>111</v>
      </c>
      <c r="BC30" s="53">
        <v>116</v>
      </c>
      <c r="BD30" s="53" t="s">
        <v>111</v>
      </c>
      <c r="BE30" s="53" t="s">
        <v>111</v>
      </c>
      <c r="BF30" s="53" t="s">
        <v>111</v>
      </c>
      <c r="BG30" s="53" t="s">
        <v>111</v>
      </c>
      <c r="BH30" s="53" t="s">
        <v>111</v>
      </c>
      <c r="BI30" s="53" t="s">
        <v>111</v>
      </c>
      <c r="BJ30" s="53" t="s">
        <v>111</v>
      </c>
      <c r="BK30" s="53" t="s">
        <v>111</v>
      </c>
      <c r="BL30" s="53" t="s">
        <v>111</v>
      </c>
      <c r="BM30" s="53" t="s">
        <v>111</v>
      </c>
    </row>
    <row r="31" spans="1:65" ht="15" customHeight="1" x14ac:dyDescent="0.2">
      <c r="A31" s="53" t="s">
        <v>117</v>
      </c>
      <c r="B31" s="53" t="s">
        <v>111</v>
      </c>
      <c r="C31" s="53">
        <v>7</v>
      </c>
      <c r="D31" s="53" t="s">
        <v>111</v>
      </c>
      <c r="E31" s="53">
        <v>209</v>
      </c>
      <c r="F31" s="53" t="s">
        <v>111</v>
      </c>
      <c r="G31" s="53" t="s">
        <v>111</v>
      </c>
      <c r="H31" s="53" t="s">
        <v>111</v>
      </c>
      <c r="I31" s="53" t="s">
        <v>111</v>
      </c>
      <c r="J31" s="53" t="s">
        <v>111</v>
      </c>
      <c r="K31" s="53" t="s">
        <v>111</v>
      </c>
      <c r="L31" s="53" t="s">
        <v>111</v>
      </c>
      <c r="M31" s="53" t="s">
        <v>111</v>
      </c>
      <c r="N31" s="53" t="s">
        <v>111</v>
      </c>
      <c r="O31" s="53" t="s">
        <v>111</v>
      </c>
      <c r="P31" s="53" t="s">
        <v>111</v>
      </c>
      <c r="Q31" s="53" t="s">
        <v>111</v>
      </c>
      <c r="R31" s="53" t="s">
        <v>111</v>
      </c>
      <c r="S31" s="53">
        <v>2</v>
      </c>
      <c r="T31" s="53" t="s">
        <v>111</v>
      </c>
      <c r="U31" s="53" t="s">
        <v>111</v>
      </c>
      <c r="V31" s="53" t="s">
        <v>111</v>
      </c>
      <c r="W31" s="53" t="s">
        <v>111</v>
      </c>
      <c r="X31" s="53" t="s">
        <v>111</v>
      </c>
      <c r="Y31" s="53">
        <v>0</v>
      </c>
      <c r="Z31" s="53" t="s">
        <v>111</v>
      </c>
      <c r="AA31" s="53" t="s">
        <v>111</v>
      </c>
      <c r="AB31" s="53" t="s">
        <v>111</v>
      </c>
      <c r="AC31" s="53" t="s">
        <v>111</v>
      </c>
      <c r="AD31" s="53" t="s">
        <v>111</v>
      </c>
      <c r="AE31" s="53" t="s">
        <v>111</v>
      </c>
      <c r="AF31" s="53" t="s">
        <v>111</v>
      </c>
      <c r="AG31" s="53" t="s">
        <v>111</v>
      </c>
      <c r="AH31" s="53" t="s">
        <v>111</v>
      </c>
      <c r="AI31" s="53" t="s">
        <v>111</v>
      </c>
      <c r="AJ31" s="53" t="s">
        <v>111</v>
      </c>
      <c r="AK31" s="53" t="s">
        <v>111</v>
      </c>
      <c r="AL31" s="53" t="s">
        <v>111</v>
      </c>
      <c r="AM31" s="53" t="s">
        <v>111</v>
      </c>
      <c r="AN31" s="53" t="s">
        <v>111</v>
      </c>
      <c r="AO31" s="53" t="s">
        <v>111</v>
      </c>
      <c r="AP31" s="53" t="s">
        <v>111</v>
      </c>
      <c r="AQ31" s="53" t="s">
        <v>111</v>
      </c>
      <c r="AR31" s="53" t="s">
        <v>111</v>
      </c>
      <c r="AS31" s="53" t="s">
        <v>111</v>
      </c>
      <c r="AT31" s="53" t="s">
        <v>111</v>
      </c>
      <c r="AU31" s="53" t="s">
        <v>111</v>
      </c>
      <c r="AV31" s="53" t="s">
        <v>111</v>
      </c>
      <c r="AW31" s="53" t="s">
        <v>111</v>
      </c>
      <c r="AX31" s="53" t="s">
        <v>111</v>
      </c>
      <c r="AY31" s="53" t="s">
        <v>111</v>
      </c>
      <c r="AZ31" s="53" t="s">
        <v>111</v>
      </c>
      <c r="BA31" s="53">
        <v>6</v>
      </c>
      <c r="BB31" s="53" t="s">
        <v>111</v>
      </c>
      <c r="BC31" s="53">
        <v>112</v>
      </c>
      <c r="BD31" s="53" t="s">
        <v>111</v>
      </c>
      <c r="BE31" s="53" t="s">
        <v>111</v>
      </c>
      <c r="BF31" s="53" t="s">
        <v>111</v>
      </c>
      <c r="BG31" s="53" t="s">
        <v>111</v>
      </c>
      <c r="BH31" s="53" t="s">
        <v>111</v>
      </c>
      <c r="BI31" s="53" t="s">
        <v>111</v>
      </c>
      <c r="BJ31" s="53" t="s">
        <v>111</v>
      </c>
      <c r="BK31" s="53" t="s">
        <v>111</v>
      </c>
      <c r="BL31" s="53" t="s">
        <v>111</v>
      </c>
      <c r="BM31" s="53" t="s">
        <v>111</v>
      </c>
    </row>
    <row r="32" spans="1:65" ht="15" customHeight="1" x14ac:dyDescent="0.2">
      <c r="A32" s="53" t="s">
        <v>116</v>
      </c>
      <c r="B32" s="53" t="s">
        <v>111</v>
      </c>
      <c r="C32" s="53">
        <v>2</v>
      </c>
      <c r="D32" s="53" t="s">
        <v>111</v>
      </c>
      <c r="E32" s="53">
        <v>203</v>
      </c>
      <c r="F32" s="53" t="s">
        <v>111</v>
      </c>
      <c r="G32" s="53" t="s">
        <v>111</v>
      </c>
      <c r="H32" s="53" t="s">
        <v>111</v>
      </c>
      <c r="I32" s="53" t="s">
        <v>111</v>
      </c>
      <c r="J32" s="53" t="s">
        <v>111</v>
      </c>
      <c r="K32" s="53" t="s">
        <v>111</v>
      </c>
      <c r="L32" s="53" t="s">
        <v>111</v>
      </c>
      <c r="M32" s="53" t="s">
        <v>111</v>
      </c>
      <c r="N32" s="53" t="s">
        <v>111</v>
      </c>
      <c r="O32" s="53" t="s">
        <v>111</v>
      </c>
      <c r="P32" s="53" t="s">
        <v>111</v>
      </c>
      <c r="Q32" s="53" t="s">
        <v>111</v>
      </c>
      <c r="R32" s="53" t="s">
        <v>111</v>
      </c>
      <c r="S32" s="53">
        <v>4</v>
      </c>
      <c r="T32" s="53" t="s">
        <v>111</v>
      </c>
      <c r="U32" s="53" t="s">
        <v>111</v>
      </c>
      <c r="V32" s="53" t="s">
        <v>111</v>
      </c>
      <c r="W32" s="53" t="s">
        <v>111</v>
      </c>
      <c r="X32" s="53" t="s">
        <v>111</v>
      </c>
      <c r="Y32" s="53">
        <v>0</v>
      </c>
      <c r="Z32" s="53" t="s">
        <v>111</v>
      </c>
      <c r="AA32" s="53" t="s">
        <v>111</v>
      </c>
      <c r="AB32" s="53" t="s">
        <v>111</v>
      </c>
      <c r="AC32" s="53" t="s">
        <v>111</v>
      </c>
      <c r="AD32" s="53" t="s">
        <v>111</v>
      </c>
      <c r="AE32" s="53" t="s">
        <v>111</v>
      </c>
      <c r="AF32" s="53" t="s">
        <v>111</v>
      </c>
      <c r="AG32" s="53" t="s">
        <v>111</v>
      </c>
      <c r="AH32" s="53" t="s">
        <v>111</v>
      </c>
      <c r="AI32" s="53" t="s">
        <v>111</v>
      </c>
      <c r="AJ32" s="53" t="s">
        <v>111</v>
      </c>
      <c r="AK32" s="53" t="s">
        <v>111</v>
      </c>
      <c r="AL32" s="53" t="s">
        <v>111</v>
      </c>
      <c r="AM32" s="53" t="s">
        <v>111</v>
      </c>
      <c r="AN32" s="53" t="s">
        <v>111</v>
      </c>
      <c r="AO32" s="53" t="s">
        <v>111</v>
      </c>
      <c r="AP32" s="53" t="s">
        <v>111</v>
      </c>
      <c r="AQ32" s="53" t="s">
        <v>111</v>
      </c>
      <c r="AR32" s="53" t="s">
        <v>111</v>
      </c>
      <c r="AS32" s="53" t="s">
        <v>111</v>
      </c>
      <c r="AT32" s="53" t="s">
        <v>111</v>
      </c>
      <c r="AU32" s="53" t="s">
        <v>111</v>
      </c>
      <c r="AV32" s="53" t="s">
        <v>111</v>
      </c>
      <c r="AW32" s="53" t="s">
        <v>111</v>
      </c>
      <c r="AX32" s="53" t="s">
        <v>111</v>
      </c>
      <c r="AY32" s="53" t="s">
        <v>111</v>
      </c>
      <c r="AZ32" s="53" t="s">
        <v>111</v>
      </c>
      <c r="BA32" s="53">
        <v>11</v>
      </c>
      <c r="BB32" s="53" t="s">
        <v>111</v>
      </c>
      <c r="BC32" s="53">
        <v>135</v>
      </c>
      <c r="BD32" s="53" t="s">
        <v>111</v>
      </c>
      <c r="BE32" s="53" t="s">
        <v>111</v>
      </c>
      <c r="BF32" s="53" t="s">
        <v>111</v>
      </c>
      <c r="BG32" s="53" t="s">
        <v>111</v>
      </c>
      <c r="BH32" s="53" t="s">
        <v>111</v>
      </c>
      <c r="BI32" s="53" t="s">
        <v>111</v>
      </c>
      <c r="BJ32" s="53" t="s">
        <v>111</v>
      </c>
      <c r="BK32" s="53" t="s">
        <v>111</v>
      </c>
      <c r="BL32" s="53" t="s">
        <v>111</v>
      </c>
      <c r="BM32" s="53" t="s">
        <v>111</v>
      </c>
    </row>
    <row r="33" spans="1:65" ht="15" customHeight="1" x14ac:dyDescent="0.2">
      <c r="A33" s="53" t="s">
        <v>115</v>
      </c>
      <c r="B33" s="53" t="s">
        <v>111</v>
      </c>
      <c r="C33" s="53">
        <v>5</v>
      </c>
      <c r="D33" s="53" t="s">
        <v>111</v>
      </c>
      <c r="E33" s="53">
        <v>191</v>
      </c>
      <c r="F33" s="53" t="s">
        <v>111</v>
      </c>
      <c r="G33" s="53" t="s">
        <v>111</v>
      </c>
      <c r="H33" s="53" t="s">
        <v>111</v>
      </c>
      <c r="I33" s="53" t="s">
        <v>111</v>
      </c>
      <c r="J33" s="53" t="s">
        <v>111</v>
      </c>
      <c r="K33" s="53" t="s">
        <v>111</v>
      </c>
      <c r="L33" s="53" t="s">
        <v>111</v>
      </c>
      <c r="M33" s="53" t="s">
        <v>111</v>
      </c>
      <c r="N33" s="53" t="s">
        <v>111</v>
      </c>
      <c r="O33" s="53" t="s">
        <v>111</v>
      </c>
      <c r="P33" s="53" t="s">
        <v>111</v>
      </c>
      <c r="Q33" s="53" t="s">
        <v>111</v>
      </c>
      <c r="R33" s="53" t="s">
        <v>111</v>
      </c>
      <c r="S33" s="53">
        <v>5</v>
      </c>
      <c r="T33" s="53" t="s">
        <v>111</v>
      </c>
      <c r="U33" s="53" t="s">
        <v>111</v>
      </c>
      <c r="V33" s="53" t="s">
        <v>111</v>
      </c>
      <c r="W33" s="53" t="s">
        <v>111</v>
      </c>
      <c r="X33" s="53" t="s">
        <v>111</v>
      </c>
      <c r="Y33" s="53">
        <v>0</v>
      </c>
      <c r="Z33" s="53" t="s">
        <v>111</v>
      </c>
      <c r="AA33" s="53" t="s">
        <v>111</v>
      </c>
      <c r="AB33" s="53" t="s">
        <v>111</v>
      </c>
      <c r="AC33" s="53" t="s">
        <v>111</v>
      </c>
      <c r="AD33" s="53" t="s">
        <v>111</v>
      </c>
      <c r="AE33" s="53" t="s">
        <v>111</v>
      </c>
      <c r="AF33" s="53" t="s">
        <v>111</v>
      </c>
      <c r="AG33" s="53" t="s">
        <v>111</v>
      </c>
      <c r="AH33" s="53" t="s">
        <v>111</v>
      </c>
      <c r="AI33" s="53" t="s">
        <v>111</v>
      </c>
      <c r="AJ33" s="53" t="s">
        <v>111</v>
      </c>
      <c r="AK33" s="53" t="s">
        <v>111</v>
      </c>
      <c r="AL33" s="53" t="s">
        <v>111</v>
      </c>
      <c r="AM33" s="53" t="s">
        <v>111</v>
      </c>
      <c r="AN33" s="53" t="s">
        <v>111</v>
      </c>
      <c r="AO33" s="53" t="s">
        <v>111</v>
      </c>
      <c r="AP33" s="53" t="s">
        <v>111</v>
      </c>
      <c r="AQ33" s="53" t="s">
        <v>111</v>
      </c>
      <c r="AR33" s="53" t="s">
        <v>111</v>
      </c>
      <c r="AS33" s="53" t="s">
        <v>111</v>
      </c>
      <c r="AT33" s="53" t="s">
        <v>111</v>
      </c>
      <c r="AU33" s="53" t="s">
        <v>111</v>
      </c>
      <c r="AV33" s="53" t="s">
        <v>111</v>
      </c>
      <c r="AW33" s="53" t="s">
        <v>111</v>
      </c>
      <c r="AX33" s="53" t="s">
        <v>111</v>
      </c>
      <c r="AY33" s="53" t="s">
        <v>111</v>
      </c>
      <c r="AZ33" s="53" t="s">
        <v>111</v>
      </c>
      <c r="BA33" s="53">
        <v>15</v>
      </c>
      <c r="BB33" s="53" t="s">
        <v>111</v>
      </c>
      <c r="BC33" s="53">
        <v>141</v>
      </c>
      <c r="BD33" s="53" t="s">
        <v>111</v>
      </c>
      <c r="BE33" s="53" t="s">
        <v>111</v>
      </c>
      <c r="BF33" s="53" t="s">
        <v>111</v>
      </c>
      <c r="BG33" s="53" t="s">
        <v>111</v>
      </c>
      <c r="BH33" s="53" t="s">
        <v>111</v>
      </c>
      <c r="BI33" s="53" t="s">
        <v>111</v>
      </c>
      <c r="BJ33" s="53" t="s">
        <v>111</v>
      </c>
      <c r="BK33" s="53" t="s">
        <v>111</v>
      </c>
      <c r="BL33" s="53" t="s">
        <v>111</v>
      </c>
      <c r="BM33" s="53" t="s">
        <v>111</v>
      </c>
    </row>
    <row r="34" spans="1:65" ht="15" customHeight="1" x14ac:dyDescent="0.2">
      <c r="A34" s="53" t="s">
        <v>114</v>
      </c>
      <c r="B34" s="53" t="s">
        <v>111</v>
      </c>
      <c r="C34" s="53">
        <v>4</v>
      </c>
      <c r="D34" s="53" t="s">
        <v>111</v>
      </c>
      <c r="E34" s="53">
        <v>191</v>
      </c>
      <c r="F34" s="53" t="s">
        <v>111</v>
      </c>
      <c r="G34" s="53" t="s">
        <v>111</v>
      </c>
      <c r="H34" s="53" t="s">
        <v>111</v>
      </c>
      <c r="I34" s="53" t="s">
        <v>111</v>
      </c>
      <c r="J34" s="53" t="s">
        <v>111</v>
      </c>
      <c r="K34" s="53" t="s">
        <v>111</v>
      </c>
      <c r="L34" s="53" t="s">
        <v>111</v>
      </c>
      <c r="M34" s="53" t="s">
        <v>111</v>
      </c>
      <c r="N34" s="53" t="s">
        <v>111</v>
      </c>
      <c r="O34" s="53" t="s">
        <v>111</v>
      </c>
      <c r="P34" s="53" t="s">
        <v>111</v>
      </c>
      <c r="Q34" s="53" t="s">
        <v>111</v>
      </c>
      <c r="R34" s="53" t="s">
        <v>111</v>
      </c>
      <c r="S34" s="53">
        <v>5</v>
      </c>
      <c r="T34" s="53" t="s">
        <v>111</v>
      </c>
      <c r="U34" s="53" t="s">
        <v>111</v>
      </c>
      <c r="V34" s="53" t="s">
        <v>111</v>
      </c>
      <c r="W34" s="53" t="s">
        <v>111</v>
      </c>
      <c r="X34" s="53" t="s">
        <v>111</v>
      </c>
      <c r="Y34" s="53">
        <v>0</v>
      </c>
      <c r="Z34" s="53" t="s">
        <v>111</v>
      </c>
      <c r="AA34" s="53" t="s">
        <v>111</v>
      </c>
      <c r="AB34" s="53" t="s">
        <v>111</v>
      </c>
      <c r="AC34" s="53" t="s">
        <v>111</v>
      </c>
      <c r="AD34" s="53" t="s">
        <v>111</v>
      </c>
      <c r="AE34" s="53" t="s">
        <v>111</v>
      </c>
      <c r="AF34" s="53" t="s">
        <v>111</v>
      </c>
      <c r="AG34" s="53" t="s">
        <v>111</v>
      </c>
      <c r="AH34" s="53" t="s">
        <v>111</v>
      </c>
      <c r="AI34" s="53" t="s">
        <v>111</v>
      </c>
      <c r="AJ34" s="53" t="s">
        <v>111</v>
      </c>
      <c r="AK34" s="53" t="s">
        <v>111</v>
      </c>
      <c r="AL34" s="53" t="s">
        <v>111</v>
      </c>
      <c r="AM34" s="53" t="s">
        <v>111</v>
      </c>
      <c r="AN34" s="53" t="s">
        <v>111</v>
      </c>
      <c r="AO34" s="53" t="s">
        <v>111</v>
      </c>
      <c r="AP34" s="53" t="s">
        <v>111</v>
      </c>
      <c r="AQ34" s="53" t="s">
        <v>111</v>
      </c>
      <c r="AR34" s="53" t="s">
        <v>111</v>
      </c>
      <c r="AS34" s="53" t="s">
        <v>111</v>
      </c>
      <c r="AT34" s="53" t="s">
        <v>111</v>
      </c>
      <c r="AU34" s="53" t="s">
        <v>111</v>
      </c>
      <c r="AV34" s="53" t="s">
        <v>111</v>
      </c>
      <c r="AW34" s="53" t="s">
        <v>111</v>
      </c>
      <c r="AX34" s="53" t="s">
        <v>111</v>
      </c>
      <c r="AY34" s="53" t="s">
        <v>111</v>
      </c>
      <c r="AZ34" s="53" t="s">
        <v>111</v>
      </c>
      <c r="BA34" s="53">
        <v>13</v>
      </c>
      <c r="BB34" s="53" t="s">
        <v>111</v>
      </c>
      <c r="BC34" s="53">
        <v>125</v>
      </c>
      <c r="BD34" s="53" t="s">
        <v>111</v>
      </c>
      <c r="BE34" s="53" t="s">
        <v>111</v>
      </c>
      <c r="BF34" s="53" t="s">
        <v>111</v>
      </c>
      <c r="BG34" s="53" t="s">
        <v>111</v>
      </c>
      <c r="BH34" s="53" t="s">
        <v>111</v>
      </c>
      <c r="BI34" s="53" t="s">
        <v>111</v>
      </c>
      <c r="BJ34" s="53" t="s">
        <v>111</v>
      </c>
      <c r="BK34" s="53" t="s">
        <v>111</v>
      </c>
      <c r="BL34" s="53" t="s">
        <v>111</v>
      </c>
      <c r="BM34" s="53" t="s">
        <v>111</v>
      </c>
    </row>
    <row r="35" spans="1:65" ht="15" customHeight="1" x14ac:dyDescent="0.2">
      <c r="A35" s="53" t="s">
        <v>113</v>
      </c>
      <c r="B35" s="53" t="s">
        <v>111</v>
      </c>
      <c r="C35" s="53">
        <v>2</v>
      </c>
      <c r="D35" s="53" t="s">
        <v>111</v>
      </c>
      <c r="E35" s="53">
        <v>203</v>
      </c>
      <c r="F35" s="53" t="s">
        <v>111</v>
      </c>
      <c r="G35" s="53" t="s">
        <v>111</v>
      </c>
      <c r="H35" s="53" t="s">
        <v>111</v>
      </c>
      <c r="I35" s="53" t="s">
        <v>111</v>
      </c>
      <c r="J35" s="53" t="s">
        <v>111</v>
      </c>
      <c r="K35" s="53" t="s">
        <v>111</v>
      </c>
      <c r="L35" s="53" t="s">
        <v>111</v>
      </c>
      <c r="M35" s="53" t="s">
        <v>111</v>
      </c>
      <c r="N35" s="53" t="s">
        <v>111</v>
      </c>
      <c r="O35" s="53" t="s">
        <v>111</v>
      </c>
      <c r="P35" s="53" t="s">
        <v>111</v>
      </c>
      <c r="Q35" s="53" t="s">
        <v>111</v>
      </c>
      <c r="R35" s="53" t="s">
        <v>111</v>
      </c>
      <c r="S35" s="53">
        <v>3</v>
      </c>
      <c r="T35" s="53" t="s">
        <v>111</v>
      </c>
      <c r="U35" s="53" t="s">
        <v>111</v>
      </c>
      <c r="V35" s="53" t="s">
        <v>111</v>
      </c>
      <c r="W35" s="53" t="s">
        <v>111</v>
      </c>
      <c r="X35" s="53" t="s">
        <v>111</v>
      </c>
      <c r="Y35" s="53">
        <v>0</v>
      </c>
      <c r="Z35" s="53" t="s">
        <v>111</v>
      </c>
      <c r="AA35" s="53" t="s">
        <v>111</v>
      </c>
      <c r="AB35" s="53" t="s">
        <v>111</v>
      </c>
      <c r="AC35" s="53" t="s">
        <v>111</v>
      </c>
      <c r="AD35" s="53" t="s">
        <v>111</v>
      </c>
      <c r="AE35" s="53" t="s">
        <v>111</v>
      </c>
      <c r="AF35" s="53" t="s">
        <v>111</v>
      </c>
      <c r="AG35" s="53" t="s">
        <v>111</v>
      </c>
      <c r="AH35" s="53" t="s">
        <v>111</v>
      </c>
      <c r="AI35" s="53" t="s">
        <v>111</v>
      </c>
      <c r="AJ35" s="53" t="s">
        <v>111</v>
      </c>
      <c r="AK35" s="53" t="s">
        <v>111</v>
      </c>
      <c r="AL35" s="53" t="s">
        <v>111</v>
      </c>
      <c r="AM35" s="53" t="s">
        <v>111</v>
      </c>
      <c r="AN35" s="53" t="s">
        <v>111</v>
      </c>
      <c r="AO35" s="53" t="s">
        <v>111</v>
      </c>
      <c r="AP35" s="53" t="s">
        <v>111</v>
      </c>
      <c r="AQ35" s="53" t="s">
        <v>111</v>
      </c>
      <c r="AR35" s="53" t="s">
        <v>111</v>
      </c>
      <c r="AS35" s="53" t="s">
        <v>111</v>
      </c>
      <c r="AT35" s="53" t="s">
        <v>111</v>
      </c>
      <c r="AU35" s="53" t="s">
        <v>111</v>
      </c>
      <c r="AV35" s="53" t="s">
        <v>111</v>
      </c>
      <c r="AW35" s="53" t="s">
        <v>111</v>
      </c>
      <c r="AX35" s="53" t="s">
        <v>111</v>
      </c>
      <c r="AY35" s="53" t="s">
        <v>111</v>
      </c>
      <c r="AZ35" s="53" t="s">
        <v>111</v>
      </c>
      <c r="BA35" s="53">
        <v>2</v>
      </c>
      <c r="BB35" s="53" t="s">
        <v>111</v>
      </c>
      <c r="BC35" s="53">
        <v>122</v>
      </c>
      <c r="BD35" s="53" t="s">
        <v>111</v>
      </c>
      <c r="BE35" s="53" t="s">
        <v>111</v>
      </c>
      <c r="BF35" s="53" t="s">
        <v>111</v>
      </c>
      <c r="BG35" s="53" t="s">
        <v>111</v>
      </c>
      <c r="BH35" s="53" t="s">
        <v>111</v>
      </c>
      <c r="BI35" s="53" t="s">
        <v>111</v>
      </c>
      <c r="BJ35" s="53" t="s">
        <v>111</v>
      </c>
      <c r="BK35" s="53" t="s">
        <v>111</v>
      </c>
      <c r="BL35" s="53" t="s">
        <v>111</v>
      </c>
      <c r="BM35" s="53" t="s">
        <v>111</v>
      </c>
    </row>
    <row r="36" spans="1:65" ht="15" customHeight="1" x14ac:dyDescent="0.2">
      <c r="A36" s="53" t="s">
        <v>112</v>
      </c>
      <c r="B36" s="53" t="s">
        <v>111</v>
      </c>
      <c r="C36" s="53">
        <v>2</v>
      </c>
      <c r="D36" s="53" t="s">
        <v>111</v>
      </c>
      <c r="E36" s="53">
        <v>200</v>
      </c>
      <c r="F36" s="53" t="s">
        <v>111</v>
      </c>
      <c r="G36" s="53" t="s">
        <v>111</v>
      </c>
      <c r="H36" s="53" t="s">
        <v>111</v>
      </c>
      <c r="I36" s="53" t="s">
        <v>111</v>
      </c>
      <c r="J36" s="53" t="s">
        <v>111</v>
      </c>
      <c r="K36" s="53" t="s">
        <v>111</v>
      </c>
      <c r="L36" s="53" t="s">
        <v>111</v>
      </c>
      <c r="M36" s="53" t="s">
        <v>111</v>
      </c>
      <c r="N36" s="53" t="s">
        <v>111</v>
      </c>
      <c r="O36" s="53" t="s">
        <v>111</v>
      </c>
      <c r="P36" s="53" t="s">
        <v>111</v>
      </c>
      <c r="Q36" s="53" t="s">
        <v>111</v>
      </c>
      <c r="R36" s="53" t="s">
        <v>111</v>
      </c>
      <c r="S36" s="53">
        <v>1</v>
      </c>
      <c r="T36" s="53" t="s">
        <v>111</v>
      </c>
      <c r="U36" s="53" t="s">
        <v>111</v>
      </c>
      <c r="V36" s="53" t="s">
        <v>111</v>
      </c>
      <c r="W36" s="53" t="s">
        <v>111</v>
      </c>
      <c r="X36" s="53" t="s">
        <v>111</v>
      </c>
      <c r="Y36" s="53">
        <v>0</v>
      </c>
      <c r="Z36" s="53" t="s">
        <v>111</v>
      </c>
      <c r="AA36" s="53" t="s">
        <v>111</v>
      </c>
      <c r="AB36" s="53" t="s">
        <v>111</v>
      </c>
      <c r="AC36" s="53" t="s">
        <v>111</v>
      </c>
      <c r="AD36" s="53" t="s">
        <v>111</v>
      </c>
      <c r="AE36" s="53" t="s">
        <v>111</v>
      </c>
      <c r="AF36" s="53" t="s">
        <v>111</v>
      </c>
      <c r="AG36" s="53" t="s">
        <v>111</v>
      </c>
      <c r="AH36" s="53" t="s">
        <v>111</v>
      </c>
      <c r="AI36" s="53" t="s">
        <v>111</v>
      </c>
      <c r="AJ36" s="53" t="s">
        <v>111</v>
      </c>
      <c r="AK36" s="53" t="s">
        <v>111</v>
      </c>
      <c r="AL36" s="53" t="s">
        <v>111</v>
      </c>
      <c r="AM36" s="53" t="s">
        <v>111</v>
      </c>
      <c r="AN36" s="53" t="s">
        <v>111</v>
      </c>
      <c r="AO36" s="53" t="s">
        <v>111</v>
      </c>
      <c r="AP36" s="53" t="s">
        <v>111</v>
      </c>
      <c r="AQ36" s="53" t="s">
        <v>111</v>
      </c>
      <c r="AR36" s="53" t="s">
        <v>111</v>
      </c>
      <c r="AS36" s="53" t="s">
        <v>111</v>
      </c>
      <c r="AT36" s="53" t="s">
        <v>111</v>
      </c>
      <c r="AU36" s="53" t="s">
        <v>111</v>
      </c>
      <c r="AV36" s="53" t="s">
        <v>111</v>
      </c>
      <c r="AW36" s="53" t="s">
        <v>111</v>
      </c>
      <c r="AX36" s="53" t="s">
        <v>111</v>
      </c>
      <c r="AY36" s="53" t="s">
        <v>111</v>
      </c>
      <c r="AZ36" s="53" t="s">
        <v>111</v>
      </c>
      <c r="BA36" s="53">
        <v>8</v>
      </c>
      <c r="BB36" s="53" t="s">
        <v>111</v>
      </c>
      <c r="BC36" s="53">
        <v>93</v>
      </c>
      <c r="BD36" s="53" t="s">
        <v>111</v>
      </c>
      <c r="BE36" s="53" t="s">
        <v>111</v>
      </c>
      <c r="BF36" s="53" t="s">
        <v>111</v>
      </c>
      <c r="BG36" s="53" t="s">
        <v>111</v>
      </c>
      <c r="BH36" s="53" t="s">
        <v>111</v>
      </c>
      <c r="BI36" s="53" t="s">
        <v>111</v>
      </c>
      <c r="BJ36" s="53" t="s">
        <v>111</v>
      </c>
      <c r="BK36" s="53" t="s">
        <v>111</v>
      </c>
      <c r="BL36" s="53" t="s">
        <v>111</v>
      </c>
      <c r="BM36" s="53"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2023-10-29T22:22:21Z</dcterms:modified>
</cp:coreProperties>
</file>