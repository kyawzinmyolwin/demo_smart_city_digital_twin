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884CF675-AF24-459F-B080-EAEA6F7D25C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L155" i="6"/>
  <c r="L98" i="6"/>
  <c r="Q98" i="6" s="1"/>
  <c r="L185" i="6"/>
  <c r="L102" i="6"/>
  <c r="Q102" i="6" s="1"/>
  <c r="L104" i="6"/>
  <c r="L269" i="6"/>
  <c r="L132" i="6"/>
  <c r="Q132" i="6" s="1"/>
  <c r="L35" i="6"/>
  <c r="L282" i="6"/>
  <c r="L230" i="6"/>
  <c r="Q230" i="6" s="1"/>
  <c r="L94" i="6"/>
  <c r="Q94" i="6" s="1"/>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43" i="6"/>
  <c r="Q219" i="6"/>
  <c r="Q187" i="6"/>
  <c r="Q163" i="6"/>
  <c r="Q155" i="6"/>
  <c r="Q115" i="6"/>
  <c r="Q107" i="6"/>
  <c r="Q75" i="6"/>
  <c r="Q67" i="6"/>
  <c r="Q282" i="6"/>
  <c r="Q226" i="6"/>
  <c r="Q202" i="6"/>
  <c r="Q106" i="6"/>
  <c r="Q90" i="6"/>
  <c r="Q50" i="6"/>
  <c r="Q280" i="6"/>
  <c r="Q268" i="6"/>
  <c r="Q177" i="6"/>
  <c r="Q88" i="6"/>
  <c r="Q41" i="6"/>
  <c r="Q110" i="6"/>
  <c r="Q71" i="6"/>
  <c r="Q300" i="6"/>
  <c r="Q190" i="6"/>
  <c r="Q73" i="6"/>
  <c r="Q302" i="6"/>
  <c r="Q238" i="6"/>
  <c r="Q199" i="6"/>
  <c r="Q96" i="6"/>
  <c r="Q57" i="6"/>
  <c r="Q248" i="6"/>
  <c r="Q278" i="6"/>
  <c r="Q239" i="6"/>
  <c r="Q225" i="6"/>
  <c r="Q200" i="6"/>
  <c r="Q175" i="6"/>
  <c r="Q111" i="6"/>
  <c r="Q86" i="6"/>
  <c r="Q224" i="6"/>
  <c r="Q185" i="6"/>
  <c r="Q46" i="6"/>
  <c r="Q272" i="6"/>
  <c r="Q244" i="6"/>
  <c r="Q81" i="6"/>
  <c r="Q271" i="6"/>
  <c r="Q233" i="6"/>
  <c r="Q183" i="6"/>
  <c r="Q105" i="6"/>
  <c r="Q286" i="6"/>
  <c r="Q256" i="6"/>
  <c r="Q168" i="6"/>
  <c r="Q118" i="6"/>
  <c r="Q246" i="6"/>
  <c r="Q116" i="6"/>
  <c r="Q64" i="6"/>
  <c r="Q95" i="6"/>
  <c r="Q296" i="6"/>
  <c r="Q206" i="6"/>
  <c r="Q54" i="6"/>
  <c r="Q180" i="6"/>
  <c r="Q104" i="6"/>
  <c r="H8" i="6"/>
  <c r="B4" i="7" s="1"/>
  <c r="O6" i="6"/>
  <c r="I66" i="4" l="1"/>
  <c r="I146" i="4"/>
  <c r="I226" i="4"/>
  <c r="I6" i="4"/>
  <c r="I86" i="4"/>
  <c r="I166" i="4"/>
  <c r="I26" i="4"/>
  <c r="I106" i="4"/>
  <c r="I186" i="4"/>
  <c r="I46" i="4"/>
  <c r="I126" i="4"/>
  <c r="I206" i="4"/>
  <c r="I18" i="4"/>
  <c r="I98" i="4"/>
  <c r="I178" i="4"/>
  <c r="I38" i="4"/>
  <c r="I118" i="4"/>
  <c r="I198" i="4"/>
  <c r="I58" i="4"/>
  <c r="I138" i="4"/>
  <c r="I218" i="4"/>
  <c r="I78" i="4"/>
  <c r="I158" i="4"/>
  <c r="I238" i="4"/>
  <c r="I3" i="4"/>
  <c r="I83" i="4"/>
  <c r="I163" i="4"/>
  <c r="I23" i="4"/>
  <c r="I103" i="4"/>
  <c r="I183" i="4"/>
  <c r="I43" i="4"/>
  <c r="I123" i="4"/>
  <c r="I203" i="4"/>
  <c r="I63" i="4"/>
  <c r="I143" i="4"/>
  <c r="I223" i="4"/>
  <c r="I5" i="4"/>
  <c r="I85" i="4"/>
  <c r="I165" i="4"/>
  <c r="I25" i="4"/>
  <c r="I105" i="4"/>
  <c r="I185" i="4"/>
  <c r="I45" i="4"/>
  <c r="I125" i="4"/>
  <c r="I205" i="4"/>
  <c r="I65" i="4"/>
  <c r="I145" i="4"/>
  <c r="I225" i="4"/>
  <c r="I53" i="4"/>
  <c r="I133" i="4"/>
  <c r="I213" i="4"/>
  <c r="I73" i="4"/>
  <c r="I153" i="4"/>
  <c r="I233" i="4"/>
  <c r="I13" i="4"/>
  <c r="I93" i="4"/>
  <c r="I173" i="4"/>
  <c r="I33" i="4"/>
  <c r="I113" i="4"/>
  <c r="I193" i="4"/>
  <c r="I50" i="4"/>
  <c r="I130" i="4"/>
  <c r="I210" i="4"/>
  <c r="I70" i="4"/>
  <c r="I150" i="4"/>
  <c r="I230" i="4"/>
  <c r="I10" i="4"/>
  <c r="I90" i="4"/>
  <c r="I170" i="4"/>
  <c r="I30" i="4"/>
  <c r="I110" i="4"/>
  <c r="I190" i="4"/>
  <c r="I67" i="4"/>
  <c r="I147" i="4"/>
  <c r="I227" i="4"/>
  <c r="I7" i="4"/>
  <c r="I87" i="4"/>
  <c r="I167" i="4"/>
  <c r="I27" i="4"/>
  <c r="I107" i="4"/>
  <c r="I187" i="4"/>
  <c r="I47" i="4"/>
  <c r="I127" i="4"/>
  <c r="I207" i="4"/>
  <c r="I20" i="4"/>
  <c r="I100" i="4"/>
  <c r="I180" i="4"/>
  <c r="I40" i="4"/>
  <c r="I120" i="4"/>
  <c r="I200" i="4"/>
  <c r="I60" i="4"/>
  <c r="I140" i="4"/>
  <c r="I220" i="4"/>
  <c r="I80" i="4"/>
  <c r="I160" i="4"/>
  <c r="I240" i="4"/>
  <c r="I2" i="4"/>
  <c r="I82" i="4"/>
  <c r="I162" i="4"/>
  <c r="I22" i="4"/>
  <c r="I102" i="4"/>
  <c r="I182" i="4"/>
  <c r="I42" i="4"/>
  <c r="I122" i="4"/>
  <c r="I202" i="4"/>
  <c r="I62" i="4"/>
  <c r="I142" i="4"/>
  <c r="I222" i="4"/>
  <c r="I34" i="4"/>
  <c r="I114" i="4"/>
  <c r="I194" i="4"/>
  <c r="I54" i="4"/>
  <c r="I134" i="4"/>
  <c r="I214" i="4"/>
  <c r="I74" i="4"/>
  <c r="I154" i="4"/>
  <c r="I234" i="4"/>
  <c r="I14" i="4"/>
  <c r="I94" i="4"/>
  <c r="I174" i="4"/>
  <c r="I51" i="4"/>
  <c r="I131" i="4"/>
  <c r="I211" i="4"/>
  <c r="I71" i="4"/>
  <c r="I151" i="4"/>
  <c r="I231" i="4"/>
  <c r="I11" i="4"/>
  <c r="I91" i="4"/>
  <c r="I171" i="4"/>
  <c r="I31" i="4"/>
  <c r="I111" i="4"/>
  <c r="I191" i="4"/>
  <c r="I68" i="4"/>
  <c r="I148" i="4"/>
  <c r="I228" i="4"/>
  <c r="I8" i="4"/>
  <c r="I88" i="4"/>
  <c r="I168" i="4"/>
  <c r="I28" i="4"/>
  <c r="I108" i="4"/>
  <c r="I188" i="4"/>
  <c r="I48" i="4"/>
  <c r="I128" i="4"/>
  <c r="I208" i="4"/>
  <c r="I4" i="4"/>
  <c r="I84" i="4"/>
  <c r="I164" i="4"/>
  <c r="I24" i="4"/>
  <c r="I104" i="4"/>
  <c r="I184" i="4"/>
  <c r="I44" i="4"/>
  <c r="I124" i="4"/>
  <c r="I204" i="4"/>
  <c r="I64" i="4"/>
  <c r="I144" i="4"/>
  <c r="I224" i="4"/>
  <c r="I52" i="4"/>
  <c r="I132" i="4"/>
  <c r="I212" i="4"/>
  <c r="I72" i="4"/>
  <c r="I152" i="4"/>
  <c r="I232" i="4"/>
  <c r="I12" i="4"/>
  <c r="I92" i="4"/>
  <c r="I172" i="4"/>
  <c r="I32" i="4"/>
  <c r="I112" i="4"/>
  <c r="I192" i="4"/>
  <c r="I35" i="4"/>
  <c r="I115" i="4"/>
  <c r="I195" i="4"/>
  <c r="I55" i="4"/>
  <c r="I135" i="4"/>
  <c r="I215" i="4"/>
  <c r="I75" i="4"/>
  <c r="I155" i="4"/>
  <c r="I235" i="4"/>
  <c r="I15" i="4"/>
  <c r="I95" i="4"/>
  <c r="I175" i="4"/>
  <c r="I69" i="4"/>
  <c r="I149" i="4"/>
  <c r="I229" i="4"/>
  <c r="I9" i="4"/>
  <c r="I89" i="4"/>
  <c r="I169" i="4"/>
  <c r="I29" i="4"/>
  <c r="I109" i="4"/>
  <c r="I189" i="4"/>
  <c r="I49" i="4"/>
  <c r="I129" i="4"/>
  <c r="I209" i="4"/>
  <c r="I21" i="4"/>
  <c r="I101" i="4"/>
  <c r="I181" i="4"/>
  <c r="I41" i="4"/>
  <c r="I121" i="4"/>
  <c r="I201" i="4"/>
  <c r="I61" i="4"/>
  <c r="I141" i="4"/>
  <c r="I221" i="4"/>
  <c r="I81" i="4"/>
  <c r="I161" i="4"/>
  <c r="I241" i="4"/>
  <c r="I37" i="4"/>
  <c r="I117" i="4"/>
  <c r="I197" i="4"/>
  <c r="I57" i="4"/>
  <c r="I137" i="4"/>
  <c r="I217" i="4"/>
  <c r="I77" i="4"/>
  <c r="I157" i="4"/>
  <c r="I237" i="4"/>
  <c r="I17" i="4"/>
  <c r="I97" i="4"/>
  <c r="I177" i="4"/>
  <c r="I36" i="4"/>
  <c r="I116" i="4"/>
  <c r="I196" i="4"/>
  <c r="I56" i="4"/>
  <c r="I136" i="4"/>
  <c r="I216" i="4"/>
  <c r="I76" i="4"/>
  <c r="I156" i="4"/>
  <c r="I236" i="4"/>
  <c r="I16" i="4"/>
  <c r="I96" i="4"/>
  <c r="I176" i="4"/>
  <c r="I19" i="4"/>
  <c r="I99" i="4"/>
  <c r="I179" i="4"/>
  <c r="I39" i="4"/>
  <c r="I119" i="4"/>
  <c r="I199" i="4"/>
  <c r="I59" i="4"/>
  <c r="I139" i="4"/>
  <c r="I219" i="4"/>
  <c r="I79" i="4"/>
  <c r="I159" i="4"/>
  <c r="I2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<sst xmlns="http://schemas.openxmlformats.org/spreadsheetml/2006/main" count="7304" uniqueCount="164">
  <si>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</si>
  <si>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</si>
  <si>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</si>
  <si>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</si>
  <si>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</si>
  <si>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</si>
  <si>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</si>
  <si>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</si>
  <si>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</si>
  <si>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</si>
  <si>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</si>
  <si>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</si>
  <si>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</si>
  <si>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</si>
  <si>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</si>
  <si>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</si>
  <si>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</si>
  <si>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</si>
  <si>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</si>
  <si>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</si>
  <si>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</si>
  <si>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</si>
  <si>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</si>
  <si>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</si>
  <si>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</si>
  <si>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</si>
  <si>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</si>
  <si>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</si>
  <si>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</si>
  <si>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</si>
  <si>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</si>
  <si>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</si>
  <si>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</si>
  <si>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</si>
  <si>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</si>
  <si>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</si>
  <si>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</si>
  <si>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</si>
  <si>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</si>
  <si>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</si>
  <si>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</si>
  <si>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</si>
  <si>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</si>
  <si>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</si>
  <si>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</si>
  <si>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</si>
  <si>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</si>
  <si>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</si>
  <si>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</si>
  <si>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</si>
  <si>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</si>
  <si>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</si>
  <si>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</si>
  <si>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</si>
  <si>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</si>
  <si>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</si>
  <si>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</si>
  <si>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</si>
  <si>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</si>
  <si>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</si>
  <si>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</si>
  <si>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</si>
  <si>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</si>
  <si>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</si>
  <si>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</si>
  <si>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</si>
  <si>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</si>
  <si>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</si>
  <si>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</si>
  <si>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</si>
  <si>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</si>
  <si>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</si>
  <si>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</si>
  <si>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</si>
  <si>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</si>
  <si>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</si>
  <si>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</si>
  <si>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</si>
  <si>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</si>
  <si>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</si>
  <si>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</si>
  <si>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</si>
  <si>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</si>
  <si>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</si>
  <si>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</si>
  <si>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</si>
  <si>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</si>
  <si>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</si>
  <si>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</si>
  <si>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</si>
  <si>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</si>
  <si>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</si>
  <si>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Madras Street_Salisbury Street_Intersection</t>
  </si>
  <si>
    <t>Madras Street South</t>
  </si>
  <si>
    <t>Salisbury Street West</t>
  </si>
  <si>
    <t>Thru to Madras Street North</t>
  </si>
  <si>
    <t>Right into Salisbury Street East</t>
  </si>
  <si>
    <t>Left into Madras Street North</t>
  </si>
  <si>
    <t>Thru to Salisbury Street East</t>
  </si>
  <si>
    <t>Madras Street North</t>
  </si>
  <si>
    <t>Salisbury Street East</t>
  </si>
  <si>
    <t>Madras Street_Salisbury Street_Intersection      Fine      29/03/2022</t>
  </si>
  <si>
    <t>Madras Street South Total</t>
  </si>
  <si>
    <t>Salisbury Street West Total</t>
  </si>
  <si>
    <t>Thru to Madras Street North Total</t>
  </si>
  <si>
    <t>Right into Salisbury Street East Total</t>
  </si>
  <si>
    <t>Left into Madras Street North Total</t>
  </si>
  <si>
    <t>Thru to Salisbury Street 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</si>
  <si>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</si>
  <si>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</si>
  <si>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</si>
  <si>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</si>
  <si>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</si>
  <si>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</si>
  <si>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</si>
  <si>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</si>
  <si>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</si>
  <si>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</si>
  <si>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</si>
  <si>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</si>
  <si>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</si>
  <si>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</si>
  <si>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</si>
  <si>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</si>
  <si>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</si>
  <si>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</si>
  <si>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</si>
  <si>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</si>
  <si>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</si>
  <si>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</si>
  <si>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</si>
  <si>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</si>
  <si>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</si>
  <si>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</si>
  <si>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</si>
  <si>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</si>
  <si>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</si>
  <si>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</si>
  <si>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</si>
  <si>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</si>
  <si>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</si>
  <si>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</si>
  <si>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</si>
  <si>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</si>
  <si>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</si>
  <si>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</si>
  <si>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</si>
  <si>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</si>
  <si>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</si>
  <si>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 Easbound</t>
  </si>
  <si>
    <t>Madras St Northbound</t>
  </si>
  <si>
    <t>Salisbury St Eastbound</t>
  </si>
  <si>
    <t>Lights</t>
  </si>
  <si>
    <t>Classification</t>
  </si>
  <si>
    <t>Road</t>
  </si>
  <si>
    <t>Type</t>
  </si>
  <si>
    <t>Project</t>
  </si>
  <si>
    <t>Site Code</t>
  </si>
  <si>
    <t>03/29/2022</t>
  </si>
  <si>
    <t>Start Date</t>
  </si>
  <si>
    <t>CCC I3195 Madras St - Salisbury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</si>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</sst>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3710ACE-B8C7-47AB-9686-BC38037D9B8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Madras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111</c:v>
                </c:pt>
                <c:pt idx="2">
                  <c:v>107</c:v>
                </c:pt>
                <c:pt idx="3">
                  <c:v>144</c:v>
                </c:pt>
                <c:pt idx="4">
                  <c:v>138</c:v>
                </c:pt>
                <c:pt idx="5">
                  <c:v>137</c:v>
                </c:pt>
                <c:pt idx="6">
                  <c:v>154</c:v>
                </c:pt>
                <c:pt idx="7">
                  <c:v>138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Salisbury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55</c:v>
                </c:pt>
                <c:pt idx="2">
                  <c:v>29</c:v>
                </c:pt>
                <c:pt idx="3">
                  <c:v>63</c:v>
                </c:pt>
                <c:pt idx="4">
                  <c:v>64</c:v>
                </c:pt>
                <c:pt idx="5">
                  <c:v>94</c:v>
                </c:pt>
                <c:pt idx="6">
                  <c:v>73</c:v>
                </c:pt>
                <c:pt idx="7">
                  <c:v>73</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Madras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122</c:v>
                </c:pt>
                <c:pt idx="2">
                  <c:v>113</c:v>
                </c:pt>
                <c:pt idx="3">
                  <c:v>152</c:v>
                </c:pt>
                <c:pt idx="4">
                  <c:v>147</c:v>
                </c:pt>
                <c:pt idx="5">
                  <c:v>148</c:v>
                </c:pt>
                <c:pt idx="6">
                  <c:v>166</c:v>
                </c:pt>
                <c:pt idx="7">
                  <c:v>145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Salisbury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44</c:v>
                </c:pt>
                <c:pt idx="2">
                  <c:v>23</c:v>
                </c:pt>
                <c:pt idx="3">
                  <c:v>55</c:v>
                </c:pt>
                <c:pt idx="4">
                  <c:v>55</c:v>
                </c:pt>
                <c:pt idx="5">
                  <c:v>83</c:v>
                </c:pt>
                <c:pt idx="6">
                  <c:v>61</c:v>
                </c:pt>
                <c:pt idx="7">
                  <c:v>66</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143</c:v>
                </c:pt>
                <c:pt idx="1">
                  <c:v>166</c:v>
                </c:pt>
                <c:pt idx="2">
                  <c:v>136</c:v>
                </c:pt>
                <c:pt idx="3">
                  <c:v>207</c:v>
                </c:pt>
                <c:pt idx="4">
                  <c:v>202</c:v>
                </c:pt>
                <c:pt idx="5">
                  <c:v>231</c:v>
                </c:pt>
                <c:pt idx="6">
                  <c:v>227</c:v>
                </c:pt>
                <c:pt idx="7">
                  <c:v>211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143</c:v>
                </c:pt>
                <c:pt idx="1">
                  <c:v>166</c:v>
                </c:pt>
                <c:pt idx="2">
                  <c:v>136</c:v>
                </c:pt>
                <c:pt idx="3">
                  <c:v>207</c:v>
                </c:pt>
                <c:pt idx="4">
                  <c:v>202</c:v>
                </c:pt>
                <c:pt idx="5">
                  <c:v>231</c:v>
                </c:pt>
                <c:pt idx="6">
                  <c:v>227</c:v>
                </c:pt>
                <c:pt idx="7">
                  <c:v>211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202</c:v>
                </c:pt>
                <c:pt idx="5">
                  <c:v>231</c:v>
                </c:pt>
                <c:pt idx="6">
                  <c:v>227</c:v>
                </c:pt>
                <c:pt idx="7">
                  <c:v>211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1207609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1322917</xdr:colOff>
      <xdr:row>5</xdr:row>
      <xdr:rowOff>3175</xdr:rowOff>
    </xdr:from>
    <xdr:to>
      <xdr:col>20</xdr:col>
      <xdr:colOff>945142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123824</xdr:colOff>
      <xdr:row>9</xdr:row>
      <xdr:rowOff>66673</xdr:rowOff>
    </xdr:from>
    <xdr:to>
      <xdr:col>20</xdr:col>
      <xdr:colOff>560624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0490057870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2"/>
    </cacheField>
    <cacheField name="Peak" numFmtId="0">
      <sharedItems containsSemiMixedTypes="0" containsString="0" containsNumber="1" containsInteger="1" minValue="0" maxValue="44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04978356484" createdVersion="5" refreshedVersion="7" minRefreshableVersion="3" recordCount="240" xr:uid="{00000000-000A-0000-FFFF-FFFF01000000}">
  <cacheSource type="worksheet">
    <worksheetSource name="tblPivotData"/>
  </cacheSource>
  <cacheFields count="9">
    <cacheField name="Approach" numFmtId="0">
      <sharedItems count="5">
        <s v="Madras Street South"/>
        <s v="Salisbury Street West"/>
        <s v="Great south Rd (North)" u="1"/>
        <s v="Great south Rd (South)" u="1"/>
        <s v="Grange Rd" u="1"/>
      </sharedItems>
    </cacheField>
    <cacheField name="Movement" numFmtId="0">
      <sharedItems count="12">
        <s v="Thru to Madras Street North"/>
        <s v="Right into Salisbury Street East"/>
        <s v="Left into Madras Street North"/>
        <s v="Thru to Salisbury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Madras Street North"/>
        <s v="Salisbury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3"/>
    <n v="0"/>
  </r>
  <r>
    <x v="0"/>
    <x v="1"/>
    <n v="166"/>
    <n v="0"/>
  </r>
  <r>
    <x v="0"/>
    <x v="2"/>
    <n v="136"/>
    <n v="0"/>
  </r>
  <r>
    <x v="0"/>
    <x v="3"/>
    <n v="207"/>
    <n v="0"/>
  </r>
  <r>
    <x v="0"/>
    <x v="4"/>
    <n v="202"/>
    <n v="202"/>
  </r>
  <r>
    <x v="0"/>
    <x v="5"/>
    <n v="231"/>
    <n v="231"/>
  </r>
  <r>
    <x v="0"/>
    <x v="6"/>
    <n v="227"/>
    <n v="227"/>
  </r>
  <r>
    <x v="0"/>
    <x v="7"/>
    <n v="211"/>
    <n v="211"/>
  </r>
  <r>
    <x v="1"/>
    <x v="8"/>
    <n v="216"/>
    <n v="216"/>
  </r>
  <r>
    <x v="1"/>
    <x v="9"/>
    <n v="199"/>
    <n v="199"/>
  </r>
  <r>
    <x v="1"/>
    <x v="10"/>
    <n v="219"/>
    <n v="219"/>
  </r>
  <r>
    <x v="1"/>
    <x v="11"/>
    <n v="223"/>
    <n v="223"/>
  </r>
  <r>
    <x v="2"/>
    <x v="12"/>
    <n v="336"/>
    <n v="0"/>
  </r>
  <r>
    <x v="2"/>
    <x v="13"/>
    <n v="361"/>
    <n v="0"/>
  </r>
  <r>
    <x v="2"/>
    <x v="14"/>
    <n v="409"/>
    <n v="409"/>
  </r>
  <r>
    <x v="2"/>
    <x v="15"/>
    <n v="393"/>
    <n v="393"/>
  </r>
  <r>
    <x v="2"/>
    <x v="16"/>
    <n v="414"/>
    <n v="414"/>
  </r>
  <r>
    <x v="2"/>
    <x v="17"/>
    <n v="442"/>
    <n v="442"/>
  </r>
  <r>
    <x v="2"/>
    <x v="18"/>
    <n v="353"/>
    <n v="0"/>
  </r>
  <r>
    <x v="2"/>
    <x v="19"/>
    <n v="28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95"/>
    <x v="0"/>
    <x v="0"/>
  </r>
  <r>
    <x v="0"/>
    <x v="0"/>
    <x v="0"/>
    <x v="0"/>
    <x v="0"/>
    <x v="1"/>
    <n v="107"/>
    <x v="1"/>
    <x v="0"/>
  </r>
  <r>
    <x v="0"/>
    <x v="0"/>
    <x v="0"/>
    <x v="0"/>
    <x v="0"/>
    <x v="2"/>
    <n v="103"/>
    <x v="2"/>
    <x v="0"/>
  </r>
  <r>
    <x v="0"/>
    <x v="0"/>
    <x v="0"/>
    <x v="0"/>
    <x v="0"/>
    <x v="3"/>
    <n v="136"/>
    <x v="3"/>
    <x v="0"/>
  </r>
  <r>
    <x v="0"/>
    <x v="0"/>
    <x v="0"/>
    <x v="0"/>
    <x v="0"/>
    <x v="4"/>
    <n v="129"/>
    <x v="4"/>
    <x v="1"/>
  </r>
  <r>
    <x v="0"/>
    <x v="0"/>
    <x v="0"/>
    <x v="0"/>
    <x v="0"/>
    <x v="5"/>
    <n v="125"/>
    <x v="5"/>
    <x v="1"/>
  </r>
  <r>
    <x v="0"/>
    <x v="0"/>
    <x v="0"/>
    <x v="0"/>
    <x v="0"/>
    <x v="6"/>
    <n v="149"/>
    <x v="6"/>
    <x v="1"/>
  </r>
  <r>
    <x v="0"/>
    <x v="0"/>
    <x v="0"/>
    <x v="0"/>
    <x v="0"/>
    <x v="7"/>
    <n v="129"/>
    <x v="7"/>
    <x v="1"/>
  </r>
  <r>
    <x v="0"/>
    <x v="0"/>
    <x v="0"/>
    <x v="0"/>
    <x v="1"/>
    <x v="8"/>
    <n v="138"/>
    <x v="8"/>
    <x v="1"/>
  </r>
  <r>
    <x v="0"/>
    <x v="0"/>
    <x v="0"/>
    <x v="0"/>
    <x v="1"/>
    <x v="9"/>
    <n v="120"/>
    <x v="9"/>
    <x v="1"/>
  </r>
  <r>
    <x v="0"/>
    <x v="0"/>
    <x v="0"/>
    <x v="0"/>
    <x v="1"/>
    <x v="10"/>
    <n v="146"/>
    <x v="10"/>
    <x v="1"/>
  </r>
  <r>
    <x v="0"/>
    <x v="0"/>
    <x v="0"/>
    <x v="0"/>
    <x v="1"/>
    <x v="11"/>
    <n v="137"/>
    <x v="11"/>
    <x v="1"/>
  </r>
  <r>
    <x v="0"/>
    <x v="0"/>
    <x v="0"/>
    <x v="0"/>
    <x v="2"/>
    <x v="12"/>
    <n v="230"/>
    <x v="12"/>
    <x v="0"/>
  </r>
  <r>
    <x v="0"/>
    <x v="0"/>
    <x v="0"/>
    <x v="0"/>
    <x v="2"/>
    <x v="13"/>
    <n v="229"/>
    <x v="13"/>
    <x v="0"/>
  </r>
  <r>
    <x v="0"/>
    <x v="0"/>
    <x v="0"/>
    <x v="0"/>
    <x v="2"/>
    <x v="14"/>
    <n v="278"/>
    <x v="14"/>
    <x v="1"/>
  </r>
  <r>
    <x v="0"/>
    <x v="0"/>
    <x v="0"/>
    <x v="0"/>
    <x v="2"/>
    <x v="15"/>
    <n v="239"/>
    <x v="15"/>
    <x v="1"/>
  </r>
  <r>
    <x v="0"/>
    <x v="0"/>
    <x v="0"/>
    <x v="0"/>
    <x v="2"/>
    <x v="16"/>
    <n v="278"/>
    <x v="16"/>
    <x v="1"/>
  </r>
  <r>
    <x v="0"/>
    <x v="0"/>
    <x v="0"/>
    <x v="0"/>
    <x v="2"/>
    <x v="17"/>
    <n v="286"/>
    <x v="17"/>
    <x v="1"/>
  </r>
  <r>
    <x v="0"/>
    <x v="0"/>
    <x v="0"/>
    <x v="0"/>
    <x v="2"/>
    <x v="18"/>
    <n v="227"/>
    <x v="18"/>
    <x v="0"/>
  </r>
  <r>
    <x v="0"/>
    <x v="0"/>
    <x v="0"/>
    <x v="0"/>
    <x v="2"/>
    <x v="19"/>
    <n v="189"/>
    <x v="19"/>
    <x v="0"/>
  </r>
  <r>
    <x v="0"/>
    <x v="0"/>
    <x v="0"/>
    <x v="1"/>
    <x v="0"/>
    <x v="0"/>
    <n v="1"/>
    <x v="0"/>
    <x v="0"/>
  </r>
  <r>
    <x v="0"/>
    <x v="0"/>
    <x v="0"/>
    <x v="1"/>
    <x v="0"/>
    <x v="1"/>
    <n v="2"/>
    <x v="1"/>
    <x v="0"/>
  </r>
  <r>
    <x v="0"/>
    <x v="0"/>
    <x v="0"/>
    <x v="1"/>
    <x v="0"/>
    <x v="2"/>
    <n v="2"/>
    <x v="2"/>
    <x v="0"/>
  </r>
  <r>
    <x v="0"/>
    <x v="0"/>
    <x v="0"/>
    <x v="1"/>
    <x v="0"/>
    <x v="3"/>
    <n v="3"/>
    <x v="3"/>
    <x v="0"/>
  </r>
  <r>
    <x v="0"/>
    <x v="0"/>
    <x v="0"/>
    <x v="1"/>
    <x v="0"/>
    <x v="4"/>
    <n v="2"/>
    <x v="4"/>
    <x v="1"/>
  </r>
  <r>
    <x v="0"/>
    <x v="0"/>
    <x v="0"/>
    <x v="1"/>
    <x v="0"/>
    <x v="5"/>
    <n v="4"/>
    <x v="5"/>
    <x v="1"/>
  </r>
  <r>
    <x v="0"/>
    <x v="0"/>
    <x v="0"/>
    <x v="1"/>
    <x v="0"/>
    <x v="6"/>
    <n v="2"/>
    <x v="6"/>
    <x v="1"/>
  </r>
  <r>
    <x v="0"/>
    <x v="0"/>
    <x v="0"/>
    <x v="1"/>
    <x v="0"/>
    <x v="7"/>
    <n v="0"/>
    <x v="7"/>
    <x v="1"/>
  </r>
  <r>
    <x v="0"/>
    <x v="0"/>
    <x v="0"/>
    <x v="1"/>
    <x v="1"/>
    <x v="8"/>
    <n v="1"/>
    <x v="8"/>
    <x v="1"/>
  </r>
  <r>
    <x v="0"/>
    <x v="0"/>
    <x v="0"/>
    <x v="1"/>
    <x v="1"/>
    <x v="9"/>
    <n v="3"/>
    <x v="9"/>
    <x v="1"/>
  </r>
  <r>
    <x v="0"/>
    <x v="0"/>
    <x v="0"/>
    <x v="1"/>
    <x v="1"/>
    <x v="10"/>
    <n v="5"/>
    <x v="10"/>
    <x v="1"/>
  </r>
  <r>
    <x v="0"/>
    <x v="0"/>
    <x v="0"/>
    <x v="1"/>
    <x v="1"/>
    <x v="11"/>
    <n v="2"/>
    <x v="11"/>
    <x v="1"/>
  </r>
  <r>
    <x v="0"/>
    <x v="0"/>
    <x v="0"/>
    <x v="1"/>
    <x v="2"/>
    <x v="12"/>
    <n v="1"/>
    <x v="12"/>
    <x v="0"/>
  </r>
  <r>
    <x v="0"/>
    <x v="0"/>
    <x v="0"/>
    <x v="1"/>
    <x v="2"/>
    <x v="13"/>
    <n v="3"/>
    <x v="13"/>
    <x v="0"/>
  </r>
  <r>
    <x v="0"/>
    <x v="0"/>
    <x v="0"/>
    <x v="1"/>
    <x v="2"/>
    <x v="14"/>
    <n v="3"/>
    <x v="14"/>
    <x v="1"/>
  </r>
  <r>
    <x v="0"/>
    <x v="0"/>
    <x v="0"/>
    <x v="1"/>
    <x v="2"/>
    <x v="15"/>
    <n v="3"/>
    <x v="15"/>
    <x v="1"/>
  </r>
  <r>
    <x v="0"/>
    <x v="0"/>
    <x v="0"/>
    <x v="1"/>
    <x v="2"/>
    <x v="16"/>
    <n v="2"/>
    <x v="16"/>
    <x v="1"/>
  </r>
  <r>
    <x v="0"/>
    <x v="0"/>
    <x v="0"/>
    <x v="1"/>
    <x v="2"/>
    <x v="17"/>
    <n v="1"/>
    <x v="17"/>
    <x v="1"/>
  </r>
  <r>
    <x v="0"/>
    <x v="0"/>
    <x v="0"/>
    <x v="1"/>
    <x v="2"/>
    <x v="18"/>
    <n v="4"/>
    <x v="18"/>
    <x v="0"/>
  </r>
  <r>
    <x v="0"/>
    <x v="0"/>
    <x v="0"/>
    <x v="1"/>
    <x v="2"/>
    <x v="19"/>
    <n v="3"/>
    <x v="19"/>
    <x v="0"/>
  </r>
  <r>
    <x v="0"/>
    <x v="0"/>
    <x v="0"/>
    <x v="2"/>
    <x v="0"/>
    <x v="0"/>
    <n v="2"/>
    <x v="0"/>
    <x v="0"/>
  </r>
  <r>
    <x v="0"/>
    <x v="0"/>
    <x v="0"/>
    <x v="2"/>
    <x v="0"/>
    <x v="1"/>
    <n v="1"/>
    <x v="1"/>
    <x v="0"/>
  </r>
  <r>
    <x v="0"/>
    <x v="0"/>
    <x v="0"/>
    <x v="2"/>
    <x v="0"/>
    <x v="2"/>
    <n v="1"/>
    <x v="2"/>
    <x v="0"/>
  </r>
  <r>
    <x v="0"/>
    <x v="0"/>
    <x v="0"/>
    <x v="2"/>
    <x v="0"/>
    <x v="3"/>
    <n v="2"/>
    <x v="3"/>
    <x v="0"/>
  </r>
  <r>
    <x v="0"/>
    <x v="0"/>
    <x v="0"/>
    <x v="2"/>
    <x v="0"/>
    <x v="4"/>
    <n v="3"/>
    <x v="4"/>
    <x v="1"/>
  </r>
  <r>
    <x v="0"/>
    <x v="0"/>
    <x v="0"/>
    <x v="2"/>
    <x v="0"/>
    <x v="5"/>
    <n v="0"/>
    <x v="5"/>
    <x v="1"/>
  </r>
  <r>
    <x v="0"/>
    <x v="0"/>
    <x v="0"/>
    <x v="2"/>
    <x v="0"/>
    <x v="6"/>
    <n v="2"/>
    <x v="6"/>
    <x v="1"/>
  </r>
  <r>
    <x v="0"/>
    <x v="0"/>
    <x v="0"/>
    <x v="2"/>
    <x v="0"/>
    <x v="7"/>
    <n v="1"/>
    <x v="7"/>
    <x v="1"/>
  </r>
  <r>
    <x v="0"/>
    <x v="0"/>
    <x v="0"/>
    <x v="2"/>
    <x v="1"/>
    <x v="8"/>
    <n v="1"/>
    <x v="8"/>
    <x v="1"/>
  </r>
  <r>
    <x v="0"/>
    <x v="0"/>
    <x v="0"/>
    <x v="2"/>
    <x v="1"/>
    <x v="9"/>
    <n v="2"/>
    <x v="9"/>
    <x v="1"/>
  </r>
  <r>
    <x v="0"/>
    <x v="0"/>
    <x v="0"/>
    <x v="2"/>
    <x v="1"/>
    <x v="10"/>
    <n v="2"/>
    <x v="10"/>
    <x v="1"/>
  </r>
  <r>
    <x v="0"/>
    <x v="0"/>
    <x v="0"/>
    <x v="2"/>
    <x v="1"/>
    <x v="11"/>
    <n v="1"/>
    <x v="11"/>
    <x v="1"/>
  </r>
  <r>
    <x v="0"/>
    <x v="0"/>
    <x v="0"/>
    <x v="2"/>
    <x v="2"/>
    <x v="12"/>
    <n v="5"/>
    <x v="12"/>
    <x v="0"/>
  </r>
  <r>
    <x v="0"/>
    <x v="0"/>
    <x v="0"/>
    <x v="2"/>
    <x v="2"/>
    <x v="13"/>
    <n v="5"/>
    <x v="13"/>
    <x v="0"/>
  </r>
  <r>
    <x v="0"/>
    <x v="0"/>
    <x v="0"/>
    <x v="2"/>
    <x v="2"/>
    <x v="14"/>
    <n v="4"/>
    <x v="14"/>
    <x v="1"/>
  </r>
  <r>
    <x v="0"/>
    <x v="0"/>
    <x v="0"/>
    <x v="2"/>
    <x v="2"/>
    <x v="15"/>
    <n v="7"/>
    <x v="15"/>
    <x v="1"/>
  </r>
  <r>
    <x v="0"/>
    <x v="0"/>
    <x v="0"/>
    <x v="2"/>
    <x v="2"/>
    <x v="16"/>
    <n v="2"/>
    <x v="16"/>
    <x v="1"/>
  </r>
  <r>
    <x v="0"/>
    <x v="0"/>
    <x v="0"/>
    <x v="2"/>
    <x v="2"/>
    <x v="17"/>
    <n v="10"/>
    <x v="17"/>
    <x v="1"/>
  </r>
  <r>
    <x v="0"/>
    <x v="0"/>
    <x v="0"/>
    <x v="2"/>
    <x v="2"/>
    <x v="18"/>
    <n v="6"/>
    <x v="18"/>
    <x v="0"/>
  </r>
  <r>
    <x v="0"/>
    <x v="0"/>
    <x v="0"/>
    <x v="2"/>
    <x v="2"/>
    <x v="19"/>
    <n v="4"/>
    <x v="19"/>
    <x v="0"/>
  </r>
  <r>
    <x v="0"/>
    <x v="1"/>
    <x v="1"/>
    <x v="0"/>
    <x v="0"/>
    <x v="0"/>
    <n v="5"/>
    <x v="0"/>
    <x v="0"/>
  </r>
  <r>
    <x v="0"/>
    <x v="1"/>
    <x v="1"/>
    <x v="0"/>
    <x v="0"/>
    <x v="1"/>
    <n v="1"/>
    <x v="1"/>
    <x v="0"/>
  </r>
  <r>
    <x v="0"/>
    <x v="1"/>
    <x v="1"/>
    <x v="0"/>
    <x v="0"/>
    <x v="2"/>
    <n v="1"/>
    <x v="2"/>
    <x v="0"/>
  </r>
  <r>
    <x v="0"/>
    <x v="1"/>
    <x v="1"/>
    <x v="0"/>
    <x v="0"/>
    <x v="3"/>
    <n v="3"/>
    <x v="3"/>
    <x v="0"/>
  </r>
  <r>
    <x v="0"/>
    <x v="1"/>
    <x v="1"/>
    <x v="0"/>
    <x v="0"/>
    <x v="4"/>
    <n v="4"/>
    <x v="4"/>
    <x v="1"/>
  </r>
  <r>
    <x v="0"/>
    <x v="1"/>
    <x v="1"/>
    <x v="0"/>
    <x v="0"/>
    <x v="5"/>
    <n v="8"/>
    <x v="5"/>
    <x v="1"/>
  </r>
  <r>
    <x v="0"/>
    <x v="1"/>
    <x v="1"/>
    <x v="0"/>
    <x v="0"/>
    <x v="6"/>
    <n v="1"/>
    <x v="6"/>
    <x v="1"/>
  </r>
  <r>
    <x v="0"/>
    <x v="1"/>
    <x v="1"/>
    <x v="0"/>
    <x v="0"/>
    <x v="7"/>
    <n v="7"/>
    <x v="7"/>
    <x v="1"/>
  </r>
  <r>
    <x v="0"/>
    <x v="1"/>
    <x v="1"/>
    <x v="0"/>
    <x v="1"/>
    <x v="8"/>
    <n v="8"/>
    <x v="8"/>
    <x v="1"/>
  </r>
  <r>
    <x v="0"/>
    <x v="1"/>
    <x v="1"/>
    <x v="0"/>
    <x v="1"/>
    <x v="9"/>
    <n v="5"/>
    <x v="9"/>
    <x v="1"/>
  </r>
  <r>
    <x v="0"/>
    <x v="1"/>
    <x v="1"/>
    <x v="0"/>
    <x v="1"/>
    <x v="10"/>
    <n v="11"/>
    <x v="10"/>
    <x v="1"/>
  </r>
  <r>
    <x v="0"/>
    <x v="1"/>
    <x v="1"/>
    <x v="0"/>
    <x v="1"/>
    <x v="11"/>
    <n v="5"/>
    <x v="11"/>
    <x v="1"/>
  </r>
  <r>
    <x v="0"/>
    <x v="1"/>
    <x v="1"/>
    <x v="0"/>
    <x v="2"/>
    <x v="12"/>
    <n v="9"/>
    <x v="12"/>
    <x v="0"/>
  </r>
  <r>
    <x v="0"/>
    <x v="1"/>
    <x v="1"/>
    <x v="0"/>
    <x v="2"/>
    <x v="13"/>
    <n v="8"/>
    <x v="13"/>
    <x v="0"/>
  </r>
  <r>
    <x v="0"/>
    <x v="1"/>
    <x v="1"/>
    <x v="0"/>
    <x v="2"/>
    <x v="14"/>
    <n v="15"/>
    <x v="14"/>
    <x v="1"/>
  </r>
  <r>
    <x v="0"/>
    <x v="1"/>
    <x v="1"/>
    <x v="0"/>
    <x v="2"/>
    <x v="15"/>
    <n v="6"/>
    <x v="15"/>
    <x v="1"/>
  </r>
  <r>
    <x v="0"/>
    <x v="1"/>
    <x v="1"/>
    <x v="0"/>
    <x v="2"/>
    <x v="16"/>
    <n v="11"/>
    <x v="16"/>
    <x v="1"/>
  </r>
  <r>
    <x v="0"/>
    <x v="1"/>
    <x v="1"/>
    <x v="0"/>
    <x v="2"/>
    <x v="17"/>
    <n v="7"/>
    <x v="17"/>
    <x v="1"/>
  </r>
  <r>
    <x v="0"/>
    <x v="1"/>
    <x v="1"/>
    <x v="0"/>
    <x v="2"/>
    <x v="18"/>
    <n v="8"/>
    <x v="18"/>
    <x v="0"/>
  </r>
  <r>
    <x v="0"/>
    <x v="1"/>
    <x v="1"/>
    <x v="0"/>
    <x v="2"/>
    <x v="19"/>
    <n v="1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1"/>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0"/>
    <x v="0"/>
    <x v="0"/>
    <x v="0"/>
    <n v="9"/>
    <x v="0"/>
    <x v="0"/>
  </r>
  <r>
    <x v="1"/>
    <x v="2"/>
    <x v="0"/>
    <x v="0"/>
    <x v="0"/>
    <x v="1"/>
    <n v="12"/>
    <x v="1"/>
    <x v="0"/>
  </r>
  <r>
    <x v="1"/>
    <x v="2"/>
    <x v="0"/>
    <x v="0"/>
    <x v="0"/>
    <x v="2"/>
    <n v="6"/>
    <x v="2"/>
    <x v="0"/>
  </r>
  <r>
    <x v="1"/>
    <x v="2"/>
    <x v="0"/>
    <x v="0"/>
    <x v="0"/>
    <x v="3"/>
    <n v="10"/>
    <x v="3"/>
    <x v="0"/>
  </r>
  <r>
    <x v="1"/>
    <x v="2"/>
    <x v="0"/>
    <x v="0"/>
    <x v="0"/>
    <x v="4"/>
    <n v="11"/>
    <x v="4"/>
    <x v="1"/>
  </r>
  <r>
    <x v="1"/>
    <x v="2"/>
    <x v="0"/>
    <x v="0"/>
    <x v="0"/>
    <x v="5"/>
    <n v="19"/>
    <x v="5"/>
    <x v="1"/>
  </r>
  <r>
    <x v="1"/>
    <x v="2"/>
    <x v="0"/>
    <x v="0"/>
    <x v="0"/>
    <x v="6"/>
    <n v="13"/>
    <x v="6"/>
    <x v="1"/>
  </r>
  <r>
    <x v="1"/>
    <x v="2"/>
    <x v="0"/>
    <x v="0"/>
    <x v="0"/>
    <x v="7"/>
    <n v="12"/>
    <x v="7"/>
    <x v="1"/>
  </r>
  <r>
    <x v="1"/>
    <x v="2"/>
    <x v="0"/>
    <x v="0"/>
    <x v="1"/>
    <x v="8"/>
    <n v="14"/>
    <x v="8"/>
    <x v="1"/>
  </r>
  <r>
    <x v="1"/>
    <x v="2"/>
    <x v="0"/>
    <x v="0"/>
    <x v="1"/>
    <x v="9"/>
    <n v="16"/>
    <x v="9"/>
    <x v="1"/>
  </r>
  <r>
    <x v="1"/>
    <x v="2"/>
    <x v="0"/>
    <x v="0"/>
    <x v="1"/>
    <x v="10"/>
    <n v="18"/>
    <x v="10"/>
    <x v="1"/>
  </r>
  <r>
    <x v="1"/>
    <x v="2"/>
    <x v="0"/>
    <x v="0"/>
    <x v="1"/>
    <x v="11"/>
    <n v="17"/>
    <x v="11"/>
    <x v="1"/>
  </r>
  <r>
    <x v="1"/>
    <x v="2"/>
    <x v="0"/>
    <x v="0"/>
    <x v="2"/>
    <x v="12"/>
    <n v="25"/>
    <x v="12"/>
    <x v="0"/>
  </r>
  <r>
    <x v="1"/>
    <x v="2"/>
    <x v="0"/>
    <x v="0"/>
    <x v="2"/>
    <x v="13"/>
    <n v="26"/>
    <x v="13"/>
    <x v="0"/>
  </r>
  <r>
    <x v="1"/>
    <x v="2"/>
    <x v="0"/>
    <x v="0"/>
    <x v="2"/>
    <x v="14"/>
    <n v="22"/>
    <x v="14"/>
    <x v="1"/>
  </r>
  <r>
    <x v="1"/>
    <x v="2"/>
    <x v="0"/>
    <x v="0"/>
    <x v="2"/>
    <x v="15"/>
    <n v="33"/>
    <x v="15"/>
    <x v="1"/>
  </r>
  <r>
    <x v="1"/>
    <x v="2"/>
    <x v="0"/>
    <x v="0"/>
    <x v="2"/>
    <x v="16"/>
    <n v="41"/>
    <x v="16"/>
    <x v="1"/>
  </r>
  <r>
    <x v="1"/>
    <x v="2"/>
    <x v="0"/>
    <x v="0"/>
    <x v="2"/>
    <x v="17"/>
    <n v="35"/>
    <x v="17"/>
    <x v="1"/>
  </r>
  <r>
    <x v="1"/>
    <x v="2"/>
    <x v="0"/>
    <x v="0"/>
    <x v="2"/>
    <x v="18"/>
    <n v="30"/>
    <x v="18"/>
    <x v="0"/>
  </r>
  <r>
    <x v="1"/>
    <x v="2"/>
    <x v="0"/>
    <x v="0"/>
    <x v="2"/>
    <x v="19"/>
    <n v="17"/>
    <x v="19"/>
    <x v="0"/>
  </r>
  <r>
    <x v="1"/>
    <x v="2"/>
    <x v="0"/>
    <x v="1"/>
    <x v="0"/>
    <x v="0"/>
    <n v="0"/>
    <x v="0"/>
    <x v="0"/>
  </r>
  <r>
    <x v="1"/>
    <x v="2"/>
    <x v="0"/>
    <x v="1"/>
    <x v="0"/>
    <x v="1"/>
    <n v="0"/>
    <x v="1"/>
    <x v="0"/>
  </r>
  <r>
    <x v="1"/>
    <x v="2"/>
    <x v="0"/>
    <x v="1"/>
    <x v="0"/>
    <x v="2"/>
    <n v="1"/>
    <x v="2"/>
    <x v="0"/>
  </r>
  <r>
    <x v="1"/>
    <x v="2"/>
    <x v="0"/>
    <x v="1"/>
    <x v="0"/>
    <x v="3"/>
    <n v="1"/>
    <x v="3"/>
    <x v="0"/>
  </r>
  <r>
    <x v="1"/>
    <x v="2"/>
    <x v="0"/>
    <x v="1"/>
    <x v="0"/>
    <x v="4"/>
    <n v="2"/>
    <x v="4"/>
    <x v="1"/>
  </r>
  <r>
    <x v="1"/>
    <x v="2"/>
    <x v="0"/>
    <x v="1"/>
    <x v="0"/>
    <x v="5"/>
    <n v="0"/>
    <x v="5"/>
    <x v="1"/>
  </r>
  <r>
    <x v="1"/>
    <x v="2"/>
    <x v="0"/>
    <x v="1"/>
    <x v="0"/>
    <x v="6"/>
    <n v="0"/>
    <x v="6"/>
    <x v="1"/>
  </r>
  <r>
    <x v="1"/>
    <x v="2"/>
    <x v="0"/>
    <x v="1"/>
    <x v="0"/>
    <x v="7"/>
    <n v="3"/>
    <x v="7"/>
    <x v="1"/>
  </r>
  <r>
    <x v="1"/>
    <x v="2"/>
    <x v="0"/>
    <x v="1"/>
    <x v="1"/>
    <x v="8"/>
    <n v="1"/>
    <x v="8"/>
    <x v="1"/>
  </r>
  <r>
    <x v="1"/>
    <x v="2"/>
    <x v="0"/>
    <x v="1"/>
    <x v="1"/>
    <x v="9"/>
    <n v="0"/>
    <x v="9"/>
    <x v="1"/>
  </r>
  <r>
    <x v="1"/>
    <x v="2"/>
    <x v="0"/>
    <x v="1"/>
    <x v="1"/>
    <x v="10"/>
    <n v="0"/>
    <x v="10"/>
    <x v="1"/>
  </r>
  <r>
    <x v="1"/>
    <x v="2"/>
    <x v="0"/>
    <x v="1"/>
    <x v="1"/>
    <x v="11"/>
    <n v="1"/>
    <x v="11"/>
    <x v="1"/>
  </r>
  <r>
    <x v="1"/>
    <x v="2"/>
    <x v="0"/>
    <x v="1"/>
    <x v="2"/>
    <x v="12"/>
    <n v="1"/>
    <x v="12"/>
    <x v="0"/>
  </r>
  <r>
    <x v="1"/>
    <x v="2"/>
    <x v="0"/>
    <x v="1"/>
    <x v="2"/>
    <x v="13"/>
    <n v="2"/>
    <x v="13"/>
    <x v="0"/>
  </r>
  <r>
    <x v="1"/>
    <x v="2"/>
    <x v="0"/>
    <x v="1"/>
    <x v="2"/>
    <x v="14"/>
    <n v="0"/>
    <x v="14"/>
    <x v="1"/>
  </r>
  <r>
    <x v="1"/>
    <x v="2"/>
    <x v="0"/>
    <x v="1"/>
    <x v="2"/>
    <x v="15"/>
    <n v="1"/>
    <x v="15"/>
    <x v="1"/>
  </r>
  <r>
    <x v="1"/>
    <x v="2"/>
    <x v="0"/>
    <x v="1"/>
    <x v="2"/>
    <x v="16"/>
    <n v="2"/>
    <x v="16"/>
    <x v="1"/>
  </r>
  <r>
    <x v="1"/>
    <x v="2"/>
    <x v="0"/>
    <x v="1"/>
    <x v="2"/>
    <x v="17"/>
    <n v="2"/>
    <x v="17"/>
    <x v="1"/>
  </r>
  <r>
    <x v="1"/>
    <x v="2"/>
    <x v="0"/>
    <x v="1"/>
    <x v="2"/>
    <x v="18"/>
    <n v="0"/>
    <x v="18"/>
    <x v="0"/>
  </r>
  <r>
    <x v="1"/>
    <x v="2"/>
    <x v="0"/>
    <x v="1"/>
    <x v="2"/>
    <x v="19"/>
    <n v="2"/>
    <x v="19"/>
    <x v="0"/>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1"/>
    <x v="13"/>
    <x v="0"/>
  </r>
  <r>
    <x v="1"/>
    <x v="2"/>
    <x v="0"/>
    <x v="2"/>
    <x v="2"/>
    <x v="14"/>
    <n v="0"/>
    <x v="14"/>
    <x v="1"/>
  </r>
  <r>
    <x v="1"/>
    <x v="2"/>
    <x v="0"/>
    <x v="2"/>
    <x v="2"/>
    <x v="15"/>
    <n v="0"/>
    <x v="15"/>
    <x v="1"/>
  </r>
  <r>
    <x v="1"/>
    <x v="2"/>
    <x v="0"/>
    <x v="2"/>
    <x v="2"/>
    <x v="16"/>
    <n v="1"/>
    <x v="16"/>
    <x v="1"/>
  </r>
  <r>
    <x v="1"/>
    <x v="2"/>
    <x v="0"/>
    <x v="2"/>
    <x v="2"/>
    <x v="17"/>
    <n v="2"/>
    <x v="17"/>
    <x v="1"/>
  </r>
  <r>
    <x v="1"/>
    <x v="2"/>
    <x v="0"/>
    <x v="2"/>
    <x v="2"/>
    <x v="18"/>
    <n v="2"/>
    <x v="18"/>
    <x v="0"/>
  </r>
  <r>
    <x v="1"/>
    <x v="2"/>
    <x v="0"/>
    <x v="2"/>
    <x v="2"/>
    <x v="19"/>
    <n v="0"/>
    <x v="19"/>
    <x v="0"/>
  </r>
  <r>
    <x v="1"/>
    <x v="3"/>
    <x v="1"/>
    <x v="0"/>
    <x v="0"/>
    <x v="0"/>
    <n v="29"/>
    <x v="0"/>
    <x v="0"/>
  </r>
  <r>
    <x v="1"/>
    <x v="3"/>
    <x v="1"/>
    <x v="0"/>
    <x v="0"/>
    <x v="1"/>
    <n v="43"/>
    <x v="1"/>
    <x v="0"/>
  </r>
  <r>
    <x v="1"/>
    <x v="3"/>
    <x v="1"/>
    <x v="0"/>
    <x v="0"/>
    <x v="2"/>
    <n v="21"/>
    <x v="2"/>
    <x v="0"/>
  </r>
  <r>
    <x v="1"/>
    <x v="3"/>
    <x v="1"/>
    <x v="0"/>
    <x v="0"/>
    <x v="3"/>
    <n v="48"/>
    <x v="3"/>
    <x v="0"/>
  </r>
  <r>
    <x v="1"/>
    <x v="3"/>
    <x v="1"/>
    <x v="0"/>
    <x v="0"/>
    <x v="4"/>
    <n v="49"/>
    <x v="4"/>
    <x v="1"/>
  </r>
  <r>
    <x v="1"/>
    <x v="3"/>
    <x v="1"/>
    <x v="0"/>
    <x v="0"/>
    <x v="5"/>
    <n v="70"/>
    <x v="5"/>
    <x v="1"/>
  </r>
  <r>
    <x v="1"/>
    <x v="3"/>
    <x v="1"/>
    <x v="0"/>
    <x v="0"/>
    <x v="6"/>
    <n v="58"/>
    <x v="6"/>
    <x v="1"/>
  </r>
  <r>
    <x v="1"/>
    <x v="3"/>
    <x v="1"/>
    <x v="0"/>
    <x v="0"/>
    <x v="7"/>
    <n v="56"/>
    <x v="7"/>
    <x v="1"/>
  </r>
  <r>
    <x v="1"/>
    <x v="3"/>
    <x v="1"/>
    <x v="0"/>
    <x v="1"/>
    <x v="8"/>
    <n v="52"/>
    <x v="8"/>
    <x v="1"/>
  </r>
  <r>
    <x v="1"/>
    <x v="3"/>
    <x v="1"/>
    <x v="0"/>
    <x v="1"/>
    <x v="9"/>
    <n v="50"/>
    <x v="9"/>
    <x v="1"/>
  </r>
  <r>
    <x v="1"/>
    <x v="3"/>
    <x v="1"/>
    <x v="0"/>
    <x v="1"/>
    <x v="10"/>
    <n v="35"/>
    <x v="10"/>
    <x v="1"/>
  </r>
  <r>
    <x v="1"/>
    <x v="3"/>
    <x v="1"/>
    <x v="0"/>
    <x v="1"/>
    <x v="11"/>
    <n v="58"/>
    <x v="11"/>
    <x v="1"/>
  </r>
  <r>
    <x v="1"/>
    <x v="3"/>
    <x v="1"/>
    <x v="0"/>
    <x v="2"/>
    <x v="12"/>
    <n v="65"/>
    <x v="12"/>
    <x v="0"/>
  </r>
  <r>
    <x v="1"/>
    <x v="3"/>
    <x v="1"/>
    <x v="0"/>
    <x v="2"/>
    <x v="13"/>
    <n v="83"/>
    <x v="13"/>
    <x v="0"/>
  </r>
  <r>
    <x v="1"/>
    <x v="3"/>
    <x v="1"/>
    <x v="0"/>
    <x v="2"/>
    <x v="14"/>
    <n v="84"/>
    <x v="14"/>
    <x v="1"/>
  </r>
  <r>
    <x v="1"/>
    <x v="3"/>
    <x v="1"/>
    <x v="0"/>
    <x v="2"/>
    <x v="15"/>
    <n v="95"/>
    <x v="15"/>
    <x v="1"/>
  </r>
  <r>
    <x v="1"/>
    <x v="3"/>
    <x v="1"/>
    <x v="0"/>
    <x v="2"/>
    <x v="16"/>
    <n v="73"/>
    <x v="16"/>
    <x v="1"/>
  </r>
  <r>
    <x v="1"/>
    <x v="3"/>
    <x v="1"/>
    <x v="0"/>
    <x v="2"/>
    <x v="17"/>
    <n v="91"/>
    <x v="17"/>
    <x v="1"/>
  </r>
  <r>
    <x v="1"/>
    <x v="3"/>
    <x v="1"/>
    <x v="0"/>
    <x v="2"/>
    <x v="18"/>
    <n v="76"/>
    <x v="18"/>
    <x v="0"/>
  </r>
  <r>
    <x v="1"/>
    <x v="3"/>
    <x v="1"/>
    <x v="0"/>
    <x v="2"/>
    <x v="19"/>
    <n v="58"/>
    <x v="19"/>
    <x v="0"/>
  </r>
  <r>
    <x v="1"/>
    <x v="3"/>
    <x v="1"/>
    <x v="1"/>
    <x v="0"/>
    <x v="0"/>
    <n v="1"/>
    <x v="0"/>
    <x v="0"/>
  </r>
  <r>
    <x v="1"/>
    <x v="3"/>
    <x v="1"/>
    <x v="1"/>
    <x v="0"/>
    <x v="1"/>
    <n v="0"/>
    <x v="1"/>
    <x v="0"/>
  </r>
  <r>
    <x v="1"/>
    <x v="3"/>
    <x v="1"/>
    <x v="1"/>
    <x v="0"/>
    <x v="2"/>
    <n v="0"/>
    <x v="2"/>
    <x v="0"/>
  </r>
  <r>
    <x v="1"/>
    <x v="3"/>
    <x v="1"/>
    <x v="1"/>
    <x v="0"/>
    <x v="3"/>
    <n v="3"/>
    <x v="3"/>
    <x v="0"/>
  </r>
  <r>
    <x v="1"/>
    <x v="3"/>
    <x v="1"/>
    <x v="1"/>
    <x v="0"/>
    <x v="4"/>
    <n v="0"/>
    <x v="4"/>
    <x v="1"/>
  </r>
  <r>
    <x v="1"/>
    <x v="3"/>
    <x v="1"/>
    <x v="1"/>
    <x v="0"/>
    <x v="5"/>
    <n v="3"/>
    <x v="5"/>
    <x v="1"/>
  </r>
  <r>
    <x v="1"/>
    <x v="3"/>
    <x v="1"/>
    <x v="1"/>
    <x v="0"/>
    <x v="6"/>
    <n v="1"/>
    <x v="6"/>
    <x v="1"/>
  </r>
  <r>
    <x v="1"/>
    <x v="3"/>
    <x v="1"/>
    <x v="1"/>
    <x v="0"/>
    <x v="7"/>
    <n v="1"/>
    <x v="7"/>
    <x v="1"/>
  </r>
  <r>
    <x v="1"/>
    <x v="3"/>
    <x v="1"/>
    <x v="1"/>
    <x v="1"/>
    <x v="8"/>
    <n v="0"/>
    <x v="8"/>
    <x v="1"/>
  </r>
  <r>
    <x v="1"/>
    <x v="3"/>
    <x v="1"/>
    <x v="1"/>
    <x v="1"/>
    <x v="9"/>
    <n v="2"/>
    <x v="9"/>
    <x v="1"/>
  </r>
  <r>
    <x v="1"/>
    <x v="3"/>
    <x v="1"/>
    <x v="1"/>
    <x v="1"/>
    <x v="10"/>
    <n v="0"/>
    <x v="10"/>
    <x v="1"/>
  </r>
  <r>
    <x v="1"/>
    <x v="3"/>
    <x v="1"/>
    <x v="1"/>
    <x v="1"/>
    <x v="11"/>
    <n v="1"/>
    <x v="11"/>
    <x v="1"/>
  </r>
  <r>
    <x v="1"/>
    <x v="3"/>
    <x v="1"/>
    <x v="1"/>
    <x v="2"/>
    <x v="12"/>
    <n v="0"/>
    <x v="12"/>
    <x v="0"/>
  </r>
  <r>
    <x v="1"/>
    <x v="3"/>
    <x v="1"/>
    <x v="1"/>
    <x v="2"/>
    <x v="13"/>
    <n v="2"/>
    <x v="13"/>
    <x v="0"/>
  </r>
  <r>
    <x v="1"/>
    <x v="3"/>
    <x v="1"/>
    <x v="1"/>
    <x v="2"/>
    <x v="14"/>
    <n v="0"/>
    <x v="14"/>
    <x v="1"/>
  </r>
  <r>
    <x v="1"/>
    <x v="3"/>
    <x v="1"/>
    <x v="1"/>
    <x v="2"/>
    <x v="15"/>
    <n v="0"/>
    <x v="15"/>
    <x v="1"/>
  </r>
  <r>
    <x v="1"/>
    <x v="3"/>
    <x v="1"/>
    <x v="1"/>
    <x v="2"/>
    <x v="16"/>
    <n v="0"/>
    <x v="16"/>
    <x v="1"/>
  </r>
  <r>
    <x v="1"/>
    <x v="3"/>
    <x v="1"/>
    <x v="1"/>
    <x v="2"/>
    <x v="17"/>
    <n v="1"/>
    <x v="17"/>
    <x v="1"/>
  </r>
  <r>
    <x v="1"/>
    <x v="3"/>
    <x v="1"/>
    <x v="1"/>
    <x v="2"/>
    <x v="18"/>
    <n v="0"/>
    <x v="18"/>
    <x v="0"/>
  </r>
  <r>
    <x v="1"/>
    <x v="3"/>
    <x v="1"/>
    <x v="1"/>
    <x v="2"/>
    <x v="19"/>
    <n v="0"/>
    <x v="19"/>
    <x v="0"/>
  </r>
  <r>
    <x v="1"/>
    <x v="3"/>
    <x v="1"/>
    <x v="2"/>
    <x v="0"/>
    <x v="0"/>
    <n v="1"/>
    <x v="0"/>
    <x v="0"/>
  </r>
  <r>
    <x v="1"/>
    <x v="3"/>
    <x v="1"/>
    <x v="2"/>
    <x v="0"/>
    <x v="1"/>
    <n v="0"/>
    <x v="1"/>
    <x v="0"/>
  </r>
  <r>
    <x v="1"/>
    <x v="3"/>
    <x v="1"/>
    <x v="2"/>
    <x v="0"/>
    <x v="2"/>
    <n v="1"/>
    <x v="2"/>
    <x v="0"/>
  </r>
  <r>
    <x v="1"/>
    <x v="3"/>
    <x v="1"/>
    <x v="2"/>
    <x v="0"/>
    <x v="3"/>
    <n v="1"/>
    <x v="3"/>
    <x v="0"/>
  </r>
  <r>
    <x v="1"/>
    <x v="3"/>
    <x v="1"/>
    <x v="2"/>
    <x v="0"/>
    <x v="4"/>
    <n v="2"/>
    <x v="4"/>
    <x v="1"/>
  </r>
  <r>
    <x v="1"/>
    <x v="3"/>
    <x v="1"/>
    <x v="2"/>
    <x v="0"/>
    <x v="5"/>
    <n v="2"/>
    <x v="5"/>
    <x v="1"/>
  </r>
  <r>
    <x v="1"/>
    <x v="3"/>
    <x v="1"/>
    <x v="2"/>
    <x v="0"/>
    <x v="6"/>
    <n v="1"/>
    <x v="6"/>
    <x v="1"/>
  </r>
  <r>
    <x v="1"/>
    <x v="3"/>
    <x v="1"/>
    <x v="2"/>
    <x v="0"/>
    <x v="7"/>
    <n v="1"/>
    <x v="7"/>
    <x v="1"/>
  </r>
  <r>
    <x v="1"/>
    <x v="3"/>
    <x v="1"/>
    <x v="2"/>
    <x v="1"/>
    <x v="8"/>
    <n v="1"/>
    <x v="8"/>
    <x v="1"/>
  </r>
  <r>
    <x v="1"/>
    <x v="3"/>
    <x v="1"/>
    <x v="2"/>
    <x v="1"/>
    <x v="9"/>
    <n v="0"/>
    <x v="9"/>
    <x v="1"/>
  </r>
  <r>
    <x v="1"/>
    <x v="3"/>
    <x v="1"/>
    <x v="2"/>
    <x v="1"/>
    <x v="10"/>
    <n v="2"/>
    <x v="10"/>
    <x v="1"/>
  </r>
  <r>
    <x v="1"/>
    <x v="3"/>
    <x v="1"/>
    <x v="2"/>
    <x v="1"/>
    <x v="11"/>
    <n v="1"/>
    <x v="11"/>
    <x v="1"/>
  </r>
  <r>
    <x v="1"/>
    <x v="3"/>
    <x v="1"/>
    <x v="2"/>
    <x v="2"/>
    <x v="12"/>
    <n v="0"/>
    <x v="12"/>
    <x v="0"/>
  </r>
  <r>
    <x v="1"/>
    <x v="3"/>
    <x v="1"/>
    <x v="2"/>
    <x v="2"/>
    <x v="13"/>
    <n v="2"/>
    <x v="13"/>
    <x v="0"/>
  </r>
  <r>
    <x v="1"/>
    <x v="3"/>
    <x v="1"/>
    <x v="2"/>
    <x v="2"/>
    <x v="14"/>
    <n v="3"/>
    <x v="14"/>
    <x v="1"/>
  </r>
  <r>
    <x v="1"/>
    <x v="3"/>
    <x v="1"/>
    <x v="2"/>
    <x v="2"/>
    <x v="15"/>
    <n v="9"/>
    <x v="15"/>
    <x v="1"/>
  </r>
  <r>
    <x v="1"/>
    <x v="3"/>
    <x v="1"/>
    <x v="2"/>
    <x v="2"/>
    <x v="16"/>
    <n v="4"/>
    <x v="16"/>
    <x v="1"/>
  </r>
  <r>
    <x v="1"/>
    <x v="3"/>
    <x v="1"/>
    <x v="2"/>
    <x v="2"/>
    <x v="17"/>
    <n v="7"/>
    <x v="17"/>
    <x v="1"/>
  </r>
  <r>
    <x v="1"/>
    <x v="3"/>
    <x v="1"/>
    <x v="2"/>
    <x v="2"/>
    <x v="18"/>
    <n v="0"/>
    <x v="18"/>
    <x v="0"/>
  </r>
  <r>
    <x v="1"/>
    <x v="3"/>
    <x v="1"/>
    <x v="2"/>
    <x v="2"/>
    <x v="19"/>
    <n v="5"/>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5"/>
        <item m="1" x="2"/>
        <item m="1" x="4"/>
        <item x="0"/>
        <item m="1"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0" sqref="E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95</v>
      </c>
      <c r="D22" t="s">
        <v>27</v>
      </c>
      <c r="E22" s="1" t="s">
        <v>99</v>
      </c>
    </row>
    <row r="23" spans="2:10" x14ac:dyDescent="0.25">
      <c r="B23" t="s">
        <v>21</v>
      </c>
      <c r="C23" s="1" t="s">
        <v>96</v>
      </c>
      <c r="D23" t="s">
        <v>27</v>
      </c>
      <c r="E23" s="1" t="s">
        <v>100</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97</v>
      </c>
      <c r="D33" t="s">
        <v>27</v>
      </c>
      <c r="E33" s="1" t="s">
        <v>99</v>
      </c>
    </row>
    <row r="34" spans="2:5" x14ac:dyDescent="0.25">
      <c r="B34" t="s">
        <v>21</v>
      </c>
      <c r="C34" s="1" t="s">
        <v>98</v>
      </c>
      <c r="D34" t="s">
        <v>27</v>
      </c>
      <c r="E34" s="1" t="s">
        <v>100</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Madras Street South</v>
      </c>
      <c r="C4" s="1" t="str">
        <f>Input!C31</f>
        <v>Salisbury Street West</v>
      </c>
      <c r="D4" s="1">
        <f>Input!C42</f>
        <v>0</v>
      </c>
      <c r="E4" s="1">
        <f>Input!C53</f>
        <v>0</v>
      </c>
      <c r="F4" s="1">
        <f>Input!C64</f>
        <v>0</v>
      </c>
      <c r="G4" s="1">
        <f>Input!C75</f>
        <v>0</v>
      </c>
      <c r="H4" s="1">
        <f>Input!C86</f>
        <v>0</v>
      </c>
    </row>
    <row r="6" spans="2:8" x14ac:dyDescent="0.25">
      <c r="B6" t="s">
        <v>18</v>
      </c>
    </row>
    <row r="8" spans="2:8" x14ac:dyDescent="0.25">
      <c r="B8" s="1" t="str">
        <f>Input!C22</f>
        <v>Thru to Madras Street North</v>
      </c>
      <c r="C8" s="1" t="str">
        <f>Input!C33</f>
        <v>Left into Madras Street North</v>
      </c>
      <c r="D8" s="1">
        <f>Input!C44</f>
        <v>0</v>
      </c>
      <c r="E8" s="1">
        <f>Input!C55</f>
        <v>0</v>
      </c>
      <c r="F8" s="1">
        <f>Input!C66</f>
        <v>0</v>
      </c>
      <c r="G8" s="1">
        <f>Input!C77</f>
        <v>0</v>
      </c>
      <c r="H8" s="1">
        <f>Input!C88</f>
        <v>0</v>
      </c>
    </row>
    <row r="9" spans="2:8" x14ac:dyDescent="0.25">
      <c r="B9" s="1" t="str">
        <f>Input!C23</f>
        <v>Right into Salisbury Street East</v>
      </c>
      <c r="C9" s="1" t="str">
        <f>Input!C34</f>
        <v>Thru to Salisbury Street East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Madras Street North</v>
      </c>
      <c r="C18" s="1" t="str">
        <f>Input!E33</f>
        <v>Madras Street North</v>
      </c>
      <c r="D18" s="1">
        <f>Input!E44</f>
        <v>0</v>
      </c>
      <c r="E18" s="1">
        <f>Input!E55</f>
        <v>0</v>
      </c>
      <c r="F18" s="1">
        <f>Input!E66</f>
        <v>0</v>
      </c>
      <c r="G18" s="1">
        <f>Input!E77</f>
        <v>0</v>
      </c>
      <c r="H18" s="1">
        <f>Input!E88</f>
        <v>0</v>
      </c>
    </row>
    <row r="19" spans="2:8" x14ac:dyDescent="0.25">
      <c r="B19" s="1" t="str">
        <f>Input!E23</f>
        <v>Salisbury Street East</v>
      </c>
      <c r="C19" s="1" t="str">
        <f>Input!E34</f>
        <v>Salisbury Street East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101</v>
      </c>
    </row>
    <row r="4" spans="1:14" ht="15.75" thickBot="1" x14ac:dyDescent="0.3"/>
    <row r="5" spans="1:14" x14ac:dyDescent="0.25">
      <c r="C5" s="29" t="s">
        <v>93</v>
      </c>
      <c r="D5" s="16"/>
      <c r="E5" s="18"/>
      <c r="F5" s="26"/>
      <c r="G5" s="16"/>
      <c r="H5" s="18"/>
      <c r="I5" s="29" t="s">
        <v>94</v>
      </c>
      <c r="J5" s="16"/>
      <c r="K5" s="18"/>
      <c r="L5" s="26"/>
      <c r="M5" s="16"/>
      <c r="N5" s="32"/>
    </row>
    <row r="6" spans="1:14" x14ac:dyDescent="0.25">
      <c r="C6" s="30" t="s">
        <v>95</v>
      </c>
      <c r="D6" s="17"/>
      <c r="E6" s="19"/>
      <c r="F6" s="27" t="s">
        <v>96</v>
      </c>
      <c r="G6" s="17"/>
      <c r="H6" s="19"/>
      <c r="I6" s="30" t="s">
        <v>97</v>
      </c>
      <c r="J6" s="17"/>
      <c r="K6" s="19"/>
      <c r="L6" s="27" t="s">
        <v>98</v>
      </c>
      <c r="M6" s="17"/>
      <c r="N6" s="33"/>
    </row>
    <row r="7" spans="1:14"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6" t="s">
        <v>90</v>
      </c>
    </row>
    <row r="8" spans="1:14" x14ac:dyDescent="0.25">
      <c r="A8" s="2" t="s">
        <v>43</v>
      </c>
      <c r="B8" s="7">
        <v>0.29166666666666669</v>
      </c>
      <c r="C8" s="31">
        <v>95</v>
      </c>
      <c r="D8">
        <v>1</v>
      </c>
      <c r="E8">
        <v>2</v>
      </c>
      <c r="F8" s="28">
        <v>5</v>
      </c>
      <c r="G8">
        <v>0</v>
      </c>
      <c r="H8">
        <v>0</v>
      </c>
      <c r="I8" s="31">
        <v>9</v>
      </c>
      <c r="J8">
        <v>0</v>
      </c>
      <c r="K8">
        <v>0</v>
      </c>
      <c r="L8" s="28">
        <v>29</v>
      </c>
      <c r="M8">
        <v>1</v>
      </c>
      <c r="N8" s="34">
        <v>1</v>
      </c>
    </row>
    <row r="9" spans="1:14" x14ac:dyDescent="0.25">
      <c r="A9" s="2" t="s">
        <v>43</v>
      </c>
      <c r="B9" s="7">
        <v>0.30208333333333331</v>
      </c>
      <c r="C9" s="31">
        <v>107</v>
      </c>
      <c r="D9">
        <v>2</v>
      </c>
      <c r="E9">
        <v>1</v>
      </c>
      <c r="F9" s="28">
        <v>1</v>
      </c>
      <c r="G9">
        <v>0</v>
      </c>
      <c r="H9">
        <v>0</v>
      </c>
      <c r="I9" s="31">
        <v>12</v>
      </c>
      <c r="J9">
        <v>0</v>
      </c>
      <c r="K9">
        <v>0</v>
      </c>
      <c r="L9" s="28">
        <v>43</v>
      </c>
      <c r="M9">
        <v>0</v>
      </c>
      <c r="N9" s="34">
        <v>0</v>
      </c>
    </row>
    <row r="10" spans="1:14" x14ac:dyDescent="0.25">
      <c r="A10" s="2" t="s">
        <v>43</v>
      </c>
      <c r="B10" s="7">
        <v>0.3125</v>
      </c>
      <c r="C10" s="31">
        <v>103</v>
      </c>
      <c r="D10">
        <v>2</v>
      </c>
      <c r="E10">
        <v>1</v>
      </c>
      <c r="F10" s="28">
        <v>1</v>
      </c>
      <c r="G10">
        <v>0</v>
      </c>
      <c r="H10">
        <v>0</v>
      </c>
      <c r="I10" s="31">
        <v>6</v>
      </c>
      <c r="J10">
        <v>1</v>
      </c>
      <c r="K10">
        <v>0</v>
      </c>
      <c r="L10" s="28">
        <v>21</v>
      </c>
      <c r="M10">
        <v>0</v>
      </c>
      <c r="N10" s="34">
        <v>1</v>
      </c>
    </row>
    <row r="11" spans="1:14" x14ac:dyDescent="0.25">
      <c r="A11" s="2" t="s">
        <v>43</v>
      </c>
      <c r="B11" s="7">
        <v>0.32291666666666669</v>
      </c>
      <c r="C11" s="31">
        <v>136</v>
      </c>
      <c r="D11">
        <v>3</v>
      </c>
      <c r="E11">
        <v>2</v>
      </c>
      <c r="F11" s="28">
        <v>3</v>
      </c>
      <c r="G11">
        <v>0</v>
      </c>
      <c r="H11">
        <v>0</v>
      </c>
      <c r="I11" s="31">
        <v>10</v>
      </c>
      <c r="J11">
        <v>1</v>
      </c>
      <c r="K11">
        <v>0</v>
      </c>
      <c r="L11" s="28">
        <v>48</v>
      </c>
      <c r="M11">
        <v>3</v>
      </c>
      <c r="N11" s="34">
        <v>1</v>
      </c>
    </row>
    <row r="12" spans="1:14" x14ac:dyDescent="0.25">
      <c r="A12" s="2" t="s">
        <v>43</v>
      </c>
      <c r="B12" s="7">
        <v>0.33333333333333331</v>
      </c>
      <c r="C12" s="31">
        <v>129</v>
      </c>
      <c r="D12">
        <v>2</v>
      </c>
      <c r="E12">
        <v>3</v>
      </c>
      <c r="F12" s="28">
        <v>4</v>
      </c>
      <c r="G12">
        <v>0</v>
      </c>
      <c r="H12">
        <v>0</v>
      </c>
      <c r="I12" s="31">
        <v>11</v>
      </c>
      <c r="J12">
        <v>2</v>
      </c>
      <c r="K12">
        <v>0</v>
      </c>
      <c r="L12" s="28">
        <v>49</v>
      </c>
      <c r="M12">
        <v>0</v>
      </c>
      <c r="N12" s="34">
        <v>2</v>
      </c>
    </row>
    <row r="13" spans="1:14" x14ac:dyDescent="0.25">
      <c r="A13" s="2" t="s">
        <v>43</v>
      </c>
      <c r="B13" s="7">
        <v>0.34375</v>
      </c>
      <c r="C13" s="31">
        <v>125</v>
      </c>
      <c r="D13">
        <v>4</v>
      </c>
      <c r="E13">
        <v>0</v>
      </c>
      <c r="F13" s="28">
        <v>8</v>
      </c>
      <c r="G13">
        <v>0</v>
      </c>
      <c r="H13">
        <v>0</v>
      </c>
      <c r="I13" s="31">
        <v>19</v>
      </c>
      <c r="J13">
        <v>0</v>
      </c>
      <c r="K13">
        <v>0</v>
      </c>
      <c r="L13" s="28">
        <v>70</v>
      </c>
      <c r="M13">
        <v>3</v>
      </c>
      <c r="N13" s="34">
        <v>2</v>
      </c>
    </row>
    <row r="14" spans="1:14" x14ac:dyDescent="0.25">
      <c r="A14" s="2" t="s">
        <v>43</v>
      </c>
      <c r="B14" s="7">
        <v>0.35416666666666669</v>
      </c>
      <c r="C14" s="31">
        <v>149</v>
      </c>
      <c r="D14">
        <v>2</v>
      </c>
      <c r="E14">
        <v>2</v>
      </c>
      <c r="F14" s="28">
        <v>1</v>
      </c>
      <c r="G14">
        <v>0</v>
      </c>
      <c r="H14">
        <v>0</v>
      </c>
      <c r="I14" s="31">
        <v>13</v>
      </c>
      <c r="J14">
        <v>0</v>
      </c>
      <c r="K14">
        <v>0</v>
      </c>
      <c r="L14" s="28">
        <v>58</v>
      </c>
      <c r="M14">
        <v>1</v>
      </c>
      <c r="N14" s="34">
        <v>1</v>
      </c>
    </row>
    <row r="15" spans="1:14" ht="15.75" thickBot="1" x14ac:dyDescent="0.3">
      <c r="A15" s="2" t="s">
        <v>43</v>
      </c>
      <c r="B15" s="7">
        <v>0.36458333333333331</v>
      </c>
      <c r="C15" s="31">
        <v>129</v>
      </c>
      <c r="D15">
        <v>0</v>
      </c>
      <c r="E15">
        <v>1</v>
      </c>
      <c r="F15" s="28">
        <v>7</v>
      </c>
      <c r="G15">
        <v>0</v>
      </c>
      <c r="H15">
        <v>1</v>
      </c>
      <c r="I15" s="31">
        <v>12</v>
      </c>
      <c r="J15">
        <v>3</v>
      </c>
      <c r="K15">
        <v>0</v>
      </c>
      <c r="L15" s="28">
        <v>56</v>
      </c>
      <c r="M15">
        <v>1</v>
      </c>
      <c r="N15" s="34">
        <v>1</v>
      </c>
    </row>
    <row r="16" spans="1:14" ht="15.75" thickBot="1" x14ac:dyDescent="0.3">
      <c r="A16" s="22"/>
      <c r="B16" s="22"/>
      <c r="C16" s="35"/>
      <c r="D16" s="20"/>
      <c r="E16" s="20"/>
      <c r="F16" s="36"/>
      <c r="G16" s="20"/>
      <c r="H16" s="20"/>
      <c r="I16" s="35"/>
      <c r="J16" s="20"/>
      <c r="K16" s="20"/>
      <c r="L16" s="36"/>
      <c r="M16" s="20"/>
      <c r="N16" s="37"/>
    </row>
    <row r="17" spans="1:14" x14ac:dyDescent="0.25">
      <c r="A17" s="2" t="s">
        <v>91</v>
      </c>
      <c r="B17" s="7">
        <v>0.54166666666666663</v>
      </c>
      <c r="C17" s="31">
        <v>138</v>
      </c>
      <c r="D17">
        <v>1</v>
      </c>
      <c r="E17">
        <v>1</v>
      </c>
      <c r="F17" s="28">
        <v>8</v>
      </c>
      <c r="G17">
        <v>0</v>
      </c>
      <c r="H17">
        <v>0</v>
      </c>
      <c r="I17" s="31">
        <v>14</v>
      </c>
      <c r="J17">
        <v>1</v>
      </c>
      <c r="K17">
        <v>0</v>
      </c>
      <c r="L17" s="28">
        <v>52</v>
      </c>
      <c r="M17">
        <v>0</v>
      </c>
      <c r="N17" s="34">
        <v>1</v>
      </c>
    </row>
    <row r="18" spans="1:14" x14ac:dyDescent="0.25">
      <c r="A18" s="2" t="s">
        <v>91</v>
      </c>
      <c r="B18" s="7">
        <v>0.55208333333333337</v>
      </c>
      <c r="C18" s="31">
        <v>120</v>
      </c>
      <c r="D18">
        <v>3</v>
      </c>
      <c r="E18">
        <v>2</v>
      </c>
      <c r="F18" s="28">
        <v>5</v>
      </c>
      <c r="G18">
        <v>1</v>
      </c>
      <c r="H18">
        <v>0</v>
      </c>
      <c r="I18" s="31">
        <v>16</v>
      </c>
      <c r="J18">
        <v>0</v>
      </c>
      <c r="K18">
        <v>0</v>
      </c>
      <c r="L18" s="28">
        <v>50</v>
      </c>
      <c r="M18">
        <v>2</v>
      </c>
      <c r="N18" s="34">
        <v>0</v>
      </c>
    </row>
    <row r="19" spans="1:14" x14ac:dyDescent="0.25">
      <c r="A19" s="2" t="s">
        <v>91</v>
      </c>
      <c r="B19" s="7">
        <v>0.5625</v>
      </c>
      <c r="C19" s="31">
        <v>146</v>
      </c>
      <c r="D19">
        <v>5</v>
      </c>
      <c r="E19">
        <v>2</v>
      </c>
      <c r="F19" s="28">
        <v>11</v>
      </c>
      <c r="G19">
        <v>0</v>
      </c>
      <c r="H19">
        <v>0</v>
      </c>
      <c r="I19" s="31">
        <v>18</v>
      </c>
      <c r="J19">
        <v>0</v>
      </c>
      <c r="K19">
        <v>0</v>
      </c>
      <c r="L19" s="28">
        <v>35</v>
      </c>
      <c r="M19">
        <v>0</v>
      </c>
      <c r="N19" s="34">
        <v>2</v>
      </c>
    </row>
    <row r="20" spans="1:14" ht="15.75" thickBot="1" x14ac:dyDescent="0.3">
      <c r="A20" s="2" t="s">
        <v>91</v>
      </c>
      <c r="B20" s="7">
        <v>0.57291666666666663</v>
      </c>
      <c r="C20" s="31">
        <v>137</v>
      </c>
      <c r="D20">
        <v>2</v>
      </c>
      <c r="E20">
        <v>1</v>
      </c>
      <c r="F20" s="28">
        <v>5</v>
      </c>
      <c r="G20">
        <v>0</v>
      </c>
      <c r="H20">
        <v>0</v>
      </c>
      <c r="I20" s="31">
        <v>17</v>
      </c>
      <c r="J20">
        <v>1</v>
      </c>
      <c r="K20">
        <v>0</v>
      </c>
      <c r="L20" s="28">
        <v>58</v>
      </c>
      <c r="M20">
        <v>1</v>
      </c>
      <c r="N20" s="34">
        <v>1</v>
      </c>
    </row>
    <row r="21" spans="1:14" ht="15.75" thickBot="1" x14ac:dyDescent="0.3">
      <c r="A21" s="22"/>
      <c r="B21" s="22"/>
      <c r="C21" s="35"/>
      <c r="D21" s="20"/>
      <c r="E21" s="20"/>
      <c r="F21" s="36"/>
      <c r="G21" s="20"/>
      <c r="H21" s="20"/>
      <c r="I21" s="35"/>
      <c r="J21" s="20"/>
      <c r="K21" s="20"/>
      <c r="L21" s="36"/>
      <c r="M21" s="20"/>
      <c r="N21" s="37"/>
    </row>
    <row r="22" spans="1:14" x14ac:dyDescent="0.25">
      <c r="A22" s="2" t="s">
        <v>44</v>
      </c>
      <c r="B22" s="7">
        <v>0.66666666666666663</v>
      </c>
      <c r="C22" s="31">
        <v>230</v>
      </c>
      <c r="D22">
        <v>1</v>
      </c>
      <c r="E22">
        <v>5</v>
      </c>
      <c r="F22" s="28">
        <v>9</v>
      </c>
      <c r="G22">
        <v>0</v>
      </c>
      <c r="H22">
        <v>0</v>
      </c>
      <c r="I22" s="31">
        <v>25</v>
      </c>
      <c r="J22">
        <v>1</v>
      </c>
      <c r="K22">
        <v>0</v>
      </c>
      <c r="L22" s="28">
        <v>65</v>
      </c>
      <c r="M22">
        <v>0</v>
      </c>
      <c r="N22" s="34">
        <v>0</v>
      </c>
    </row>
    <row r="23" spans="1:14" x14ac:dyDescent="0.25">
      <c r="A23" s="2" t="s">
        <v>44</v>
      </c>
      <c r="B23" s="7">
        <v>0.67708333333333337</v>
      </c>
      <c r="C23" s="31">
        <v>229</v>
      </c>
      <c r="D23">
        <v>3</v>
      </c>
      <c r="E23">
        <v>5</v>
      </c>
      <c r="F23" s="28">
        <v>8</v>
      </c>
      <c r="G23">
        <v>0</v>
      </c>
      <c r="H23">
        <v>0</v>
      </c>
      <c r="I23" s="31">
        <v>26</v>
      </c>
      <c r="J23">
        <v>2</v>
      </c>
      <c r="K23">
        <v>1</v>
      </c>
      <c r="L23" s="28">
        <v>83</v>
      </c>
      <c r="M23">
        <v>2</v>
      </c>
      <c r="N23" s="34">
        <v>2</v>
      </c>
    </row>
    <row r="24" spans="1:14" x14ac:dyDescent="0.25">
      <c r="A24" s="2" t="s">
        <v>44</v>
      </c>
      <c r="B24" s="7">
        <v>0.6875</v>
      </c>
      <c r="C24" s="31">
        <v>278</v>
      </c>
      <c r="D24">
        <v>3</v>
      </c>
      <c r="E24">
        <v>4</v>
      </c>
      <c r="F24" s="28">
        <v>15</v>
      </c>
      <c r="G24">
        <v>0</v>
      </c>
      <c r="H24">
        <v>0</v>
      </c>
      <c r="I24" s="31">
        <v>22</v>
      </c>
      <c r="J24">
        <v>0</v>
      </c>
      <c r="K24">
        <v>0</v>
      </c>
      <c r="L24" s="28">
        <v>84</v>
      </c>
      <c r="M24">
        <v>0</v>
      </c>
      <c r="N24" s="34">
        <v>3</v>
      </c>
    </row>
    <row r="25" spans="1:14" x14ac:dyDescent="0.25">
      <c r="A25" s="2" t="s">
        <v>44</v>
      </c>
      <c r="B25" s="7">
        <v>0.69791666666666663</v>
      </c>
      <c r="C25" s="31">
        <v>239</v>
      </c>
      <c r="D25">
        <v>3</v>
      </c>
      <c r="E25">
        <v>7</v>
      </c>
      <c r="F25" s="28">
        <v>6</v>
      </c>
      <c r="G25">
        <v>0</v>
      </c>
      <c r="H25">
        <v>0</v>
      </c>
      <c r="I25" s="31">
        <v>33</v>
      </c>
      <c r="J25">
        <v>1</v>
      </c>
      <c r="K25">
        <v>0</v>
      </c>
      <c r="L25" s="28">
        <v>95</v>
      </c>
      <c r="M25">
        <v>0</v>
      </c>
      <c r="N25" s="34">
        <v>9</v>
      </c>
    </row>
    <row r="26" spans="1:14" x14ac:dyDescent="0.25">
      <c r="A26" s="2" t="s">
        <v>44</v>
      </c>
      <c r="B26" s="7">
        <v>0.70833333333333337</v>
      </c>
      <c r="C26" s="31">
        <v>278</v>
      </c>
      <c r="D26">
        <v>2</v>
      </c>
      <c r="E26">
        <v>2</v>
      </c>
      <c r="F26" s="28">
        <v>11</v>
      </c>
      <c r="G26">
        <v>0</v>
      </c>
      <c r="H26">
        <v>0</v>
      </c>
      <c r="I26" s="31">
        <v>41</v>
      </c>
      <c r="J26">
        <v>2</v>
      </c>
      <c r="K26">
        <v>1</v>
      </c>
      <c r="L26" s="28">
        <v>73</v>
      </c>
      <c r="M26">
        <v>0</v>
      </c>
      <c r="N26" s="34">
        <v>4</v>
      </c>
    </row>
    <row r="27" spans="1:14" x14ac:dyDescent="0.25">
      <c r="A27" s="2" t="s">
        <v>44</v>
      </c>
      <c r="B27" s="7">
        <v>0.71875</v>
      </c>
      <c r="C27" s="31">
        <v>286</v>
      </c>
      <c r="D27">
        <v>1</v>
      </c>
      <c r="E27">
        <v>10</v>
      </c>
      <c r="F27" s="28">
        <v>7</v>
      </c>
      <c r="G27">
        <v>0</v>
      </c>
      <c r="H27">
        <v>0</v>
      </c>
      <c r="I27" s="31">
        <v>35</v>
      </c>
      <c r="J27">
        <v>2</v>
      </c>
      <c r="K27">
        <v>2</v>
      </c>
      <c r="L27" s="28">
        <v>91</v>
      </c>
      <c r="M27">
        <v>1</v>
      </c>
      <c r="N27" s="34">
        <v>7</v>
      </c>
    </row>
    <row r="28" spans="1:14" x14ac:dyDescent="0.25">
      <c r="A28" s="2" t="s">
        <v>44</v>
      </c>
      <c r="B28" s="7">
        <v>0.72916666666666663</v>
      </c>
      <c r="C28" s="31">
        <v>227</v>
      </c>
      <c r="D28">
        <v>4</v>
      </c>
      <c r="E28">
        <v>6</v>
      </c>
      <c r="F28" s="28">
        <v>8</v>
      </c>
      <c r="G28">
        <v>0</v>
      </c>
      <c r="H28">
        <v>0</v>
      </c>
      <c r="I28" s="31">
        <v>30</v>
      </c>
      <c r="J28">
        <v>0</v>
      </c>
      <c r="K28">
        <v>2</v>
      </c>
      <c r="L28" s="28">
        <v>76</v>
      </c>
      <c r="M28">
        <v>0</v>
      </c>
      <c r="N28" s="34">
        <v>0</v>
      </c>
    </row>
    <row r="29" spans="1:14" ht="15.75" thickBot="1" x14ac:dyDescent="0.3">
      <c r="A29" s="21" t="s">
        <v>44</v>
      </c>
      <c r="B29" s="48">
        <v>0.73958333333333337</v>
      </c>
      <c r="C29" s="39">
        <v>189</v>
      </c>
      <c r="D29" s="38">
        <v>3</v>
      </c>
      <c r="E29" s="38">
        <v>4</v>
      </c>
      <c r="F29" s="40">
        <v>10</v>
      </c>
      <c r="G29" s="38">
        <v>0</v>
      </c>
      <c r="H29" s="38">
        <v>0</v>
      </c>
      <c r="I29" s="39">
        <v>17</v>
      </c>
      <c r="J29" s="38">
        <v>2</v>
      </c>
      <c r="K29" s="38">
        <v>0</v>
      </c>
      <c r="L29" s="40">
        <v>58</v>
      </c>
      <c r="M29" s="38">
        <v>0</v>
      </c>
      <c r="N29" s="41">
        <v>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95</v>
      </c>
      <c r="C2" t="s">
        <v>99</v>
      </c>
      <c r="D2" t="s">
        <v>79</v>
      </c>
      <c r="E2" t="s">
        <v>43</v>
      </c>
      <c r="F2" s="6">
        <v>0.29166666666666669</v>
      </c>
      <c r="G2">
        <v>95</v>
      </c>
      <c r="H2" s="6">
        <f>FLOOR(tblPivotData[[#This Row],[Time]],Summary!$B$6/1440)</f>
        <v>0.29166666666666663</v>
      </c>
      <c r="I2" s="49">
        <f>INDEX(PeakCalc!$L$10:$L$303,MATCH(tblPivotData[[#This Row],[Time]],PeakCalc!$G$10:$G$303,0))</f>
        <v>0</v>
      </c>
    </row>
    <row r="3" spans="1:9" x14ac:dyDescent="0.25">
      <c r="A3" t="s">
        <v>93</v>
      </c>
      <c r="B3" t="s">
        <v>95</v>
      </c>
      <c r="C3" t="s">
        <v>99</v>
      </c>
      <c r="D3" t="s">
        <v>79</v>
      </c>
      <c r="E3" t="s">
        <v>43</v>
      </c>
      <c r="F3" s="6">
        <v>0.30208333333333331</v>
      </c>
      <c r="G3">
        <v>107</v>
      </c>
      <c r="H3" s="6">
        <f>FLOOR(tblPivotData[[#This Row],[Time]],Summary!$B$6/1440)</f>
        <v>0.30208333333333331</v>
      </c>
      <c r="I3" s="49">
        <f>INDEX(PeakCalc!$L$10:$L$303,MATCH(tblPivotData[[#This Row],[Time]],PeakCalc!$G$10:$G$303,0))</f>
        <v>0</v>
      </c>
    </row>
    <row r="4" spans="1:9" x14ac:dyDescent="0.25">
      <c r="A4" t="s">
        <v>93</v>
      </c>
      <c r="B4" t="s">
        <v>95</v>
      </c>
      <c r="C4" t="s">
        <v>99</v>
      </c>
      <c r="D4" t="s">
        <v>79</v>
      </c>
      <c r="E4" t="s">
        <v>43</v>
      </c>
      <c r="F4" s="6">
        <v>0.3125</v>
      </c>
      <c r="G4">
        <v>103</v>
      </c>
      <c r="H4" s="6">
        <f>FLOOR(tblPivotData[[#This Row],[Time]],Summary!$B$6/1440)</f>
        <v>0.3125</v>
      </c>
      <c r="I4" s="49">
        <f>INDEX(PeakCalc!$L$10:$L$303,MATCH(tblPivotData[[#This Row],[Time]],PeakCalc!$G$10:$G$303,0))</f>
        <v>0</v>
      </c>
    </row>
    <row r="5" spans="1:9" x14ac:dyDescent="0.25">
      <c r="A5" t="s">
        <v>93</v>
      </c>
      <c r="B5" t="s">
        <v>95</v>
      </c>
      <c r="C5" t="s">
        <v>99</v>
      </c>
      <c r="D5" t="s">
        <v>79</v>
      </c>
      <c r="E5" t="s">
        <v>43</v>
      </c>
      <c r="F5" s="6">
        <v>0.32291666666666669</v>
      </c>
      <c r="G5">
        <v>136</v>
      </c>
      <c r="H5" s="6">
        <f>FLOOR(tblPivotData[[#This Row],[Time]],Summary!$B$6/1440)</f>
        <v>0.32291666666666663</v>
      </c>
      <c r="I5" s="49">
        <f>INDEX(PeakCalc!$L$10:$L$303,MATCH(tblPivotData[[#This Row],[Time]],PeakCalc!$G$10:$G$303,0))</f>
        <v>0</v>
      </c>
    </row>
    <row r="6" spans="1:9" x14ac:dyDescent="0.25">
      <c r="A6" t="s">
        <v>93</v>
      </c>
      <c r="B6" t="s">
        <v>95</v>
      </c>
      <c r="C6" t="s">
        <v>99</v>
      </c>
      <c r="D6" t="s">
        <v>79</v>
      </c>
      <c r="E6" t="s">
        <v>43</v>
      </c>
      <c r="F6" s="6">
        <v>0.33333333333333331</v>
      </c>
      <c r="G6">
        <v>129</v>
      </c>
      <c r="H6" s="6">
        <f>FLOOR(tblPivotData[[#This Row],[Time]],Summary!$B$6/1440)</f>
        <v>0.33333333333333331</v>
      </c>
      <c r="I6" s="49">
        <f>INDEX(PeakCalc!$L$10:$L$303,MATCH(tblPivotData[[#This Row],[Time]],PeakCalc!$G$10:$G$303,0))</f>
        <v>1</v>
      </c>
    </row>
    <row r="7" spans="1:9" x14ac:dyDescent="0.25">
      <c r="A7" t="s">
        <v>93</v>
      </c>
      <c r="B7" t="s">
        <v>95</v>
      </c>
      <c r="C7" t="s">
        <v>99</v>
      </c>
      <c r="D7" t="s">
        <v>79</v>
      </c>
      <c r="E7" t="s">
        <v>43</v>
      </c>
      <c r="F7" s="6">
        <v>0.34375</v>
      </c>
      <c r="G7">
        <v>125</v>
      </c>
      <c r="H7" s="6">
        <f>FLOOR(tblPivotData[[#This Row],[Time]],Summary!$B$6/1440)</f>
        <v>0.34375</v>
      </c>
      <c r="I7" s="49">
        <f>INDEX(PeakCalc!$L$10:$L$303,MATCH(tblPivotData[[#This Row],[Time]],PeakCalc!$G$10:$G$303,0))</f>
        <v>1</v>
      </c>
    </row>
    <row r="8" spans="1:9" x14ac:dyDescent="0.25">
      <c r="A8" t="s">
        <v>93</v>
      </c>
      <c r="B8" t="s">
        <v>95</v>
      </c>
      <c r="C8" t="s">
        <v>99</v>
      </c>
      <c r="D8" t="s">
        <v>79</v>
      </c>
      <c r="E8" t="s">
        <v>43</v>
      </c>
      <c r="F8" s="6">
        <v>0.35416666666666669</v>
      </c>
      <c r="G8">
        <v>149</v>
      </c>
      <c r="H8" s="6">
        <f>FLOOR(tblPivotData[[#This Row],[Time]],Summary!$B$6/1440)</f>
        <v>0.35416666666666663</v>
      </c>
      <c r="I8" s="49">
        <f>INDEX(PeakCalc!$L$10:$L$303,MATCH(tblPivotData[[#This Row],[Time]],PeakCalc!$G$10:$G$303,0))</f>
        <v>1</v>
      </c>
    </row>
    <row r="9" spans="1:9" x14ac:dyDescent="0.25">
      <c r="A9" t="s">
        <v>93</v>
      </c>
      <c r="B9" t="s">
        <v>95</v>
      </c>
      <c r="C9" t="s">
        <v>99</v>
      </c>
      <c r="D9" t="s">
        <v>79</v>
      </c>
      <c r="E9" t="s">
        <v>43</v>
      </c>
      <c r="F9" s="6">
        <v>0.36458333333333331</v>
      </c>
      <c r="G9">
        <v>129</v>
      </c>
      <c r="H9" s="6">
        <f>FLOOR(tblPivotData[[#This Row],[Time]],Summary!$B$6/1440)</f>
        <v>0.36458333333333331</v>
      </c>
      <c r="I9" s="49">
        <f>INDEX(PeakCalc!$L$10:$L$303,MATCH(tblPivotData[[#This Row],[Time]],PeakCalc!$G$10:$G$303,0))</f>
        <v>1</v>
      </c>
    </row>
    <row r="10" spans="1:9" x14ac:dyDescent="0.25">
      <c r="A10" t="s">
        <v>93</v>
      </c>
      <c r="B10" t="s">
        <v>95</v>
      </c>
      <c r="C10" t="s">
        <v>99</v>
      </c>
      <c r="D10" t="s">
        <v>79</v>
      </c>
      <c r="E10" t="s">
        <v>91</v>
      </c>
      <c r="F10" s="6">
        <v>0.54166666666666663</v>
      </c>
      <c r="G10">
        <v>138</v>
      </c>
      <c r="H10" s="6">
        <f>FLOOR(tblPivotData[[#This Row],[Time]],Summary!$B$6/1440)</f>
        <v>0.54166666666666663</v>
      </c>
      <c r="I10" s="49">
        <f>INDEX(PeakCalc!$L$10:$L$303,MATCH(tblPivotData[[#This Row],[Time]],PeakCalc!$G$10:$G$303,0))</f>
        <v>1</v>
      </c>
    </row>
    <row r="11" spans="1:9" x14ac:dyDescent="0.25">
      <c r="A11" t="s">
        <v>93</v>
      </c>
      <c r="B11" t="s">
        <v>95</v>
      </c>
      <c r="C11" t="s">
        <v>99</v>
      </c>
      <c r="D11" t="s">
        <v>79</v>
      </c>
      <c r="E11" t="s">
        <v>91</v>
      </c>
      <c r="F11" s="6">
        <v>0.55208333333333337</v>
      </c>
      <c r="G11">
        <v>120</v>
      </c>
      <c r="H11" s="6">
        <f>FLOOR(tblPivotData[[#This Row],[Time]],Summary!$B$6/1440)</f>
        <v>0.55208333333333326</v>
      </c>
      <c r="I11" s="49">
        <f>INDEX(PeakCalc!$L$10:$L$303,MATCH(tblPivotData[[#This Row],[Time]],PeakCalc!$G$10:$G$303,0))</f>
        <v>1</v>
      </c>
    </row>
    <row r="12" spans="1:9" x14ac:dyDescent="0.25">
      <c r="A12" t="s">
        <v>93</v>
      </c>
      <c r="B12" t="s">
        <v>95</v>
      </c>
      <c r="C12" t="s">
        <v>99</v>
      </c>
      <c r="D12" t="s">
        <v>79</v>
      </c>
      <c r="E12" t="s">
        <v>91</v>
      </c>
      <c r="F12" s="6">
        <v>0.5625</v>
      </c>
      <c r="G12">
        <v>146</v>
      </c>
      <c r="H12" s="6">
        <f>FLOOR(tblPivotData[[#This Row],[Time]],Summary!$B$6/1440)</f>
        <v>0.5625</v>
      </c>
      <c r="I12" s="49">
        <f>INDEX(PeakCalc!$L$10:$L$303,MATCH(tblPivotData[[#This Row],[Time]],PeakCalc!$G$10:$G$303,0))</f>
        <v>1</v>
      </c>
    </row>
    <row r="13" spans="1:9" x14ac:dyDescent="0.25">
      <c r="A13" t="s">
        <v>93</v>
      </c>
      <c r="B13" t="s">
        <v>95</v>
      </c>
      <c r="C13" t="s">
        <v>99</v>
      </c>
      <c r="D13" t="s">
        <v>79</v>
      </c>
      <c r="E13" t="s">
        <v>91</v>
      </c>
      <c r="F13" s="6">
        <v>0.57291666666666663</v>
      </c>
      <c r="G13">
        <v>137</v>
      </c>
      <c r="H13" s="6">
        <f>FLOOR(tblPivotData[[#This Row],[Time]],Summary!$B$6/1440)</f>
        <v>0.57291666666666663</v>
      </c>
      <c r="I13" s="49">
        <f>INDEX(PeakCalc!$L$10:$L$303,MATCH(tblPivotData[[#This Row],[Time]],PeakCalc!$G$10:$G$303,0))</f>
        <v>1</v>
      </c>
    </row>
    <row r="14" spans="1:9" x14ac:dyDescent="0.25">
      <c r="A14" t="s">
        <v>93</v>
      </c>
      <c r="B14" t="s">
        <v>95</v>
      </c>
      <c r="C14" t="s">
        <v>99</v>
      </c>
      <c r="D14" t="s">
        <v>79</v>
      </c>
      <c r="E14" t="s">
        <v>44</v>
      </c>
      <c r="F14" s="6">
        <v>0.66666666666666663</v>
      </c>
      <c r="G14">
        <v>230</v>
      </c>
      <c r="H14" s="6">
        <f>FLOOR(tblPivotData[[#This Row],[Time]],Summary!$B$6/1440)</f>
        <v>0.66666666666666663</v>
      </c>
      <c r="I14" s="49">
        <f>INDEX(PeakCalc!$L$10:$L$303,MATCH(tblPivotData[[#This Row],[Time]],PeakCalc!$G$10:$G$303,0))</f>
        <v>0</v>
      </c>
    </row>
    <row r="15" spans="1:9" x14ac:dyDescent="0.25">
      <c r="A15" t="s">
        <v>93</v>
      </c>
      <c r="B15" t="s">
        <v>95</v>
      </c>
      <c r="C15" t="s">
        <v>99</v>
      </c>
      <c r="D15" t="s">
        <v>79</v>
      </c>
      <c r="E15" t="s">
        <v>44</v>
      </c>
      <c r="F15" s="6">
        <v>0.67708333333333337</v>
      </c>
      <c r="G15">
        <v>229</v>
      </c>
      <c r="H15" s="6">
        <f>FLOOR(tblPivotData[[#This Row],[Time]],Summary!$B$6/1440)</f>
        <v>0.67708333333333326</v>
      </c>
      <c r="I15" s="49">
        <f>INDEX(PeakCalc!$L$10:$L$303,MATCH(tblPivotData[[#This Row],[Time]],PeakCalc!$G$10:$G$303,0))</f>
        <v>0</v>
      </c>
    </row>
    <row r="16" spans="1:9" x14ac:dyDescent="0.25">
      <c r="A16" t="s">
        <v>93</v>
      </c>
      <c r="B16" t="s">
        <v>95</v>
      </c>
      <c r="C16" t="s">
        <v>99</v>
      </c>
      <c r="D16" t="s">
        <v>79</v>
      </c>
      <c r="E16" t="s">
        <v>44</v>
      </c>
      <c r="F16" s="6">
        <v>0.6875</v>
      </c>
      <c r="G16">
        <v>278</v>
      </c>
      <c r="H16" s="6">
        <f>FLOOR(tblPivotData[[#This Row],[Time]],Summary!$B$6/1440)</f>
        <v>0.6875</v>
      </c>
      <c r="I16" s="49">
        <f>INDEX(PeakCalc!$L$10:$L$303,MATCH(tblPivotData[[#This Row],[Time]],PeakCalc!$G$10:$G$303,0))</f>
        <v>1</v>
      </c>
    </row>
    <row r="17" spans="1:9" x14ac:dyDescent="0.25">
      <c r="A17" t="s">
        <v>93</v>
      </c>
      <c r="B17" t="s">
        <v>95</v>
      </c>
      <c r="C17" t="s">
        <v>99</v>
      </c>
      <c r="D17" t="s">
        <v>79</v>
      </c>
      <c r="E17" t="s">
        <v>44</v>
      </c>
      <c r="F17" s="6">
        <v>0.69791666666666663</v>
      </c>
      <c r="G17">
        <v>239</v>
      </c>
      <c r="H17" s="6">
        <f>FLOOR(tblPivotData[[#This Row],[Time]],Summary!$B$6/1440)</f>
        <v>0.69791666666666663</v>
      </c>
      <c r="I17" s="49">
        <f>INDEX(PeakCalc!$L$10:$L$303,MATCH(tblPivotData[[#This Row],[Time]],PeakCalc!$G$10:$G$303,0))</f>
        <v>1</v>
      </c>
    </row>
    <row r="18" spans="1:9" x14ac:dyDescent="0.25">
      <c r="A18" t="s">
        <v>93</v>
      </c>
      <c r="B18" t="s">
        <v>95</v>
      </c>
      <c r="C18" t="s">
        <v>99</v>
      </c>
      <c r="D18" t="s">
        <v>79</v>
      </c>
      <c r="E18" t="s">
        <v>44</v>
      </c>
      <c r="F18" s="6">
        <v>0.70833333333333337</v>
      </c>
      <c r="G18">
        <v>278</v>
      </c>
      <c r="H18" s="6">
        <f>FLOOR(tblPivotData[[#This Row],[Time]],Summary!$B$6/1440)</f>
        <v>0.70833333333333326</v>
      </c>
      <c r="I18" s="49">
        <f>INDEX(PeakCalc!$L$10:$L$303,MATCH(tblPivotData[[#This Row],[Time]],PeakCalc!$G$10:$G$303,0))</f>
        <v>1</v>
      </c>
    </row>
    <row r="19" spans="1:9" x14ac:dyDescent="0.25">
      <c r="A19" t="s">
        <v>93</v>
      </c>
      <c r="B19" t="s">
        <v>95</v>
      </c>
      <c r="C19" t="s">
        <v>99</v>
      </c>
      <c r="D19" t="s">
        <v>79</v>
      </c>
      <c r="E19" t="s">
        <v>44</v>
      </c>
      <c r="F19" s="6">
        <v>0.71875</v>
      </c>
      <c r="G19">
        <v>286</v>
      </c>
      <c r="H19" s="6">
        <f>FLOOR(tblPivotData[[#This Row],[Time]],Summary!$B$6/1440)</f>
        <v>0.71875</v>
      </c>
      <c r="I19" s="49">
        <f>INDEX(PeakCalc!$L$10:$L$303,MATCH(tblPivotData[[#This Row],[Time]],PeakCalc!$G$10:$G$303,0))</f>
        <v>1</v>
      </c>
    </row>
    <row r="20" spans="1:9" x14ac:dyDescent="0.25">
      <c r="A20" t="s">
        <v>93</v>
      </c>
      <c r="B20" t="s">
        <v>95</v>
      </c>
      <c r="C20" t="s">
        <v>99</v>
      </c>
      <c r="D20" t="s">
        <v>79</v>
      </c>
      <c r="E20" t="s">
        <v>44</v>
      </c>
      <c r="F20" s="6">
        <v>0.72916666666666663</v>
      </c>
      <c r="G20">
        <v>227</v>
      </c>
      <c r="H20" s="6">
        <f>FLOOR(tblPivotData[[#This Row],[Time]],Summary!$B$6/1440)</f>
        <v>0.72916666666666663</v>
      </c>
      <c r="I20" s="49">
        <f>INDEX(PeakCalc!$L$10:$L$303,MATCH(tblPivotData[[#This Row],[Time]],PeakCalc!$G$10:$G$303,0))</f>
        <v>0</v>
      </c>
    </row>
    <row r="21" spans="1:9" x14ac:dyDescent="0.25">
      <c r="A21" t="s">
        <v>93</v>
      </c>
      <c r="B21" t="s">
        <v>95</v>
      </c>
      <c r="C21" t="s">
        <v>99</v>
      </c>
      <c r="D21" t="s">
        <v>79</v>
      </c>
      <c r="E21" t="s">
        <v>44</v>
      </c>
      <c r="F21" s="6">
        <v>0.73958333333333337</v>
      </c>
      <c r="G21">
        <v>189</v>
      </c>
      <c r="H21" s="6">
        <f>FLOOR(tblPivotData[[#This Row],[Time]],Summary!$B$6/1440)</f>
        <v>0.73958333333333326</v>
      </c>
      <c r="I21" s="49">
        <f>INDEX(PeakCalc!$L$10:$L$303,MATCH(tblPivotData[[#This Row],[Time]],PeakCalc!$G$10:$G$303,0))</f>
        <v>0</v>
      </c>
    </row>
    <row r="22" spans="1:9" x14ac:dyDescent="0.25">
      <c r="A22" t="s">
        <v>93</v>
      </c>
      <c r="B22" t="s">
        <v>95</v>
      </c>
      <c r="C22" t="s">
        <v>99</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95</v>
      </c>
      <c r="C23" t="s">
        <v>99</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95</v>
      </c>
      <c r="C24" t="s">
        <v>99</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95</v>
      </c>
      <c r="C25" t="s">
        <v>99</v>
      </c>
      <c r="D25" t="s">
        <v>89</v>
      </c>
      <c r="E25" t="s">
        <v>43</v>
      </c>
      <c r="F25" s="6">
        <v>0.32291666666666669</v>
      </c>
      <c r="G25">
        <v>3</v>
      </c>
      <c r="H25" s="6">
        <f>FLOOR(tblPivotData[[#This Row],[Time]],Summary!$B$6/1440)</f>
        <v>0.32291666666666663</v>
      </c>
      <c r="I25" s="49">
        <f>INDEX(PeakCalc!$L$10:$L$303,MATCH(tblPivotData[[#This Row],[Time]],PeakCalc!$G$10:$G$303,0))</f>
        <v>0</v>
      </c>
    </row>
    <row r="26" spans="1:9" x14ac:dyDescent="0.25">
      <c r="A26" t="s">
        <v>93</v>
      </c>
      <c r="B26" t="s">
        <v>95</v>
      </c>
      <c r="C26" t="s">
        <v>99</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95</v>
      </c>
      <c r="C27" t="s">
        <v>99</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95</v>
      </c>
      <c r="C28" t="s">
        <v>99</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95</v>
      </c>
      <c r="C29" t="s">
        <v>99</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95</v>
      </c>
      <c r="C30" t="s">
        <v>99</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95</v>
      </c>
      <c r="C31" t="s">
        <v>99</v>
      </c>
      <c r="D31" t="s">
        <v>89</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95</v>
      </c>
      <c r="C32" t="s">
        <v>99</v>
      </c>
      <c r="D32" t="s">
        <v>89</v>
      </c>
      <c r="E32" t="s">
        <v>91</v>
      </c>
      <c r="F32" s="6">
        <v>0.5625</v>
      </c>
      <c r="G32">
        <v>5</v>
      </c>
      <c r="H32" s="6">
        <f>FLOOR(tblPivotData[[#This Row],[Time]],Summary!$B$6/1440)</f>
        <v>0.5625</v>
      </c>
      <c r="I32" s="49">
        <f>INDEX(PeakCalc!$L$10:$L$303,MATCH(tblPivotData[[#This Row],[Time]],PeakCalc!$G$10:$G$303,0))</f>
        <v>1</v>
      </c>
    </row>
    <row r="33" spans="1:9" x14ac:dyDescent="0.25">
      <c r="A33" t="s">
        <v>93</v>
      </c>
      <c r="B33" t="s">
        <v>95</v>
      </c>
      <c r="C33" t="s">
        <v>99</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95</v>
      </c>
      <c r="C34" t="s">
        <v>99</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95</v>
      </c>
      <c r="C35" t="s">
        <v>99</v>
      </c>
      <c r="D35" t="s">
        <v>89</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93</v>
      </c>
      <c r="B36" t="s">
        <v>95</v>
      </c>
      <c r="C36" t="s">
        <v>99</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95</v>
      </c>
      <c r="C37" t="s">
        <v>99</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95</v>
      </c>
      <c r="C38" t="s">
        <v>99</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95</v>
      </c>
      <c r="C39" t="s">
        <v>99</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95</v>
      </c>
      <c r="C40" t="s">
        <v>99</v>
      </c>
      <c r="D40" t="s">
        <v>89</v>
      </c>
      <c r="E40" t="s">
        <v>44</v>
      </c>
      <c r="F40" s="6">
        <v>0.72916666666666663</v>
      </c>
      <c r="G40">
        <v>4</v>
      </c>
      <c r="H40" s="6">
        <f>FLOOR(tblPivotData[[#This Row],[Time]],Summary!$B$6/1440)</f>
        <v>0.72916666666666663</v>
      </c>
      <c r="I40" s="49">
        <f>INDEX(PeakCalc!$L$10:$L$303,MATCH(tblPivotData[[#This Row],[Time]],PeakCalc!$G$10:$G$303,0))</f>
        <v>0</v>
      </c>
    </row>
    <row r="41" spans="1:9" x14ac:dyDescent="0.25">
      <c r="A41" t="s">
        <v>93</v>
      </c>
      <c r="B41" t="s">
        <v>95</v>
      </c>
      <c r="C41" t="s">
        <v>99</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95</v>
      </c>
      <c r="C42" t="s">
        <v>99</v>
      </c>
      <c r="D42" t="s">
        <v>90</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93</v>
      </c>
      <c r="B43" t="s">
        <v>95</v>
      </c>
      <c r="C43" t="s">
        <v>99</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95</v>
      </c>
      <c r="C44" t="s">
        <v>99</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95</v>
      </c>
      <c r="C45" t="s">
        <v>99</v>
      </c>
      <c r="D45" t="s">
        <v>90</v>
      </c>
      <c r="E45" t="s">
        <v>43</v>
      </c>
      <c r="F45" s="6">
        <v>0.32291666666666669</v>
      </c>
      <c r="G45">
        <v>2</v>
      </c>
      <c r="H45" s="6">
        <f>FLOOR(tblPivotData[[#This Row],[Time]],Summary!$B$6/1440)</f>
        <v>0.32291666666666663</v>
      </c>
      <c r="I45" s="49">
        <f>INDEX(PeakCalc!$L$10:$L$303,MATCH(tblPivotData[[#This Row],[Time]],PeakCalc!$G$10:$G$303,0))</f>
        <v>0</v>
      </c>
    </row>
    <row r="46" spans="1:9" x14ac:dyDescent="0.25">
      <c r="A46" t="s">
        <v>93</v>
      </c>
      <c r="B46" t="s">
        <v>95</v>
      </c>
      <c r="C46" t="s">
        <v>99</v>
      </c>
      <c r="D46" t="s">
        <v>90</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93</v>
      </c>
      <c r="B47" t="s">
        <v>95</v>
      </c>
      <c r="C47" t="s">
        <v>99</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95</v>
      </c>
      <c r="C48" t="s">
        <v>99</v>
      </c>
      <c r="D48" t="s">
        <v>90</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93</v>
      </c>
      <c r="B49" t="s">
        <v>95</v>
      </c>
      <c r="C49" t="s">
        <v>99</v>
      </c>
      <c r="D49" t="s">
        <v>90</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93</v>
      </c>
      <c r="B50" t="s">
        <v>95</v>
      </c>
      <c r="C50" t="s">
        <v>99</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95</v>
      </c>
      <c r="C51" t="s">
        <v>99</v>
      </c>
      <c r="D51" t="s">
        <v>90</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95</v>
      </c>
      <c r="C52" t="s">
        <v>99</v>
      </c>
      <c r="D52" t="s">
        <v>90</v>
      </c>
      <c r="E52" t="s">
        <v>91</v>
      </c>
      <c r="F52" s="6">
        <v>0.5625</v>
      </c>
      <c r="G52">
        <v>2</v>
      </c>
      <c r="H52" s="6">
        <f>FLOOR(tblPivotData[[#This Row],[Time]],Summary!$B$6/1440)</f>
        <v>0.5625</v>
      </c>
      <c r="I52" s="49">
        <f>INDEX(PeakCalc!$L$10:$L$303,MATCH(tblPivotData[[#This Row],[Time]],PeakCalc!$G$10:$G$303,0))</f>
        <v>1</v>
      </c>
    </row>
    <row r="53" spans="1:9" x14ac:dyDescent="0.25">
      <c r="A53" t="s">
        <v>93</v>
      </c>
      <c r="B53" t="s">
        <v>95</v>
      </c>
      <c r="C53" t="s">
        <v>99</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95</v>
      </c>
      <c r="C54" t="s">
        <v>99</v>
      </c>
      <c r="D54" t="s">
        <v>90</v>
      </c>
      <c r="E54" t="s">
        <v>44</v>
      </c>
      <c r="F54" s="6">
        <v>0.66666666666666663</v>
      </c>
      <c r="G54">
        <v>5</v>
      </c>
      <c r="H54" s="6">
        <f>FLOOR(tblPivotData[[#This Row],[Time]],Summary!$B$6/1440)</f>
        <v>0.66666666666666663</v>
      </c>
      <c r="I54" s="49">
        <f>INDEX(PeakCalc!$L$10:$L$303,MATCH(tblPivotData[[#This Row],[Time]],PeakCalc!$G$10:$G$303,0))</f>
        <v>0</v>
      </c>
    </row>
    <row r="55" spans="1:9" x14ac:dyDescent="0.25">
      <c r="A55" t="s">
        <v>93</v>
      </c>
      <c r="B55" t="s">
        <v>95</v>
      </c>
      <c r="C55" t="s">
        <v>99</v>
      </c>
      <c r="D55" t="s">
        <v>90</v>
      </c>
      <c r="E55" t="s">
        <v>44</v>
      </c>
      <c r="F55" s="6">
        <v>0.67708333333333337</v>
      </c>
      <c r="G55">
        <v>5</v>
      </c>
      <c r="H55" s="6">
        <f>FLOOR(tblPivotData[[#This Row],[Time]],Summary!$B$6/1440)</f>
        <v>0.67708333333333326</v>
      </c>
      <c r="I55" s="49">
        <f>INDEX(PeakCalc!$L$10:$L$303,MATCH(tblPivotData[[#This Row],[Time]],PeakCalc!$G$10:$G$303,0))</f>
        <v>0</v>
      </c>
    </row>
    <row r="56" spans="1:9" x14ac:dyDescent="0.25">
      <c r="A56" t="s">
        <v>93</v>
      </c>
      <c r="B56" t="s">
        <v>95</v>
      </c>
      <c r="C56" t="s">
        <v>99</v>
      </c>
      <c r="D56" t="s">
        <v>90</v>
      </c>
      <c r="E56" t="s">
        <v>44</v>
      </c>
      <c r="F56" s="6">
        <v>0.6875</v>
      </c>
      <c r="G56">
        <v>4</v>
      </c>
      <c r="H56" s="6">
        <f>FLOOR(tblPivotData[[#This Row],[Time]],Summary!$B$6/1440)</f>
        <v>0.6875</v>
      </c>
      <c r="I56" s="49">
        <f>INDEX(PeakCalc!$L$10:$L$303,MATCH(tblPivotData[[#This Row],[Time]],PeakCalc!$G$10:$G$303,0))</f>
        <v>1</v>
      </c>
    </row>
    <row r="57" spans="1:9" x14ac:dyDescent="0.25">
      <c r="A57" t="s">
        <v>93</v>
      </c>
      <c r="B57" t="s">
        <v>95</v>
      </c>
      <c r="C57" t="s">
        <v>99</v>
      </c>
      <c r="D57" t="s">
        <v>90</v>
      </c>
      <c r="E57" t="s">
        <v>44</v>
      </c>
      <c r="F57" s="6">
        <v>0.69791666666666663</v>
      </c>
      <c r="G57">
        <v>7</v>
      </c>
      <c r="H57" s="6">
        <f>FLOOR(tblPivotData[[#This Row],[Time]],Summary!$B$6/1440)</f>
        <v>0.69791666666666663</v>
      </c>
      <c r="I57" s="49">
        <f>INDEX(PeakCalc!$L$10:$L$303,MATCH(tblPivotData[[#This Row],[Time]],PeakCalc!$G$10:$G$303,0))</f>
        <v>1</v>
      </c>
    </row>
    <row r="58" spans="1:9" x14ac:dyDescent="0.25">
      <c r="A58" t="s">
        <v>93</v>
      </c>
      <c r="B58" t="s">
        <v>95</v>
      </c>
      <c r="C58" t="s">
        <v>99</v>
      </c>
      <c r="D58" t="s">
        <v>90</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93</v>
      </c>
      <c r="B59" t="s">
        <v>95</v>
      </c>
      <c r="C59" t="s">
        <v>99</v>
      </c>
      <c r="D59" t="s">
        <v>90</v>
      </c>
      <c r="E59" t="s">
        <v>44</v>
      </c>
      <c r="F59" s="6">
        <v>0.71875</v>
      </c>
      <c r="G59">
        <v>10</v>
      </c>
      <c r="H59" s="6">
        <f>FLOOR(tblPivotData[[#This Row],[Time]],Summary!$B$6/1440)</f>
        <v>0.71875</v>
      </c>
      <c r="I59" s="49">
        <f>INDEX(PeakCalc!$L$10:$L$303,MATCH(tblPivotData[[#This Row],[Time]],PeakCalc!$G$10:$G$303,0))</f>
        <v>1</v>
      </c>
    </row>
    <row r="60" spans="1:9" x14ac:dyDescent="0.25">
      <c r="A60" t="s">
        <v>93</v>
      </c>
      <c r="B60" t="s">
        <v>95</v>
      </c>
      <c r="C60" t="s">
        <v>99</v>
      </c>
      <c r="D60" t="s">
        <v>90</v>
      </c>
      <c r="E60" t="s">
        <v>44</v>
      </c>
      <c r="F60" s="6">
        <v>0.72916666666666663</v>
      </c>
      <c r="G60">
        <v>6</v>
      </c>
      <c r="H60" s="6">
        <f>FLOOR(tblPivotData[[#This Row],[Time]],Summary!$B$6/1440)</f>
        <v>0.72916666666666663</v>
      </c>
      <c r="I60" s="49">
        <f>INDEX(PeakCalc!$L$10:$L$303,MATCH(tblPivotData[[#This Row],[Time]],PeakCalc!$G$10:$G$303,0))</f>
        <v>0</v>
      </c>
    </row>
    <row r="61" spans="1:9" x14ac:dyDescent="0.25">
      <c r="A61" t="s">
        <v>93</v>
      </c>
      <c r="B61" t="s">
        <v>95</v>
      </c>
      <c r="C61" t="s">
        <v>99</v>
      </c>
      <c r="D61" t="s">
        <v>90</v>
      </c>
      <c r="E61" t="s">
        <v>44</v>
      </c>
      <c r="F61" s="6">
        <v>0.73958333333333337</v>
      </c>
      <c r="G61">
        <v>4</v>
      </c>
      <c r="H61" s="6">
        <f>FLOOR(tblPivotData[[#This Row],[Time]],Summary!$B$6/1440)</f>
        <v>0.73958333333333326</v>
      </c>
      <c r="I61" s="49">
        <f>INDEX(PeakCalc!$L$10:$L$303,MATCH(tblPivotData[[#This Row],[Time]],PeakCalc!$G$10:$G$303,0))</f>
        <v>0</v>
      </c>
    </row>
    <row r="62" spans="1:9" x14ac:dyDescent="0.25">
      <c r="A62" t="s">
        <v>93</v>
      </c>
      <c r="B62" t="s">
        <v>96</v>
      </c>
      <c r="C62" t="s">
        <v>100</v>
      </c>
      <c r="D62" t="s">
        <v>79</v>
      </c>
      <c r="E62" t="s">
        <v>43</v>
      </c>
      <c r="F62" s="6">
        <v>0.29166666666666669</v>
      </c>
      <c r="G62">
        <v>5</v>
      </c>
      <c r="H62" s="6">
        <f>FLOOR(tblPivotData[[#This Row],[Time]],Summary!$B$6/1440)</f>
        <v>0.29166666666666663</v>
      </c>
      <c r="I62" s="49">
        <f>INDEX(PeakCalc!$L$10:$L$303,MATCH(tblPivotData[[#This Row],[Time]],PeakCalc!$G$10:$G$303,0))</f>
        <v>0</v>
      </c>
    </row>
    <row r="63" spans="1:9" x14ac:dyDescent="0.25">
      <c r="A63" t="s">
        <v>93</v>
      </c>
      <c r="B63" t="s">
        <v>96</v>
      </c>
      <c r="C63" t="s">
        <v>100</v>
      </c>
      <c r="D63" t="s">
        <v>79</v>
      </c>
      <c r="E63" t="s">
        <v>43</v>
      </c>
      <c r="F63" s="6">
        <v>0.30208333333333331</v>
      </c>
      <c r="G63">
        <v>1</v>
      </c>
      <c r="H63" s="6">
        <f>FLOOR(tblPivotData[[#This Row],[Time]],Summary!$B$6/1440)</f>
        <v>0.30208333333333331</v>
      </c>
      <c r="I63" s="49">
        <f>INDEX(PeakCalc!$L$10:$L$303,MATCH(tblPivotData[[#This Row],[Time]],PeakCalc!$G$10:$G$303,0))</f>
        <v>0</v>
      </c>
    </row>
    <row r="64" spans="1:9" x14ac:dyDescent="0.25">
      <c r="A64" t="s">
        <v>93</v>
      </c>
      <c r="B64" t="s">
        <v>96</v>
      </c>
      <c r="C64" t="s">
        <v>100</v>
      </c>
      <c r="D64" t="s">
        <v>79</v>
      </c>
      <c r="E64" t="s">
        <v>43</v>
      </c>
      <c r="F64" s="6">
        <v>0.3125</v>
      </c>
      <c r="G64">
        <v>1</v>
      </c>
      <c r="H64" s="6">
        <f>FLOOR(tblPivotData[[#This Row],[Time]],Summary!$B$6/1440)</f>
        <v>0.3125</v>
      </c>
      <c r="I64" s="49">
        <f>INDEX(PeakCalc!$L$10:$L$303,MATCH(tblPivotData[[#This Row],[Time]],PeakCalc!$G$10:$G$303,0))</f>
        <v>0</v>
      </c>
    </row>
    <row r="65" spans="1:9" x14ac:dyDescent="0.25">
      <c r="A65" t="s">
        <v>93</v>
      </c>
      <c r="B65" t="s">
        <v>96</v>
      </c>
      <c r="C65" t="s">
        <v>100</v>
      </c>
      <c r="D65" t="s">
        <v>79</v>
      </c>
      <c r="E65" t="s">
        <v>43</v>
      </c>
      <c r="F65" s="6">
        <v>0.32291666666666669</v>
      </c>
      <c r="G65">
        <v>3</v>
      </c>
      <c r="H65" s="6">
        <f>FLOOR(tblPivotData[[#This Row],[Time]],Summary!$B$6/1440)</f>
        <v>0.32291666666666663</v>
      </c>
      <c r="I65" s="49">
        <f>INDEX(PeakCalc!$L$10:$L$303,MATCH(tblPivotData[[#This Row],[Time]],PeakCalc!$G$10:$G$303,0))</f>
        <v>0</v>
      </c>
    </row>
    <row r="66" spans="1:9" x14ac:dyDescent="0.25">
      <c r="A66" t="s">
        <v>93</v>
      </c>
      <c r="B66" t="s">
        <v>96</v>
      </c>
      <c r="C66" t="s">
        <v>100</v>
      </c>
      <c r="D66" t="s">
        <v>79</v>
      </c>
      <c r="E66" t="s">
        <v>43</v>
      </c>
      <c r="F66" s="6">
        <v>0.33333333333333331</v>
      </c>
      <c r="G66">
        <v>4</v>
      </c>
      <c r="H66" s="6">
        <f>FLOOR(tblPivotData[[#This Row],[Time]],Summary!$B$6/1440)</f>
        <v>0.33333333333333331</v>
      </c>
      <c r="I66" s="49">
        <f>INDEX(PeakCalc!$L$10:$L$303,MATCH(tblPivotData[[#This Row],[Time]],PeakCalc!$G$10:$G$303,0))</f>
        <v>1</v>
      </c>
    </row>
    <row r="67" spans="1:9" x14ac:dyDescent="0.25">
      <c r="A67" t="s">
        <v>93</v>
      </c>
      <c r="B67" t="s">
        <v>96</v>
      </c>
      <c r="C67" t="s">
        <v>100</v>
      </c>
      <c r="D67" t="s">
        <v>79</v>
      </c>
      <c r="E67" t="s">
        <v>43</v>
      </c>
      <c r="F67" s="6">
        <v>0.34375</v>
      </c>
      <c r="G67">
        <v>8</v>
      </c>
      <c r="H67" s="6">
        <f>FLOOR(tblPivotData[[#This Row],[Time]],Summary!$B$6/1440)</f>
        <v>0.34375</v>
      </c>
      <c r="I67" s="49">
        <f>INDEX(PeakCalc!$L$10:$L$303,MATCH(tblPivotData[[#This Row],[Time]],PeakCalc!$G$10:$G$303,0))</f>
        <v>1</v>
      </c>
    </row>
    <row r="68" spans="1:9" x14ac:dyDescent="0.25">
      <c r="A68" t="s">
        <v>93</v>
      </c>
      <c r="B68" t="s">
        <v>96</v>
      </c>
      <c r="C68" t="s">
        <v>100</v>
      </c>
      <c r="D68" t="s">
        <v>79</v>
      </c>
      <c r="E68" t="s">
        <v>43</v>
      </c>
      <c r="F68" s="6">
        <v>0.35416666666666669</v>
      </c>
      <c r="G68">
        <v>1</v>
      </c>
      <c r="H68" s="6">
        <f>FLOOR(tblPivotData[[#This Row],[Time]],Summary!$B$6/1440)</f>
        <v>0.35416666666666663</v>
      </c>
      <c r="I68" s="49">
        <f>INDEX(PeakCalc!$L$10:$L$303,MATCH(tblPivotData[[#This Row],[Time]],PeakCalc!$G$10:$G$303,0))</f>
        <v>1</v>
      </c>
    </row>
    <row r="69" spans="1:9" x14ac:dyDescent="0.25">
      <c r="A69" t="s">
        <v>93</v>
      </c>
      <c r="B69" t="s">
        <v>96</v>
      </c>
      <c r="C69" t="s">
        <v>100</v>
      </c>
      <c r="D69" t="s">
        <v>79</v>
      </c>
      <c r="E69" t="s">
        <v>43</v>
      </c>
      <c r="F69" s="6">
        <v>0.36458333333333331</v>
      </c>
      <c r="G69">
        <v>7</v>
      </c>
      <c r="H69" s="6">
        <f>FLOOR(tblPivotData[[#This Row],[Time]],Summary!$B$6/1440)</f>
        <v>0.36458333333333331</v>
      </c>
      <c r="I69" s="49">
        <f>INDEX(PeakCalc!$L$10:$L$303,MATCH(tblPivotData[[#This Row],[Time]],PeakCalc!$G$10:$G$303,0))</f>
        <v>1</v>
      </c>
    </row>
    <row r="70" spans="1:9" x14ac:dyDescent="0.25">
      <c r="A70" t="s">
        <v>93</v>
      </c>
      <c r="B70" t="s">
        <v>96</v>
      </c>
      <c r="C70" t="s">
        <v>100</v>
      </c>
      <c r="D70" t="s">
        <v>79</v>
      </c>
      <c r="E70" t="s">
        <v>91</v>
      </c>
      <c r="F70" s="6">
        <v>0.54166666666666663</v>
      </c>
      <c r="G70">
        <v>8</v>
      </c>
      <c r="H70" s="6">
        <f>FLOOR(tblPivotData[[#This Row],[Time]],Summary!$B$6/1440)</f>
        <v>0.54166666666666663</v>
      </c>
      <c r="I70" s="49">
        <f>INDEX(PeakCalc!$L$10:$L$303,MATCH(tblPivotData[[#This Row],[Time]],PeakCalc!$G$10:$G$303,0))</f>
        <v>1</v>
      </c>
    </row>
    <row r="71" spans="1:9" x14ac:dyDescent="0.25">
      <c r="A71" t="s">
        <v>93</v>
      </c>
      <c r="B71" t="s">
        <v>96</v>
      </c>
      <c r="C71" t="s">
        <v>100</v>
      </c>
      <c r="D71" t="s">
        <v>79</v>
      </c>
      <c r="E71" t="s">
        <v>91</v>
      </c>
      <c r="F71" s="6">
        <v>0.55208333333333337</v>
      </c>
      <c r="G71">
        <v>5</v>
      </c>
      <c r="H71" s="6">
        <f>FLOOR(tblPivotData[[#This Row],[Time]],Summary!$B$6/1440)</f>
        <v>0.55208333333333326</v>
      </c>
      <c r="I71" s="49">
        <f>INDEX(PeakCalc!$L$10:$L$303,MATCH(tblPivotData[[#This Row],[Time]],PeakCalc!$G$10:$G$303,0))</f>
        <v>1</v>
      </c>
    </row>
    <row r="72" spans="1:9" x14ac:dyDescent="0.25">
      <c r="A72" t="s">
        <v>93</v>
      </c>
      <c r="B72" t="s">
        <v>96</v>
      </c>
      <c r="C72" t="s">
        <v>100</v>
      </c>
      <c r="D72" t="s">
        <v>79</v>
      </c>
      <c r="E72" t="s">
        <v>91</v>
      </c>
      <c r="F72" s="6">
        <v>0.5625</v>
      </c>
      <c r="G72">
        <v>11</v>
      </c>
      <c r="H72" s="6">
        <f>FLOOR(tblPivotData[[#This Row],[Time]],Summary!$B$6/1440)</f>
        <v>0.5625</v>
      </c>
      <c r="I72" s="49">
        <f>INDEX(PeakCalc!$L$10:$L$303,MATCH(tblPivotData[[#This Row],[Time]],PeakCalc!$G$10:$G$303,0))</f>
        <v>1</v>
      </c>
    </row>
    <row r="73" spans="1:9" x14ac:dyDescent="0.25">
      <c r="A73" t="s">
        <v>93</v>
      </c>
      <c r="B73" t="s">
        <v>96</v>
      </c>
      <c r="C73" t="s">
        <v>100</v>
      </c>
      <c r="D73" t="s">
        <v>79</v>
      </c>
      <c r="E73" t="s">
        <v>91</v>
      </c>
      <c r="F73" s="6">
        <v>0.57291666666666663</v>
      </c>
      <c r="G73">
        <v>5</v>
      </c>
      <c r="H73" s="6">
        <f>FLOOR(tblPivotData[[#This Row],[Time]],Summary!$B$6/1440)</f>
        <v>0.57291666666666663</v>
      </c>
      <c r="I73" s="49">
        <f>INDEX(PeakCalc!$L$10:$L$303,MATCH(tblPivotData[[#This Row],[Time]],PeakCalc!$G$10:$G$303,0))</f>
        <v>1</v>
      </c>
    </row>
    <row r="74" spans="1:9" x14ac:dyDescent="0.25">
      <c r="A74" t="s">
        <v>93</v>
      </c>
      <c r="B74" t="s">
        <v>96</v>
      </c>
      <c r="C74" t="s">
        <v>100</v>
      </c>
      <c r="D74" t="s">
        <v>79</v>
      </c>
      <c r="E74" t="s">
        <v>44</v>
      </c>
      <c r="F74" s="6">
        <v>0.66666666666666663</v>
      </c>
      <c r="G74">
        <v>9</v>
      </c>
      <c r="H74" s="6">
        <f>FLOOR(tblPivotData[[#This Row],[Time]],Summary!$B$6/1440)</f>
        <v>0.66666666666666663</v>
      </c>
      <c r="I74" s="49">
        <f>INDEX(PeakCalc!$L$10:$L$303,MATCH(tblPivotData[[#This Row],[Time]],PeakCalc!$G$10:$G$303,0))</f>
        <v>0</v>
      </c>
    </row>
    <row r="75" spans="1:9" x14ac:dyDescent="0.25">
      <c r="A75" t="s">
        <v>93</v>
      </c>
      <c r="B75" t="s">
        <v>96</v>
      </c>
      <c r="C75" t="s">
        <v>100</v>
      </c>
      <c r="D75" t="s">
        <v>79</v>
      </c>
      <c r="E75" t="s">
        <v>44</v>
      </c>
      <c r="F75" s="6">
        <v>0.67708333333333337</v>
      </c>
      <c r="G75">
        <v>8</v>
      </c>
      <c r="H75" s="6">
        <f>FLOOR(tblPivotData[[#This Row],[Time]],Summary!$B$6/1440)</f>
        <v>0.67708333333333326</v>
      </c>
      <c r="I75" s="49">
        <f>INDEX(PeakCalc!$L$10:$L$303,MATCH(tblPivotData[[#This Row],[Time]],PeakCalc!$G$10:$G$303,0))</f>
        <v>0</v>
      </c>
    </row>
    <row r="76" spans="1:9" x14ac:dyDescent="0.25">
      <c r="A76" t="s">
        <v>93</v>
      </c>
      <c r="B76" t="s">
        <v>96</v>
      </c>
      <c r="C76" t="s">
        <v>100</v>
      </c>
      <c r="D76" t="s">
        <v>79</v>
      </c>
      <c r="E76" t="s">
        <v>44</v>
      </c>
      <c r="F76" s="6">
        <v>0.6875</v>
      </c>
      <c r="G76">
        <v>15</v>
      </c>
      <c r="H76" s="6">
        <f>FLOOR(tblPivotData[[#This Row],[Time]],Summary!$B$6/1440)</f>
        <v>0.6875</v>
      </c>
      <c r="I76" s="49">
        <f>INDEX(PeakCalc!$L$10:$L$303,MATCH(tblPivotData[[#This Row],[Time]],PeakCalc!$G$10:$G$303,0))</f>
        <v>1</v>
      </c>
    </row>
    <row r="77" spans="1:9" x14ac:dyDescent="0.25">
      <c r="A77" t="s">
        <v>93</v>
      </c>
      <c r="B77" t="s">
        <v>96</v>
      </c>
      <c r="C77" t="s">
        <v>100</v>
      </c>
      <c r="D77" t="s">
        <v>79</v>
      </c>
      <c r="E77" t="s">
        <v>44</v>
      </c>
      <c r="F77" s="6">
        <v>0.69791666666666663</v>
      </c>
      <c r="G77">
        <v>6</v>
      </c>
      <c r="H77" s="6">
        <f>FLOOR(tblPivotData[[#This Row],[Time]],Summary!$B$6/1440)</f>
        <v>0.69791666666666663</v>
      </c>
      <c r="I77" s="49">
        <f>INDEX(PeakCalc!$L$10:$L$303,MATCH(tblPivotData[[#This Row],[Time]],PeakCalc!$G$10:$G$303,0))</f>
        <v>1</v>
      </c>
    </row>
    <row r="78" spans="1:9" x14ac:dyDescent="0.25">
      <c r="A78" t="s">
        <v>93</v>
      </c>
      <c r="B78" t="s">
        <v>96</v>
      </c>
      <c r="C78" t="s">
        <v>100</v>
      </c>
      <c r="D78" t="s">
        <v>79</v>
      </c>
      <c r="E78" t="s">
        <v>44</v>
      </c>
      <c r="F78" s="6">
        <v>0.70833333333333337</v>
      </c>
      <c r="G78">
        <v>11</v>
      </c>
      <c r="H78" s="6">
        <f>FLOOR(tblPivotData[[#This Row],[Time]],Summary!$B$6/1440)</f>
        <v>0.70833333333333326</v>
      </c>
      <c r="I78" s="49">
        <f>INDEX(PeakCalc!$L$10:$L$303,MATCH(tblPivotData[[#This Row],[Time]],PeakCalc!$G$10:$G$303,0))</f>
        <v>1</v>
      </c>
    </row>
    <row r="79" spans="1:9" x14ac:dyDescent="0.25">
      <c r="A79" t="s">
        <v>93</v>
      </c>
      <c r="B79" t="s">
        <v>96</v>
      </c>
      <c r="C79" t="s">
        <v>100</v>
      </c>
      <c r="D79" t="s">
        <v>79</v>
      </c>
      <c r="E79" t="s">
        <v>44</v>
      </c>
      <c r="F79" s="6">
        <v>0.71875</v>
      </c>
      <c r="G79">
        <v>7</v>
      </c>
      <c r="H79" s="6">
        <f>FLOOR(tblPivotData[[#This Row],[Time]],Summary!$B$6/1440)</f>
        <v>0.71875</v>
      </c>
      <c r="I79" s="49">
        <f>INDEX(PeakCalc!$L$10:$L$303,MATCH(tblPivotData[[#This Row],[Time]],PeakCalc!$G$10:$G$303,0))</f>
        <v>1</v>
      </c>
    </row>
    <row r="80" spans="1:9" x14ac:dyDescent="0.25">
      <c r="A80" t="s">
        <v>93</v>
      </c>
      <c r="B80" t="s">
        <v>96</v>
      </c>
      <c r="C80" t="s">
        <v>100</v>
      </c>
      <c r="D80" t="s">
        <v>79</v>
      </c>
      <c r="E80" t="s">
        <v>44</v>
      </c>
      <c r="F80" s="6">
        <v>0.72916666666666663</v>
      </c>
      <c r="G80">
        <v>8</v>
      </c>
      <c r="H80" s="6">
        <f>FLOOR(tblPivotData[[#This Row],[Time]],Summary!$B$6/1440)</f>
        <v>0.72916666666666663</v>
      </c>
      <c r="I80" s="49">
        <f>INDEX(PeakCalc!$L$10:$L$303,MATCH(tblPivotData[[#This Row],[Time]],PeakCalc!$G$10:$G$303,0))</f>
        <v>0</v>
      </c>
    </row>
    <row r="81" spans="1:9" x14ac:dyDescent="0.25">
      <c r="A81" t="s">
        <v>93</v>
      </c>
      <c r="B81" t="s">
        <v>96</v>
      </c>
      <c r="C81" t="s">
        <v>100</v>
      </c>
      <c r="D81" t="s">
        <v>79</v>
      </c>
      <c r="E81" t="s">
        <v>44</v>
      </c>
      <c r="F81" s="6">
        <v>0.73958333333333337</v>
      </c>
      <c r="G81">
        <v>10</v>
      </c>
      <c r="H81" s="6">
        <f>FLOOR(tblPivotData[[#This Row],[Time]],Summary!$B$6/1440)</f>
        <v>0.73958333333333326</v>
      </c>
      <c r="I81" s="49">
        <f>INDEX(PeakCalc!$L$10:$L$303,MATCH(tblPivotData[[#This Row],[Time]],PeakCalc!$G$10:$G$303,0))</f>
        <v>0</v>
      </c>
    </row>
    <row r="82" spans="1:9" x14ac:dyDescent="0.25">
      <c r="A82" t="s">
        <v>93</v>
      </c>
      <c r="B82" t="s">
        <v>96</v>
      </c>
      <c r="C82" t="s">
        <v>100</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96</v>
      </c>
      <c r="C83" t="s">
        <v>100</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96</v>
      </c>
      <c r="C84" t="s">
        <v>100</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96</v>
      </c>
      <c r="C85" t="s">
        <v>100</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96</v>
      </c>
      <c r="C86" t="s">
        <v>100</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96</v>
      </c>
      <c r="C87" t="s">
        <v>100</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96</v>
      </c>
      <c r="C88" t="s">
        <v>100</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96</v>
      </c>
      <c r="C89" t="s">
        <v>100</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96</v>
      </c>
      <c r="C90" t="s">
        <v>100</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96</v>
      </c>
      <c r="C91" t="s">
        <v>100</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96</v>
      </c>
      <c r="C92" t="s">
        <v>100</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96</v>
      </c>
      <c r="C93" t="s">
        <v>100</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96</v>
      </c>
      <c r="C94" t="s">
        <v>100</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96</v>
      </c>
      <c r="C95" t="s">
        <v>100</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96</v>
      </c>
      <c r="C96" t="s">
        <v>100</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96</v>
      </c>
      <c r="C97" t="s">
        <v>100</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96</v>
      </c>
      <c r="C98" t="s">
        <v>100</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96</v>
      </c>
      <c r="C99" t="s">
        <v>100</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96</v>
      </c>
      <c r="C100" t="s">
        <v>100</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96</v>
      </c>
      <c r="C101" t="s">
        <v>100</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96</v>
      </c>
      <c r="C102" t="s">
        <v>100</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96</v>
      </c>
      <c r="C103" t="s">
        <v>100</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96</v>
      </c>
      <c r="C104" t="s">
        <v>100</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96</v>
      </c>
      <c r="C105" t="s">
        <v>100</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96</v>
      </c>
      <c r="C106" t="s">
        <v>100</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96</v>
      </c>
      <c r="C107" t="s">
        <v>100</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96</v>
      </c>
      <c r="C108" t="s">
        <v>100</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96</v>
      </c>
      <c r="C109" t="s">
        <v>100</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96</v>
      </c>
      <c r="C110" t="s">
        <v>100</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96</v>
      </c>
      <c r="C111" t="s">
        <v>100</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96</v>
      </c>
      <c r="C112" t="s">
        <v>100</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96</v>
      </c>
      <c r="C113" t="s">
        <v>100</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96</v>
      </c>
      <c r="C114" t="s">
        <v>100</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96</v>
      </c>
      <c r="C115" t="s">
        <v>100</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96</v>
      </c>
      <c r="C116" t="s">
        <v>100</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96</v>
      </c>
      <c r="C117" t="s">
        <v>100</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96</v>
      </c>
      <c r="C118" t="s">
        <v>100</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96</v>
      </c>
      <c r="C119" t="s">
        <v>100</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96</v>
      </c>
      <c r="C120" t="s">
        <v>100</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96</v>
      </c>
      <c r="C121" t="s">
        <v>100</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97</v>
      </c>
      <c r="C122" t="s">
        <v>99</v>
      </c>
      <c r="D122" t="s">
        <v>79</v>
      </c>
      <c r="E122" t="s">
        <v>43</v>
      </c>
      <c r="F122" s="6">
        <v>0.29166666666666669</v>
      </c>
      <c r="G122">
        <v>9</v>
      </c>
      <c r="H122" s="6">
        <f>FLOOR(tblPivotData[[#This Row],[Time]],Summary!$B$6/1440)</f>
        <v>0.29166666666666663</v>
      </c>
      <c r="I122" s="49">
        <f>INDEX(PeakCalc!$L$10:$L$303,MATCH(tblPivotData[[#This Row],[Time]],PeakCalc!$G$10:$G$303,0))</f>
        <v>0</v>
      </c>
    </row>
    <row r="123" spans="1:9" x14ac:dyDescent="0.25">
      <c r="A123" t="s">
        <v>94</v>
      </c>
      <c r="B123" t="s">
        <v>97</v>
      </c>
      <c r="C123" t="s">
        <v>99</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94</v>
      </c>
      <c r="B124" t="s">
        <v>97</v>
      </c>
      <c r="C124" t="s">
        <v>99</v>
      </c>
      <c r="D124" t="s">
        <v>79</v>
      </c>
      <c r="E124" t="s">
        <v>43</v>
      </c>
      <c r="F124" s="6">
        <v>0.3125</v>
      </c>
      <c r="G124">
        <v>6</v>
      </c>
      <c r="H124" s="6">
        <f>FLOOR(tblPivotData[[#This Row],[Time]],Summary!$B$6/1440)</f>
        <v>0.3125</v>
      </c>
      <c r="I124" s="49">
        <f>INDEX(PeakCalc!$L$10:$L$303,MATCH(tblPivotData[[#This Row],[Time]],PeakCalc!$G$10:$G$303,0))</f>
        <v>0</v>
      </c>
    </row>
    <row r="125" spans="1:9" x14ac:dyDescent="0.25">
      <c r="A125" t="s">
        <v>94</v>
      </c>
      <c r="B125" t="s">
        <v>97</v>
      </c>
      <c r="C125" t="s">
        <v>99</v>
      </c>
      <c r="D125" t="s">
        <v>79</v>
      </c>
      <c r="E125" t="s">
        <v>43</v>
      </c>
      <c r="F125" s="6">
        <v>0.32291666666666669</v>
      </c>
      <c r="G125">
        <v>10</v>
      </c>
      <c r="H125" s="6">
        <f>FLOOR(tblPivotData[[#This Row],[Time]],Summary!$B$6/1440)</f>
        <v>0.32291666666666663</v>
      </c>
      <c r="I125" s="49">
        <f>INDEX(PeakCalc!$L$10:$L$303,MATCH(tblPivotData[[#This Row],[Time]],PeakCalc!$G$10:$G$303,0))</f>
        <v>0</v>
      </c>
    </row>
    <row r="126" spans="1:9" x14ac:dyDescent="0.25">
      <c r="A126" t="s">
        <v>94</v>
      </c>
      <c r="B126" t="s">
        <v>97</v>
      </c>
      <c r="C126" t="s">
        <v>99</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94</v>
      </c>
      <c r="B127" t="s">
        <v>97</v>
      </c>
      <c r="C127" t="s">
        <v>99</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94</v>
      </c>
      <c r="B128" t="s">
        <v>97</v>
      </c>
      <c r="C128" t="s">
        <v>99</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94</v>
      </c>
      <c r="B129" t="s">
        <v>97</v>
      </c>
      <c r="C129" t="s">
        <v>99</v>
      </c>
      <c r="D129" t="s">
        <v>79</v>
      </c>
      <c r="E129" t="s">
        <v>43</v>
      </c>
      <c r="F129" s="6">
        <v>0.36458333333333331</v>
      </c>
      <c r="G129">
        <v>12</v>
      </c>
      <c r="H129" s="6">
        <f>FLOOR(tblPivotData[[#This Row],[Time]],Summary!$B$6/1440)</f>
        <v>0.36458333333333331</v>
      </c>
      <c r="I129" s="49">
        <f>INDEX(PeakCalc!$L$10:$L$303,MATCH(tblPivotData[[#This Row],[Time]],PeakCalc!$G$10:$G$303,0))</f>
        <v>1</v>
      </c>
    </row>
    <row r="130" spans="1:9" x14ac:dyDescent="0.25">
      <c r="A130" t="s">
        <v>94</v>
      </c>
      <c r="B130" t="s">
        <v>97</v>
      </c>
      <c r="C130" t="s">
        <v>99</v>
      </c>
      <c r="D130" t="s">
        <v>79</v>
      </c>
      <c r="E130" t="s">
        <v>91</v>
      </c>
      <c r="F130" s="6">
        <v>0.54166666666666663</v>
      </c>
      <c r="G130">
        <v>14</v>
      </c>
      <c r="H130" s="6">
        <f>FLOOR(tblPivotData[[#This Row],[Time]],Summary!$B$6/1440)</f>
        <v>0.54166666666666663</v>
      </c>
      <c r="I130" s="49">
        <f>INDEX(PeakCalc!$L$10:$L$303,MATCH(tblPivotData[[#This Row],[Time]],PeakCalc!$G$10:$G$303,0))</f>
        <v>1</v>
      </c>
    </row>
    <row r="131" spans="1:9" x14ac:dyDescent="0.25">
      <c r="A131" t="s">
        <v>94</v>
      </c>
      <c r="B131" t="s">
        <v>97</v>
      </c>
      <c r="C131" t="s">
        <v>99</v>
      </c>
      <c r="D131" t="s">
        <v>79</v>
      </c>
      <c r="E131" t="s">
        <v>91</v>
      </c>
      <c r="F131" s="6">
        <v>0.55208333333333337</v>
      </c>
      <c r="G131">
        <v>16</v>
      </c>
      <c r="H131" s="6">
        <f>FLOOR(tblPivotData[[#This Row],[Time]],Summary!$B$6/1440)</f>
        <v>0.55208333333333326</v>
      </c>
      <c r="I131" s="49">
        <f>INDEX(PeakCalc!$L$10:$L$303,MATCH(tblPivotData[[#This Row],[Time]],PeakCalc!$G$10:$G$303,0))</f>
        <v>1</v>
      </c>
    </row>
    <row r="132" spans="1:9" x14ac:dyDescent="0.25">
      <c r="A132" t="s">
        <v>94</v>
      </c>
      <c r="B132" t="s">
        <v>97</v>
      </c>
      <c r="C132" t="s">
        <v>99</v>
      </c>
      <c r="D132" t="s">
        <v>79</v>
      </c>
      <c r="E132" t="s">
        <v>91</v>
      </c>
      <c r="F132" s="6">
        <v>0.5625</v>
      </c>
      <c r="G132">
        <v>18</v>
      </c>
      <c r="H132" s="6">
        <f>FLOOR(tblPivotData[[#This Row],[Time]],Summary!$B$6/1440)</f>
        <v>0.5625</v>
      </c>
      <c r="I132" s="49">
        <f>INDEX(PeakCalc!$L$10:$L$303,MATCH(tblPivotData[[#This Row],[Time]],PeakCalc!$G$10:$G$303,0))</f>
        <v>1</v>
      </c>
    </row>
    <row r="133" spans="1:9" x14ac:dyDescent="0.25">
      <c r="A133" t="s">
        <v>94</v>
      </c>
      <c r="B133" t="s">
        <v>97</v>
      </c>
      <c r="C133" t="s">
        <v>99</v>
      </c>
      <c r="D133" t="s">
        <v>79</v>
      </c>
      <c r="E133" t="s">
        <v>91</v>
      </c>
      <c r="F133" s="6">
        <v>0.57291666666666663</v>
      </c>
      <c r="G133">
        <v>17</v>
      </c>
      <c r="H133" s="6">
        <f>FLOOR(tblPivotData[[#This Row],[Time]],Summary!$B$6/1440)</f>
        <v>0.57291666666666663</v>
      </c>
      <c r="I133" s="49">
        <f>INDEX(PeakCalc!$L$10:$L$303,MATCH(tblPivotData[[#This Row],[Time]],PeakCalc!$G$10:$G$303,0))</f>
        <v>1</v>
      </c>
    </row>
    <row r="134" spans="1:9" x14ac:dyDescent="0.25">
      <c r="A134" t="s">
        <v>94</v>
      </c>
      <c r="B134" t="s">
        <v>97</v>
      </c>
      <c r="C134" t="s">
        <v>99</v>
      </c>
      <c r="D134" t="s">
        <v>79</v>
      </c>
      <c r="E134" t="s">
        <v>44</v>
      </c>
      <c r="F134" s="6">
        <v>0.66666666666666663</v>
      </c>
      <c r="G134">
        <v>25</v>
      </c>
      <c r="H134" s="6">
        <f>FLOOR(tblPivotData[[#This Row],[Time]],Summary!$B$6/1440)</f>
        <v>0.66666666666666663</v>
      </c>
      <c r="I134" s="49">
        <f>INDEX(PeakCalc!$L$10:$L$303,MATCH(tblPivotData[[#This Row],[Time]],PeakCalc!$G$10:$G$303,0))</f>
        <v>0</v>
      </c>
    </row>
    <row r="135" spans="1:9" x14ac:dyDescent="0.25">
      <c r="A135" t="s">
        <v>94</v>
      </c>
      <c r="B135" t="s">
        <v>97</v>
      </c>
      <c r="C135" t="s">
        <v>99</v>
      </c>
      <c r="D135" t="s">
        <v>79</v>
      </c>
      <c r="E135" t="s">
        <v>44</v>
      </c>
      <c r="F135" s="6">
        <v>0.67708333333333337</v>
      </c>
      <c r="G135">
        <v>26</v>
      </c>
      <c r="H135" s="6">
        <f>FLOOR(tblPivotData[[#This Row],[Time]],Summary!$B$6/1440)</f>
        <v>0.67708333333333326</v>
      </c>
      <c r="I135" s="49">
        <f>INDEX(PeakCalc!$L$10:$L$303,MATCH(tblPivotData[[#This Row],[Time]],PeakCalc!$G$10:$G$303,0))</f>
        <v>0</v>
      </c>
    </row>
    <row r="136" spans="1:9" x14ac:dyDescent="0.25">
      <c r="A136" t="s">
        <v>94</v>
      </c>
      <c r="B136" t="s">
        <v>97</v>
      </c>
      <c r="C136" t="s">
        <v>99</v>
      </c>
      <c r="D136" t="s">
        <v>79</v>
      </c>
      <c r="E136" t="s">
        <v>44</v>
      </c>
      <c r="F136" s="6">
        <v>0.6875</v>
      </c>
      <c r="G136">
        <v>22</v>
      </c>
      <c r="H136" s="6">
        <f>FLOOR(tblPivotData[[#This Row],[Time]],Summary!$B$6/1440)</f>
        <v>0.6875</v>
      </c>
      <c r="I136" s="49">
        <f>INDEX(PeakCalc!$L$10:$L$303,MATCH(tblPivotData[[#This Row],[Time]],PeakCalc!$G$10:$G$303,0))</f>
        <v>1</v>
      </c>
    </row>
    <row r="137" spans="1:9" x14ac:dyDescent="0.25">
      <c r="A137" t="s">
        <v>94</v>
      </c>
      <c r="B137" t="s">
        <v>97</v>
      </c>
      <c r="C137" t="s">
        <v>99</v>
      </c>
      <c r="D137" t="s">
        <v>79</v>
      </c>
      <c r="E137" t="s">
        <v>44</v>
      </c>
      <c r="F137" s="6">
        <v>0.69791666666666663</v>
      </c>
      <c r="G137">
        <v>33</v>
      </c>
      <c r="H137" s="6">
        <f>FLOOR(tblPivotData[[#This Row],[Time]],Summary!$B$6/1440)</f>
        <v>0.69791666666666663</v>
      </c>
      <c r="I137" s="49">
        <f>INDEX(PeakCalc!$L$10:$L$303,MATCH(tblPivotData[[#This Row],[Time]],PeakCalc!$G$10:$G$303,0))</f>
        <v>1</v>
      </c>
    </row>
    <row r="138" spans="1:9" x14ac:dyDescent="0.25">
      <c r="A138" t="s">
        <v>94</v>
      </c>
      <c r="B138" t="s">
        <v>97</v>
      </c>
      <c r="C138" t="s">
        <v>99</v>
      </c>
      <c r="D138" t="s">
        <v>79</v>
      </c>
      <c r="E138" t="s">
        <v>44</v>
      </c>
      <c r="F138" s="6">
        <v>0.70833333333333337</v>
      </c>
      <c r="G138">
        <v>41</v>
      </c>
      <c r="H138" s="6">
        <f>FLOOR(tblPivotData[[#This Row],[Time]],Summary!$B$6/1440)</f>
        <v>0.70833333333333326</v>
      </c>
      <c r="I138" s="49">
        <f>INDEX(PeakCalc!$L$10:$L$303,MATCH(tblPivotData[[#This Row],[Time]],PeakCalc!$G$10:$G$303,0))</f>
        <v>1</v>
      </c>
    </row>
    <row r="139" spans="1:9" x14ac:dyDescent="0.25">
      <c r="A139" t="s">
        <v>94</v>
      </c>
      <c r="B139" t="s">
        <v>97</v>
      </c>
      <c r="C139" t="s">
        <v>99</v>
      </c>
      <c r="D139" t="s">
        <v>79</v>
      </c>
      <c r="E139" t="s">
        <v>44</v>
      </c>
      <c r="F139" s="6">
        <v>0.71875</v>
      </c>
      <c r="G139">
        <v>35</v>
      </c>
      <c r="H139" s="6">
        <f>FLOOR(tblPivotData[[#This Row],[Time]],Summary!$B$6/1440)</f>
        <v>0.71875</v>
      </c>
      <c r="I139" s="49">
        <f>INDEX(PeakCalc!$L$10:$L$303,MATCH(tblPivotData[[#This Row],[Time]],PeakCalc!$G$10:$G$303,0))</f>
        <v>1</v>
      </c>
    </row>
    <row r="140" spans="1:9" x14ac:dyDescent="0.25">
      <c r="A140" t="s">
        <v>94</v>
      </c>
      <c r="B140" t="s">
        <v>97</v>
      </c>
      <c r="C140" t="s">
        <v>99</v>
      </c>
      <c r="D140" t="s">
        <v>79</v>
      </c>
      <c r="E140" t="s">
        <v>44</v>
      </c>
      <c r="F140" s="6">
        <v>0.72916666666666663</v>
      </c>
      <c r="G140">
        <v>30</v>
      </c>
      <c r="H140" s="6">
        <f>FLOOR(tblPivotData[[#This Row],[Time]],Summary!$B$6/1440)</f>
        <v>0.72916666666666663</v>
      </c>
      <c r="I140" s="49">
        <f>INDEX(PeakCalc!$L$10:$L$303,MATCH(tblPivotData[[#This Row],[Time]],PeakCalc!$G$10:$G$303,0))</f>
        <v>0</v>
      </c>
    </row>
    <row r="141" spans="1:9" x14ac:dyDescent="0.25">
      <c r="A141" t="s">
        <v>94</v>
      </c>
      <c r="B141" t="s">
        <v>97</v>
      </c>
      <c r="C141" t="s">
        <v>99</v>
      </c>
      <c r="D141" t="s">
        <v>79</v>
      </c>
      <c r="E141" t="s">
        <v>44</v>
      </c>
      <c r="F141" s="6">
        <v>0.73958333333333337</v>
      </c>
      <c r="G141">
        <v>17</v>
      </c>
      <c r="H141" s="6">
        <f>FLOOR(tblPivotData[[#This Row],[Time]],Summary!$B$6/1440)</f>
        <v>0.73958333333333326</v>
      </c>
      <c r="I141" s="49">
        <f>INDEX(PeakCalc!$L$10:$L$303,MATCH(tblPivotData[[#This Row],[Time]],PeakCalc!$G$10:$G$303,0))</f>
        <v>0</v>
      </c>
    </row>
    <row r="142" spans="1:9" x14ac:dyDescent="0.25">
      <c r="A142" t="s">
        <v>94</v>
      </c>
      <c r="B142" t="s">
        <v>97</v>
      </c>
      <c r="C142" t="s">
        <v>99</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97</v>
      </c>
      <c r="C143" t="s">
        <v>99</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97</v>
      </c>
      <c r="C144" t="s">
        <v>99</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97</v>
      </c>
      <c r="C145" t="s">
        <v>99</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94</v>
      </c>
      <c r="B146" t="s">
        <v>97</v>
      </c>
      <c r="C146" t="s">
        <v>99</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97</v>
      </c>
      <c r="C147" t="s">
        <v>99</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97</v>
      </c>
      <c r="C148" t="s">
        <v>99</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97</v>
      </c>
      <c r="C149" t="s">
        <v>99</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94</v>
      </c>
      <c r="B150" t="s">
        <v>97</v>
      </c>
      <c r="C150" t="s">
        <v>99</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97</v>
      </c>
      <c r="C151" t="s">
        <v>99</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97</v>
      </c>
      <c r="C152" t="s">
        <v>99</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97</v>
      </c>
      <c r="C153" t="s">
        <v>99</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97</v>
      </c>
      <c r="C154" t="s">
        <v>99</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97</v>
      </c>
      <c r="C155" t="s">
        <v>99</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94</v>
      </c>
      <c r="B156" t="s">
        <v>97</v>
      </c>
      <c r="C156" t="s">
        <v>99</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97</v>
      </c>
      <c r="C157" t="s">
        <v>99</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97</v>
      </c>
      <c r="C158" t="s">
        <v>99</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94</v>
      </c>
      <c r="B159" t="s">
        <v>97</v>
      </c>
      <c r="C159" t="s">
        <v>99</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94</v>
      </c>
      <c r="B160" t="s">
        <v>97</v>
      </c>
      <c r="C160" t="s">
        <v>99</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97</v>
      </c>
      <c r="C161" t="s">
        <v>99</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97</v>
      </c>
      <c r="C162" t="s">
        <v>99</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97</v>
      </c>
      <c r="C163" t="s">
        <v>99</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97</v>
      </c>
      <c r="C164" t="s">
        <v>99</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97</v>
      </c>
      <c r="C165" t="s">
        <v>99</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97</v>
      </c>
      <c r="C166" t="s">
        <v>99</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97</v>
      </c>
      <c r="C167" t="s">
        <v>99</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97</v>
      </c>
      <c r="C168" t="s">
        <v>99</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97</v>
      </c>
      <c r="C169" t="s">
        <v>99</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97</v>
      </c>
      <c r="C170" t="s">
        <v>99</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97</v>
      </c>
      <c r="C171" t="s">
        <v>99</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97</v>
      </c>
      <c r="C172" t="s">
        <v>99</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97</v>
      </c>
      <c r="C173" t="s">
        <v>99</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97</v>
      </c>
      <c r="C174" t="s">
        <v>99</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97</v>
      </c>
      <c r="C175" t="s">
        <v>99</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97</v>
      </c>
      <c r="C176" t="s">
        <v>99</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97</v>
      </c>
      <c r="C177" t="s">
        <v>99</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97</v>
      </c>
      <c r="C178" t="s">
        <v>99</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97</v>
      </c>
      <c r="C179" t="s">
        <v>99</v>
      </c>
      <c r="D179" t="s">
        <v>90</v>
      </c>
      <c r="E179" t="s">
        <v>44</v>
      </c>
      <c r="F179" s="6">
        <v>0.71875</v>
      </c>
      <c r="G179">
        <v>2</v>
      </c>
      <c r="H179" s="6">
        <f>FLOOR(tblPivotData[[#This Row],[Time]],Summary!$B$6/1440)</f>
        <v>0.71875</v>
      </c>
      <c r="I179" s="49">
        <f>INDEX(PeakCalc!$L$10:$L$303,MATCH(tblPivotData[[#This Row],[Time]],PeakCalc!$G$10:$G$303,0))</f>
        <v>1</v>
      </c>
    </row>
    <row r="180" spans="1:9" x14ac:dyDescent="0.25">
      <c r="A180" t="s">
        <v>94</v>
      </c>
      <c r="B180" t="s">
        <v>97</v>
      </c>
      <c r="C180" t="s">
        <v>99</v>
      </c>
      <c r="D180" t="s">
        <v>90</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94</v>
      </c>
      <c r="B181" t="s">
        <v>97</v>
      </c>
      <c r="C181" t="s">
        <v>99</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98</v>
      </c>
      <c r="C182" t="s">
        <v>100</v>
      </c>
      <c r="D182" t="s">
        <v>79</v>
      </c>
      <c r="E182" t="s">
        <v>43</v>
      </c>
      <c r="F182" s="6">
        <v>0.29166666666666669</v>
      </c>
      <c r="G182">
        <v>29</v>
      </c>
      <c r="H182" s="6">
        <f>FLOOR(tblPivotData[[#This Row],[Time]],Summary!$B$6/1440)</f>
        <v>0.29166666666666663</v>
      </c>
      <c r="I182" s="49">
        <f>INDEX(PeakCalc!$L$10:$L$303,MATCH(tblPivotData[[#This Row],[Time]],PeakCalc!$G$10:$G$303,0))</f>
        <v>0</v>
      </c>
    </row>
    <row r="183" spans="1:9" x14ac:dyDescent="0.25">
      <c r="A183" t="s">
        <v>94</v>
      </c>
      <c r="B183" t="s">
        <v>98</v>
      </c>
      <c r="C183" t="s">
        <v>100</v>
      </c>
      <c r="D183" t="s">
        <v>79</v>
      </c>
      <c r="E183" t="s">
        <v>43</v>
      </c>
      <c r="F183" s="6">
        <v>0.30208333333333331</v>
      </c>
      <c r="G183">
        <v>43</v>
      </c>
      <c r="H183" s="6">
        <f>FLOOR(tblPivotData[[#This Row],[Time]],Summary!$B$6/1440)</f>
        <v>0.30208333333333331</v>
      </c>
      <c r="I183" s="49">
        <f>INDEX(PeakCalc!$L$10:$L$303,MATCH(tblPivotData[[#This Row],[Time]],PeakCalc!$G$10:$G$303,0))</f>
        <v>0</v>
      </c>
    </row>
    <row r="184" spans="1:9" x14ac:dyDescent="0.25">
      <c r="A184" t="s">
        <v>94</v>
      </c>
      <c r="B184" t="s">
        <v>98</v>
      </c>
      <c r="C184" t="s">
        <v>100</v>
      </c>
      <c r="D184" t="s">
        <v>79</v>
      </c>
      <c r="E184" t="s">
        <v>43</v>
      </c>
      <c r="F184" s="6">
        <v>0.3125</v>
      </c>
      <c r="G184">
        <v>21</v>
      </c>
      <c r="H184" s="6">
        <f>FLOOR(tblPivotData[[#This Row],[Time]],Summary!$B$6/1440)</f>
        <v>0.3125</v>
      </c>
      <c r="I184" s="49">
        <f>INDEX(PeakCalc!$L$10:$L$303,MATCH(tblPivotData[[#This Row],[Time]],PeakCalc!$G$10:$G$303,0))</f>
        <v>0</v>
      </c>
    </row>
    <row r="185" spans="1:9" x14ac:dyDescent="0.25">
      <c r="A185" t="s">
        <v>94</v>
      </c>
      <c r="B185" t="s">
        <v>98</v>
      </c>
      <c r="C185" t="s">
        <v>100</v>
      </c>
      <c r="D185" t="s">
        <v>79</v>
      </c>
      <c r="E185" t="s">
        <v>43</v>
      </c>
      <c r="F185" s="6">
        <v>0.32291666666666669</v>
      </c>
      <c r="G185">
        <v>48</v>
      </c>
      <c r="H185" s="6">
        <f>FLOOR(tblPivotData[[#This Row],[Time]],Summary!$B$6/1440)</f>
        <v>0.32291666666666663</v>
      </c>
      <c r="I185" s="49">
        <f>INDEX(PeakCalc!$L$10:$L$303,MATCH(tblPivotData[[#This Row],[Time]],PeakCalc!$G$10:$G$303,0))</f>
        <v>0</v>
      </c>
    </row>
    <row r="186" spans="1:9" x14ac:dyDescent="0.25">
      <c r="A186" t="s">
        <v>94</v>
      </c>
      <c r="B186" t="s">
        <v>98</v>
      </c>
      <c r="C186" t="s">
        <v>100</v>
      </c>
      <c r="D186" t="s">
        <v>79</v>
      </c>
      <c r="E186" t="s">
        <v>43</v>
      </c>
      <c r="F186" s="6">
        <v>0.33333333333333331</v>
      </c>
      <c r="G186">
        <v>49</v>
      </c>
      <c r="H186" s="6">
        <f>FLOOR(tblPivotData[[#This Row],[Time]],Summary!$B$6/1440)</f>
        <v>0.33333333333333331</v>
      </c>
      <c r="I186" s="49">
        <f>INDEX(PeakCalc!$L$10:$L$303,MATCH(tblPivotData[[#This Row],[Time]],PeakCalc!$G$10:$G$303,0))</f>
        <v>1</v>
      </c>
    </row>
    <row r="187" spans="1:9" x14ac:dyDescent="0.25">
      <c r="A187" t="s">
        <v>94</v>
      </c>
      <c r="B187" t="s">
        <v>98</v>
      </c>
      <c r="C187" t="s">
        <v>100</v>
      </c>
      <c r="D187" t="s">
        <v>79</v>
      </c>
      <c r="E187" t="s">
        <v>43</v>
      </c>
      <c r="F187" s="6">
        <v>0.34375</v>
      </c>
      <c r="G187">
        <v>70</v>
      </c>
      <c r="H187" s="6">
        <f>FLOOR(tblPivotData[[#This Row],[Time]],Summary!$B$6/1440)</f>
        <v>0.34375</v>
      </c>
      <c r="I187" s="49">
        <f>INDEX(PeakCalc!$L$10:$L$303,MATCH(tblPivotData[[#This Row],[Time]],PeakCalc!$G$10:$G$303,0))</f>
        <v>1</v>
      </c>
    </row>
    <row r="188" spans="1:9" x14ac:dyDescent="0.25">
      <c r="A188" t="s">
        <v>94</v>
      </c>
      <c r="B188" t="s">
        <v>98</v>
      </c>
      <c r="C188" t="s">
        <v>100</v>
      </c>
      <c r="D188" t="s">
        <v>79</v>
      </c>
      <c r="E188" t="s">
        <v>43</v>
      </c>
      <c r="F188" s="6">
        <v>0.35416666666666669</v>
      </c>
      <c r="G188">
        <v>58</v>
      </c>
      <c r="H188" s="6">
        <f>FLOOR(tblPivotData[[#This Row],[Time]],Summary!$B$6/1440)</f>
        <v>0.35416666666666663</v>
      </c>
      <c r="I188" s="49">
        <f>INDEX(PeakCalc!$L$10:$L$303,MATCH(tblPivotData[[#This Row],[Time]],PeakCalc!$G$10:$G$303,0))</f>
        <v>1</v>
      </c>
    </row>
    <row r="189" spans="1:9" x14ac:dyDescent="0.25">
      <c r="A189" t="s">
        <v>94</v>
      </c>
      <c r="B189" t="s">
        <v>98</v>
      </c>
      <c r="C189" t="s">
        <v>100</v>
      </c>
      <c r="D189" t="s">
        <v>79</v>
      </c>
      <c r="E189" t="s">
        <v>43</v>
      </c>
      <c r="F189" s="6">
        <v>0.36458333333333331</v>
      </c>
      <c r="G189">
        <v>56</v>
      </c>
      <c r="H189" s="6">
        <f>FLOOR(tblPivotData[[#This Row],[Time]],Summary!$B$6/1440)</f>
        <v>0.36458333333333331</v>
      </c>
      <c r="I189" s="49">
        <f>INDEX(PeakCalc!$L$10:$L$303,MATCH(tblPivotData[[#This Row],[Time]],PeakCalc!$G$10:$G$303,0))</f>
        <v>1</v>
      </c>
    </row>
    <row r="190" spans="1:9" x14ac:dyDescent="0.25">
      <c r="A190" t="s">
        <v>94</v>
      </c>
      <c r="B190" t="s">
        <v>98</v>
      </c>
      <c r="C190" t="s">
        <v>100</v>
      </c>
      <c r="D190" t="s">
        <v>79</v>
      </c>
      <c r="E190" t="s">
        <v>91</v>
      </c>
      <c r="F190" s="6">
        <v>0.54166666666666663</v>
      </c>
      <c r="G190">
        <v>52</v>
      </c>
      <c r="H190" s="6">
        <f>FLOOR(tblPivotData[[#This Row],[Time]],Summary!$B$6/1440)</f>
        <v>0.54166666666666663</v>
      </c>
      <c r="I190" s="49">
        <f>INDEX(PeakCalc!$L$10:$L$303,MATCH(tblPivotData[[#This Row],[Time]],PeakCalc!$G$10:$G$303,0))</f>
        <v>1</v>
      </c>
    </row>
    <row r="191" spans="1:9" x14ac:dyDescent="0.25">
      <c r="A191" t="s">
        <v>94</v>
      </c>
      <c r="B191" t="s">
        <v>98</v>
      </c>
      <c r="C191" t="s">
        <v>100</v>
      </c>
      <c r="D191" t="s">
        <v>79</v>
      </c>
      <c r="E191" t="s">
        <v>91</v>
      </c>
      <c r="F191" s="6">
        <v>0.55208333333333337</v>
      </c>
      <c r="G191">
        <v>50</v>
      </c>
      <c r="H191" s="6">
        <f>FLOOR(tblPivotData[[#This Row],[Time]],Summary!$B$6/1440)</f>
        <v>0.55208333333333326</v>
      </c>
      <c r="I191" s="49">
        <f>INDEX(PeakCalc!$L$10:$L$303,MATCH(tblPivotData[[#This Row],[Time]],PeakCalc!$G$10:$G$303,0))</f>
        <v>1</v>
      </c>
    </row>
    <row r="192" spans="1:9" x14ac:dyDescent="0.25">
      <c r="A192" t="s">
        <v>94</v>
      </c>
      <c r="B192" t="s">
        <v>98</v>
      </c>
      <c r="C192" t="s">
        <v>100</v>
      </c>
      <c r="D192" t="s">
        <v>79</v>
      </c>
      <c r="E192" t="s">
        <v>91</v>
      </c>
      <c r="F192" s="6">
        <v>0.5625</v>
      </c>
      <c r="G192">
        <v>35</v>
      </c>
      <c r="H192" s="6">
        <f>FLOOR(tblPivotData[[#This Row],[Time]],Summary!$B$6/1440)</f>
        <v>0.5625</v>
      </c>
      <c r="I192" s="49">
        <f>INDEX(PeakCalc!$L$10:$L$303,MATCH(tblPivotData[[#This Row],[Time]],PeakCalc!$G$10:$G$303,0))</f>
        <v>1</v>
      </c>
    </row>
    <row r="193" spans="1:9" x14ac:dyDescent="0.25">
      <c r="A193" t="s">
        <v>94</v>
      </c>
      <c r="B193" t="s">
        <v>98</v>
      </c>
      <c r="C193" t="s">
        <v>100</v>
      </c>
      <c r="D193" t="s">
        <v>79</v>
      </c>
      <c r="E193" t="s">
        <v>91</v>
      </c>
      <c r="F193" s="6">
        <v>0.57291666666666663</v>
      </c>
      <c r="G193">
        <v>58</v>
      </c>
      <c r="H193" s="6">
        <f>FLOOR(tblPivotData[[#This Row],[Time]],Summary!$B$6/1440)</f>
        <v>0.57291666666666663</v>
      </c>
      <c r="I193" s="49">
        <f>INDEX(PeakCalc!$L$10:$L$303,MATCH(tblPivotData[[#This Row],[Time]],PeakCalc!$G$10:$G$303,0))</f>
        <v>1</v>
      </c>
    </row>
    <row r="194" spans="1:9" x14ac:dyDescent="0.25">
      <c r="A194" t="s">
        <v>94</v>
      </c>
      <c r="B194" t="s">
        <v>98</v>
      </c>
      <c r="C194" t="s">
        <v>100</v>
      </c>
      <c r="D194" t="s">
        <v>79</v>
      </c>
      <c r="E194" t="s">
        <v>44</v>
      </c>
      <c r="F194" s="6">
        <v>0.66666666666666663</v>
      </c>
      <c r="G194">
        <v>65</v>
      </c>
      <c r="H194" s="6">
        <f>FLOOR(tblPivotData[[#This Row],[Time]],Summary!$B$6/1440)</f>
        <v>0.66666666666666663</v>
      </c>
      <c r="I194" s="49">
        <f>INDEX(PeakCalc!$L$10:$L$303,MATCH(tblPivotData[[#This Row],[Time]],PeakCalc!$G$10:$G$303,0))</f>
        <v>0</v>
      </c>
    </row>
    <row r="195" spans="1:9" x14ac:dyDescent="0.25">
      <c r="A195" t="s">
        <v>94</v>
      </c>
      <c r="B195" t="s">
        <v>98</v>
      </c>
      <c r="C195" t="s">
        <v>100</v>
      </c>
      <c r="D195" t="s">
        <v>79</v>
      </c>
      <c r="E195" t="s">
        <v>44</v>
      </c>
      <c r="F195" s="6">
        <v>0.67708333333333337</v>
      </c>
      <c r="G195">
        <v>83</v>
      </c>
      <c r="H195" s="6">
        <f>FLOOR(tblPivotData[[#This Row],[Time]],Summary!$B$6/1440)</f>
        <v>0.67708333333333326</v>
      </c>
      <c r="I195" s="49">
        <f>INDEX(PeakCalc!$L$10:$L$303,MATCH(tblPivotData[[#This Row],[Time]],PeakCalc!$G$10:$G$303,0))</f>
        <v>0</v>
      </c>
    </row>
    <row r="196" spans="1:9" x14ac:dyDescent="0.25">
      <c r="A196" t="s">
        <v>94</v>
      </c>
      <c r="B196" t="s">
        <v>98</v>
      </c>
      <c r="C196" t="s">
        <v>100</v>
      </c>
      <c r="D196" t="s">
        <v>79</v>
      </c>
      <c r="E196" t="s">
        <v>44</v>
      </c>
      <c r="F196" s="6">
        <v>0.6875</v>
      </c>
      <c r="G196">
        <v>84</v>
      </c>
      <c r="H196" s="6">
        <f>FLOOR(tblPivotData[[#This Row],[Time]],Summary!$B$6/1440)</f>
        <v>0.6875</v>
      </c>
      <c r="I196" s="49">
        <f>INDEX(PeakCalc!$L$10:$L$303,MATCH(tblPivotData[[#This Row],[Time]],PeakCalc!$G$10:$G$303,0))</f>
        <v>1</v>
      </c>
    </row>
    <row r="197" spans="1:9" x14ac:dyDescent="0.25">
      <c r="A197" t="s">
        <v>94</v>
      </c>
      <c r="B197" t="s">
        <v>98</v>
      </c>
      <c r="C197" t="s">
        <v>100</v>
      </c>
      <c r="D197" t="s">
        <v>79</v>
      </c>
      <c r="E197" t="s">
        <v>44</v>
      </c>
      <c r="F197" s="6">
        <v>0.69791666666666663</v>
      </c>
      <c r="G197">
        <v>95</v>
      </c>
      <c r="H197" s="6">
        <f>FLOOR(tblPivotData[[#This Row],[Time]],Summary!$B$6/1440)</f>
        <v>0.69791666666666663</v>
      </c>
      <c r="I197" s="49">
        <f>INDEX(PeakCalc!$L$10:$L$303,MATCH(tblPivotData[[#This Row],[Time]],PeakCalc!$G$10:$G$303,0))</f>
        <v>1</v>
      </c>
    </row>
    <row r="198" spans="1:9" x14ac:dyDescent="0.25">
      <c r="A198" t="s">
        <v>94</v>
      </c>
      <c r="B198" t="s">
        <v>98</v>
      </c>
      <c r="C198" t="s">
        <v>100</v>
      </c>
      <c r="D198" t="s">
        <v>79</v>
      </c>
      <c r="E198" t="s">
        <v>44</v>
      </c>
      <c r="F198" s="6">
        <v>0.70833333333333337</v>
      </c>
      <c r="G198">
        <v>73</v>
      </c>
      <c r="H198" s="6">
        <f>FLOOR(tblPivotData[[#This Row],[Time]],Summary!$B$6/1440)</f>
        <v>0.70833333333333326</v>
      </c>
      <c r="I198" s="49">
        <f>INDEX(PeakCalc!$L$10:$L$303,MATCH(tblPivotData[[#This Row],[Time]],PeakCalc!$G$10:$G$303,0))</f>
        <v>1</v>
      </c>
    </row>
    <row r="199" spans="1:9" x14ac:dyDescent="0.25">
      <c r="A199" t="s">
        <v>94</v>
      </c>
      <c r="B199" t="s">
        <v>98</v>
      </c>
      <c r="C199" t="s">
        <v>100</v>
      </c>
      <c r="D199" t="s">
        <v>79</v>
      </c>
      <c r="E199" t="s">
        <v>44</v>
      </c>
      <c r="F199" s="6">
        <v>0.71875</v>
      </c>
      <c r="G199">
        <v>91</v>
      </c>
      <c r="H199" s="6">
        <f>FLOOR(tblPivotData[[#This Row],[Time]],Summary!$B$6/1440)</f>
        <v>0.71875</v>
      </c>
      <c r="I199" s="49">
        <f>INDEX(PeakCalc!$L$10:$L$303,MATCH(tblPivotData[[#This Row],[Time]],PeakCalc!$G$10:$G$303,0))</f>
        <v>1</v>
      </c>
    </row>
    <row r="200" spans="1:9" x14ac:dyDescent="0.25">
      <c r="A200" t="s">
        <v>94</v>
      </c>
      <c r="B200" t="s">
        <v>98</v>
      </c>
      <c r="C200" t="s">
        <v>100</v>
      </c>
      <c r="D200" t="s">
        <v>79</v>
      </c>
      <c r="E200" t="s">
        <v>44</v>
      </c>
      <c r="F200" s="6">
        <v>0.72916666666666663</v>
      </c>
      <c r="G200">
        <v>76</v>
      </c>
      <c r="H200" s="6">
        <f>FLOOR(tblPivotData[[#This Row],[Time]],Summary!$B$6/1440)</f>
        <v>0.72916666666666663</v>
      </c>
      <c r="I200" s="49">
        <f>INDEX(PeakCalc!$L$10:$L$303,MATCH(tblPivotData[[#This Row],[Time]],PeakCalc!$G$10:$G$303,0))</f>
        <v>0</v>
      </c>
    </row>
    <row r="201" spans="1:9" x14ac:dyDescent="0.25">
      <c r="A201" t="s">
        <v>94</v>
      </c>
      <c r="B201" t="s">
        <v>98</v>
      </c>
      <c r="C201" t="s">
        <v>100</v>
      </c>
      <c r="D201" t="s">
        <v>79</v>
      </c>
      <c r="E201" t="s">
        <v>44</v>
      </c>
      <c r="F201" s="6">
        <v>0.73958333333333337</v>
      </c>
      <c r="G201">
        <v>58</v>
      </c>
      <c r="H201" s="6">
        <f>FLOOR(tblPivotData[[#This Row],[Time]],Summary!$B$6/1440)</f>
        <v>0.73958333333333326</v>
      </c>
      <c r="I201" s="49">
        <f>INDEX(PeakCalc!$L$10:$L$303,MATCH(tblPivotData[[#This Row],[Time]],PeakCalc!$G$10:$G$303,0))</f>
        <v>0</v>
      </c>
    </row>
    <row r="202" spans="1:9" x14ac:dyDescent="0.25">
      <c r="A202" t="s">
        <v>94</v>
      </c>
      <c r="B202" t="s">
        <v>98</v>
      </c>
      <c r="C202" t="s">
        <v>100</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98</v>
      </c>
      <c r="C203" t="s">
        <v>100</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98</v>
      </c>
      <c r="C204" t="s">
        <v>100</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98</v>
      </c>
      <c r="C205" t="s">
        <v>100</v>
      </c>
      <c r="D205" t="s">
        <v>89</v>
      </c>
      <c r="E205" t="s">
        <v>43</v>
      </c>
      <c r="F205" s="6">
        <v>0.32291666666666669</v>
      </c>
      <c r="G205">
        <v>3</v>
      </c>
      <c r="H205" s="6">
        <f>FLOOR(tblPivotData[[#This Row],[Time]],Summary!$B$6/1440)</f>
        <v>0.32291666666666663</v>
      </c>
      <c r="I205" s="49">
        <f>INDEX(PeakCalc!$L$10:$L$303,MATCH(tblPivotData[[#This Row],[Time]],PeakCalc!$G$10:$G$303,0))</f>
        <v>0</v>
      </c>
    </row>
    <row r="206" spans="1:9" x14ac:dyDescent="0.25">
      <c r="A206" t="s">
        <v>94</v>
      </c>
      <c r="B206" t="s">
        <v>98</v>
      </c>
      <c r="C206" t="s">
        <v>100</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98</v>
      </c>
      <c r="C207" t="s">
        <v>100</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98</v>
      </c>
      <c r="C208" t="s">
        <v>100</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98</v>
      </c>
      <c r="C209" t="s">
        <v>100</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98</v>
      </c>
      <c r="C210" t="s">
        <v>100</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98</v>
      </c>
      <c r="C211" t="s">
        <v>100</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98</v>
      </c>
      <c r="C212" t="s">
        <v>100</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98</v>
      </c>
      <c r="C213" t="s">
        <v>100</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98</v>
      </c>
      <c r="C214" t="s">
        <v>100</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98</v>
      </c>
      <c r="C215" t="s">
        <v>100</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98</v>
      </c>
      <c r="C216" t="s">
        <v>100</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98</v>
      </c>
      <c r="C217" t="s">
        <v>100</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98</v>
      </c>
      <c r="C218" t="s">
        <v>100</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98</v>
      </c>
      <c r="C219" t="s">
        <v>100</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98</v>
      </c>
      <c r="C220" t="s">
        <v>100</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98</v>
      </c>
      <c r="C221" t="s">
        <v>100</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98</v>
      </c>
      <c r="C222" t="s">
        <v>100</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98</v>
      </c>
      <c r="C223" t="s">
        <v>100</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98</v>
      </c>
      <c r="C224" t="s">
        <v>100</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98</v>
      </c>
      <c r="C225" t="s">
        <v>100</v>
      </c>
      <c r="D225" t="s">
        <v>90</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98</v>
      </c>
      <c r="C226" t="s">
        <v>100</v>
      </c>
      <c r="D226" t="s">
        <v>90</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94</v>
      </c>
      <c r="B227" t="s">
        <v>98</v>
      </c>
      <c r="C227" t="s">
        <v>100</v>
      </c>
      <c r="D227" t="s">
        <v>90</v>
      </c>
      <c r="E227" t="s">
        <v>43</v>
      </c>
      <c r="F227" s="6">
        <v>0.34375</v>
      </c>
      <c r="G227">
        <v>2</v>
      </c>
      <c r="H227" s="6">
        <f>FLOOR(tblPivotData[[#This Row],[Time]],Summary!$B$6/1440)</f>
        <v>0.34375</v>
      </c>
      <c r="I227" s="49">
        <f>INDEX(PeakCalc!$L$10:$L$303,MATCH(tblPivotData[[#This Row],[Time]],PeakCalc!$G$10:$G$303,0))</f>
        <v>1</v>
      </c>
    </row>
    <row r="228" spans="1:9" x14ac:dyDescent="0.25">
      <c r="A228" t="s">
        <v>94</v>
      </c>
      <c r="B228" t="s">
        <v>98</v>
      </c>
      <c r="C228" t="s">
        <v>100</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98</v>
      </c>
      <c r="C229" t="s">
        <v>100</v>
      </c>
      <c r="D229" t="s">
        <v>90</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98</v>
      </c>
      <c r="C230" t="s">
        <v>100</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94</v>
      </c>
      <c r="B231" t="s">
        <v>98</v>
      </c>
      <c r="C231" t="s">
        <v>100</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98</v>
      </c>
      <c r="C232" t="s">
        <v>100</v>
      </c>
      <c r="D232" t="s">
        <v>90</v>
      </c>
      <c r="E232" t="s">
        <v>91</v>
      </c>
      <c r="F232" s="6">
        <v>0.5625</v>
      </c>
      <c r="G232">
        <v>2</v>
      </c>
      <c r="H232" s="6">
        <f>FLOOR(tblPivotData[[#This Row],[Time]],Summary!$B$6/1440)</f>
        <v>0.5625</v>
      </c>
      <c r="I232" s="49">
        <f>INDEX(PeakCalc!$L$10:$L$303,MATCH(tblPivotData[[#This Row],[Time]],PeakCalc!$G$10:$G$303,0))</f>
        <v>1</v>
      </c>
    </row>
    <row r="233" spans="1:9" x14ac:dyDescent="0.25">
      <c r="A233" t="s">
        <v>94</v>
      </c>
      <c r="B233" t="s">
        <v>98</v>
      </c>
      <c r="C233" t="s">
        <v>100</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98</v>
      </c>
      <c r="C234" t="s">
        <v>100</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98</v>
      </c>
      <c r="C235" t="s">
        <v>100</v>
      </c>
      <c r="D235" t="s">
        <v>90</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98</v>
      </c>
      <c r="C236" t="s">
        <v>100</v>
      </c>
      <c r="D236" t="s">
        <v>90</v>
      </c>
      <c r="E236" t="s">
        <v>44</v>
      </c>
      <c r="F236" s="6">
        <v>0.6875</v>
      </c>
      <c r="G236">
        <v>3</v>
      </c>
      <c r="H236" s="6">
        <f>FLOOR(tblPivotData[[#This Row],[Time]],Summary!$B$6/1440)</f>
        <v>0.6875</v>
      </c>
      <c r="I236" s="49">
        <f>INDEX(PeakCalc!$L$10:$L$303,MATCH(tblPivotData[[#This Row],[Time]],PeakCalc!$G$10:$G$303,0))</f>
        <v>1</v>
      </c>
    </row>
    <row r="237" spans="1:9" x14ac:dyDescent="0.25">
      <c r="A237" t="s">
        <v>94</v>
      </c>
      <c r="B237" t="s">
        <v>98</v>
      </c>
      <c r="C237" t="s">
        <v>100</v>
      </c>
      <c r="D237" t="s">
        <v>90</v>
      </c>
      <c r="E237" t="s">
        <v>44</v>
      </c>
      <c r="F237" s="6">
        <v>0.69791666666666663</v>
      </c>
      <c r="G237">
        <v>9</v>
      </c>
      <c r="H237" s="6">
        <f>FLOOR(tblPivotData[[#This Row],[Time]],Summary!$B$6/1440)</f>
        <v>0.69791666666666663</v>
      </c>
      <c r="I237" s="49">
        <f>INDEX(PeakCalc!$L$10:$L$303,MATCH(tblPivotData[[#This Row],[Time]],PeakCalc!$G$10:$G$303,0))</f>
        <v>1</v>
      </c>
    </row>
    <row r="238" spans="1:9" x14ac:dyDescent="0.25">
      <c r="A238" t="s">
        <v>94</v>
      </c>
      <c r="B238" t="s">
        <v>98</v>
      </c>
      <c r="C238" t="s">
        <v>100</v>
      </c>
      <c r="D238" t="s">
        <v>90</v>
      </c>
      <c r="E238" t="s">
        <v>44</v>
      </c>
      <c r="F238" s="6">
        <v>0.70833333333333337</v>
      </c>
      <c r="G238">
        <v>4</v>
      </c>
      <c r="H238" s="6">
        <f>FLOOR(tblPivotData[[#This Row],[Time]],Summary!$B$6/1440)</f>
        <v>0.70833333333333326</v>
      </c>
      <c r="I238" s="49">
        <f>INDEX(PeakCalc!$L$10:$L$303,MATCH(tblPivotData[[#This Row],[Time]],PeakCalc!$G$10:$G$303,0))</f>
        <v>1</v>
      </c>
    </row>
    <row r="239" spans="1:9" x14ac:dyDescent="0.25">
      <c r="A239" t="s">
        <v>94</v>
      </c>
      <c r="B239" t="s">
        <v>98</v>
      </c>
      <c r="C239" t="s">
        <v>100</v>
      </c>
      <c r="D239" t="s">
        <v>90</v>
      </c>
      <c r="E239" t="s">
        <v>44</v>
      </c>
      <c r="F239" s="6">
        <v>0.71875</v>
      </c>
      <c r="G239">
        <v>7</v>
      </c>
      <c r="H239" s="6">
        <f>FLOOR(tblPivotData[[#This Row],[Time]],Summary!$B$6/1440)</f>
        <v>0.71875</v>
      </c>
      <c r="I239" s="49">
        <f>INDEX(PeakCalc!$L$10:$L$303,MATCH(tblPivotData[[#This Row],[Time]],PeakCalc!$G$10:$G$303,0))</f>
        <v>1</v>
      </c>
    </row>
    <row r="240" spans="1:9" x14ac:dyDescent="0.25">
      <c r="A240" t="s">
        <v>94</v>
      </c>
      <c r="B240" t="s">
        <v>98</v>
      </c>
      <c r="C240" t="s">
        <v>100</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98</v>
      </c>
      <c r="C241" t="s">
        <v>100</v>
      </c>
      <c r="D241" t="s">
        <v>90</v>
      </c>
      <c r="E241" t="s">
        <v>44</v>
      </c>
      <c r="F241" s="6">
        <v>0.73958333333333337</v>
      </c>
      <c r="G241">
        <v>5</v>
      </c>
      <c r="H241" s="6">
        <f>FLOOR(tblPivotData[[#This Row],[Time]],Summary!$B$6/1440)</f>
        <v>0.73958333333333326</v>
      </c>
      <c r="I2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86</v>
      </c>
      <c r="C10" s="25"/>
      <c r="D10" s="25"/>
      <c r="E10" s="25"/>
      <c r="F10" s="25"/>
      <c r="G10" s="25"/>
      <c r="H10" s="25"/>
      <c r="I10" s="25"/>
      <c r="J10" s="25"/>
      <c r="K10" s="25"/>
      <c r="L10" s="25"/>
      <c r="M10" s="25"/>
      <c r="N10" s="25"/>
      <c r="O10" s="25"/>
      <c r="P10" s="25"/>
      <c r="Q10" s="25"/>
      <c r="R10" s="25"/>
      <c r="S10" s="25"/>
      <c r="T10" s="25"/>
      <c r="U10" s="25"/>
    </row>
    <row r="11" spans="2:21" x14ac:dyDescent="0.25">
      <c r="B11" s="25"/>
      <c r="C11" s="53" t="s">
        <v>93</v>
      </c>
      <c r="D11" s="54"/>
      <c r="E11" s="54"/>
      <c r="F11" s="54"/>
      <c r="G11" s="54"/>
      <c r="H11" s="54"/>
      <c r="I11" s="54"/>
      <c r="J11" s="54"/>
      <c r="K11" s="51" t="s">
        <v>102</v>
      </c>
      <c r="L11" s="53" t="s">
        <v>94</v>
      </c>
      <c r="M11" s="54"/>
      <c r="N11" s="54"/>
      <c r="O11" s="54"/>
      <c r="P11" s="54"/>
      <c r="Q11" s="54"/>
      <c r="R11" s="54"/>
      <c r="S11" s="54"/>
      <c r="T11" s="51" t="s">
        <v>103</v>
      </c>
      <c r="U11" s="51" t="s">
        <v>49</v>
      </c>
    </row>
    <row r="12" spans="2:21" x14ac:dyDescent="0.25">
      <c r="B12" s="25"/>
      <c r="C12" s="51" t="s">
        <v>95</v>
      </c>
      <c r="D12" s="52"/>
      <c r="E12" s="52"/>
      <c r="F12" s="51" t="s">
        <v>104</v>
      </c>
      <c r="G12" s="51" t="s">
        <v>96</v>
      </c>
      <c r="H12" s="52"/>
      <c r="I12" s="52"/>
      <c r="J12" s="51" t="s">
        <v>105</v>
      </c>
      <c r="K12" s="52"/>
      <c r="L12" s="51" t="s">
        <v>97</v>
      </c>
      <c r="M12" s="52"/>
      <c r="N12" s="52"/>
      <c r="O12" s="51" t="s">
        <v>106</v>
      </c>
      <c r="P12" s="51" t="s">
        <v>98</v>
      </c>
      <c r="Q12" s="52"/>
      <c r="R12" s="52"/>
      <c r="S12" s="51" t="s">
        <v>107</v>
      </c>
      <c r="T12" s="52"/>
      <c r="U12" s="52"/>
    </row>
    <row r="13" spans="2:21"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52"/>
    </row>
    <row r="14" spans="2:21" x14ac:dyDescent="0.25">
      <c r="B14" s="10" t="s">
        <v>43</v>
      </c>
      <c r="C14" s="49">
        <v>973</v>
      </c>
      <c r="D14" s="49">
        <v>16</v>
      </c>
      <c r="E14" s="49">
        <v>12</v>
      </c>
      <c r="F14" s="49">
        <v>1001</v>
      </c>
      <c r="G14" s="49">
        <v>30</v>
      </c>
      <c r="H14" s="49">
        <v>0</v>
      </c>
      <c r="I14" s="49">
        <v>1</v>
      </c>
      <c r="J14" s="49">
        <v>31</v>
      </c>
      <c r="K14" s="49">
        <v>1032</v>
      </c>
      <c r="L14" s="49">
        <v>92</v>
      </c>
      <c r="M14" s="49">
        <v>7</v>
      </c>
      <c r="N14" s="49">
        <v>0</v>
      </c>
      <c r="O14" s="49">
        <v>99</v>
      </c>
      <c r="P14" s="49">
        <v>374</v>
      </c>
      <c r="Q14" s="49">
        <v>9</v>
      </c>
      <c r="R14" s="49">
        <v>9</v>
      </c>
      <c r="S14" s="49">
        <v>392</v>
      </c>
      <c r="T14" s="49">
        <v>491</v>
      </c>
      <c r="U14" s="49">
        <v>1523</v>
      </c>
    </row>
    <row r="15" spans="2:21" x14ac:dyDescent="0.25">
      <c r="B15" s="11">
        <v>0.29166666666666669</v>
      </c>
      <c r="C15" s="49">
        <v>95</v>
      </c>
      <c r="D15" s="49">
        <v>1</v>
      </c>
      <c r="E15" s="49">
        <v>2</v>
      </c>
      <c r="F15" s="49">
        <v>98</v>
      </c>
      <c r="G15" s="49">
        <v>5</v>
      </c>
      <c r="H15" s="49">
        <v>0</v>
      </c>
      <c r="I15" s="49">
        <v>0</v>
      </c>
      <c r="J15" s="49">
        <v>5</v>
      </c>
      <c r="K15" s="49">
        <v>103</v>
      </c>
      <c r="L15" s="49">
        <v>9</v>
      </c>
      <c r="M15" s="49">
        <v>0</v>
      </c>
      <c r="N15" s="49">
        <v>0</v>
      </c>
      <c r="O15" s="49">
        <v>9</v>
      </c>
      <c r="P15" s="49">
        <v>29</v>
      </c>
      <c r="Q15" s="49">
        <v>1</v>
      </c>
      <c r="R15" s="49">
        <v>1</v>
      </c>
      <c r="S15" s="49">
        <v>31</v>
      </c>
      <c r="T15" s="49">
        <v>40</v>
      </c>
      <c r="U15" s="49">
        <v>143</v>
      </c>
    </row>
    <row r="16" spans="2:21" x14ac:dyDescent="0.25">
      <c r="B16" s="11">
        <v>0.30208333333333331</v>
      </c>
      <c r="C16" s="49">
        <v>107</v>
      </c>
      <c r="D16" s="49">
        <v>2</v>
      </c>
      <c r="E16" s="49">
        <v>1</v>
      </c>
      <c r="F16" s="49">
        <v>110</v>
      </c>
      <c r="G16" s="49">
        <v>1</v>
      </c>
      <c r="H16" s="49">
        <v>0</v>
      </c>
      <c r="I16" s="49">
        <v>0</v>
      </c>
      <c r="J16" s="49">
        <v>1</v>
      </c>
      <c r="K16" s="49">
        <v>111</v>
      </c>
      <c r="L16" s="49">
        <v>12</v>
      </c>
      <c r="M16" s="49">
        <v>0</v>
      </c>
      <c r="N16" s="49">
        <v>0</v>
      </c>
      <c r="O16" s="49">
        <v>12</v>
      </c>
      <c r="P16" s="49">
        <v>43</v>
      </c>
      <c r="Q16" s="49">
        <v>0</v>
      </c>
      <c r="R16" s="49">
        <v>0</v>
      </c>
      <c r="S16" s="49">
        <v>43</v>
      </c>
      <c r="T16" s="49">
        <v>55</v>
      </c>
      <c r="U16" s="49">
        <v>166</v>
      </c>
    </row>
    <row r="17" spans="2:21" x14ac:dyDescent="0.25">
      <c r="B17" s="11">
        <v>0.3125</v>
      </c>
      <c r="C17" s="49">
        <v>103</v>
      </c>
      <c r="D17" s="49">
        <v>2</v>
      </c>
      <c r="E17" s="49">
        <v>1</v>
      </c>
      <c r="F17" s="49">
        <v>106</v>
      </c>
      <c r="G17" s="49">
        <v>1</v>
      </c>
      <c r="H17" s="49">
        <v>0</v>
      </c>
      <c r="I17" s="49">
        <v>0</v>
      </c>
      <c r="J17" s="49">
        <v>1</v>
      </c>
      <c r="K17" s="49">
        <v>107</v>
      </c>
      <c r="L17" s="49">
        <v>6</v>
      </c>
      <c r="M17" s="49">
        <v>1</v>
      </c>
      <c r="N17" s="49">
        <v>0</v>
      </c>
      <c r="O17" s="49">
        <v>7</v>
      </c>
      <c r="P17" s="49">
        <v>21</v>
      </c>
      <c r="Q17" s="49">
        <v>0</v>
      </c>
      <c r="R17" s="49">
        <v>1</v>
      </c>
      <c r="S17" s="49">
        <v>22</v>
      </c>
      <c r="T17" s="49">
        <v>29</v>
      </c>
      <c r="U17" s="49">
        <v>136</v>
      </c>
    </row>
    <row r="18" spans="2:21" x14ac:dyDescent="0.25">
      <c r="B18" s="11">
        <v>0.32291666666666669</v>
      </c>
      <c r="C18" s="49">
        <v>136</v>
      </c>
      <c r="D18" s="49">
        <v>3</v>
      </c>
      <c r="E18" s="49">
        <v>2</v>
      </c>
      <c r="F18" s="49">
        <v>141</v>
      </c>
      <c r="G18" s="49">
        <v>3</v>
      </c>
      <c r="H18" s="49">
        <v>0</v>
      </c>
      <c r="I18" s="49">
        <v>0</v>
      </c>
      <c r="J18" s="49">
        <v>3</v>
      </c>
      <c r="K18" s="49">
        <v>144</v>
      </c>
      <c r="L18" s="49">
        <v>10</v>
      </c>
      <c r="M18" s="49">
        <v>1</v>
      </c>
      <c r="N18" s="49">
        <v>0</v>
      </c>
      <c r="O18" s="49">
        <v>11</v>
      </c>
      <c r="P18" s="49">
        <v>48</v>
      </c>
      <c r="Q18" s="49">
        <v>3</v>
      </c>
      <c r="R18" s="49">
        <v>1</v>
      </c>
      <c r="S18" s="49">
        <v>52</v>
      </c>
      <c r="T18" s="49">
        <v>63</v>
      </c>
      <c r="U18" s="49">
        <v>207</v>
      </c>
    </row>
    <row r="19" spans="2:21" x14ac:dyDescent="0.25">
      <c r="B19" s="11">
        <v>0.33333333333333331</v>
      </c>
      <c r="C19" s="49">
        <v>129</v>
      </c>
      <c r="D19" s="49">
        <v>2</v>
      </c>
      <c r="E19" s="49">
        <v>3</v>
      </c>
      <c r="F19" s="49">
        <v>134</v>
      </c>
      <c r="G19" s="49">
        <v>4</v>
      </c>
      <c r="H19" s="49">
        <v>0</v>
      </c>
      <c r="I19" s="49">
        <v>0</v>
      </c>
      <c r="J19" s="49">
        <v>4</v>
      </c>
      <c r="K19" s="49">
        <v>138</v>
      </c>
      <c r="L19" s="49">
        <v>11</v>
      </c>
      <c r="M19" s="49">
        <v>2</v>
      </c>
      <c r="N19" s="49">
        <v>0</v>
      </c>
      <c r="O19" s="49">
        <v>13</v>
      </c>
      <c r="P19" s="49">
        <v>49</v>
      </c>
      <c r="Q19" s="49">
        <v>0</v>
      </c>
      <c r="R19" s="49">
        <v>2</v>
      </c>
      <c r="S19" s="49">
        <v>51</v>
      </c>
      <c r="T19" s="49">
        <v>64</v>
      </c>
      <c r="U19" s="49">
        <v>202</v>
      </c>
    </row>
    <row r="20" spans="2:21" x14ac:dyDescent="0.25">
      <c r="B20" s="11">
        <v>0.34375</v>
      </c>
      <c r="C20" s="49">
        <v>125</v>
      </c>
      <c r="D20" s="49">
        <v>4</v>
      </c>
      <c r="E20" s="49">
        <v>0</v>
      </c>
      <c r="F20" s="49">
        <v>129</v>
      </c>
      <c r="G20" s="49">
        <v>8</v>
      </c>
      <c r="H20" s="49">
        <v>0</v>
      </c>
      <c r="I20" s="49">
        <v>0</v>
      </c>
      <c r="J20" s="49">
        <v>8</v>
      </c>
      <c r="K20" s="49">
        <v>137</v>
      </c>
      <c r="L20" s="49">
        <v>19</v>
      </c>
      <c r="M20" s="49">
        <v>0</v>
      </c>
      <c r="N20" s="49">
        <v>0</v>
      </c>
      <c r="O20" s="49">
        <v>19</v>
      </c>
      <c r="P20" s="49">
        <v>70</v>
      </c>
      <c r="Q20" s="49">
        <v>3</v>
      </c>
      <c r="R20" s="49">
        <v>2</v>
      </c>
      <c r="S20" s="49">
        <v>75</v>
      </c>
      <c r="T20" s="49">
        <v>94</v>
      </c>
      <c r="U20" s="49">
        <v>231</v>
      </c>
    </row>
    <row r="21" spans="2:21" x14ac:dyDescent="0.25">
      <c r="B21" s="11">
        <v>0.35416666666666669</v>
      </c>
      <c r="C21" s="49">
        <v>149</v>
      </c>
      <c r="D21" s="49">
        <v>2</v>
      </c>
      <c r="E21" s="49">
        <v>2</v>
      </c>
      <c r="F21" s="49">
        <v>153</v>
      </c>
      <c r="G21" s="49">
        <v>1</v>
      </c>
      <c r="H21" s="49">
        <v>0</v>
      </c>
      <c r="I21" s="49">
        <v>0</v>
      </c>
      <c r="J21" s="49">
        <v>1</v>
      </c>
      <c r="K21" s="49">
        <v>154</v>
      </c>
      <c r="L21" s="49">
        <v>13</v>
      </c>
      <c r="M21" s="49">
        <v>0</v>
      </c>
      <c r="N21" s="49">
        <v>0</v>
      </c>
      <c r="O21" s="49">
        <v>13</v>
      </c>
      <c r="P21" s="49">
        <v>58</v>
      </c>
      <c r="Q21" s="49">
        <v>1</v>
      </c>
      <c r="R21" s="49">
        <v>1</v>
      </c>
      <c r="S21" s="49">
        <v>60</v>
      </c>
      <c r="T21" s="49">
        <v>73</v>
      </c>
      <c r="U21" s="49">
        <v>227</v>
      </c>
    </row>
    <row r="22" spans="2:21" x14ac:dyDescent="0.25">
      <c r="B22" s="11">
        <v>0.36458333333333331</v>
      </c>
      <c r="C22" s="49">
        <v>129</v>
      </c>
      <c r="D22" s="49">
        <v>0</v>
      </c>
      <c r="E22" s="49">
        <v>1</v>
      </c>
      <c r="F22" s="49">
        <v>130</v>
      </c>
      <c r="G22" s="49">
        <v>7</v>
      </c>
      <c r="H22" s="49">
        <v>0</v>
      </c>
      <c r="I22" s="49">
        <v>1</v>
      </c>
      <c r="J22" s="49">
        <v>8</v>
      </c>
      <c r="K22" s="49">
        <v>138</v>
      </c>
      <c r="L22" s="49">
        <v>12</v>
      </c>
      <c r="M22" s="49">
        <v>3</v>
      </c>
      <c r="N22" s="49">
        <v>0</v>
      </c>
      <c r="O22" s="49">
        <v>15</v>
      </c>
      <c r="P22" s="49">
        <v>56</v>
      </c>
      <c r="Q22" s="49">
        <v>1</v>
      </c>
      <c r="R22" s="49">
        <v>1</v>
      </c>
      <c r="S22" s="49">
        <v>58</v>
      </c>
      <c r="T22" s="49">
        <v>73</v>
      </c>
      <c r="U22" s="49">
        <v>211</v>
      </c>
    </row>
    <row r="23" spans="2:21" x14ac:dyDescent="0.25">
      <c r="B23" s="10" t="s">
        <v>44</v>
      </c>
      <c r="C23" s="49">
        <v>1956</v>
      </c>
      <c r="D23" s="49">
        <v>20</v>
      </c>
      <c r="E23" s="49">
        <v>43</v>
      </c>
      <c r="F23" s="49">
        <v>2019</v>
      </c>
      <c r="G23" s="49">
        <v>74</v>
      </c>
      <c r="H23" s="49">
        <v>0</v>
      </c>
      <c r="I23" s="49">
        <v>0</v>
      </c>
      <c r="J23" s="49">
        <v>74</v>
      </c>
      <c r="K23" s="49">
        <v>2093</v>
      </c>
      <c r="L23" s="49">
        <v>229</v>
      </c>
      <c r="M23" s="49">
        <v>10</v>
      </c>
      <c r="N23" s="49">
        <v>6</v>
      </c>
      <c r="O23" s="49">
        <v>245</v>
      </c>
      <c r="P23" s="49">
        <v>625</v>
      </c>
      <c r="Q23" s="49">
        <v>3</v>
      </c>
      <c r="R23" s="49">
        <v>30</v>
      </c>
      <c r="S23" s="49">
        <v>658</v>
      </c>
      <c r="T23" s="49">
        <v>903</v>
      </c>
      <c r="U23" s="49">
        <v>2996</v>
      </c>
    </row>
    <row r="24" spans="2:21" x14ac:dyDescent="0.25">
      <c r="B24" s="11">
        <v>0.66666666666666663</v>
      </c>
      <c r="C24" s="49">
        <v>230</v>
      </c>
      <c r="D24" s="49">
        <v>1</v>
      </c>
      <c r="E24" s="49">
        <v>5</v>
      </c>
      <c r="F24" s="49">
        <v>236</v>
      </c>
      <c r="G24" s="49">
        <v>9</v>
      </c>
      <c r="H24" s="49">
        <v>0</v>
      </c>
      <c r="I24" s="49">
        <v>0</v>
      </c>
      <c r="J24" s="49">
        <v>9</v>
      </c>
      <c r="K24" s="49">
        <v>245</v>
      </c>
      <c r="L24" s="49">
        <v>25</v>
      </c>
      <c r="M24" s="49">
        <v>1</v>
      </c>
      <c r="N24" s="49">
        <v>0</v>
      </c>
      <c r="O24" s="49">
        <v>26</v>
      </c>
      <c r="P24" s="49">
        <v>65</v>
      </c>
      <c r="Q24" s="49">
        <v>0</v>
      </c>
      <c r="R24" s="49">
        <v>0</v>
      </c>
      <c r="S24" s="49">
        <v>65</v>
      </c>
      <c r="T24" s="49">
        <v>91</v>
      </c>
      <c r="U24" s="49">
        <v>336</v>
      </c>
    </row>
    <row r="25" spans="2:21" x14ac:dyDescent="0.25">
      <c r="B25" s="11">
        <v>0.67708333333333337</v>
      </c>
      <c r="C25" s="49">
        <v>229</v>
      </c>
      <c r="D25" s="49">
        <v>3</v>
      </c>
      <c r="E25" s="49">
        <v>5</v>
      </c>
      <c r="F25" s="49">
        <v>237</v>
      </c>
      <c r="G25" s="49">
        <v>8</v>
      </c>
      <c r="H25" s="49">
        <v>0</v>
      </c>
      <c r="I25" s="49">
        <v>0</v>
      </c>
      <c r="J25" s="49">
        <v>8</v>
      </c>
      <c r="K25" s="49">
        <v>245</v>
      </c>
      <c r="L25" s="49">
        <v>26</v>
      </c>
      <c r="M25" s="49">
        <v>2</v>
      </c>
      <c r="N25" s="49">
        <v>1</v>
      </c>
      <c r="O25" s="49">
        <v>29</v>
      </c>
      <c r="P25" s="49">
        <v>83</v>
      </c>
      <c r="Q25" s="49">
        <v>2</v>
      </c>
      <c r="R25" s="49">
        <v>2</v>
      </c>
      <c r="S25" s="49">
        <v>87</v>
      </c>
      <c r="T25" s="49">
        <v>116</v>
      </c>
      <c r="U25" s="49">
        <v>361</v>
      </c>
    </row>
    <row r="26" spans="2:21" x14ac:dyDescent="0.25">
      <c r="B26" s="11">
        <v>0.6875</v>
      </c>
      <c r="C26" s="49">
        <v>278</v>
      </c>
      <c r="D26" s="49">
        <v>3</v>
      </c>
      <c r="E26" s="49">
        <v>4</v>
      </c>
      <c r="F26" s="49">
        <v>285</v>
      </c>
      <c r="G26" s="49">
        <v>15</v>
      </c>
      <c r="H26" s="49">
        <v>0</v>
      </c>
      <c r="I26" s="49">
        <v>0</v>
      </c>
      <c r="J26" s="49">
        <v>15</v>
      </c>
      <c r="K26" s="49">
        <v>300</v>
      </c>
      <c r="L26" s="49">
        <v>22</v>
      </c>
      <c r="M26" s="49">
        <v>0</v>
      </c>
      <c r="N26" s="49">
        <v>0</v>
      </c>
      <c r="O26" s="49">
        <v>22</v>
      </c>
      <c r="P26" s="49">
        <v>84</v>
      </c>
      <c r="Q26" s="49">
        <v>0</v>
      </c>
      <c r="R26" s="49">
        <v>3</v>
      </c>
      <c r="S26" s="49">
        <v>87</v>
      </c>
      <c r="T26" s="49">
        <v>109</v>
      </c>
      <c r="U26" s="49">
        <v>409</v>
      </c>
    </row>
    <row r="27" spans="2:21" x14ac:dyDescent="0.25">
      <c r="B27" s="11">
        <v>0.69791666666666663</v>
      </c>
      <c r="C27" s="49">
        <v>239</v>
      </c>
      <c r="D27" s="49">
        <v>3</v>
      </c>
      <c r="E27" s="49">
        <v>7</v>
      </c>
      <c r="F27" s="49">
        <v>249</v>
      </c>
      <c r="G27" s="49">
        <v>6</v>
      </c>
      <c r="H27" s="49">
        <v>0</v>
      </c>
      <c r="I27" s="49">
        <v>0</v>
      </c>
      <c r="J27" s="49">
        <v>6</v>
      </c>
      <c r="K27" s="49">
        <v>255</v>
      </c>
      <c r="L27" s="49">
        <v>33</v>
      </c>
      <c r="M27" s="49">
        <v>1</v>
      </c>
      <c r="N27" s="49">
        <v>0</v>
      </c>
      <c r="O27" s="49">
        <v>34</v>
      </c>
      <c r="P27" s="49">
        <v>95</v>
      </c>
      <c r="Q27" s="49">
        <v>0</v>
      </c>
      <c r="R27" s="49">
        <v>9</v>
      </c>
      <c r="S27" s="49">
        <v>104</v>
      </c>
      <c r="T27" s="49">
        <v>138</v>
      </c>
      <c r="U27" s="49">
        <v>393</v>
      </c>
    </row>
    <row r="28" spans="2:21" x14ac:dyDescent="0.25">
      <c r="B28" s="11">
        <v>0.70833333333333337</v>
      </c>
      <c r="C28" s="49">
        <v>278</v>
      </c>
      <c r="D28" s="49">
        <v>2</v>
      </c>
      <c r="E28" s="49">
        <v>2</v>
      </c>
      <c r="F28" s="49">
        <v>282</v>
      </c>
      <c r="G28" s="49">
        <v>11</v>
      </c>
      <c r="H28" s="49">
        <v>0</v>
      </c>
      <c r="I28" s="49">
        <v>0</v>
      </c>
      <c r="J28" s="49">
        <v>11</v>
      </c>
      <c r="K28" s="49">
        <v>293</v>
      </c>
      <c r="L28" s="49">
        <v>41</v>
      </c>
      <c r="M28" s="49">
        <v>2</v>
      </c>
      <c r="N28" s="49">
        <v>1</v>
      </c>
      <c r="O28" s="49">
        <v>44</v>
      </c>
      <c r="P28" s="49">
        <v>73</v>
      </c>
      <c r="Q28" s="49">
        <v>0</v>
      </c>
      <c r="R28" s="49">
        <v>4</v>
      </c>
      <c r="S28" s="49">
        <v>77</v>
      </c>
      <c r="T28" s="49">
        <v>121</v>
      </c>
      <c r="U28" s="49">
        <v>414</v>
      </c>
    </row>
    <row r="29" spans="2:21" x14ac:dyDescent="0.25">
      <c r="B29" s="11">
        <v>0.71875</v>
      </c>
      <c r="C29" s="49">
        <v>286</v>
      </c>
      <c r="D29" s="49">
        <v>1</v>
      </c>
      <c r="E29" s="49">
        <v>10</v>
      </c>
      <c r="F29" s="49">
        <v>297</v>
      </c>
      <c r="G29" s="49">
        <v>7</v>
      </c>
      <c r="H29" s="49">
        <v>0</v>
      </c>
      <c r="I29" s="49">
        <v>0</v>
      </c>
      <c r="J29" s="49">
        <v>7</v>
      </c>
      <c r="K29" s="49">
        <v>304</v>
      </c>
      <c r="L29" s="49">
        <v>35</v>
      </c>
      <c r="M29" s="49">
        <v>2</v>
      </c>
      <c r="N29" s="49">
        <v>2</v>
      </c>
      <c r="O29" s="49">
        <v>39</v>
      </c>
      <c r="P29" s="49">
        <v>91</v>
      </c>
      <c r="Q29" s="49">
        <v>1</v>
      </c>
      <c r="R29" s="49">
        <v>7</v>
      </c>
      <c r="S29" s="49">
        <v>99</v>
      </c>
      <c r="T29" s="49">
        <v>138</v>
      </c>
      <c r="U29" s="49">
        <v>442</v>
      </c>
    </row>
    <row r="30" spans="2:21" x14ac:dyDescent="0.25">
      <c r="B30" s="11">
        <v>0.72916666666666663</v>
      </c>
      <c r="C30" s="49">
        <v>227</v>
      </c>
      <c r="D30" s="49">
        <v>4</v>
      </c>
      <c r="E30" s="49">
        <v>6</v>
      </c>
      <c r="F30" s="49">
        <v>237</v>
      </c>
      <c r="G30" s="49">
        <v>8</v>
      </c>
      <c r="H30" s="49">
        <v>0</v>
      </c>
      <c r="I30" s="49">
        <v>0</v>
      </c>
      <c r="J30" s="49">
        <v>8</v>
      </c>
      <c r="K30" s="49">
        <v>245</v>
      </c>
      <c r="L30" s="49">
        <v>30</v>
      </c>
      <c r="M30" s="49">
        <v>0</v>
      </c>
      <c r="N30" s="49">
        <v>2</v>
      </c>
      <c r="O30" s="49">
        <v>32</v>
      </c>
      <c r="P30" s="49">
        <v>76</v>
      </c>
      <c r="Q30" s="49">
        <v>0</v>
      </c>
      <c r="R30" s="49">
        <v>0</v>
      </c>
      <c r="S30" s="49">
        <v>76</v>
      </c>
      <c r="T30" s="49">
        <v>108</v>
      </c>
      <c r="U30" s="49">
        <v>353</v>
      </c>
    </row>
    <row r="31" spans="2:21" x14ac:dyDescent="0.25">
      <c r="B31" s="11">
        <v>0.73958333333333337</v>
      </c>
      <c r="C31" s="49">
        <v>189</v>
      </c>
      <c r="D31" s="49">
        <v>3</v>
      </c>
      <c r="E31" s="49">
        <v>4</v>
      </c>
      <c r="F31" s="49">
        <v>196</v>
      </c>
      <c r="G31" s="49">
        <v>10</v>
      </c>
      <c r="H31" s="49">
        <v>0</v>
      </c>
      <c r="I31" s="49">
        <v>0</v>
      </c>
      <c r="J31" s="49">
        <v>10</v>
      </c>
      <c r="K31" s="49">
        <v>206</v>
      </c>
      <c r="L31" s="49">
        <v>17</v>
      </c>
      <c r="M31" s="49">
        <v>2</v>
      </c>
      <c r="N31" s="49">
        <v>0</v>
      </c>
      <c r="O31" s="49">
        <v>19</v>
      </c>
      <c r="P31" s="49">
        <v>58</v>
      </c>
      <c r="Q31" s="49">
        <v>0</v>
      </c>
      <c r="R31" s="49">
        <v>5</v>
      </c>
      <c r="S31" s="49">
        <v>63</v>
      </c>
      <c r="T31" s="49">
        <v>82</v>
      </c>
      <c r="U31" s="49">
        <v>288</v>
      </c>
    </row>
    <row r="32" spans="2:21" x14ac:dyDescent="0.25">
      <c r="B32" s="10" t="s">
        <v>91</v>
      </c>
      <c r="C32" s="49">
        <v>541</v>
      </c>
      <c r="D32" s="49">
        <v>11</v>
      </c>
      <c r="E32" s="49">
        <v>6</v>
      </c>
      <c r="F32" s="49">
        <v>558</v>
      </c>
      <c r="G32" s="49">
        <v>29</v>
      </c>
      <c r="H32" s="49">
        <v>1</v>
      </c>
      <c r="I32" s="49">
        <v>0</v>
      </c>
      <c r="J32" s="49">
        <v>30</v>
      </c>
      <c r="K32" s="49">
        <v>588</v>
      </c>
      <c r="L32" s="49">
        <v>65</v>
      </c>
      <c r="M32" s="49">
        <v>2</v>
      </c>
      <c r="N32" s="49">
        <v>0</v>
      </c>
      <c r="O32" s="49">
        <v>67</v>
      </c>
      <c r="P32" s="49">
        <v>195</v>
      </c>
      <c r="Q32" s="49">
        <v>3</v>
      </c>
      <c r="R32" s="49">
        <v>4</v>
      </c>
      <c r="S32" s="49">
        <v>202</v>
      </c>
      <c r="T32" s="49">
        <v>269</v>
      </c>
      <c r="U32" s="49">
        <v>857</v>
      </c>
    </row>
    <row r="33" spans="2:21" x14ac:dyDescent="0.25">
      <c r="B33" s="11">
        <v>0.54166666666666663</v>
      </c>
      <c r="C33" s="49">
        <v>138</v>
      </c>
      <c r="D33" s="49">
        <v>1</v>
      </c>
      <c r="E33" s="49">
        <v>1</v>
      </c>
      <c r="F33" s="49">
        <v>140</v>
      </c>
      <c r="G33" s="49">
        <v>8</v>
      </c>
      <c r="H33" s="49">
        <v>0</v>
      </c>
      <c r="I33" s="49">
        <v>0</v>
      </c>
      <c r="J33" s="49">
        <v>8</v>
      </c>
      <c r="K33" s="49">
        <v>148</v>
      </c>
      <c r="L33" s="49">
        <v>14</v>
      </c>
      <c r="M33" s="49">
        <v>1</v>
      </c>
      <c r="N33" s="49">
        <v>0</v>
      </c>
      <c r="O33" s="49">
        <v>15</v>
      </c>
      <c r="P33" s="49">
        <v>52</v>
      </c>
      <c r="Q33" s="49">
        <v>0</v>
      </c>
      <c r="R33" s="49">
        <v>1</v>
      </c>
      <c r="S33" s="49">
        <v>53</v>
      </c>
      <c r="T33" s="49">
        <v>68</v>
      </c>
      <c r="U33" s="49">
        <v>216</v>
      </c>
    </row>
    <row r="34" spans="2:21" x14ac:dyDescent="0.25">
      <c r="B34" s="11">
        <v>0.55208333333333337</v>
      </c>
      <c r="C34" s="49">
        <v>120</v>
      </c>
      <c r="D34" s="49">
        <v>3</v>
      </c>
      <c r="E34" s="49">
        <v>2</v>
      </c>
      <c r="F34" s="49">
        <v>125</v>
      </c>
      <c r="G34" s="49">
        <v>5</v>
      </c>
      <c r="H34" s="49">
        <v>1</v>
      </c>
      <c r="I34" s="49">
        <v>0</v>
      </c>
      <c r="J34" s="49">
        <v>6</v>
      </c>
      <c r="K34" s="49">
        <v>131</v>
      </c>
      <c r="L34" s="49">
        <v>16</v>
      </c>
      <c r="M34" s="49">
        <v>0</v>
      </c>
      <c r="N34" s="49">
        <v>0</v>
      </c>
      <c r="O34" s="49">
        <v>16</v>
      </c>
      <c r="P34" s="49">
        <v>50</v>
      </c>
      <c r="Q34" s="49">
        <v>2</v>
      </c>
      <c r="R34" s="49">
        <v>0</v>
      </c>
      <c r="S34" s="49">
        <v>52</v>
      </c>
      <c r="T34" s="49">
        <v>68</v>
      </c>
      <c r="U34" s="49">
        <v>199</v>
      </c>
    </row>
    <row r="35" spans="2:21" x14ac:dyDescent="0.25">
      <c r="B35" s="11">
        <v>0.5625</v>
      </c>
      <c r="C35" s="49">
        <v>146</v>
      </c>
      <c r="D35" s="49">
        <v>5</v>
      </c>
      <c r="E35" s="49">
        <v>2</v>
      </c>
      <c r="F35" s="49">
        <v>153</v>
      </c>
      <c r="G35" s="49">
        <v>11</v>
      </c>
      <c r="H35" s="49">
        <v>0</v>
      </c>
      <c r="I35" s="49">
        <v>0</v>
      </c>
      <c r="J35" s="49">
        <v>11</v>
      </c>
      <c r="K35" s="49">
        <v>164</v>
      </c>
      <c r="L35" s="49">
        <v>18</v>
      </c>
      <c r="M35" s="49">
        <v>0</v>
      </c>
      <c r="N35" s="49">
        <v>0</v>
      </c>
      <c r="O35" s="49">
        <v>18</v>
      </c>
      <c r="P35" s="49">
        <v>35</v>
      </c>
      <c r="Q35" s="49">
        <v>0</v>
      </c>
      <c r="R35" s="49">
        <v>2</v>
      </c>
      <c r="S35" s="49">
        <v>37</v>
      </c>
      <c r="T35" s="49">
        <v>55</v>
      </c>
      <c r="U35" s="49">
        <v>219</v>
      </c>
    </row>
    <row r="36" spans="2:21" x14ac:dyDescent="0.25">
      <c r="B36" s="11">
        <v>0.57291666666666663</v>
      </c>
      <c r="C36" s="49">
        <v>137</v>
      </c>
      <c r="D36" s="49">
        <v>2</v>
      </c>
      <c r="E36" s="49">
        <v>1</v>
      </c>
      <c r="F36" s="49">
        <v>140</v>
      </c>
      <c r="G36" s="49">
        <v>5</v>
      </c>
      <c r="H36" s="49">
        <v>0</v>
      </c>
      <c r="I36" s="49">
        <v>0</v>
      </c>
      <c r="J36" s="49">
        <v>5</v>
      </c>
      <c r="K36" s="49">
        <v>145</v>
      </c>
      <c r="L36" s="49">
        <v>17</v>
      </c>
      <c r="M36" s="49">
        <v>1</v>
      </c>
      <c r="N36" s="49">
        <v>0</v>
      </c>
      <c r="O36" s="49">
        <v>18</v>
      </c>
      <c r="P36" s="49">
        <v>58</v>
      </c>
      <c r="Q36" s="49">
        <v>1</v>
      </c>
      <c r="R36" s="49">
        <v>1</v>
      </c>
      <c r="S36" s="49">
        <v>60</v>
      </c>
      <c r="T36" s="49">
        <v>78</v>
      </c>
      <c r="U36" s="49">
        <v>223</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871</v>
      </c>
      <c r="I5">
        <f>MAX(I11:I303)</f>
        <v>857</v>
      </c>
      <c r="J5">
        <f>MAX(J11:J303)</f>
        <v>1658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871 vehicles between 08:00 and 09:00</v>
      </c>
      <c r="I8" s="6" t="str">
        <f>IF(I5=0,"","The peak hour for " &amp;I10&amp;" is "&amp;I5&amp;" vehicles between " &amp; TEXT(I6, "hh:mm")&amp; " and " &amp;TEXT(I7,"hh:mm"))</f>
        <v>The peak hour for INT is 857 vehicles between 13:00 and 14:00</v>
      </c>
      <c r="J8" s="6" t="str">
        <f>IF(J5=0,"","The peak hour for " &amp;J10&amp;" is "&amp;J5&amp;" vehicles between " &amp; TEXT(J6, "hh:mm")&amp; " and " &amp;TEXT(J7,"hh:mm"))</f>
        <v>The peak hour for PM is 1658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143</v>
      </c>
      <c r="C11" s="49"/>
      <c r="D11" s="49"/>
      <c r="G11" s="7">
        <f>A11</f>
        <v>0.29166666666666669</v>
      </c>
      <c r="H11">
        <f>IF(B11&lt;&gt;0,SUMIF($G$11:$G11,"&gt;"&amp;$G11-1/24,B$11:B11),0)</f>
        <v>143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143</v>
      </c>
      <c r="Q11">
        <f>P11*L11</f>
        <v>0</v>
      </c>
      <c r="S11" s="9">
        <v>0.29166666666666669</v>
      </c>
      <c r="T11" s="49">
        <v>143</v>
      </c>
      <c r="U11" s="49">
        <v>0</v>
      </c>
    </row>
    <row r="12" spans="1:21" x14ac:dyDescent="0.25">
      <c r="A12" s="9">
        <v>0.30208333333333331</v>
      </c>
      <c r="B12" s="49">
        <v>166</v>
      </c>
      <c r="C12" s="49"/>
      <c r="D12" s="49"/>
      <c r="G12" s="7">
        <f t="shared" ref="G12:G26" si="3">A12</f>
        <v>0.30208333333333331</v>
      </c>
      <c r="H12">
        <f>IF(B12&lt;&gt;0,SUMIF($G$11:$G12,"&gt;"&amp;$G12-1/24,B$11:B12),0)</f>
        <v>309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166</v>
      </c>
      <c r="Q12">
        <f t="shared" ref="Q12:Q75" si="7">P12*L12</f>
        <v>0</v>
      </c>
      <c r="S12" s="9">
        <v>0.30208333333333331</v>
      </c>
      <c r="T12" s="49">
        <v>166</v>
      </c>
      <c r="U12" s="49">
        <v>0</v>
      </c>
    </row>
    <row r="13" spans="1:21" x14ac:dyDescent="0.25">
      <c r="A13" s="9">
        <v>0.3125</v>
      </c>
      <c r="B13" s="49">
        <v>136</v>
      </c>
      <c r="C13" s="49"/>
      <c r="D13" s="49"/>
      <c r="G13" s="7">
        <f t="shared" si="3"/>
        <v>0.3125</v>
      </c>
      <c r="H13">
        <f>IF(B13&lt;&gt;0,SUMIF($G$11:$G13,"&gt;"&amp;$G13-1/24,B$11:B13),0)</f>
        <v>445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136</v>
      </c>
      <c r="Q13">
        <f t="shared" si="7"/>
        <v>0</v>
      </c>
      <c r="S13" s="9">
        <v>0.3125</v>
      </c>
      <c r="T13" s="49">
        <v>136</v>
      </c>
      <c r="U13" s="49">
        <v>0</v>
      </c>
    </row>
    <row r="14" spans="1:21" x14ac:dyDescent="0.25">
      <c r="A14" s="9">
        <v>0.32291666666666669</v>
      </c>
      <c r="B14" s="49">
        <v>207</v>
      </c>
      <c r="C14" s="49"/>
      <c r="D14" s="49"/>
      <c r="G14" s="7">
        <f t="shared" si="3"/>
        <v>0.32291666666666669</v>
      </c>
      <c r="H14">
        <f>IF(B14&lt;&gt;0,SUMIF($G$11:$G14,"&gt;"&amp;$G14-1/24,B$11:B14),0)</f>
        <v>652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207</v>
      </c>
      <c r="Q14">
        <f t="shared" si="7"/>
        <v>0</v>
      </c>
      <c r="S14" s="9">
        <v>0.32291666666666669</v>
      </c>
      <c r="T14" s="49">
        <v>207</v>
      </c>
      <c r="U14" s="49">
        <v>0</v>
      </c>
    </row>
    <row r="15" spans="1:21" x14ac:dyDescent="0.25">
      <c r="A15" s="9">
        <v>0.33333333333333331</v>
      </c>
      <c r="B15" s="49">
        <v>202</v>
      </c>
      <c r="C15" s="49"/>
      <c r="D15" s="49"/>
      <c r="G15" s="7">
        <f t="shared" si="3"/>
        <v>0.33333333333333331</v>
      </c>
      <c r="H15">
        <f>IF(B15&lt;&gt;0,SUMIF($G$11:$G15,"&gt;"&amp;$G15-1/24,B$11:B15),0)</f>
        <v>711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202</v>
      </c>
      <c r="Q15">
        <f t="shared" si="7"/>
        <v>202</v>
      </c>
      <c r="S15" s="9">
        <v>0.33333333333333331</v>
      </c>
      <c r="T15" s="49">
        <v>202</v>
      </c>
      <c r="U15" s="49">
        <v>202</v>
      </c>
    </row>
    <row r="16" spans="1:21" x14ac:dyDescent="0.25">
      <c r="A16" s="9">
        <v>0.34375</v>
      </c>
      <c r="B16" s="49">
        <v>231</v>
      </c>
      <c r="C16" s="49"/>
      <c r="D16" s="49"/>
      <c r="G16" s="7">
        <f t="shared" si="3"/>
        <v>0.34375</v>
      </c>
      <c r="H16">
        <f>IF(B16&lt;&gt;0,SUMIF($G$11:$G16,"&gt;"&amp;$G16-1/24,B$11:B16),0)</f>
        <v>776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231</v>
      </c>
      <c r="Q16">
        <f t="shared" si="7"/>
        <v>231</v>
      </c>
      <c r="S16" s="9">
        <v>0.34375</v>
      </c>
      <c r="T16" s="49">
        <v>231</v>
      </c>
      <c r="U16" s="49">
        <v>231</v>
      </c>
    </row>
    <row r="17" spans="1:21" x14ac:dyDescent="0.25">
      <c r="A17" s="9">
        <v>0.35416666666666669</v>
      </c>
      <c r="B17" s="49">
        <v>227</v>
      </c>
      <c r="C17" s="49"/>
      <c r="D17" s="49"/>
      <c r="G17" s="7">
        <f t="shared" si="3"/>
        <v>0.35416666666666669</v>
      </c>
      <c r="H17">
        <f>IF(B17&lt;&gt;0,SUMIF($G$11:$G17,"&gt;"&amp;$G17-1/24,B$11:B17),0)</f>
        <v>867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227</v>
      </c>
      <c r="Q17">
        <f t="shared" si="7"/>
        <v>227</v>
      </c>
      <c r="S17" s="9">
        <v>0.35416666666666669</v>
      </c>
      <c r="T17" s="49">
        <v>227</v>
      </c>
      <c r="U17" s="49">
        <v>227</v>
      </c>
    </row>
    <row r="18" spans="1:21" x14ac:dyDescent="0.25">
      <c r="A18" s="9">
        <v>0.36458333333333331</v>
      </c>
      <c r="B18" s="49">
        <v>211</v>
      </c>
      <c r="C18" s="49"/>
      <c r="D18" s="49"/>
      <c r="G18" s="7">
        <f t="shared" si="3"/>
        <v>0.36458333333333331</v>
      </c>
      <c r="H18">
        <f>IF(B18&lt;&gt;0,SUMIF($G$11:$G18,"&gt;"&amp;$G18-1/24,B$11:B18),0)</f>
        <v>871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211</v>
      </c>
      <c r="Q18">
        <f t="shared" si="7"/>
        <v>211</v>
      </c>
      <c r="S18" s="9">
        <v>0.36458333333333331</v>
      </c>
      <c r="T18" s="49">
        <v>211</v>
      </c>
      <c r="U18" s="49">
        <v>211</v>
      </c>
    </row>
    <row r="19" spans="1:21" x14ac:dyDescent="0.25">
      <c r="A19" s="9">
        <v>0.54166666666666663</v>
      </c>
      <c r="B19" s="49"/>
      <c r="C19" s="49">
        <v>216</v>
      </c>
      <c r="D19" s="49"/>
      <c r="G19" s="7">
        <f t="shared" si="3"/>
        <v>0.54166666666666663</v>
      </c>
      <c r="H19">
        <f>IF(B19&lt;&gt;0,SUMIF($G$11:$G19,"&gt;"&amp;$G19-1/24,B$11:B19),0)</f>
        <v>0</v>
      </c>
      <c r="I19">
        <f>IF(C19&lt;&gt;0,SUMIF($G$11:$G19,"&gt;"&amp;$G19-1/24,C$11:C19),0)</f>
        <v>216</v>
      </c>
      <c r="J19">
        <f>IF(D19&lt;&gt;0,SUMIF($G$11:$G19,"&gt;"&amp;$G19-1/24,D$11:D19),0)</f>
        <v>0</v>
      </c>
      <c r="K19">
        <f>IF(E19&lt;&gt;0,SUMIF($G$11:$G19,"&gt;"&amp;$G19-1/24,E$11:E19),0)</f>
        <v>0</v>
      </c>
      <c r="L19">
        <f t="shared" si="4"/>
        <v>1</v>
      </c>
      <c r="N19" t="str">
        <f t="shared" si="5"/>
        <v>INT</v>
      </c>
      <c r="O19" s="7">
        <f t="shared" si="2"/>
        <v>0.54166666666666663</v>
      </c>
      <c r="P19">
        <f t="shared" si="6"/>
        <v>216</v>
      </c>
      <c r="Q19">
        <f t="shared" si="7"/>
        <v>216</v>
      </c>
      <c r="S19" s="9" t="s">
        <v>49</v>
      </c>
      <c r="T19" s="49">
        <v>1523</v>
      </c>
      <c r="U19" s="49">
        <v>871</v>
      </c>
    </row>
    <row r="20" spans="1:21" x14ac:dyDescent="0.25">
      <c r="A20" s="9">
        <v>0.55208333333333337</v>
      </c>
      <c r="B20" s="49"/>
      <c r="C20" s="49">
        <v>199</v>
      </c>
      <c r="D20" s="49"/>
      <c r="G20" s="7">
        <f t="shared" si="3"/>
        <v>0.55208333333333337</v>
      </c>
      <c r="H20">
        <f>IF(B20&lt;&gt;0,SUMIF($G$11:$G20,"&gt;"&amp;$G20-1/24,B$11:B20),0)</f>
        <v>0</v>
      </c>
      <c r="I20">
        <f>IF(C20&lt;&gt;0,SUMIF($G$11:$G20,"&gt;"&amp;$G20-1/24,C$11:C20),0)</f>
        <v>415</v>
      </c>
      <c r="J20">
        <f>IF(D20&lt;&gt;0,SUMIF($G$11:$G20,"&gt;"&amp;$G20-1/24,D$11:D20),0)</f>
        <v>0</v>
      </c>
      <c r="K20">
        <f>IF(E20&lt;&gt;0,SUMIF($G$11:$G20,"&gt;"&amp;$G20-1/24,E$11:E20),0)</f>
        <v>0</v>
      </c>
      <c r="L20">
        <f t="shared" si="4"/>
        <v>1</v>
      </c>
      <c r="N20" t="str">
        <f t="shared" si="5"/>
        <v>INT</v>
      </c>
      <c r="O20" s="7">
        <f t="shared" si="2"/>
        <v>0.55208333333333337</v>
      </c>
      <c r="P20">
        <f t="shared" si="6"/>
        <v>199</v>
      </c>
      <c r="Q20">
        <f t="shared" si="7"/>
        <v>199</v>
      </c>
    </row>
    <row r="21" spans="1:21" x14ac:dyDescent="0.25">
      <c r="A21" s="9">
        <v>0.5625</v>
      </c>
      <c r="B21" s="49"/>
      <c r="C21" s="49">
        <v>219</v>
      </c>
      <c r="D21" s="49"/>
      <c r="G21" s="7">
        <f t="shared" si="3"/>
        <v>0.5625</v>
      </c>
      <c r="H21">
        <f>IF(B21&lt;&gt;0,SUMIF($G$11:$G21,"&gt;"&amp;$G21-1/24,B$11:B21),0)</f>
        <v>0</v>
      </c>
      <c r="I21">
        <f>IF(C21&lt;&gt;0,SUMIF($G$11:$G21,"&gt;"&amp;$G21-1/24,C$11:C21),0)</f>
        <v>634</v>
      </c>
      <c r="J21">
        <f>IF(D21&lt;&gt;0,SUMIF($G$11:$G21,"&gt;"&amp;$G21-1/24,D$11:D21),0)</f>
        <v>0</v>
      </c>
      <c r="K21">
        <f>IF(E21&lt;&gt;0,SUMIF($G$11:$G21,"&gt;"&amp;$G21-1/24,E$11:E21),0)</f>
        <v>0</v>
      </c>
      <c r="L21">
        <f t="shared" si="4"/>
        <v>1</v>
      </c>
      <c r="N21" t="str">
        <f t="shared" si="5"/>
        <v>INT</v>
      </c>
      <c r="O21" s="7">
        <f t="shared" si="2"/>
        <v>0.5625</v>
      </c>
      <c r="P21">
        <f t="shared" si="6"/>
        <v>219</v>
      </c>
      <c r="Q21">
        <f t="shared" si="7"/>
        <v>219</v>
      </c>
    </row>
    <row r="22" spans="1:21" x14ac:dyDescent="0.25">
      <c r="A22" s="9">
        <v>0.57291666666666663</v>
      </c>
      <c r="B22" s="49"/>
      <c r="C22" s="49">
        <v>223</v>
      </c>
      <c r="D22" s="49"/>
      <c r="G22" s="7">
        <f t="shared" si="3"/>
        <v>0.57291666666666663</v>
      </c>
      <c r="H22">
        <f>IF(B22&lt;&gt;0,SUMIF($G$11:$G22,"&gt;"&amp;$G22-1/24,B$11:B22),0)</f>
        <v>0</v>
      </c>
      <c r="I22">
        <f>IF(C22&lt;&gt;0,SUMIF($G$11:$G22,"&gt;"&amp;$G22-1/24,C$11:C22),0)</f>
        <v>857</v>
      </c>
      <c r="J22">
        <f>IF(D22&lt;&gt;0,SUMIF($G$11:$G22,"&gt;"&amp;$G22-1/24,D$11:D22),0)</f>
        <v>0</v>
      </c>
      <c r="K22">
        <f>IF(E22&lt;&gt;0,SUMIF($G$11:$G22,"&gt;"&amp;$G22-1/24,E$11:E22),0)</f>
        <v>0</v>
      </c>
      <c r="L22">
        <f t="shared" si="4"/>
        <v>1</v>
      </c>
      <c r="N22" t="str">
        <f t="shared" si="5"/>
        <v>INT</v>
      </c>
      <c r="O22" s="7">
        <f t="shared" si="2"/>
        <v>0.57291666666666663</v>
      </c>
      <c r="P22">
        <f t="shared" si="6"/>
        <v>223</v>
      </c>
      <c r="Q22">
        <f t="shared" si="7"/>
        <v>223</v>
      </c>
    </row>
    <row r="23" spans="1:21" x14ac:dyDescent="0.25">
      <c r="A23" s="9">
        <v>0.66666666666666663</v>
      </c>
      <c r="B23" s="49"/>
      <c r="C23" s="49"/>
      <c r="D23" s="49">
        <v>336</v>
      </c>
      <c r="G23" s="7">
        <f t="shared" si="3"/>
        <v>0.66666666666666663</v>
      </c>
      <c r="H23">
        <f>IF(B23&lt;&gt;0,SUMIF($G$11:$G23,"&gt;"&amp;$G23-1/24,B$11:B23),0)</f>
        <v>0</v>
      </c>
      <c r="I23">
        <f>IF(C23&lt;&gt;0,SUMIF($G$11:$G23,"&gt;"&amp;$G23-1/24,C$11:C23),0)</f>
        <v>0</v>
      </c>
      <c r="J23">
        <f>IF(D23&lt;&gt;0,SUMIF($G$11:$G23,"&gt;"&amp;$G23-1/24,D$11:D23),0)</f>
        <v>336</v>
      </c>
      <c r="K23">
        <f>IF(E23&lt;&gt;0,SUMIF($G$11:$G23,"&gt;"&amp;$G23-1/24,E$11:E23),0)</f>
        <v>0</v>
      </c>
      <c r="L23">
        <f t="shared" si="4"/>
        <v>0</v>
      </c>
      <c r="N23" t="str">
        <f t="shared" si="5"/>
        <v>PM</v>
      </c>
      <c r="O23" s="7">
        <f t="shared" si="2"/>
        <v>0.66666666666666663</v>
      </c>
      <c r="P23">
        <f t="shared" si="6"/>
        <v>336</v>
      </c>
      <c r="Q23">
        <f t="shared" si="7"/>
        <v>0</v>
      </c>
    </row>
    <row r="24" spans="1:21" x14ac:dyDescent="0.25">
      <c r="A24" s="9">
        <v>0.67708333333333337</v>
      </c>
      <c r="B24" s="49"/>
      <c r="C24" s="49"/>
      <c r="D24" s="49">
        <v>361</v>
      </c>
      <c r="G24" s="7">
        <f t="shared" si="3"/>
        <v>0.67708333333333337</v>
      </c>
      <c r="H24">
        <f>IF(B24&lt;&gt;0,SUMIF($G$11:$G24,"&gt;"&amp;$G24-1/24,B$11:B24),0)</f>
        <v>0</v>
      </c>
      <c r="I24">
        <f>IF(C24&lt;&gt;0,SUMIF($G$11:$G24,"&gt;"&amp;$G24-1/24,C$11:C24),0)</f>
        <v>0</v>
      </c>
      <c r="J24">
        <f>IF(D24&lt;&gt;0,SUMIF($G$11:$G24,"&gt;"&amp;$G24-1/24,D$11:D24),0)</f>
        <v>697</v>
      </c>
      <c r="K24">
        <f>IF(E24&lt;&gt;0,SUMIF($G$11:$G24,"&gt;"&amp;$G24-1/24,E$11:E24),0)</f>
        <v>0</v>
      </c>
      <c r="L24">
        <f t="shared" si="4"/>
        <v>0</v>
      </c>
      <c r="N24" t="str">
        <f t="shared" si="5"/>
        <v>PM</v>
      </c>
      <c r="O24" s="7">
        <f t="shared" si="2"/>
        <v>0.67708333333333337</v>
      </c>
      <c r="P24">
        <f t="shared" si="6"/>
        <v>361</v>
      </c>
      <c r="Q24">
        <f t="shared" si="7"/>
        <v>0</v>
      </c>
    </row>
    <row r="25" spans="1:21" x14ac:dyDescent="0.25">
      <c r="A25" s="9">
        <v>0.6875</v>
      </c>
      <c r="B25" s="49"/>
      <c r="C25" s="49"/>
      <c r="D25" s="49">
        <v>409</v>
      </c>
      <c r="G25" s="7">
        <f t="shared" si="3"/>
        <v>0.6875</v>
      </c>
      <c r="H25">
        <f>IF(B25&lt;&gt;0,SUMIF($G$11:$G25,"&gt;"&amp;$G25-1/24,B$11:B25),0)</f>
        <v>0</v>
      </c>
      <c r="I25">
        <f>IF(C25&lt;&gt;0,SUMIF($G$11:$G25,"&gt;"&amp;$G25-1/24,C$11:C25),0)</f>
        <v>0</v>
      </c>
      <c r="J25">
        <f>IF(D25&lt;&gt;0,SUMIF($G$11:$G25,"&gt;"&amp;$G25-1/24,D$11:D25),0)</f>
        <v>1106</v>
      </c>
      <c r="K25">
        <f>IF(E25&lt;&gt;0,SUMIF($G$11:$G25,"&gt;"&amp;$G25-1/24,E$11:E25),0)</f>
        <v>0</v>
      </c>
      <c r="L25">
        <f t="shared" si="4"/>
        <v>1</v>
      </c>
      <c r="N25" t="str">
        <f t="shared" si="5"/>
        <v>PM</v>
      </c>
      <c r="O25" s="7">
        <f t="shared" si="2"/>
        <v>0.6875</v>
      </c>
      <c r="P25">
        <f t="shared" si="6"/>
        <v>409</v>
      </c>
      <c r="Q25">
        <f t="shared" si="7"/>
        <v>409</v>
      </c>
    </row>
    <row r="26" spans="1:21" x14ac:dyDescent="0.25">
      <c r="A26" s="9">
        <v>0.69791666666666663</v>
      </c>
      <c r="B26" s="49"/>
      <c r="C26" s="49"/>
      <c r="D26" s="49">
        <v>393</v>
      </c>
      <c r="G26" s="7">
        <f t="shared" si="3"/>
        <v>0.69791666666666663</v>
      </c>
      <c r="H26">
        <f>IF(B26&lt;&gt;0,SUMIF($G$11:$G26,"&gt;"&amp;$G26-1/24,B$11:B26),0)</f>
        <v>0</v>
      </c>
      <c r="I26">
        <f>IF(C26&lt;&gt;0,SUMIF($G$11:$G26,"&gt;"&amp;$G26-1/24,C$11:C26),0)</f>
        <v>0</v>
      </c>
      <c r="J26">
        <f>IF(D26&lt;&gt;0,SUMIF($G$11:$G26,"&gt;"&amp;$G26-1/24,D$11:D26),0)</f>
        <v>1499</v>
      </c>
      <c r="K26">
        <f>IF(E26&lt;&gt;0,SUMIF($G$11:$G26,"&gt;"&amp;$G26-1/24,E$11:E26),0)</f>
        <v>0</v>
      </c>
      <c r="L26">
        <f t="shared" si="4"/>
        <v>1</v>
      </c>
      <c r="N26" t="str">
        <f t="shared" si="5"/>
        <v>PM</v>
      </c>
      <c r="O26" s="7">
        <f t="shared" si="2"/>
        <v>0.69791666666666663</v>
      </c>
      <c r="P26">
        <f t="shared" si="6"/>
        <v>393</v>
      </c>
      <c r="Q26">
        <f t="shared" si="7"/>
        <v>393</v>
      </c>
    </row>
    <row r="27" spans="1:21" x14ac:dyDescent="0.25">
      <c r="A27" s="9">
        <v>0.70833333333333337</v>
      </c>
      <c r="B27" s="49"/>
      <c r="C27" s="49"/>
      <c r="D27" s="49">
        <v>414</v>
      </c>
      <c r="G27" s="7">
        <f t="shared" ref="G27:G90" si="8">A27</f>
        <v>0.70833333333333337</v>
      </c>
      <c r="H27">
        <f>IF(B27&lt;&gt;0,SUMIF($G$11:$G27,"&gt;"&amp;$G27-1/24,B$11:B27),0)</f>
        <v>0</v>
      </c>
      <c r="I27">
        <f>IF(C27&lt;&gt;0,SUMIF($G$11:$G27,"&gt;"&amp;$G27-1/24,C$11:C27),0)</f>
        <v>0</v>
      </c>
      <c r="J27">
        <f>IF(D27&lt;&gt;0,SUMIF($G$11:$G27,"&gt;"&amp;$G27-1/24,D$11:D27),0)</f>
        <v>1577</v>
      </c>
      <c r="K27">
        <f>IF(E27&lt;&gt;0,SUMIF($G$11:$G27,"&gt;"&amp;$G27-1/24,E$11:E27),0)</f>
        <v>0</v>
      </c>
      <c r="L27">
        <f t="shared" si="4"/>
        <v>1</v>
      </c>
      <c r="N27" t="str">
        <f t="shared" si="5"/>
        <v>PM</v>
      </c>
      <c r="O27" s="7">
        <f t="shared" si="2"/>
        <v>0.70833333333333337</v>
      </c>
      <c r="P27">
        <f t="shared" si="6"/>
        <v>414</v>
      </c>
      <c r="Q27">
        <f t="shared" si="7"/>
        <v>414</v>
      </c>
    </row>
    <row r="28" spans="1:21" x14ac:dyDescent="0.25">
      <c r="A28" s="9">
        <v>0.71875</v>
      </c>
      <c r="B28" s="49"/>
      <c r="C28" s="49"/>
      <c r="D28" s="49">
        <v>442</v>
      </c>
      <c r="G28" s="7">
        <f t="shared" si="8"/>
        <v>0.71875</v>
      </c>
      <c r="H28">
        <f>IF(B28&lt;&gt;0,SUMIF($G$11:$G28,"&gt;"&amp;$G28-1/24,B$11:B28),0)</f>
        <v>0</v>
      </c>
      <c r="I28">
        <f>IF(C28&lt;&gt;0,SUMIF($G$11:$G28,"&gt;"&amp;$G28-1/24,C$11:C28),0)</f>
        <v>0</v>
      </c>
      <c r="J28">
        <f>IF(D28&lt;&gt;0,SUMIF($G$11:$G28,"&gt;"&amp;$G28-1/24,D$11:D28),0)</f>
        <v>1658</v>
      </c>
      <c r="K28">
        <f>IF(E28&lt;&gt;0,SUMIF($G$11:$G28,"&gt;"&amp;$G28-1/24,E$11:E28),0)</f>
        <v>0</v>
      </c>
      <c r="L28">
        <f t="shared" si="4"/>
        <v>1</v>
      </c>
      <c r="N28" t="str">
        <f t="shared" si="5"/>
        <v>PM</v>
      </c>
      <c r="O28" s="7">
        <f t="shared" si="2"/>
        <v>0.71875</v>
      </c>
      <c r="P28">
        <f t="shared" si="6"/>
        <v>442</v>
      </c>
      <c r="Q28">
        <f t="shared" si="7"/>
        <v>442</v>
      </c>
    </row>
    <row r="29" spans="1:21" x14ac:dyDescent="0.25">
      <c r="A29" s="9">
        <v>0.72916666666666663</v>
      </c>
      <c r="B29" s="49"/>
      <c r="C29" s="49"/>
      <c r="D29" s="49">
        <v>353</v>
      </c>
      <c r="G29" s="7">
        <f t="shared" si="8"/>
        <v>0.72916666666666663</v>
      </c>
      <c r="H29">
        <f>IF(B29&lt;&gt;0,SUMIF($G$11:$G29,"&gt;"&amp;$G29-1/24,B$11:B29),0)</f>
        <v>0</v>
      </c>
      <c r="I29">
        <f>IF(C29&lt;&gt;0,SUMIF($G$11:$G29,"&gt;"&amp;$G29-1/24,C$11:C29),0)</f>
        <v>0</v>
      </c>
      <c r="J29">
        <f>IF(D29&lt;&gt;0,SUMIF($G$11:$G29,"&gt;"&amp;$G29-1/24,D$11:D29),0)</f>
        <v>1602</v>
      </c>
      <c r="K29">
        <f>IF(E29&lt;&gt;0,SUMIF($G$11:$G29,"&gt;"&amp;$G29-1/24,E$11:E29),0)</f>
        <v>0</v>
      </c>
      <c r="L29">
        <f t="shared" si="4"/>
        <v>0</v>
      </c>
      <c r="N29" t="str">
        <f t="shared" si="5"/>
        <v>PM</v>
      </c>
      <c r="O29" s="7">
        <f t="shared" si="2"/>
        <v>0.72916666666666663</v>
      </c>
      <c r="P29">
        <f t="shared" si="6"/>
        <v>353</v>
      </c>
      <c r="Q29">
        <f t="shared" si="7"/>
        <v>0</v>
      </c>
    </row>
    <row r="30" spans="1:21" x14ac:dyDescent="0.25">
      <c r="A30" s="9">
        <v>0.73958333333333337</v>
      </c>
      <c r="B30" s="49"/>
      <c r="C30" s="49"/>
      <c r="D30" s="49">
        <v>288</v>
      </c>
      <c r="G30" s="7">
        <f t="shared" si="8"/>
        <v>0.73958333333333337</v>
      </c>
      <c r="H30">
        <f>IF(B30&lt;&gt;0,SUMIF($G$11:$G30,"&gt;"&amp;$G30-1/24,B$11:B30),0)</f>
        <v>0</v>
      </c>
      <c r="I30">
        <f>IF(C30&lt;&gt;0,SUMIF($G$11:$G30,"&gt;"&amp;$G30-1/24,C$11:C30),0)</f>
        <v>0</v>
      </c>
      <c r="J30">
        <f>IF(D30&lt;&gt;0,SUMIF($G$11:$G30,"&gt;"&amp;$G30-1/24,D$11:D30),0)</f>
        <v>1497</v>
      </c>
      <c r="K30">
        <f>IF(E30&lt;&gt;0,SUMIF($G$11:$G30,"&gt;"&amp;$G30-1/24,E$11:E30),0)</f>
        <v>0</v>
      </c>
      <c r="L30">
        <f t="shared" si="4"/>
        <v>0</v>
      </c>
      <c r="N30" t="str">
        <f t="shared" si="5"/>
        <v>PM</v>
      </c>
      <c r="O30" s="7">
        <f t="shared" si="2"/>
        <v>0.73958333333333337</v>
      </c>
      <c r="P30">
        <f t="shared" si="6"/>
        <v>288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143</v>
      </c>
      <c r="E5" t="str">
        <f>"Vehicle Count by Exit Leg for "&amp;C2&amp;" Period"</f>
        <v>Vehicle Count by Exit Leg for AM Period</v>
      </c>
    </row>
    <row r="6" spans="2:5" x14ac:dyDescent="0.25">
      <c r="B6" s="9">
        <v>0.30208333333333331</v>
      </c>
      <c r="C6" s="49">
        <v>166</v>
      </c>
    </row>
    <row r="7" spans="2:5" x14ac:dyDescent="0.25">
      <c r="B7" s="9">
        <v>0.3125</v>
      </c>
      <c r="C7" s="49">
        <v>136</v>
      </c>
    </row>
    <row r="8" spans="2:5" x14ac:dyDescent="0.25">
      <c r="B8" s="9">
        <v>0.32291666666666669</v>
      </c>
      <c r="C8" s="49">
        <v>207</v>
      </c>
    </row>
    <row r="9" spans="2:5" x14ac:dyDescent="0.25">
      <c r="B9" s="9">
        <v>0.33333333333333331</v>
      </c>
      <c r="C9" s="49">
        <v>202</v>
      </c>
    </row>
    <row r="10" spans="2:5" x14ac:dyDescent="0.25">
      <c r="B10" s="9">
        <v>0.34375</v>
      </c>
      <c r="C10" s="49">
        <v>231</v>
      </c>
    </row>
    <row r="11" spans="2:5" x14ac:dyDescent="0.25">
      <c r="B11" s="9">
        <v>0.35416666666666669</v>
      </c>
      <c r="C11" s="49">
        <v>227</v>
      </c>
    </row>
    <row r="12" spans="2:5" x14ac:dyDescent="0.25">
      <c r="B12" s="9">
        <v>0.36458333333333331</v>
      </c>
      <c r="C12" s="49">
        <v>211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20.28515625" bestFit="1" customWidth="1"/>
    <col min="13" max="13" width="21.5703125" customWidth="1"/>
    <col min="14" max="14" width="8.28515625" customWidth="1"/>
    <col min="15" max="15" width="5.5703125" customWidth="1"/>
    <col min="16" max="18" width="3.28515625" customWidth="1"/>
    <col min="19" max="19" width="11.28515625" bestFit="1" customWidth="1"/>
    <col min="20" max="20" width="19.28515625" bestFit="1" customWidth="1"/>
    <col min="21" max="21" width="19.14062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T25" s="25" t="s">
        <v>99</v>
      </c>
      <c r="U25" s="25" t="s">
        <v>100</v>
      </c>
      <c r="X25" s="13"/>
    </row>
    <row r="26" spans="2:24" x14ac:dyDescent="0.25">
      <c r="B26" s="9">
        <v>0.29166666666666669</v>
      </c>
      <c r="C26" s="50">
        <v>143</v>
      </c>
      <c r="J26" s="9">
        <v>0.29166666666666669</v>
      </c>
      <c r="K26" s="50">
        <v>103</v>
      </c>
      <c r="L26" s="50">
        <v>40</v>
      </c>
      <c r="S26" s="9">
        <v>0.29166666666666669</v>
      </c>
      <c r="T26" s="50">
        <v>107</v>
      </c>
      <c r="U26" s="50">
        <v>36</v>
      </c>
    </row>
    <row r="27" spans="2:24" x14ac:dyDescent="0.25">
      <c r="B27" s="9">
        <v>0.30208333333333331</v>
      </c>
      <c r="C27" s="50">
        <v>166</v>
      </c>
      <c r="J27" s="9">
        <v>0.30208333333333331</v>
      </c>
      <c r="K27" s="50">
        <v>111</v>
      </c>
      <c r="L27" s="50">
        <v>55</v>
      </c>
      <c r="S27" s="9">
        <v>0.30208333333333331</v>
      </c>
      <c r="T27" s="50">
        <v>122</v>
      </c>
      <c r="U27" s="50">
        <v>44</v>
      </c>
    </row>
    <row r="28" spans="2:24" x14ac:dyDescent="0.25">
      <c r="B28" s="9">
        <v>0.3125</v>
      </c>
      <c r="C28" s="50">
        <v>136</v>
      </c>
      <c r="J28" s="9">
        <v>0.3125</v>
      </c>
      <c r="K28" s="50">
        <v>107</v>
      </c>
      <c r="L28" s="50">
        <v>29</v>
      </c>
      <c r="S28" s="9">
        <v>0.3125</v>
      </c>
      <c r="T28" s="50">
        <v>113</v>
      </c>
      <c r="U28" s="50">
        <v>23</v>
      </c>
    </row>
    <row r="29" spans="2:24" x14ac:dyDescent="0.25">
      <c r="B29" s="9">
        <v>0.32291666666666669</v>
      </c>
      <c r="C29" s="50">
        <v>207</v>
      </c>
      <c r="J29" s="9">
        <v>0.32291666666666669</v>
      </c>
      <c r="K29" s="50">
        <v>144</v>
      </c>
      <c r="L29" s="50">
        <v>63</v>
      </c>
      <c r="S29" s="9">
        <v>0.32291666666666669</v>
      </c>
      <c r="T29" s="50">
        <v>152</v>
      </c>
      <c r="U29" s="50">
        <v>55</v>
      </c>
    </row>
    <row r="30" spans="2:24" x14ac:dyDescent="0.25">
      <c r="B30" s="9">
        <v>0.33333333333333331</v>
      </c>
      <c r="C30" s="50">
        <v>202</v>
      </c>
      <c r="J30" s="9">
        <v>0.33333333333333331</v>
      </c>
      <c r="K30" s="50">
        <v>138</v>
      </c>
      <c r="L30" s="50">
        <v>64</v>
      </c>
      <c r="S30" s="9">
        <v>0.33333333333333331</v>
      </c>
      <c r="T30" s="50">
        <v>147</v>
      </c>
      <c r="U30" s="50">
        <v>55</v>
      </c>
    </row>
    <row r="31" spans="2:24" x14ac:dyDescent="0.25">
      <c r="B31" s="9">
        <v>0.34375</v>
      </c>
      <c r="C31" s="50">
        <v>231</v>
      </c>
      <c r="J31" s="9">
        <v>0.34375</v>
      </c>
      <c r="K31" s="50">
        <v>137</v>
      </c>
      <c r="L31" s="50">
        <v>94</v>
      </c>
      <c r="S31" s="9">
        <v>0.34375</v>
      </c>
      <c r="T31" s="50">
        <v>148</v>
      </c>
      <c r="U31" s="50">
        <v>83</v>
      </c>
    </row>
    <row r="32" spans="2:24" x14ac:dyDescent="0.25">
      <c r="B32" s="9">
        <v>0.35416666666666669</v>
      </c>
      <c r="C32" s="50">
        <v>227</v>
      </c>
      <c r="J32" s="9">
        <v>0.35416666666666669</v>
      </c>
      <c r="K32" s="50">
        <v>154</v>
      </c>
      <c r="L32" s="50">
        <v>73</v>
      </c>
      <c r="S32" s="9">
        <v>0.35416666666666669</v>
      </c>
      <c r="T32" s="50">
        <v>166</v>
      </c>
      <c r="U32" s="50">
        <v>61</v>
      </c>
    </row>
    <row r="33" spans="2:21" x14ac:dyDescent="0.25">
      <c r="B33" s="9">
        <v>0.36458333333333331</v>
      </c>
      <c r="C33" s="50">
        <v>211</v>
      </c>
      <c r="J33" s="9">
        <v>0.36458333333333331</v>
      </c>
      <c r="K33" s="50">
        <v>138</v>
      </c>
      <c r="L33" s="50">
        <v>73</v>
      </c>
      <c r="S33" s="9">
        <v>0.36458333333333331</v>
      </c>
      <c r="T33" s="50">
        <v>145</v>
      </c>
      <c r="U33" s="50">
        <v>66</v>
      </c>
    </row>
    <row r="34" spans="2:21" x14ac:dyDescent="0.25">
      <c r="B34" s="9" t="s">
        <v>49</v>
      </c>
      <c r="C34" s="50">
        <v>1523</v>
      </c>
      <c r="J34" s="9" t="s">
        <v>49</v>
      </c>
      <c r="K34" s="50">
        <v>1032</v>
      </c>
      <c r="L34" s="50">
        <v>491</v>
      </c>
      <c r="S34" s="9" t="s">
        <v>49</v>
      </c>
      <c r="T34" s="50">
        <v>1100</v>
      </c>
      <c r="U34" s="50">
        <v>423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29.8554687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871 vehicles between 08:00 and 09:00</v>
      </c>
    </row>
    <row r="5" spans="2:2" x14ac:dyDescent="0.25">
      <c r="B5" s="6" t="str">
        <f>PeakCalc!I8</f>
        <v>The peak hour for INT is 857 vehicles between 13:00 and 14:00</v>
      </c>
    </row>
    <row r="6" spans="2:2" x14ac:dyDescent="0.25">
      <c r="B6" s="6" t="str">
        <f>PeakCalc!J8</f>
        <v>The peak hour for PM is 1658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108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552</v>
      </c>
      <c r="D32" s="49">
        <v>8</v>
      </c>
      <c r="E32" s="49">
        <v>7</v>
      </c>
      <c r="F32" s="49">
        <v>567</v>
      </c>
      <c r="G32" s="49">
        <v>1120</v>
      </c>
      <c r="H32" s="49">
        <v>9</v>
      </c>
      <c r="I32" s="49">
        <v>23</v>
      </c>
      <c r="J32" s="49">
        <v>1152</v>
      </c>
      <c r="K32" s="49">
        <v>570</v>
      </c>
      <c r="L32" s="49">
        <v>12</v>
      </c>
      <c r="M32" s="49">
        <v>6</v>
      </c>
      <c r="N32" s="49">
        <v>588</v>
      </c>
    </row>
    <row r="33" spans="2:14" x14ac:dyDescent="0.25">
      <c r="B33" s="14" t="s">
        <v>95</v>
      </c>
      <c r="C33" s="49">
        <v>532</v>
      </c>
      <c r="D33" s="49">
        <v>8</v>
      </c>
      <c r="E33" s="49">
        <v>6</v>
      </c>
      <c r="F33" s="49">
        <v>546</v>
      </c>
      <c r="G33" s="49">
        <v>1081</v>
      </c>
      <c r="H33" s="49">
        <v>9</v>
      </c>
      <c r="I33" s="49">
        <v>23</v>
      </c>
      <c r="J33" s="49">
        <v>1113</v>
      </c>
      <c r="K33" s="49">
        <v>541</v>
      </c>
      <c r="L33" s="49">
        <v>11</v>
      </c>
      <c r="M33" s="49">
        <v>6</v>
      </c>
      <c r="N33" s="49">
        <v>558</v>
      </c>
    </row>
    <row r="34" spans="2:14" x14ac:dyDescent="0.25">
      <c r="B34" s="14" t="s">
        <v>96</v>
      </c>
      <c r="C34" s="49">
        <v>20</v>
      </c>
      <c r="D34" s="49">
        <v>0</v>
      </c>
      <c r="E34" s="49">
        <v>1</v>
      </c>
      <c r="F34" s="49">
        <v>21</v>
      </c>
      <c r="G34" s="49">
        <v>39</v>
      </c>
      <c r="H34" s="49">
        <v>0</v>
      </c>
      <c r="I34" s="49">
        <v>0</v>
      </c>
      <c r="J34" s="49">
        <v>39</v>
      </c>
      <c r="K34" s="49">
        <v>29</v>
      </c>
      <c r="L34" s="49">
        <v>1</v>
      </c>
      <c r="M34" s="49">
        <v>0</v>
      </c>
      <c r="N34" s="49">
        <v>30</v>
      </c>
    </row>
    <row r="35" spans="2:14" x14ac:dyDescent="0.25">
      <c r="B35" s="10" t="s">
        <v>94</v>
      </c>
      <c r="C35" s="49">
        <v>288</v>
      </c>
      <c r="D35" s="49">
        <v>10</v>
      </c>
      <c r="E35" s="49">
        <v>6</v>
      </c>
      <c r="F35" s="49">
        <v>304</v>
      </c>
      <c r="G35" s="49">
        <v>474</v>
      </c>
      <c r="H35" s="49">
        <v>6</v>
      </c>
      <c r="I35" s="49">
        <v>26</v>
      </c>
      <c r="J35" s="49">
        <v>506</v>
      </c>
      <c r="K35" s="49">
        <v>260</v>
      </c>
      <c r="L35" s="49">
        <v>5</v>
      </c>
      <c r="M35" s="49">
        <v>4</v>
      </c>
      <c r="N35" s="49">
        <v>269</v>
      </c>
    </row>
    <row r="36" spans="2:14" x14ac:dyDescent="0.25">
      <c r="B36" s="14" t="s">
        <v>97</v>
      </c>
      <c r="C36" s="49">
        <v>55</v>
      </c>
      <c r="D36" s="49">
        <v>5</v>
      </c>
      <c r="E36" s="49">
        <v>0</v>
      </c>
      <c r="F36" s="49">
        <v>60</v>
      </c>
      <c r="G36" s="49">
        <v>131</v>
      </c>
      <c r="H36" s="49">
        <v>5</v>
      </c>
      <c r="I36" s="49">
        <v>3</v>
      </c>
      <c r="J36" s="49">
        <v>139</v>
      </c>
      <c r="K36" s="49">
        <v>65</v>
      </c>
      <c r="L36" s="49">
        <v>2</v>
      </c>
      <c r="M36" s="49">
        <v>0</v>
      </c>
      <c r="N36" s="49">
        <v>67</v>
      </c>
    </row>
    <row r="37" spans="2:14" x14ac:dyDescent="0.25">
      <c r="B37" s="14" t="s">
        <v>98</v>
      </c>
      <c r="C37" s="49">
        <v>233</v>
      </c>
      <c r="D37" s="49">
        <v>5</v>
      </c>
      <c r="E37" s="49">
        <v>6</v>
      </c>
      <c r="F37" s="49">
        <v>244</v>
      </c>
      <c r="G37" s="49">
        <v>343</v>
      </c>
      <c r="H37" s="49">
        <v>1</v>
      </c>
      <c r="I37" s="49">
        <v>23</v>
      </c>
      <c r="J37" s="49">
        <v>367</v>
      </c>
      <c r="K37" s="49">
        <v>195</v>
      </c>
      <c r="L37" s="49">
        <v>3</v>
      </c>
      <c r="M37" s="49">
        <v>4</v>
      </c>
      <c r="N37" s="49">
        <v>202</v>
      </c>
    </row>
    <row r="38" spans="2:14" x14ac:dyDescent="0.25">
      <c r="B38" s="10" t="s">
        <v>49</v>
      </c>
      <c r="C38" s="49">
        <v>840</v>
      </c>
      <c r="D38" s="49">
        <v>18</v>
      </c>
      <c r="E38" s="49">
        <v>13</v>
      </c>
      <c r="F38" s="49">
        <v>871</v>
      </c>
      <c r="G38" s="49">
        <v>1594</v>
      </c>
      <c r="H38" s="49">
        <v>15</v>
      </c>
      <c r="I38" s="49">
        <v>49</v>
      </c>
      <c r="J38" s="49">
        <v>1658</v>
      </c>
      <c r="K38" s="49">
        <v>830</v>
      </c>
      <c r="L38" s="49">
        <v>17</v>
      </c>
      <c r="M38" s="49">
        <v>10</v>
      </c>
      <c r="N38" s="49">
        <v>857</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91B4-4AAF-4CB2-863F-2420616E952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152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150</v>
      </c>
      <c r="C12" s="61"/>
      <c r="D12" s="61"/>
      <c r="E12" s="61"/>
      <c r="F12" s="61"/>
      <c r="G12" s="61"/>
      <c r="H12" s="61"/>
      <c r="I12" s="60"/>
      <c r="J12" s="62" t="s">
        <v>148</v>
      </c>
      <c r="K12" s="61"/>
      <c r="L12" s="61"/>
      <c r="M12" s="61"/>
      <c r="N12" s="61"/>
      <c r="O12" s="61"/>
      <c r="P12" s="61"/>
      <c r="Q12" s="60"/>
      <c r="R12" s="62" t="s">
        <v>151</v>
      </c>
      <c r="S12" s="61"/>
      <c r="T12" s="61"/>
      <c r="U12" s="61"/>
      <c r="V12" s="61"/>
      <c r="W12" s="61"/>
      <c r="X12" s="61"/>
      <c r="Y12" s="60"/>
      <c r="Z12" s="62" t="s">
        <v>148</v>
      </c>
      <c r="AA12" s="61"/>
      <c r="AB12" s="61"/>
      <c r="AC12" s="61"/>
      <c r="AD12" s="61"/>
      <c r="AE12" s="61"/>
      <c r="AF12" s="61"/>
      <c r="AG12" s="60"/>
      <c r="AH12" s="62" t="s">
        <v>150</v>
      </c>
      <c r="AI12" s="61"/>
      <c r="AJ12" s="61"/>
      <c r="AK12" s="61"/>
      <c r="AL12" s="61"/>
      <c r="AM12" s="61"/>
      <c r="AN12" s="61"/>
      <c r="AO12" s="60"/>
      <c r="AP12" s="62" t="s">
        <v>148</v>
      </c>
      <c r="AQ12" s="61"/>
      <c r="AR12" s="61"/>
      <c r="AS12" s="61"/>
      <c r="AT12" s="61"/>
      <c r="AU12" s="61"/>
      <c r="AV12" s="61"/>
      <c r="AW12" s="60"/>
      <c r="AX12" s="62" t="s">
        <v>149</v>
      </c>
      <c r="AY12" s="61"/>
      <c r="AZ12" s="61"/>
      <c r="BA12" s="61"/>
      <c r="BB12" s="61"/>
      <c r="BC12" s="61"/>
      <c r="BD12" s="61"/>
      <c r="BE12" s="60"/>
      <c r="BF12" s="62" t="s">
        <v>148</v>
      </c>
      <c r="BG12" s="61"/>
      <c r="BH12" s="61"/>
      <c r="BI12" s="61"/>
      <c r="BJ12" s="61"/>
      <c r="BK12" s="61"/>
      <c r="BL12" s="61"/>
      <c r="BM12" s="60"/>
    </row>
    <row r="13" spans="1:65" ht="15" customHeight="1" x14ac:dyDescent="0.2">
      <c r="A13" s="55" t="s">
        <v>109</v>
      </c>
      <c r="B13" s="59" t="s">
        <v>147</v>
      </c>
      <c r="C13" s="58"/>
      <c r="D13" s="58"/>
      <c r="E13" s="58"/>
      <c r="F13" s="58"/>
      <c r="G13" s="58"/>
      <c r="H13" s="58"/>
      <c r="I13" s="57"/>
      <c r="J13" s="59" t="s">
        <v>146</v>
      </c>
      <c r="K13" s="58"/>
      <c r="L13" s="58"/>
      <c r="M13" s="58"/>
      <c r="N13" s="58"/>
      <c r="O13" s="58"/>
      <c r="P13" s="58"/>
      <c r="Q13" s="57"/>
      <c r="R13" s="59" t="s">
        <v>145</v>
      </c>
      <c r="S13" s="58"/>
      <c r="T13" s="58"/>
      <c r="U13" s="58"/>
      <c r="V13" s="58"/>
      <c r="W13" s="58"/>
      <c r="X13" s="58"/>
      <c r="Y13" s="57"/>
      <c r="Z13" s="59" t="s">
        <v>144</v>
      </c>
      <c r="AA13" s="58"/>
      <c r="AB13" s="58"/>
      <c r="AC13" s="58"/>
      <c r="AD13" s="58"/>
      <c r="AE13" s="58"/>
      <c r="AF13" s="58"/>
      <c r="AG13" s="57"/>
      <c r="AH13" s="59" t="s">
        <v>143</v>
      </c>
      <c r="AI13" s="58"/>
      <c r="AJ13" s="58"/>
      <c r="AK13" s="58"/>
      <c r="AL13" s="58"/>
      <c r="AM13" s="58"/>
      <c r="AN13" s="58"/>
      <c r="AO13" s="57"/>
      <c r="AP13" s="59" t="s">
        <v>142</v>
      </c>
      <c r="AQ13" s="58"/>
      <c r="AR13" s="58"/>
      <c r="AS13" s="58"/>
      <c r="AT13" s="58"/>
      <c r="AU13" s="58"/>
      <c r="AV13" s="58"/>
      <c r="AW13" s="57"/>
      <c r="AX13" s="59" t="s">
        <v>141</v>
      </c>
      <c r="AY13" s="58"/>
      <c r="AZ13" s="58"/>
      <c r="BA13" s="58"/>
      <c r="BB13" s="58"/>
      <c r="BC13" s="58"/>
      <c r="BD13" s="58"/>
      <c r="BE13" s="57"/>
      <c r="BF13" s="59" t="s">
        <v>140</v>
      </c>
      <c r="BG13" s="58"/>
      <c r="BH13" s="58"/>
      <c r="BI13" s="58"/>
      <c r="BJ13" s="58"/>
      <c r="BK13" s="58"/>
      <c r="BL13" s="58"/>
      <c r="BM13" s="57"/>
    </row>
    <row r="14" spans="1:65" ht="15" customHeight="1" x14ac:dyDescent="0.2">
      <c r="A14" s="56" t="s">
        <v>9</v>
      </c>
      <c r="B14" s="56" t="s">
        <v>139</v>
      </c>
      <c r="C14" s="56" t="s">
        <v>138</v>
      </c>
      <c r="D14" s="56" t="s">
        <v>137</v>
      </c>
      <c r="E14" s="56" t="s">
        <v>136</v>
      </c>
      <c r="F14" s="56" t="s">
        <v>135</v>
      </c>
      <c r="G14" s="56" t="s">
        <v>134</v>
      </c>
      <c r="H14" s="56" t="s">
        <v>133</v>
      </c>
      <c r="I14" s="56" t="s">
        <v>132</v>
      </c>
      <c r="J14" s="56" t="s">
        <v>139</v>
      </c>
      <c r="K14" s="56" t="s">
        <v>138</v>
      </c>
      <c r="L14" s="56" t="s">
        <v>137</v>
      </c>
      <c r="M14" s="56" t="s">
        <v>136</v>
      </c>
      <c r="N14" s="56" t="s">
        <v>135</v>
      </c>
      <c r="O14" s="56" t="s">
        <v>134</v>
      </c>
      <c r="P14" s="56" t="s">
        <v>133</v>
      </c>
      <c r="Q14" s="56" t="s">
        <v>132</v>
      </c>
      <c r="R14" s="56" t="s">
        <v>139</v>
      </c>
      <c r="S14" s="56" t="s">
        <v>138</v>
      </c>
      <c r="T14" s="56" t="s">
        <v>137</v>
      </c>
      <c r="U14" s="56" t="s">
        <v>136</v>
      </c>
      <c r="V14" s="56" t="s">
        <v>135</v>
      </c>
      <c r="W14" s="56" t="s">
        <v>134</v>
      </c>
      <c r="X14" s="56" t="s">
        <v>133</v>
      </c>
      <c r="Y14" s="56" t="s">
        <v>132</v>
      </c>
      <c r="Z14" s="56" t="s">
        <v>139</v>
      </c>
      <c r="AA14" s="56" t="s">
        <v>138</v>
      </c>
      <c r="AB14" s="56" t="s">
        <v>137</v>
      </c>
      <c r="AC14" s="56" t="s">
        <v>136</v>
      </c>
      <c r="AD14" s="56" t="s">
        <v>135</v>
      </c>
      <c r="AE14" s="56" t="s">
        <v>134</v>
      </c>
      <c r="AF14" s="56" t="s">
        <v>133</v>
      </c>
      <c r="AG14" s="56" t="s">
        <v>132</v>
      </c>
      <c r="AH14" s="56" t="s">
        <v>139</v>
      </c>
      <c r="AI14" s="56" t="s">
        <v>138</v>
      </c>
      <c r="AJ14" s="56" t="s">
        <v>137</v>
      </c>
      <c r="AK14" s="56" t="s">
        <v>136</v>
      </c>
      <c r="AL14" s="56" t="s">
        <v>135</v>
      </c>
      <c r="AM14" s="56" t="s">
        <v>134</v>
      </c>
      <c r="AN14" s="56" t="s">
        <v>133</v>
      </c>
      <c r="AO14" s="56" t="s">
        <v>132</v>
      </c>
      <c r="AP14" s="56" t="s">
        <v>139</v>
      </c>
      <c r="AQ14" s="56" t="s">
        <v>138</v>
      </c>
      <c r="AR14" s="56" t="s">
        <v>137</v>
      </c>
      <c r="AS14" s="56" t="s">
        <v>136</v>
      </c>
      <c r="AT14" s="56" t="s">
        <v>135</v>
      </c>
      <c r="AU14" s="56" t="s">
        <v>134</v>
      </c>
      <c r="AV14" s="56" t="s">
        <v>133</v>
      </c>
      <c r="AW14" s="56" t="s">
        <v>132</v>
      </c>
      <c r="AX14" s="56" t="s">
        <v>139</v>
      </c>
      <c r="AY14" s="56" t="s">
        <v>138</v>
      </c>
      <c r="AZ14" s="56" t="s">
        <v>137</v>
      </c>
      <c r="BA14" s="56" t="s">
        <v>136</v>
      </c>
      <c r="BB14" s="56" t="s">
        <v>135</v>
      </c>
      <c r="BC14" s="56" t="s">
        <v>134</v>
      </c>
      <c r="BD14" s="56" t="s">
        <v>133</v>
      </c>
      <c r="BE14" s="56" t="s">
        <v>132</v>
      </c>
      <c r="BF14" s="56" t="s">
        <v>139</v>
      </c>
      <c r="BG14" s="56" t="s">
        <v>138</v>
      </c>
      <c r="BH14" s="56" t="s">
        <v>137</v>
      </c>
      <c r="BI14" s="56" t="s">
        <v>136</v>
      </c>
      <c r="BJ14" s="56" t="s">
        <v>135</v>
      </c>
      <c r="BK14" s="56" t="s">
        <v>134</v>
      </c>
      <c r="BL14" s="56" t="s">
        <v>133</v>
      </c>
      <c r="BM14" s="56" t="s">
        <v>132</v>
      </c>
    </row>
    <row r="15" spans="1:65" ht="15" customHeight="1" x14ac:dyDescent="0.2">
      <c r="A15" s="55" t="s">
        <v>131</v>
      </c>
      <c r="B15" s="55" t="s">
        <v>109</v>
      </c>
      <c r="C15" s="55" t="s">
        <v>109</v>
      </c>
      <c r="D15" s="55" t="s">
        <v>109</v>
      </c>
      <c r="E15" s="55" t="s">
        <v>109</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95</v>
      </c>
      <c r="AL15" s="55" t="s">
        <v>109</v>
      </c>
      <c r="AM15" s="55">
        <v>5</v>
      </c>
      <c r="AN15" s="55" t="s">
        <v>109</v>
      </c>
      <c r="AO15" s="55" t="s">
        <v>109</v>
      </c>
      <c r="AP15" s="55" t="s">
        <v>109</v>
      </c>
      <c r="AQ15" s="55" t="s">
        <v>109</v>
      </c>
      <c r="AR15" s="55" t="s">
        <v>109</v>
      </c>
      <c r="AS15" s="55" t="s">
        <v>109</v>
      </c>
      <c r="AT15" s="55" t="s">
        <v>109</v>
      </c>
      <c r="AU15" s="55" t="s">
        <v>109</v>
      </c>
      <c r="AV15" s="55" t="s">
        <v>109</v>
      </c>
      <c r="AW15" s="55" t="s">
        <v>109</v>
      </c>
      <c r="AX15" s="55" t="s">
        <v>109</v>
      </c>
      <c r="AY15" s="55">
        <v>9</v>
      </c>
      <c r="AZ15" s="55" t="s">
        <v>109</v>
      </c>
      <c r="BA15" s="55">
        <v>29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130</v>
      </c>
      <c r="B16" s="55" t="s">
        <v>109</v>
      </c>
      <c r="C16" s="55" t="s">
        <v>109</v>
      </c>
      <c r="D16" s="55" t="s">
        <v>109</v>
      </c>
      <c r="E16" s="55" t="s">
        <v>109</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107</v>
      </c>
      <c r="AL16" s="55" t="s">
        <v>109</v>
      </c>
      <c r="AM16" s="55">
        <v>1</v>
      </c>
      <c r="AN16" s="55" t="s">
        <v>109</v>
      </c>
      <c r="AO16" s="55" t="s">
        <v>109</v>
      </c>
      <c r="AP16" s="55" t="s">
        <v>109</v>
      </c>
      <c r="AQ16" s="55" t="s">
        <v>109</v>
      </c>
      <c r="AR16" s="55" t="s">
        <v>109</v>
      </c>
      <c r="AS16" s="55" t="s">
        <v>109</v>
      </c>
      <c r="AT16" s="55" t="s">
        <v>109</v>
      </c>
      <c r="AU16" s="55" t="s">
        <v>109</v>
      </c>
      <c r="AV16" s="55" t="s">
        <v>109</v>
      </c>
      <c r="AW16" s="55" t="s">
        <v>109</v>
      </c>
      <c r="AX16" s="55" t="s">
        <v>109</v>
      </c>
      <c r="AY16" s="55">
        <v>12</v>
      </c>
      <c r="AZ16" s="55" t="s">
        <v>109</v>
      </c>
      <c r="BA16" s="55">
        <v>43</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129</v>
      </c>
      <c r="B17" s="55" t="s">
        <v>109</v>
      </c>
      <c r="C17" s="55" t="s">
        <v>109</v>
      </c>
      <c r="D17" s="55" t="s">
        <v>109</v>
      </c>
      <c r="E17" s="55" t="s">
        <v>109</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103</v>
      </c>
      <c r="AL17" s="55" t="s">
        <v>109</v>
      </c>
      <c r="AM17" s="55">
        <v>1</v>
      </c>
      <c r="AN17" s="55" t="s">
        <v>109</v>
      </c>
      <c r="AO17" s="55" t="s">
        <v>109</v>
      </c>
      <c r="AP17" s="55" t="s">
        <v>109</v>
      </c>
      <c r="AQ17" s="55" t="s">
        <v>109</v>
      </c>
      <c r="AR17" s="55" t="s">
        <v>109</v>
      </c>
      <c r="AS17" s="55" t="s">
        <v>109</v>
      </c>
      <c r="AT17" s="55" t="s">
        <v>109</v>
      </c>
      <c r="AU17" s="55" t="s">
        <v>109</v>
      </c>
      <c r="AV17" s="55" t="s">
        <v>109</v>
      </c>
      <c r="AW17" s="55" t="s">
        <v>109</v>
      </c>
      <c r="AX17" s="55" t="s">
        <v>109</v>
      </c>
      <c r="AY17" s="55">
        <v>6</v>
      </c>
      <c r="AZ17" s="55" t="s">
        <v>109</v>
      </c>
      <c r="BA17" s="55">
        <v>21</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128</v>
      </c>
      <c r="B18" s="55" t="s">
        <v>109</v>
      </c>
      <c r="C18" s="55" t="s">
        <v>109</v>
      </c>
      <c r="D18" s="55" t="s">
        <v>109</v>
      </c>
      <c r="E18" s="55" t="s">
        <v>109</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136</v>
      </c>
      <c r="AL18" s="55" t="s">
        <v>109</v>
      </c>
      <c r="AM18" s="55">
        <v>3</v>
      </c>
      <c r="AN18" s="55" t="s">
        <v>109</v>
      </c>
      <c r="AO18" s="55" t="s">
        <v>109</v>
      </c>
      <c r="AP18" s="55" t="s">
        <v>109</v>
      </c>
      <c r="AQ18" s="55" t="s">
        <v>109</v>
      </c>
      <c r="AR18" s="55" t="s">
        <v>109</v>
      </c>
      <c r="AS18" s="55" t="s">
        <v>109</v>
      </c>
      <c r="AT18" s="55" t="s">
        <v>109</v>
      </c>
      <c r="AU18" s="55" t="s">
        <v>109</v>
      </c>
      <c r="AV18" s="55" t="s">
        <v>109</v>
      </c>
      <c r="AW18" s="55" t="s">
        <v>109</v>
      </c>
      <c r="AX18" s="55" t="s">
        <v>109</v>
      </c>
      <c r="AY18" s="55">
        <v>10</v>
      </c>
      <c r="AZ18" s="55" t="s">
        <v>109</v>
      </c>
      <c r="BA18" s="55">
        <v>48</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127</v>
      </c>
      <c r="B19" s="55" t="s">
        <v>109</v>
      </c>
      <c r="C19" s="55" t="s">
        <v>109</v>
      </c>
      <c r="D19" s="55" t="s">
        <v>109</v>
      </c>
      <c r="E19" s="55" t="s">
        <v>109</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129</v>
      </c>
      <c r="AL19" s="55" t="s">
        <v>109</v>
      </c>
      <c r="AM19" s="55">
        <v>4</v>
      </c>
      <c r="AN19" s="55" t="s">
        <v>109</v>
      </c>
      <c r="AO19" s="55" t="s">
        <v>109</v>
      </c>
      <c r="AP19" s="55" t="s">
        <v>109</v>
      </c>
      <c r="AQ19" s="55" t="s">
        <v>109</v>
      </c>
      <c r="AR19" s="55" t="s">
        <v>109</v>
      </c>
      <c r="AS19" s="55" t="s">
        <v>109</v>
      </c>
      <c r="AT19" s="55" t="s">
        <v>109</v>
      </c>
      <c r="AU19" s="55" t="s">
        <v>109</v>
      </c>
      <c r="AV19" s="55" t="s">
        <v>109</v>
      </c>
      <c r="AW19" s="55" t="s">
        <v>109</v>
      </c>
      <c r="AX19" s="55" t="s">
        <v>109</v>
      </c>
      <c r="AY19" s="55">
        <v>11</v>
      </c>
      <c r="AZ19" s="55" t="s">
        <v>109</v>
      </c>
      <c r="BA19" s="55">
        <v>49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126</v>
      </c>
      <c r="B20" s="55" t="s">
        <v>109</v>
      </c>
      <c r="C20" s="55" t="s">
        <v>109</v>
      </c>
      <c r="D20" s="55" t="s">
        <v>109</v>
      </c>
      <c r="E20" s="55" t="s">
        <v>109</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125</v>
      </c>
      <c r="AL20" s="55" t="s">
        <v>109</v>
      </c>
      <c r="AM20" s="55">
        <v>8</v>
      </c>
      <c r="AN20" s="55" t="s">
        <v>109</v>
      </c>
      <c r="AO20" s="55" t="s">
        <v>109</v>
      </c>
      <c r="AP20" s="55" t="s">
        <v>109</v>
      </c>
      <c r="AQ20" s="55" t="s">
        <v>109</v>
      </c>
      <c r="AR20" s="55" t="s">
        <v>109</v>
      </c>
      <c r="AS20" s="55" t="s">
        <v>109</v>
      </c>
      <c r="AT20" s="55" t="s">
        <v>109</v>
      </c>
      <c r="AU20" s="55" t="s">
        <v>109</v>
      </c>
      <c r="AV20" s="55" t="s">
        <v>109</v>
      </c>
      <c r="AW20" s="55" t="s">
        <v>109</v>
      </c>
      <c r="AX20" s="55" t="s">
        <v>109</v>
      </c>
      <c r="AY20" s="55">
        <v>19</v>
      </c>
      <c r="AZ20" s="55" t="s">
        <v>109</v>
      </c>
      <c r="BA20" s="55">
        <v>70</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125</v>
      </c>
      <c r="B21" s="55" t="s">
        <v>109</v>
      </c>
      <c r="C21" s="55" t="s">
        <v>109</v>
      </c>
      <c r="D21" s="55" t="s">
        <v>109</v>
      </c>
      <c r="E21" s="55" t="s">
        <v>109</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149</v>
      </c>
      <c r="AL21" s="55" t="s">
        <v>109</v>
      </c>
      <c r="AM21" s="55">
        <v>1</v>
      </c>
      <c r="AN21" s="55" t="s">
        <v>109</v>
      </c>
      <c r="AO21" s="55" t="s">
        <v>109</v>
      </c>
      <c r="AP21" s="55" t="s">
        <v>109</v>
      </c>
      <c r="AQ21" s="55" t="s">
        <v>109</v>
      </c>
      <c r="AR21" s="55" t="s">
        <v>109</v>
      </c>
      <c r="AS21" s="55" t="s">
        <v>109</v>
      </c>
      <c r="AT21" s="55" t="s">
        <v>109</v>
      </c>
      <c r="AU21" s="55" t="s">
        <v>109</v>
      </c>
      <c r="AV21" s="55" t="s">
        <v>109</v>
      </c>
      <c r="AW21" s="55" t="s">
        <v>109</v>
      </c>
      <c r="AX21" s="55" t="s">
        <v>109</v>
      </c>
      <c r="AY21" s="55">
        <v>13</v>
      </c>
      <c r="AZ21" s="55" t="s">
        <v>109</v>
      </c>
      <c r="BA21" s="55">
        <v>58</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124</v>
      </c>
      <c r="B22" s="55" t="s">
        <v>109</v>
      </c>
      <c r="C22" s="55" t="s">
        <v>109</v>
      </c>
      <c r="D22" s="55" t="s">
        <v>109</v>
      </c>
      <c r="E22" s="55" t="s">
        <v>109</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129</v>
      </c>
      <c r="AL22" s="55" t="s">
        <v>109</v>
      </c>
      <c r="AM22" s="55">
        <v>7</v>
      </c>
      <c r="AN22" s="55" t="s">
        <v>109</v>
      </c>
      <c r="AO22" s="55" t="s">
        <v>109</v>
      </c>
      <c r="AP22" s="55" t="s">
        <v>109</v>
      </c>
      <c r="AQ22" s="55" t="s">
        <v>109</v>
      </c>
      <c r="AR22" s="55" t="s">
        <v>109</v>
      </c>
      <c r="AS22" s="55" t="s">
        <v>109</v>
      </c>
      <c r="AT22" s="55" t="s">
        <v>109</v>
      </c>
      <c r="AU22" s="55" t="s">
        <v>109</v>
      </c>
      <c r="AV22" s="55" t="s">
        <v>109</v>
      </c>
      <c r="AW22" s="55" t="s">
        <v>109</v>
      </c>
      <c r="AX22" s="55" t="s">
        <v>109</v>
      </c>
      <c r="AY22" s="55">
        <v>12</v>
      </c>
      <c r="AZ22" s="55" t="s">
        <v>109</v>
      </c>
      <c r="BA22" s="55">
        <v>56</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123</v>
      </c>
      <c r="B23" s="55" t="s">
        <v>109</v>
      </c>
      <c r="C23" s="55" t="s">
        <v>109</v>
      </c>
      <c r="D23" s="55" t="s">
        <v>109</v>
      </c>
      <c r="E23" s="55" t="s">
        <v>109</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1</v>
      </c>
      <c r="AL23" s="55" t="s">
        <v>109</v>
      </c>
      <c r="AM23" s="55">
        <v>0</v>
      </c>
      <c r="AN23" s="55" t="s">
        <v>109</v>
      </c>
      <c r="AO23" s="55" t="s">
        <v>109</v>
      </c>
      <c r="AP23" s="55" t="s">
        <v>109</v>
      </c>
      <c r="AQ23" s="55" t="s">
        <v>109</v>
      </c>
      <c r="AR23" s="55" t="s">
        <v>109</v>
      </c>
      <c r="AS23" s="55" t="s">
        <v>109</v>
      </c>
      <c r="AT23" s="55" t="s">
        <v>109</v>
      </c>
      <c r="AU23" s="55" t="s">
        <v>109</v>
      </c>
      <c r="AV23" s="55" t="s">
        <v>109</v>
      </c>
      <c r="AW23" s="55" t="s">
        <v>109</v>
      </c>
      <c r="AX23" s="55" t="s">
        <v>109</v>
      </c>
      <c r="AY23" s="55">
        <v>0</v>
      </c>
      <c r="AZ23" s="55" t="s">
        <v>109</v>
      </c>
      <c r="BA23" s="55">
        <v>0</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122</v>
      </c>
      <c r="B24" s="55" t="s">
        <v>109</v>
      </c>
      <c r="C24" s="55" t="s">
        <v>109</v>
      </c>
      <c r="D24" s="55" t="s">
        <v>109</v>
      </c>
      <c r="E24" s="55" t="s">
        <v>109</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138</v>
      </c>
      <c r="AL24" s="55" t="s">
        <v>109</v>
      </c>
      <c r="AM24" s="55">
        <v>8</v>
      </c>
      <c r="AN24" s="55" t="s">
        <v>109</v>
      </c>
      <c r="AO24" s="55" t="s">
        <v>109</v>
      </c>
      <c r="AP24" s="55" t="s">
        <v>109</v>
      </c>
      <c r="AQ24" s="55" t="s">
        <v>109</v>
      </c>
      <c r="AR24" s="55" t="s">
        <v>109</v>
      </c>
      <c r="AS24" s="55" t="s">
        <v>109</v>
      </c>
      <c r="AT24" s="55" t="s">
        <v>109</v>
      </c>
      <c r="AU24" s="55" t="s">
        <v>109</v>
      </c>
      <c r="AV24" s="55" t="s">
        <v>109</v>
      </c>
      <c r="AW24" s="55" t="s">
        <v>109</v>
      </c>
      <c r="AX24" s="55" t="s">
        <v>109</v>
      </c>
      <c r="AY24" s="55">
        <v>14</v>
      </c>
      <c r="AZ24" s="55" t="s">
        <v>109</v>
      </c>
      <c r="BA24" s="55">
        <v>52</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121</v>
      </c>
      <c r="B25" s="55" t="s">
        <v>109</v>
      </c>
      <c r="C25" s="55" t="s">
        <v>109</v>
      </c>
      <c r="D25" s="55" t="s">
        <v>109</v>
      </c>
      <c r="E25" s="55" t="s">
        <v>109</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120</v>
      </c>
      <c r="AL25" s="55" t="s">
        <v>109</v>
      </c>
      <c r="AM25" s="55">
        <v>5</v>
      </c>
      <c r="AN25" s="55" t="s">
        <v>109</v>
      </c>
      <c r="AO25" s="55" t="s">
        <v>109</v>
      </c>
      <c r="AP25" s="55" t="s">
        <v>109</v>
      </c>
      <c r="AQ25" s="55" t="s">
        <v>109</v>
      </c>
      <c r="AR25" s="55" t="s">
        <v>109</v>
      </c>
      <c r="AS25" s="55" t="s">
        <v>109</v>
      </c>
      <c r="AT25" s="55" t="s">
        <v>109</v>
      </c>
      <c r="AU25" s="55" t="s">
        <v>109</v>
      </c>
      <c r="AV25" s="55" t="s">
        <v>109</v>
      </c>
      <c r="AW25" s="55" t="s">
        <v>109</v>
      </c>
      <c r="AX25" s="55" t="s">
        <v>109</v>
      </c>
      <c r="AY25" s="55">
        <v>16</v>
      </c>
      <c r="AZ25" s="55" t="s">
        <v>109</v>
      </c>
      <c r="BA25" s="55">
        <v>50</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120</v>
      </c>
      <c r="B26" s="55" t="s">
        <v>109</v>
      </c>
      <c r="C26" s="55" t="s">
        <v>109</v>
      </c>
      <c r="D26" s="55" t="s">
        <v>109</v>
      </c>
      <c r="E26" s="55" t="s">
        <v>109</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146</v>
      </c>
      <c r="AL26" s="55" t="s">
        <v>109</v>
      </c>
      <c r="AM26" s="55">
        <v>11</v>
      </c>
      <c r="AN26" s="55" t="s">
        <v>109</v>
      </c>
      <c r="AO26" s="55" t="s">
        <v>109</v>
      </c>
      <c r="AP26" s="55" t="s">
        <v>109</v>
      </c>
      <c r="AQ26" s="55" t="s">
        <v>109</v>
      </c>
      <c r="AR26" s="55" t="s">
        <v>109</v>
      </c>
      <c r="AS26" s="55" t="s">
        <v>109</v>
      </c>
      <c r="AT26" s="55" t="s">
        <v>109</v>
      </c>
      <c r="AU26" s="55" t="s">
        <v>109</v>
      </c>
      <c r="AV26" s="55" t="s">
        <v>109</v>
      </c>
      <c r="AW26" s="55" t="s">
        <v>109</v>
      </c>
      <c r="AX26" s="55" t="s">
        <v>109</v>
      </c>
      <c r="AY26" s="55">
        <v>18</v>
      </c>
      <c r="AZ26" s="55" t="s">
        <v>109</v>
      </c>
      <c r="BA26" s="55">
        <v>35</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119</v>
      </c>
      <c r="B27" s="55" t="s">
        <v>109</v>
      </c>
      <c r="C27" s="55" t="s">
        <v>109</v>
      </c>
      <c r="D27" s="55" t="s">
        <v>109</v>
      </c>
      <c r="E27" s="55" t="s">
        <v>109</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137</v>
      </c>
      <c r="AL27" s="55" t="s">
        <v>109</v>
      </c>
      <c r="AM27" s="55">
        <v>5</v>
      </c>
      <c r="AN27" s="55" t="s">
        <v>109</v>
      </c>
      <c r="AO27" s="55" t="s">
        <v>109</v>
      </c>
      <c r="AP27" s="55" t="s">
        <v>109</v>
      </c>
      <c r="AQ27" s="55" t="s">
        <v>109</v>
      </c>
      <c r="AR27" s="55" t="s">
        <v>109</v>
      </c>
      <c r="AS27" s="55" t="s">
        <v>109</v>
      </c>
      <c r="AT27" s="55" t="s">
        <v>109</v>
      </c>
      <c r="AU27" s="55" t="s">
        <v>109</v>
      </c>
      <c r="AV27" s="55" t="s">
        <v>109</v>
      </c>
      <c r="AW27" s="55" t="s">
        <v>109</v>
      </c>
      <c r="AX27" s="55" t="s">
        <v>109</v>
      </c>
      <c r="AY27" s="55">
        <v>17</v>
      </c>
      <c r="AZ27" s="55" t="s">
        <v>109</v>
      </c>
      <c r="BA27" s="55">
        <v>58</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118</v>
      </c>
      <c r="B28" s="55" t="s">
        <v>109</v>
      </c>
      <c r="C28" s="55" t="s">
        <v>109</v>
      </c>
      <c r="D28" s="55" t="s">
        <v>109</v>
      </c>
      <c r="E28" s="55" t="s">
        <v>109</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t="s">
        <v>109</v>
      </c>
      <c r="AM28" s="55">
        <v>0</v>
      </c>
      <c r="AN28" s="55" t="s">
        <v>109</v>
      </c>
      <c r="AO28" s="55" t="s">
        <v>109</v>
      </c>
      <c r="AP28" s="55" t="s">
        <v>109</v>
      </c>
      <c r="AQ28" s="55" t="s">
        <v>109</v>
      </c>
      <c r="AR28" s="55" t="s">
        <v>109</v>
      </c>
      <c r="AS28" s="55" t="s">
        <v>109</v>
      </c>
      <c r="AT28" s="55" t="s">
        <v>109</v>
      </c>
      <c r="AU28" s="55" t="s">
        <v>109</v>
      </c>
      <c r="AV28" s="55" t="s">
        <v>109</v>
      </c>
      <c r="AW28" s="55" t="s">
        <v>109</v>
      </c>
      <c r="AX28" s="55" t="s">
        <v>109</v>
      </c>
      <c r="AY28" s="55">
        <v>0</v>
      </c>
      <c r="AZ28" s="55" t="s">
        <v>109</v>
      </c>
      <c r="BA28" s="55">
        <v>0</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117</v>
      </c>
      <c r="B29" s="55" t="s">
        <v>109</v>
      </c>
      <c r="C29" s="55" t="s">
        <v>109</v>
      </c>
      <c r="D29" s="55" t="s">
        <v>109</v>
      </c>
      <c r="E29" s="55" t="s">
        <v>109</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230</v>
      </c>
      <c r="AL29" s="55" t="s">
        <v>109</v>
      </c>
      <c r="AM29" s="55">
        <v>9</v>
      </c>
      <c r="AN29" s="55" t="s">
        <v>109</v>
      </c>
      <c r="AO29" s="55" t="s">
        <v>109</v>
      </c>
      <c r="AP29" s="55" t="s">
        <v>109</v>
      </c>
      <c r="AQ29" s="55" t="s">
        <v>109</v>
      </c>
      <c r="AR29" s="55" t="s">
        <v>109</v>
      </c>
      <c r="AS29" s="55" t="s">
        <v>109</v>
      </c>
      <c r="AT29" s="55" t="s">
        <v>109</v>
      </c>
      <c r="AU29" s="55" t="s">
        <v>109</v>
      </c>
      <c r="AV29" s="55" t="s">
        <v>109</v>
      </c>
      <c r="AW29" s="55" t="s">
        <v>109</v>
      </c>
      <c r="AX29" s="55" t="s">
        <v>109</v>
      </c>
      <c r="AY29" s="55">
        <v>25</v>
      </c>
      <c r="AZ29" s="55" t="s">
        <v>109</v>
      </c>
      <c r="BA29" s="55">
        <v>65</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116</v>
      </c>
      <c r="B30" s="55" t="s">
        <v>109</v>
      </c>
      <c r="C30" s="55" t="s">
        <v>109</v>
      </c>
      <c r="D30" s="55" t="s">
        <v>109</v>
      </c>
      <c r="E30" s="55" t="s">
        <v>109</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229</v>
      </c>
      <c r="AL30" s="55" t="s">
        <v>109</v>
      </c>
      <c r="AM30" s="55">
        <v>8</v>
      </c>
      <c r="AN30" s="55" t="s">
        <v>109</v>
      </c>
      <c r="AO30" s="55" t="s">
        <v>109</v>
      </c>
      <c r="AP30" s="55" t="s">
        <v>109</v>
      </c>
      <c r="AQ30" s="55" t="s">
        <v>109</v>
      </c>
      <c r="AR30" s="55" t="s">
        <v>109</v>
      </c>
      <c r="AS30" s="55" t="s">
        <v>109</v>
      </c>
      <c r="AT30" s="55" t="s">
        <v>109</v>
      </c>
      <c r="AU30" s="55" t="s">
        <v>109</v>
      </c>
      <c r="AV30" s="55" t="s">
        <v>109</v>
      </c>
      <c r="AW30" s="55" t="s">
        <v>109</v>
      </c>
      <c r="AX30" s="55" t="s">
        <v>109</v>
      </c>
      <c r="AY30" s="55">
        <v>26</v>
      </c>
      <c r="AZ30" s="55" t="s">
        <v>109</v>
      </c>
      <c r="BA30" s="55">
        <v>83</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115</v>
      </c>
      <c r="B31" s="55" t="s">
        <v>109</v>
      </c>
      <c r="C31" s="55" t="s">
        <v>109</v>
      </c>
      <c r="D31" s="55" t="s">
        <v>109</v>
      </c>
      <c r="E31" s="55" t="s">
        <v>109</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278</v>
      </c>
      <c r="AL31" s="55" t="s">
        <v>109</v>
      </c>
      <c r="AM31" s="55">
        <v>15</v>
      </c>
      <c r="AN31" s="55" t="s">
        <v>109</v>
      </c>
      <c r="AO31" s="55" t="s">
        <v>109</v>
      </c>
      <c r="AP31" s="55" t="s">
        <v>109</v>
      </c>
      <c r="AQ31" s="55" t="s">
        <v>109</v>
      </c>
      <c r="AR31" s="55" t="s">
        <v>109</v>
      </c>
      <c r="AS31" s="55" t="s">
        <v>109</v>
      </c>
      <c r="AT31" s="55" t="s">
        <v>109</v>
      </c>
      <c r="AU31" s="55" t="s">
        <v>109</v>
      </c>
      <c r="AV31" s="55" t="s">
        <v>109</v>
      </c>
      <c r="AW31" s="55" t="s">
        <v>109</v>
      </c>
      <c r="AX31" s="55" t="s">
        <v>109</v>
      </c>
      <c r="AY31" s="55">
        <v>22</v>
      </c>
      <c r="AZ31" s="55" t="s">
        <v>109</v>
      </c>
      <c r="BA31" s="55">
        <v>84</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114</v>
      </c>
      <c r="B32" s="55" t="s">
        <v>109</v>
      </c>
      <c r="C32" s="55" t="s">
        <v>109</v>
      </c>
      <c r="D32" s="55" t="s">
        <v>109</v>
      </c>
      <c r="E32" s="55" t="s">
        <v>109</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239</v>
      </c>
      <c r="AL32" s="55" t="s">
        <v>109</v>
      </c>
      <c r="AM32" s="55">
        <v>6</v>
      </c>
      <c r="AN32" s="55" t="s">
        <v>109</v>
      </c>
      <c r="AO32" s="55" t="s">
        <v>109</v>
      </c>
      <c r="AP32" s="55" t="s">
        <v>109</v>
      </c>
      <c r="AQ32" s="55" t="s">
        <v>109</v>
      </c>
      <c r="AR32" s="55" t="s">
        <v>109</v>
      </c>
      <c r="AS32" s="55" t="s">
        <v>109</v>
      </c>
      <c r="AT32" s="55" t="s">
        <v>109</v>
      </c>
      <c r="AU32" s="55" t="s">
        <v>109</v>
      </c>
      <c r="AV32" s="55" t="s">
        <v>109</v>
      </c>
      <c r="AW32" s="55" t="s">
        <v>109</v>
      </c>
      <c r="AX32" s="55" t="s">
        <v>109</v>
      </c>
      <c r="AY32" s="55">
        <v>33</v>
      </c>
      <c r="AZ32" s="55" t="s">
        <v>109</v>
      </c>
      <c r="BA32" s="55">
        <v>95</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113</v>
      </c>
      <c r="B33" s="55" t="s">
        <v>109</v>
      </c>
      <c r="C33" s="55" t="s">
        <v>109</v>
      </c>
      <c r="D33" s="55" t="s">
        <v>109</v>
      </c>
      <c r="E33" s="55" t="s">
        <v>109</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278</v>
      </c>
      <c r="AL33" s="55" t="s">
        <v>109</v>
      </c>
      <c r="AM33" s="55">
        <v>11</v>
      </c>
      <c r="AN33" s="55" t="s">
        <v>109</v>
      </c>
      <c r="AO33" s="55" t="s">
        <v>109</v>
      </c>
      <c r="AP33" s="55" t="s">
        <v>109</v>
      </c>
      <c r="AQ33" s="55" t="s">
        <v>109</v>
      </c>
      <c r="AR33" s="55" t="s">
        <v>109</v>
      </c>
      <c r="AS33" s="55" t="s">
        <v>109</v>
      </c>
      <c r="AT33" s="55" t="s">
        <v>109</v>
      </c>
      <c r="AU33" s="55" t="s">
        <v>109</v>
      </c>
      <c r="AV33" s="55" t="s">
        <v>109</v>
      </c>
      <c r="AW33" s="55" t="s">
        <v>109</v>
      </c>
      <c r="AX33" s="55" t="s">
        <v>109</v>
      </c>
      <c r="AY33" s="55">
        <v>41</v>
      </c>
      <c r="AZ33" s="55" t="s">
        <v>109</v>
      </c>
      <c r="BA33" s="55">
        <v>73</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112</v>
      </c>
      <c r="B34" s="55" t="s">
        <v>109</v>
      </c>
      <c r="C34" s="55" t="s">
        <v>109</v>
      </c>
      <c r="D34" s="55" t="s">
        <v>109</v>
      </c>
      <c r="E34" s="55" t="s">
        <v>109</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286</v>
      </c>
      <c r="AL34" s="55" t="s">
        <v>109</v>
      </c>
      <c r="AM34" s="55">
        <v>7</v>
      </c>
      <c r="AN34" s="55" t="s">
        <v>109</v>
      </c>
      <c r="AO34" s="55" t="s">
        <v>109</v>
      </c>
      <c r="AP34" s="55" t="s">
        <v>109</v>
      </c>
      <c r="AQ34" s="55" t="s">
        <v>109</v>
      </c>
      <c r="AR34" s="55" t="s">
        <v>109</v>
      </c>
      <c r="AS34" s="55" t="s">
        <v>109</v>
      </c>
      <c r="AT34" s="55" t="s">
        <v>109</v>
      </c>
      <c r="AU34" s="55" t="s">
        <v>109</v>
      </c>
      <c r="AV34" s="55" t="s">
        <v>109</v>
      </c>
      <c r="AW34" s="55" t="s">
        <v>109</v>
      </c>
      <c r="AX34" s="55" t="s">
        <v>109</v>
      </c>
      <c r="AY34" s="55">
        <v>35</v>
      </c>
      <c r="AZ34" s="55" t="s">
        <v>109</v>
      </c>
      <c r="BA34" s="55">
        <v>91</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111</v>
      </c>
      <c r="B35" s="55" t="s">
        <v>109</v>
      </c>
      <c r="C35" s="55" t="s">
        <v>109</v>
      </c>
      <c r="D35" s="55" t="s">
        <v>109</v>
      </c>
      <c r="E35" s="55" t="s">
        <v>109</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227</v>
      </c>
      <c r="AL35" s="55" t="s">
        <v>109</v>
      </c>
      <c r="AM35" s="55">
        <v>8</v>
      </c>
      <c r="AN35" s="55" t="s">
        <v>109</v>
      </c>
      <c r="AO35" s="55" t="s">
        <v>109</v>
      </c>
      <c r="AP35" s="55" t="s">
        <v>109</v>
      </c>
      <c r="AQ35" s="55" t="s">
        <v>109</v>
      </c>
      <c r="AR35" s="55" t="s">
        <v>109</v>
      </c>
      <c r="AS35" s="55" t="s">
        <v>109</v>
      </c>
      <c r="AT35" s="55" t="s">
        <v>109</v>
      </c>
      <c r="AU35" s="55" t="s">
        <v>109</v>
      </c>
      <c r="AV35" s="55" t="s">
        <v>109</v>
      </c>
      <c r="AW35" s="55" t="s">
        <v>109</v>
      </c>
      <c r="AX35" s="55" t="s">
        <v>109</v>
      </c>
      <c r="AY35" s="55">
        <v>30</v>
      </c>
      <c r="AZ35" s="55" t="s">
        <v>109</v>
      </c>
      <c r="BA35" s="55">
        <v>76</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110</v>
      </c>
      <c r="B36" s="55" t="s">
        <v>109</v>
      </c>
      <c r="C36" s="55" t="s">
        <v>109</v>
      </c>
      <c r="D36" s="55" t="s">
        <v>109</v>
      </c>
      <c r="E36" s="55" t="s">
        <v>109</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189</v>
      </c>
      <c r="AL36" s="55" t="s">
        <v>109</v>
      </c>
      <c r="AM36" s="55">
        <v>10</v>
      </c>
      <c r="AN36" s="55" t="s">
        <v>109</v>
      </c>
      <c r="AO36" s="55" t="s">
        <v>109</v>
      </c>
      <c r="AP36" s="55" t="s">
        <v>109</v>
      </c>
      <c r="AQ36" s="55" t="s">
        <v>109</v>
      </c>
      <c r="AR36" s="55" t="s">
        <v>109</v>
      </c>
      <c r="AS36" s="55" t="s">
        <v>109</v>
      </c>
      <c r="AT36" s="55" t="s">
        <v>109</v>
      </c>
      <c r="AU36" s="55" t="s">
        <v>109</v>
      </c>
      <c r="AV36" s="55" t="s">
        <v>109</v>
      </c>
      <c r="AW36" s="55" t="s">
        <v>109</v>
      </c>
      <c r="AX36" s="55" t="s">
        <v>109</v>
      </c>
      <c r="AY36" s="55">
        <v>17</v>
      </c>
      <c r="AZ36" s="55" t="s">
        <v>109</v>
      </c>
      <c r="BA36" s="55">
        <v>58</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A3D30-B9DF-4F04-B37E-2F7CE484870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150</v>
      </c>
      <c r="C12" s="61"/>
      <c r="D12" s="61"/>
      <c r="E12" s="61"/>
      <c r="F12" s="61"/>
      <c r="G12" s="61"/>
      <c r="H12" s="61"/>
      <c r="I12" s="60"/>
      <c r="J12" s="62" t="s">
        <v>148</v>
      </c>
      <c r="K12" s="61"/>
      <c r="L12" s="61"/>
      <c r="M12" s="61"/>
      <c r="N12" s="61"/>
      <c r="O12" s="61"/>
      <c r="P12" s="61"/>
      <c r="Q12" s="60"/>
      <c r="R12" s="62" t="s">
        <v>151</v>
      </c>
      <c r="S12" s="61"/>
      <c r="T12" s="61"/>
      <c r="U12" s="61"/>
      <c r="V12" s="61"/>
      <c r="W12" s="61"/>
      <c r="X12" s="61"/>
      <c r="Y12" s="60"/>
      <c r="Z12" s="62" t="s">
        <v>148</v>
      </c>
      <c r="AA12" s="61"/>
      <c r="AB12" s="61"/>
      <c r="AC12" s="61"/>
      <c r="AD12" s="61"/>
      <c r="AE12" s="61"/>
      <c r="AF12" s="61"/>
      <c r="AG12" s="60"/>
      <c r="AH12" s="62" t="s">
        <v>150</v>
      </c>
      <c r="AI12" s="61"/>
      <c r="AJ12" s="61"/>
      <c r="AK12" s="61"/>
      <c r="AL12" s="61"/>
      <c r="AM12" s="61"/>
      <c r="AN12" s="61"/>
      <c r="AO12" s="60"/>
      <c r="AP12" s="62" t="s">
        <v>148</v>
      </c>
      <c r="AQ12" s="61"/>
      <c r="AR12" s="61"/>
      <c r="AS12" s="61"/>
      <c r="AT12" s="61"/>
      <c r="AU12" s="61"/>
      <c r="AV12" s="61"/>
      <c r="AW12" s="60"/>
      <c r="AX12" s="62" t="s">
        <v>149</v>
      </c>
      <c r="AY12" s="61"/>
      <c r="AZ12" s="61"/>
      <c r="BA12" s="61"/>
      <c r="BB12" s="61"/>
      <c r="BC12" s="61"/>
      <c r="BD12" s="61"/>
      <c r="BE12" s="60"/>
      <c r="BF12" s="62" t="s">
        <v>148</v>
      </c>
      <c r="BG12" s="61"/>
      <c r="BH12" s="61"/>
      <c r="BI12" s="61"/>
      <c r="BJ12" s="61"/>
      <c r="BK12" s="61"/>
      <c r="BL12" s="61"/>
      <c r="BM12" s="60"/>
    </row>
    <row r="13" spans="1:65" ht="15" customHeight="1" x14ac:dyDescent="0.2">
      <c r="A13" s="55" t="s">
        <v>109</v>
      </c>
      <c r="B13" s="59" t="s">
        <v>147</v>
      </c>
      <c r="C13" s="58"/>
      <c r="D13" s="58"/>
      <c r="E13" s="58"/>
      <c r="F13" s="58"/>
      <c r="G13" s="58"/>
      <c r="H13" s="58"/>
      <c r="I13" s="57"/>
      <c r="J13" s="59" t="s">
        <v>146</v>
      </c>
      <c r="K13" s="58"/>
      <c r="L13" s="58"/>
      <c r="M13" s="58"/>
      <c r="N13" s="58"/>
      <c r="O13" s="58"/>
      <c r="P13" s="58"/>
      <c r="Q13" s="57"/>
      <c r="R13" s="59" t="s">
        <v>145</v>
      </c>
      <c r="S13" s="58"/>
      <c r="T13" s="58"/>
      <c r="U13" s="58"/>
      <c r="V13" s="58"/>
      <c r="W13" s="58"/>
      <c r="X13" s="58"/>
      <c r="Y13" s="57"/>
      <c r="Z13" s="59" t="s">
        <v>144</v>
      </c>
      <c r="AA13" s="58"/>
      <c r="AB13" s="58"/>
      <c r="AC13" s="58"/>
      <c r="AD13" s="58"/>
      <c r="AE13" s="58"/>
      <c r="AF13" s="58"/>
      <c r="AG13" s="57"/>
      <c r="AH13" s="59" t="s">
        <v>143</v>
      </c>
      <c r="AI13" s="58"/>
      <c r="AJ13" s="58"/>
      <c r="AK13" s="58"/>
      <c r="AL13" s="58"/>
      <c r="AM13" s="58"/>
      <c r="AN13" s="58"/>
      <c r="AO13" s="57"/>
      <c r="AP13" s="59" t="s">
        <v>142</v>
      </c>
      <c r="AQ13" s="58"/>
      <c r="AR13" s="58"/>
      <c r="AS13" s="58"/>
      <c r="AT13" s="58"/>
      <c r="AU13" s="58"/>
      <c r="AV13" s="58"/>
      <c r="AW13" s="57"/>
      <c r="AX13" s="59" t="s">
        <v>141</v>
      </c>
      <c r="AY13" s="58"/>
      <c r="AZ13" s="58"/>
      <c r="BA13" s="58"/>
      <c r="BB13" s="58"/>
      <c r="BC13" s="58"/>
      <c r="BD13" s="58"/>
      <c r="BE13" s="57"/>
      <c r="BF13" s="59" t="s">
        <v>140</v>
      </c>
      <c r="BG13" s="58"/>
      <c r="BH13" s="58"/>
      <c r="BI13" s="58"/>
      <c r="BJ13" s="58"/>
      <c r="BK13" s="58"/>
      <c r="BL13" s="58"/>
      <c r="BM13" s="57"/>
    </row>
    <row r="14" spans="1:65" ht="15" customHeight="1" x14ac:dyDescent="0.2">
      <c r="A14" s="56" t="s">
        <v>9</v>
      </c>
      <c r="B14" s="56" t="s">
        <v>139</v>
      </c>
      <c r="C14" s="56" t="s">
        <v>138</v>
      </c>
      <c r="D14" s="56" t="s">
        <v>137</v>
      </c>
      <c r="E14" s="56" t="s">
        <v>136</v>
      </c>
      <c r="F14" s="56" t="s">
        <v>135</v>
      </c>
      <c r="G14" s="56" t="s">
        <v>134</v>
      </c>
      <c r="H14" s="56" t="s">
        <v>133</v>
      </c>
      <c r="I14" s="56" t="s">
        <v>132</v>
      </c>
      <c r="J14" s="56" t="s">
        <v>139</v>
      </c>
      <c r="K14" s="56" t="s">
        <v>138</v>
      </c>
      <c r="L14" s="56" t="s">
        <v>137</v>
      </c>
      <c r="M14" s="56" t="s">
        <v>136</v>
      </c>
      <c r="N14" s="56" t="s">
        <v>135</v>
      </c>
      <c r="O14" s="56" t="s">
        <v>134</v>
      </c>
      <c r="P14" s="56" t="s">
        <v>133</v>
      </c>
      <c r="Q14" s="56" t="s">
        <v>132</v>
      </c>
      <c r="R14" s="56" t="s">
        <v>139</v>
      </c>
      <c r="S14" s="56" t="s">
        <v>138</v>
      </c>
      <c r="T14" s="56" t="s">
        <v>137</v>
      </c>
      <c r="U14" s="56" t="s">
        <v>136</v>
      </c>
      <c r="V14" s="56" t="s">
        <v>135</v>
      </c>
      <c r="W14" s="56" t="s">
        <v>134</v>
      </c>
      <c r="X14" s="56" t="s">
        <v>133</v>
      </c>
      <c r="Y14" s="56" t="s">
        <v>132</v>
      </c>
      <c r="Z14" s="56" t="s">
        <v>139</v>
      </c>
      <c r="AA14" s="56" t="s">
        <v>138</v>
      </c>
      <c r="AB14" s="56" t="s">
        <v>137</v>
      </c>
      <c r="AC14" s="56" t="s">
        <v>136</v>
      </c>
      <c r="AD14" s="56" t="s">
        <v>135</v>
      </c>
      <c r="AE14" s="56" t="s">
        <v>134</v>
      </c>
      <c r="AF14" s="56" t="s">
        <v>133</v>
      </c>
      <c r="AG14" s="56" t="s">
        <v>132</v>
      </c>
      <c r="AH14" s="56" t="s">
        <v>139</v>
      </c>
      <c r="AI14" s="56" t="s">
        <v>138</v>
      </c>
      <c r="AJ14" s="56" t="s">
        <v>137</v>
      </c>
      <c r="AK14" s="56" t="s">
        <v>136</v>
      </c>
      <c r="AL14" s="56" t="s">
        <v>135</v>
      </c>
      <c r="AM14" s="56" t="s">
        <v>134</v>
      </c>
      <c r="AN14" s="56" t="s">
        <v>133</v>
      </c>
      <c r="AO14" s="56" t="s">
        <v>132</v>
      </c>
      <c r="AP14" s="56" t="s">
        <v>139</v>
      </c>
      <c r="AQ14" s="56" t="s">
        <v>138</v>
      </c>
      <c r="AR14" s="56" t="s">
        <v>137</v>
      </c>
      <c r="AS14" s="56" t="s">
        <v>136</v>
      </c>
      <c r="AT14" s="56" t="s">
        <v>135</v>
      </c>
      <c r="AU14" s="56" t="s">
        <v>134</v>
      </c>
      <c r="AV14" s="56" t="s">
        <v>133</v>
      </c>
      <c r="AW14" s="56" t="s">
        <v>132</v>
      </c>
      <c r="AX14" s="56" t="s">
        <v>139</v>
      </c>
      <c r="AY14" s="56" t="s">
        <v>138</v>
      </c>
      <c r="AZ14" s="56" t="s">
        <v>137</v>
      </c>
      <c r="BA14" s="56" t="s">
        <v>136</v>
      </c>
      <c r="BB14" s="56" t="s">
        <v>135</v>
      </c>
      <c r="BC14" s="56" t="s">
        <v>134</v>
      </c>
      <c r="BD14" s="56" t="s">
        <v>133</v>
      </c>
      <c r="BE14" s="56" t="s">
        <v>132</v>
      </c>
      <c r="BF14" s="56" t="s">
        <v>139</v>
      </c>
      <c r="BG14" s="56" t="s">
        <v>138</v>
      </c>
      <c r="BH14" s="56" t="s">
        <v>137</v>
      </c>
      <c r="BI14" s="56" t="s">
        <v>136</v>
      </c>
      <c r="BJ14" s="56" t="s">
        <v>135</v>
      </c>
      <c r="BK14" s="56" t="s">
        <v>134</v>
      </c>
      <c r="BL14" s="56" t="s">
        <v>133</v>
      </c>
      <c r="BM14" s="56" t="s">
        <v>132</v>
      </c>
    </row>
    <row r="15" spans="1:65" ht="15" customHeight="1" x14ac:dyDescent="0.2">
      <c r="A15" s="55" t="s">
        <v>131</v>
      </c>
      <c r="B15" s="55" t="s">
        <v>109</v>
      </c>
      <c r="C15" s="55" t="s">
        <v>109</v>
      </c>
      <c r="D15" s="55" t="s">
        <v>109</v>
      </c>
      <c r="E15" s="55" t="s">
        <v>109</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1</v>
      </c>
      <c r="AL15" s="55" t="s">
        <v>109</v>
      </c>
      <c r="AM15" s="55">
        <v>0</v>
      </c>
      <c r="AN15" s="55" t="s">
        <v>109</v>
      </c>
      <c r="AO15" s="55" t="s">
        <v>109</v>
      </c>
      <c r="AP15" s="55" t="s">
        <v>109</v>
      </c>
      <c r="AQ15" s="55" t="s">
        <v>109</v>
      </c>
      <c r="AR15" s="55" t="s">
        <v>109</v>
      </c>
      <c r="AS15" s="55" t="s">
        <v>109</v>
      </c>
      <c r="AT15" s="55" t="s">
        <v>109</v>
      </c>
      <c r="AU15" s="55" t="s">
        <v>109</v>
      </c>
      <c r="AV15" s="55" t="s">
        <v>109</v>
      </c>
      <c r="AW15" s="55" t="s">
        <v>109</v>
      </c>
      <c r="AX15" s="55" t="s">
        <v>109</v>
      </c>
      <c r="AY15" s="55">
        <v>0</v>
      </c>
      <c r="AZ15" s="55" t="s">
        <v>109</v>
      </c>
      <c r="BA15" s="55">
        <v>1</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130</v>
      </c>
      <c r="B16" s="55" t="s">
        <v>109</v>
      </c>
      <c r="C16" s="55" t="s">
        <v>109</v>
      </c>
      <c r="D16" s="55" t="s">
        <v>109</v>
      </c>
      <c r="E16" s="55" t="s">
        <v>109</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2</v>
      </c>
      <c r="AL16" s="55" t="s">
        <v>109</v>
      </c>
      <c r="AM16" s="55">
        <v>0</v>
      </c>
      <c r="AN16" s="55" t="s">
        <v>109</v>
      </c>
      <c r="AO16" s="55" t="s">
        <v>109</v>
      </c>
      <c r="AP16" s="55" t="s">
        <v>109</v>
      </c>
      <c r="AQ16" s="55" t="s">
        <v>109</v>
      </c>
      <c r="AR16" s="55" t="s">
        <v>109</v>
      </c>
      <c r="AS16" s="55" t="s">
        <v>109</v>
      </c>
      <c r="AT16" s="55" t="s">
        <v>109</v>
      </c>
      <c r="AU16" s="55" t="s">
        <v>109</v>
      </c>
      <c r="AV16" s="55" t="s">
        <v>109</v>
      </c>
      <c r="AW16" s="55" t="s">
        <v>109</v>
      </c>
      <c r="AX16" s="55" t="s">
        <v>109</v>
      </c>
      <c r="AY16" s="55">
        <v>0</v>
      </c>
      <c r="AZ16" s="55" t="s">
        <v>109</v>
      </c>
      <c r="BA16" s="55">
        <v>0</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129</v>
      </c>
      <c r="B17" s="55" t="s">
        <v>109</v>
      </c>
      <c r="C17" s="55" t="s">
        <v>109</v>
      </c>
      <c r="D17" s="55" t="s">
        <v>109</v>
      </c>
      <c r="E17" s="55" t="s">
        <v>109</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2</v>
      </c>
      <c r="AL17" s="55" t="s">
        <v>109</v>
      </c>
      <c r="AM17" s="55">
        <v>0</v>
      </c>
      <c r="AN17" s="55" t="s">
        <v>109</v>
      </c>
      <c r="AO17" s="55" t="s">
        <v>109</v>
      </c>
      <c r="AP17" s="55" t="s">
        <v>109</v>
      </c>
      <c r="AQ17" s="55" t="s">
        <v>109</v>
      </c>
      <c r="AR17" s="55" t="s">
        <v>109</v>
      </c>
      <c r="AS17" s="55" t="s">
        <v>109</v>
      </c>
      <c r="AT17" s="55" t="s">
        <v>109</v>
      </c>
      <c r="AU17" s="55" t="s">
        <v>109</v>
      </c>
      <c r="AV17" s="55" t="s">
        <v>109</v>
      </c>
      <c r="AW17" s="55" t="s">
        <v>109</v>
      </c>
      <c r="AX17" s="55" t="s">
        <v>109</v>
      </c>
      <c r="AY17" s="55">
        <v>1</v>
      </c>
      <c r="AZ17" s="55" t="s">
        <v>109</v>
      </c>
      <c r="BA17" s="55">
        <v>0</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128</v>
      </c>
      <c r="B18" s="55" t="s">
        <v>109</v>
      </c>
      <c r="C18" s="55" t="s">
        <v>109</v>
      </c>
      <c r="D18" s="55" t="s">
        <v>109</v>
      </c>
      <c r="E18" s="55" t="s">
        <v>109</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3</v>
      </c>
      <c r="AL18" s="55" t="s">
        <v>109</v>
      </c>
      <c r="AM18" s="55">
        <v>0</v>
      </c>
      <c r="AN18" s="55" t="s">
        <v>109</v>
      </c>
      <c r="AO18" s="55" t="s">
        <v>109</v>
      </c>
      <c r="AP18" s="55" t="s">
        <v>109</v>
      </c>
      <c r="AQ18" s="55" t="s">
        <v>109</v>
      </c>
      <c r="AR18" s="55" t="s">
        <v>109</v>
      </c>
      <c r="AS18" s="55" t="s">
        <v>109</v>
      </c>
      <c r="AT18" s="55" t="s">
        <v>109</v>
      </c>
      <c r="AU18" s="55" t="s">
        <v>109</v>
      </c>
      <c r="AV18" s="55" t="s">
        <v>109</v>
      </c>
      <c r="AW18" s="55" t="s">
        <v>109</v>
      </c>
      <c r="AX18" s="55" t="s">
        <v>109</v>
      </c>
      <c r="AY18" s="55">
        <v>1</v>
      </c>
      <c r="AZ18" s="55" t="s">
        <v>109</v>
      </c>
      <c r="BA18" s="55">
        <v>3</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127</v>
      </c>
      <c r="B19" s="55" t="s">
        <v>109</v>
      </c>
      <c r="C19" s="55" t="s">
        <v>109</v>
      </c>
      <c r="D19" s="55" t="s">
        <v>109</v>
      </c>
      <c r="E19" s="55" t="s">
        <v>109</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2</v>
      </c>
      <c r="AL19" s="55" t="s">
        <v>109</v>
      </c>
      <c r="AM19" s="55">
        <v>0</v>
      </c>
      <c r="AN19" s="55" t="s">
        <v>109</v>
      </c>
      <c r="AO19" s="55" t="s">
        <v>109</v>
      </c>
      <c r="AP19" s="55" t="s">
        <v>109</v>
      </c>
      <c r="AQ19" s="55" t="s">
        <v>109</v>
      </c>
      <c r="AR19" s="55" t="s">
        <v>109</v>
      </c>
      <c r="AS19" s="55" t="s">
        <v>109</v>
      </c>
      <c r="AT19" s="55" t="s">
        <v>109</v>
      </c>
      <c r="AU19" s="55" t="s">
        <v>109</v>
      </c>
      <c r="AV19" s="55" t="s">
        <v>109</v>
      </c>
      <c r="AW19" s="55" t="s">
        <v>109</v>
      </c>
      <c r="AX19" s="55" t="s">
        <v>109</v>
      </c>
      <c r="AY19" s="55">
        <v>2</v>
      </c>
      <c r="AZ19" s="55" t="s">
        <v>109</v>
      </c>
      <c r="BA19" s="55">
        <v>0</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126</v>
      </c>
      <c r="B20" s="55" t="s">
        <v>109</v>
      </c>
      <c r="C20" s="55" t="s">
        <v>109</v>
      </c>
      <c r="D20" s="55" t="s">
        <v>109</v>
      </c>
      <c r="E20" s="55" t="s">
        <v>109</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4</v>
      </c>
      <c r="AL20" s="55" t="s">
        <v>109</v>
      </c>
      <c r="AM20" s="55">
        <v>0</v>
      </c>
      <c r="AN20" s="55" t="s">
        <v>109</v>
      </c>
      <c r="AO20" s="55" t="s">
        <v>109</v>
      </c>
      <c r="AP20" s="55" t="s">
        <v>109</v>
      </c>
      <c r="AQ20" s="55" t="s">
        <v>109</v>
      </c>
      <c r="AR20" s="55" t="s">
        <v>109</v>
      </c>
      <c r="AS20" s="55" t="s">
        <v>109</v>
      </c>
      <c r="AT20" s="55" t="s">
        <v>109</v>
      </c>
      <c r="AU20" s="55" t="s">
        <v>109</v>
      </c>
      <c r="AV20" s="55" t="s">
        <v>109</v>
      </c>
      <c r="AW20" s="55" t="s">
        <v>109</v>
      </c>
      <c r="AX20" s="55" t="s">
        <v>109</v>
      </c>
      <c r="AY20" s="55">
        <v>0</v>
      </c>
      <c r="AZ20" s="55" t="s">
        <v>109</v>
      </c>
      <c r="BA20" s="55">
        <v>3</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125</v>
      </c>
      <c r="B21" s="55" t="s">
        <v>109</v>
      </c>
      <c r="C21" s="55" t="s">
        <v>109</v>
      </c>
      <c r="D21" s="55" t="s">
        <v>109</v>
      </c>
      <c r="E21" s="55" t="s">
        <v>109</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2</v>
      </c>
      <c r="AL21" s="55" t="s">
        <v>109</v>
      </c>
      <c r="AM21" s="55">
        <v>0</v>
      </c>
      <c r="AN21" s="55" t="s">
        <v>109</v>
      </c>
      <c r="AO21" s="55" t="s">
        <v>109</v>
      </c>
      <c r="AP21" s="55" t="s">
        <v>109</v>
      </c>
      <c r="AQ21" s="55" t="s">
        <v>109</v>
      </c>
      <c r="AR21" s="55" t="s">
        <v>109</v>
      </c>
      <c r="AS21" s="55" t="s">
        <v>109</v>
      </c>
      <c r="AT21" s="55" t="s">
        <v>109</v>
      </c>
      <c r="AU21" s="55" t="s">
        <v>109</v>
      </c>
      <c r="AV21" s="55" t="s">
        <v>109</v>
      </c>
      <c r="AW21" s="55" t="s">
        <v>109</v>
      </c>
      <c r="AX21" s="55" t="s">
        <v>109</v>
      </c>
      <c r="AY21" s="55">
        <v>0</v>
      </c>
      <c r="AZ21" s="55" t="s">
        <v>109</v>
      </c>
      <c r="BA21" s="55">
        <v>1</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124</v>
      </c>
      <c r="B22" s="55" t="s">
        <v>109</v>
      </c>
      <c r="C22" s="55" t="s">
        <v>109</v>
      </c>
      <c r="D22" s="55" t="s">
        <v>109</v>
      </c>
      <c r="E22" s="55" t="s">
        <v>109</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0</v>
      </c>
      <c r="AL22" s="55" t="s">
        <v>109</v>
      </c>
      <c r="AM22" s="55">
        <v>0</v>
      </c>
      <c r="AN22" s="55" t="s">
        <v>109</v>
      </c>
      <c r="AO22" s="55" t="s">
        <v>109</v>
      </c>
      <c r="AP22" s="55" t="s">
        <v>109</v>
      </c>
      <c r="AQ22" s="55" t="s">
        <v>109</v>
      </c>
      <c r="AR22" s="55" t="s">
        <v>109</v>
      </c>
      <c r="AS22" s="55" t="s">
        <v>109</v>
      </c>
      <c r="AT22" s="55" t="s">
        <v>109</v>
      </c>
      <c r="AU22" s="55" t="s">
        <v>109</v>
      </c>
      <c r="AV22" s="55" t="s">
        <v>109</v>
      </c>
      <c r="AW22" s="55" t="s">
        <v>109</v>
      </c>
      <c r="AX22" s="55" t="s">
        <v>109</v>
      </c>
      <c r="AY22" s="55">
        <v>3</v>
      </c>
      <c r="AZ22" s="55" t="s">
        <v>109</v>
      </c>
      <c r="BA22" s="55">
        <v>1</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123</v>
      </c>
      <c r="B23" s="55" t="s">
        <v>109</v>
      </c>
      <c r="C23" s="55" t="s">
        <v>109</v>
      </c>
      <c r="D23" s="55" t="s">
        <v>109</v>
      </c>
      <c r="E23" s="55" t="s">
        <v>109</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0</v>
      </c>
      <c r="AL23" s="55" t="s">
        <v>109</v>
      </c>
      <c r="AM23" s="55">
        <v>0</v>
      </c>
      <c r="AN23" s="55" t="s">
        <v>109</v>
      </c>
      <c r="AO23" s="55" t="s">
        <v>109</v>
      </c>
      <c r="AP23" s="55" t="s">
        <v>109</v>
      </c>
      <c r="AQ23" s="55" t="s">
        <v>109</v>
      </c>
      <c r="AR23" s="55" t="s">
        <v>109</v>
      </c>
      <c r="AS23" s="55" t="s">
        <v>109</v>
      </c>
      <c r="AT23" s="55" t="s">
        <v>109</v>
      </c>
      <c r="AU23" s="55" t="s">
        <v>109</v>
      </c>
      <c r="AV23" s="55" t="s">
        <v>109</v>
      </c>
      <c r="AW23" s="55" t="s">
        <v>109</v>
      </c>
      <c r="AX23" s="55" t="s">
        <v>109</v>
      </c>
      <c r="AY23" s="55">
        <v>0</v>
      </c>
      <c r="AZ23" s="55" t="s">
        <v>109</v>
      </c>
      <c r="BA23" s="55">
        <v>0</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122</v>
      </c>
      <c r="B24" s="55" t="s">
        <v>109</v>
      </c>
      <c r="C24" s="55" t="s">
        <v>109</v>
      </c>
      <c r="D24" s="55" t="s">
        <v>109</v>
      </c>
      <c r="E24" s="55" t="s">
        <v>109</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1</v>
      </c>
      <c r="AL24" s="55" t="s">
        <v>109</v>
      </c>
      <c r="AM24" s="55">
        <v>0</v>
      </c>
      <c r="AN24" s="55" t="s">
        <v>109</v>
      </c>
      <c r="AO24" s="55" t="s">
        <v>109</v>
      </c>
      <c r="AP24" s="55" t="s">
        <v>109</v>
      </c>
      <c r="AQ24" s="55" t="s">
        <v>109</v>
      </c>
      <c r="AR24" s="55" t="s">
        <v>109</v>
      </c>
      <c r="AS24" s="55" t="s">
        <v>109</v>
      </c>
      <c r="AT24" s="55" t="s">
        <v>109</v>
      </c>
      <c r="AU24" s="55" t="s">
        <v>109</v>
      </c>
      <c r="AV24" s="55" t="s">
        <v>109</v>
      </c>
      <c r="AW24" s="55" t="s">
        <v>109</v>
      </c>
      <c r="AX24" s="55" t="s">
        <v>109</v>
      </c>
      <c r="AY24" s="55">
        <v>1</v>
      </c>
      <c r="AZ24" s="55" t="s">
        <v>109</v>
      </c>
      <c r="BA24" s="55">
        <v>0</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121</v>
      </c>
      <c r="B25" s="55" t="s">
        <v>109</v>
      </c>
      <c r="C25" s="55" t="s">
        <v>109</v>
      </c>
      <c r="D25" s="55" t="s">
        <v>109</v>
      </c>
      <c r="E25" s="55" t="s">
        <v>109</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3</v>
      </c>
      <c r="AL25" s="55" t="s">
        <v>109</v>
      </c>
      <c r="AM25" s="55">
        <v>1</v>
      </c>
      <c r="AN25" s="55" t="s">
        <v>109</v>
      </c>
      <c r="AO25" s="55" t="s">
        <v>109</v>
      </c>
      <c r="AP25" s="55" t="s">
        <v>109</v>
      </c>
      <c r="AQ25" s="55" t="s">
        <v>109</v>
      </c>
      <c r="AR25" s="55" t="s">
        <v>109</v>
      </c>
      <c r="AS25" s="55" t="s">
        <v>109</v>
      </c>
      <c r="AT25" s="55" t="s">
        <v>109</v>
      </c>
      <c r="AU25" s="55" t="s">
        <v>109</v>
      </c>
      <c r="AV25" s="55" t="s">
        <v>109</v>
      </c>
      <c r="AW25" s="55" t="s">
        <v>109</v>
      </c>
      <c r="AX25" s="55" t="s">
        <v>109</v>
      </c>
      <c r="AY25" s="55">
        <v>0</v>
      </c>
      <c r="AZ25" s="55" t="s">
        <v>109</v>
      </c>
      <c r="BA25" s="55">
        <v>2</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120</v>
      </c>
      <c r="B26" s="55" t="s">
        <v>109</v>
      </c>
      <c r="C26" s="55" t="s">
        <v>109</v>
      </c>
      <c r="D26" s="55" t="s">
        <v>109</v>
      </c>
      <c r="E26" s="55" t="s">
        <v>109</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5</v>
      </c>
      <c r="AL26" s="55" t="s">
        <v>109</v>
      </c>
      <c r="AM26" s="55">
        <v>0</v>
      </c>
      <c r="AN26" s="55" t="s">
        <v>109</v>
      </c>
      <c r="AO26" s="55" t="s">
        <v>109</v>
      </c>
      <c r="AP26" s="55" t="s">
        <v>109</v>
      </c>
      <c r="AQ26" s="55" t="s">
        <v>109</v>
      </c>
      <c r="AR26" s="55" t="s">
        <v>109</v>
      </c>
      <c r="AS26" s="55" t="s">
        <v>109</v>
      </c>
      <c r="AT26" s="55" t="s">
        <v>109</v>
      </c>
      <c r="AU26" s="55" t="s">
        <v>109</v>
      </c>
      <c r="AV26" s="55" t="s">
        <v>109</v>
      </c>
      <c r="AW26" s="55" t="s">
        <v>109</v>
      </c>
      <c r="AX26" s="55" t="s">
        <v>109</v>
      </c>
      <c r="AY26" s="55">
        <v>0</v>
      </c>
      <c r="AZ26" s="55" t="s">
        <v>109</v>
      </c>
      <c r="BA26" s="55">
        <v>0</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119</v>
      </c>
      <c r="B27" s="55" t="s">
        <v>109</v>
      </c>
      <c r="C27" s="55" t="s">
        <v>109</v>
      </c>
      <c r="D27" s="55" t="s">
        <v>109</v>
      </c>
      <c r="E27" s="55" t="s">
        <v>109</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2</v>
      </c>
      <c r="AL27" s="55" t="s">
        <v>109</v>
      </c>
      <c r="AM27" s="55">
        <v>0</v>
      </c>
      <c r="AN27" s="55" t="s">
        <v>109</v>
      </c>
      <c r="AO27" s="55" t="s">
        <v>109</v>
      </c>
      <c r="AP27" s="55" t="s">
        <v>109</v>
      </c>
      <c r="AQ27" s="55" t="s">
        <v>109</v>
      </c>
      <c r="AR27" s="55" t="s">
        <v>109</v>
      </c>
      <c r="AS27" s="55" t="s">
        <v>109</v>
      </c>
      <c r="AT27" s="55" t="s">
        <v>109</v>
      </c>
      <c r="AU27" s="55" t="s">
        <v>109</v>
      </c>
      <c r="AV27" s="55" t="s">
        <v>109</v>
      </c>
      <c r="AW27" s="55" t="s">
        <v>109</v>
      </c>
      <c r="AX27" s="55" t="s">
        <v>109</v>
      </c>
      <c r="AY27" s="55">
        <v>1</v>
      </c>
      <c r="AZ27" s="55" t="s">
        <v>109</v>
      </c>
      <c r="BA27" s="55">
        <v>1</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118</v>
      </c>
      <c r="B28" s="55" t="s">
        <v>109</v>
      </c>
      <c r="C28" s="55" t="s">
        <v>109</v>
      </c>
      <c r="D28" s="55" t="s">
        <v>109</v>
      </c>
      <c r="E28" s="55" t="s">
        <v>109</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t="s">
        <v>109</v>
      </c>
      <c r="AM28" s="55">
        <v>0</v>
      </c>
      <c r="AN28" s="55" t="s">
        <v>109</v>
      </c>
      <c r="AO28" s="55" t="s">
        <v>109</v>
      </c>
      <c r="AP28" s="55" t="s">
        <v>109</v>
      </c>
      <c r="AQ28" s="55" t="s">
        <v>109</v>
      </c>
      <c r="AR28" s="55" t="s">
        <v>109</v>
      </c>
      <c r="AS28" s="55" t="s">
        <v>109</v>
      </c>
      <c r="AT28" s="55" t="s">
        <v>109</v>
      </c>
      <c r="AU28" s="55" t="s">
        <v>109</v>
      </c>
      <c r="AV28" s="55" t="s">
        <v>109</v>
      </c>
      <c r="AW28" s="55" t="s">
        <v>109</v>
      </c>
      <c r="AX28" s="55" t="s">
        <v>109</v>
      </c>
      <c r="AY28" s="55">
        <v>0</v>
      </c>
      <c r="AZ28" s="55" t="s">
        <v>109</v>
      </c>
      <c r="BA28" s="55">
        <v>0</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117</v>
      </c>
      <c r="B29" s="55" t="s">
        <v>109</v>
      </c>
      <c r="C29" s="55" t="s">
        <v>109</v>
      </c>
      <c r="D29" s="55" t="s">
        <v>109</v>
      </c>
      <c r="E29" s="55" t="s">
        <v>109</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1</v>
      </c>
      <c r="AL29" s="55" t="s">
        <v>109</v>
      </c>
      <c r="AM29" s="55">
        <v>0</v>
      </c>
      <c r="AN29" s="55" t="s">
        <v>109</v>
      </c>
      <c r="AO29" s="55" t="s">
        <v>109</v>
      </c>
      <c r="AP29" s="55" t="s">
        <v>109</v>
      </c>
      <c r="AQ29" s="55" t="s">
        <v>109</v>
      </c>
      <c r="AR29" s="55" t="s">
        <v>109</v>
      </c>
      <c r="AS29" s="55" t="s">
        <v>109</v>
      </c>
      <c r="AT29" s="55" t="s">
        <v>109</v>
      </c>
      <c r="AU29" s="55" t="s">
        <v>109</v>
      </c>
      <c r="AV29" s="55" t="s">
        <v>109</v>
      </c>
      <c r="AW29" s="55" t="s">
        <v>109</v>
      </c>
      <c r="AX29" s="55" t="s">
        <v>109</v>
      </c>
      <c r="AY29" s="55">
        <v>1</v>
      </c>
      <c r="AZ29" s="55" t="s">
        <v>109</v>
      </c>
      <c r="BA29" s="55">
        <v>0</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116</v>
      </c>
      <c r="B30" s="55" t="s">
        <v>109</v>
      </c>
      <c r="C30" s="55" t="s">
        <v>109</v>
      </c>
      <c r="D30" s="55" t="s">
        <v>109</v>
      </c>
      <c r="E30" s="55" t="s">
        <v>109</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3</v>
      </c>
      <c r="AL30" s="55" t="s">
        <v>109</v>
      </c>
      <c r="AM30" s="55">
        <v>0</v>
      </c>
      <c r="AN30" s="55" t="s">
        <v>109</v>
      </c>
      <c r="AO30" s="55" t="s">
        <v>109</v>
      </c>
      <c r="AP30" s="55" t="s">
        <v>109</v>
      </c>
      <c r="AQ30" s="55" t="s">
        <v>109</v>
      </c>
      <c r="AR30" s="55" t="s">
        <v>109</v>
      </c>
      <c r="AS30" s="55" t="s">
        <v>109</v>
      </c>
      <c r="AT30" s="55" t="s">
        <v>109</v>
      </c>
      <c r="AU30" s="55" t="s">
        <v>109</v>
      </c>
      <c r="AV30" s="55" t="s">
        <v>109</v>
      </c>
      <c r="AW30" s="55" t="s">
        <v>109</v>
      </c>
      <c r="AX30" s="55" t="s">
        <v>109</v>
      </c>
      <c r="AY30" s="55">
        <v>2</v>
      </c>
      <c r="AZ30" s="55" t="s">
        <v>109</v>
      </c>
      <c r="BA30" s="55">
        <v>2</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115</v>
      </c>
      <c r="B31" s="55" t="s">
        <v>109</v>
      </c>
      <c r="C31" s="55" t="s">
        <v>109</v>
      </c>
      <c r="D31" s="55" t="s">
        <v>109</v>
      </c>
      <c r="E31" s="55" t="s">
        <v>109</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3</v>
      </c>
      <c r="AL31" s="55" t="s">
        <v>109</v>
      </c>
      <c r="AM31" s="55">
        <v>0</v>
      </c>
      <c r="AN31" s="55" t="s">
        <v>109</v>
      </c>
      <c r="AO31" s="55" t="s">
        <v>109</v>
      </c>
      <c r="AP31" s="55" t="s">
        <v>109</v>
      </c>
      <c r="AQ31" s="55" t="s">
        <v>109</v>
      </c>
      <c r="AR31" s="55" t="s">
        <v>109</v>
      </c>
      <c r="AS31" s="55" t="s">
        <v>109</v>
      </c>
      <c r="AT31" s="55" t="s">
        <v>109</v>
      </c>
      <c r="AU31" s="55" t="s">
        <v>109</v>
      </c>
      <c r="AV31" s="55" t="s">
        <v>109</v>
      </c>
      <c r="AW31" s="55" t="s">
        <v>109</v>
      </c>
      <c r="AX31" s="55" t="s">
        <v>109</v>
      </c>
      <c r="AY31" s="55">
        <v>0</v>
      </c>
      <c r="AZ31" s="55" t="s">
        <v>109</v>
      </c>
      <c r="BA31" s="55">
        <v>0</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114</v>
      </c>
      <c r="B32" s="55" t="s">
        <v>109</v>
      </c>
      <c r="C32" s="55" t="s">
        <v>109</v>
      </c>
      <c r="D32" s="55" t="s">
        <v>109</v>
      </c>
      <c r="E32" s="55" t="s">
        <v>109</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3</v>
      </c>
      <c r="AL32" s="55" t="s">
        <v>109</v>
      </c>
      <c r="AM32" s="55">
        <v>0</v>
      </c>
      <c r="AN32" s="55" t="s">
        <v>109</v>
      </c>
      <c r="AO32" s="55" t="s">
        <v>109</v>
      </c>
      <c r="AP32" s="55" t="s">
        <v>109</v>
      </c>
      <c r="AQ32" s="55" t="s">
        <v>109</v>
      </c>
      <c r="AR32" s="55" t="s">
        <v>109</v>
      </c>
      <c r="AS32" s="55" t="s">
        <v>109</v>
      </c>
      <c r="AT32" s="55" t="s">
        <v>109</v>
      </c>
      <c r="AU32" s="55" t="s">
        <v>109</v>
      </c>
      <c r="AV32" s="55" t="s">
        <v>109</v>
      </c>
      <c r="AW32" s="55" t="s">
        <v>109</v>
      </c>
      <c r="AX32" s="55" t="s">
        <v>109</v>
      </c>
      <c r="AY32" s="55">
        <v>1</v>
      </c>
      <c r="AZ32" s="55" t="s">
        <v>109</v>
      </c>
      <c r="BA32" s="55">
        <v>0</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113</v>
      </c>
      <c r="B33" s="55" t="s">
        <v>109</v>
      </c>
      <c r="C33" s="55" t="s">
        <v>109</v>
      </c>
      <c r="D33" s="55" t="s">
        <v>109</v>
      </c>
      <c r="E33" s="55" t="s">
        <v>109</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2</v>
      </c>
      <c r="AL33" s="55" t="s">
        <v>109</v>
      </c>
      <c r="AM33" s="55">
        <v>0</v>
      </c>
      <c r="AN33" s="55" t="s">
        <v>109</v>
      </c>
      <c r="AO33" s="55" t="s">
        <v>109</v>
      </c>
      <c r="AP33" s="55" t="s">
        <v>109</v>
      </c>
      <c r="AQ33" s="55" t="s">
        <v>109</v>
      </c>
      <c r="AR33" s="55" t="s">
        <v>109</v>
      </c>
      <c r="AS33" s="55" t="s">
        <v>109</v>
      </c>
      <c r="AT33" s="55" t="s">
        <v>109</v>
      </c>
      <c r="AU33" s="55" t="s">
        <v>109</v>
      </c>
      <c r="AV33" s="55" t="s">
        <v>109</v>
      </c>
      <c r="AW33" s="55" t="s">
        <v>109</v>
      </c>
      <c r="AX33" s="55" t="s">
        <v>109</v>
      </c>
      <c r="AY33" s="55">
        <v>2</v>
      </c>
      <c r="AZ33" s="55" t="s">
        <v>109</v>
      </c>
      <c r="BA33" s="55">
        <v>0</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112</v>
      </c>
      <c r="B34" s="55" t="s">
        <v>109</v>
      </c>
      <c r="C34" s="55" t="s">
        <v>109</v>
      </c>
      <c r="D34" s="55" t="s">
        <v>109</v>
      </c>
      <c r="E34" s="55" t="s">
        <v>109</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1</v>
      </c>
      <c r="AL34" s="55" t="s">
        <v>109</v>
      </c>
      <c r="AM34" s="55">
        <v>0</v>
      </c>
      <c r="AN34" s="55" t="s">
        <v>109</v>
      </c>
      <c r="AO34" s="55" t="s">
        <v>109</v>
      </c>
      <c r="AP34" s="55" t="s">
        <v>109</v>
      </c>
      <c r="AQ34" s="55" t="s">
        <v>109</v>
      </c>
      <c r="AR34" s="55" t="s">
        <v>109</v>
      </c>
      <c r="AS34" s="55" t="s">
        <v>109</v>
      </c>
      <c r="AT34" s="55" t="s">
        <v>109</v>
      </c>
      <c r="AU34" s="55" t="s">
        <v>109</v>
      </c>
      <c r="AV34" s="55" t="s">
        <v>109</v>
      </c>
      <c r="AW34" s="55" t="s">
        <v>109</v>
      </c>
      <c r="AX34" s="55" t="s">
        <v>109</v>
      </c>
      <c r="AY34" s="55">
        <v>2</v>
      </c>
      <c r="AZ34" s="55" t="s">
        <v>109</v>
      </c>
      <c r="BA34" s="55">
        <v>1</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111</v>
      </c>
      <c r="B35" s="55" t="s">
        <v>109</v>
      </c>
      <c r="C35" s="55" t="s">
        <v>109</v>
      </c>
      <c r="D35" s="55" t="s">
        <v>109</v>
      </c>
      <c r="E35" s="55" t="s">
        <v>109</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4</v>
      </c>
      <c r="AL35" s="55" t="s">
        <v>109</v>
      </c>
      <c r="AM35" s="55">
        <v>0</v>
      </c>
      <c r="AN35" s="55" t="s">
        <v>109</v>
      </c>
      <c r="AO35" s="55" t="s">
        <v>109</v>
      </c>
      <c r="AP35" s="55" t="s">
        <v>109</v>
      </c>
      <c r="AQ35" s="55" t="s">
        <v>109</v>
      </c>
      <c r="AR35" s="55" t="s">
        <v>109</v>
      </c>
      <c r="AS35" s="55" t="s">
        <v>109</v>
      </c>
      <c r="AT35" s="55" t="s">
        <v>109</v>
      </c>
      <c r="AU35" s="55" t="s">
        <v>109</v>
      </c>
      <c r="AV35" s="55" t="s">
        <v>109</v>
      </c>
      <c r="AW35" s="55" t="s">
        <v>109</v>
      </c>
      <c r="AX35" s="55" t="s">
        <v>109</v>
      </c>
      <c r="AY35" s="55">
        <v>0</v>
      </c>
      <c r="AZ35" s="55" t="s">
        <v>109</v>
      </c>
      <c r="BA35" s="55">
        <v>0</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110</v>
      </c>
      <c r="B36" s="55" t="s">
        <v>109</v>
      </c>
      <c r="C36" s="55" t="s">
        <v>109</v>
      </c>
      <c r="D36" s="55" t="s">
        <v>109</v>
      </c>
      <c r="E36" s="55" t="s">
        <v>109</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3</v>
      </c>
      <c r="AL36" s="55" t="s">
        <v>109</v>
      </c>
      <c r="AM36" s="55">
        <v>0</v>
      </c>
      <c r="AN36" s="55" t="s">
        <v>109</v>
      </c>
      <c r="AO36" s="55" t="s">
        <v>109</v>
      </c>
      <c r="AP36" s="55" t="s">
        <v>109</v>
      </c>
      <c r="AQ36" s="55" t="s">
        <v>109</v>
      </c>
      <c r="AR36" s="55" t="s">
        <v>109</v>
      </c>
      <c r="AS36" s="55" t="s">
        <v>109</v>
      </c>
      <c r="AT36" s="55" t="s">
        <v>109</v>
      </c>
      <c r="AU36" s="55" t="s">
        <v>109</v>
      </c>
      <c r="AV36" s="55" t="s">
        <v>109</v>
      </c>
      <c r="AW36" s="55" t="s">
        <v>109</v>
      </c>
      <c r="AX36" s="55" t="s">
        <v>109</v>
      </c>
      <c r="AY36" s="55">
        <v>2</v>
      </c>
      <c r="AZ36" s="55" t="s">
        <v>109</v>
      </c>
      <c r="BA36" s="55">
        <v>0</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71745-6B7C-4AB3-8F55-D053A4BE91C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162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150</v>
      </c>
      <c r="C12" s="61"/>
      <c r="D12" s="61"/>
      <c r="E12" s="61"/>
      <c r="F12" s="61"/>
      <c r="G12" s="61"/>
      <c r="H12" s="61"/>
      <c r="I12" s="60"/>
      <c r="J12" s="62" t="s">
        <v>148</v>
      </c>
      <c r="K12" s="61"/>
      <c r="L12" s="61"/>
      <c r="M12" s="61"/>
      <c r="N12" s="61"/>
      <c r="O12" s="61"/>
      <c r="P12" s="61"/>
      <c r="Q12" s="60"/>
      <c r="R12" s="62" t="s">
        <v>151</v>
      </c>
      <c r="S12" s="61"/>
      <c r="T12" s="61"/>
      <c r="U12" s="61"/>
      <c r="V12" s="61"/>
      <c r="W12" s="61"/>
      <c r="X12" s="61"/>
      <c r="Y12" s="60"/>
      <c r="Z12" s="62" t="s">
        <v>148</v>
      </c>
      <c r="AA12" s="61"/>
      <c r="AB12" s="61"/>
      <c r="AC12" s="61"/>
      <c r="AD12" s="61"/>
      <c r="AE12" s="61"/>
      <c r="AF12" s="61"/>
      <c r="AG12" s="60"/>
      <c r="AH12" s="62" t="s">
        <v>150</v>
      </c>
      <c r="AI12" s="61"/>
      <c r="AJ12" s="61"/>
      <c r="AK12" s="61"/>
      <c r="AL12" s="61"/>
      <c r="AM12" s="61"/>
      <c r="AN12" s="61"/>
      <c r="AO12" s="60"/>
      <c r="AP12" s="62" t="s">
        <v>148</v>
      </c>
      <c r="AQ12" s="61"/>
      <c r="AR12" s="61"/>
      <c r="AS12" s="61"/>
      <c r="AT12" s="61"/>
      <c r="AU12" s="61"/>
      <c r="AV12" s="61"/>
      <c r="AW12" s="60"/>
      <c r="AX12" s="62" t="s">
        <v>149</v>
      </c>
      <c r="AY12" s="61"/>
      <c r="AZ12" s="61"/>
      <c r="BA12" s="61"/>
      <c r="BB12" s="61"/>
      <c r="BC12" s="61"/>
      <c r="BD12" s="61"/>
      <c r="BE12" s="60"/>
      <c r="BF12" s="62" t="s">
        <v>148</v>
      </c>
      <c r="BG12" s="61"/>
      <c r="BH12" s="61"/>
      <c r="BI12" s="61"/>
      <c r="BJ12" s="61"/>
      <c r="BK12" s="61"/>
      <c r="BL12" s="61"/>
      <c r="BM12" s="60"/>
    </row>
    <row r="13" spans="1:65" ht="15" customHeight="1" x14ac:dyDescent="0.2">
      <c r="A13" s="55" t="s">
        <v>109</v>
      </c>
      <c r="B13" s="59" t="s">
        <v>147</v>
      </c>
      <c r="C13" s="58"/>
      <c r="D13" s="58"/>
      <c r="E13" s="58"/>
      <c r="F13" s="58"/>
      <c r="G13" s="58"/>
      <c r="H13" s="58"/>
      <c r="I13" s="57"/>
      <c r="J13" s="59" t="s">
        <v>146</v>
      </c>
      <c r="K13" s="58"/>
      <c r="L13" s="58"/>
      <c r="M13" s="58"/>
      <c r="N13" s="58"/>
      <c r="O13" s="58"/>
      <c r="P13" s="58"/>
      <c r="Q13" s="57"/>
      <c r="R13" s="59" t="s">
        <v>145</v>
      </c>
      <c r="S13" s="58"/>
      <c r="T13" s="58"/>
      <c r="U13" s="58"/>
      <c r="V13" s="58"/>
      <c r="W13" s="58"/>
      <c r="X13" s="58"/>
      <c r="Y13" s="57"/>
      <c r="Z13" s="59" t="s">
        <v>144</v>
      </c>
      <c r="AA13" s="58"/>
      <c r="AB13" s="58"/>
      <c r="AC13" s="58"/>
      <c r="AD13" s="58"/>
      <c r="AE13" s="58"/>
      <c r="AF13" s="58"/>
      <c r="AG13" s="57"/>
      <c r="AH13" s="59" t="s">
        <v>143</v>
      </c>
      <c r="AI13" s="58"/>
      <c r="AJ13" s="58"/>
      <c r="AK13" s="58"/>
      <c r="AL13" s="58"/>
      <c r="AM13" s="58"/>
      <c r="AN13" s="58"/>
      <c r="AO13" s="57"/>
      <c r="AP13" s="59" t="s">
        <v>142</v>
      </c>
      <c r="AQ13" s="58"/>
      <c r="AR13" s="58"/>
      <c r="AS13" s="58"/>
      <c r="AT13" s="58"/>
      <c r="AU13" s="58"/>
      <c r="AV13" s="58"/>
      <c r="AW13" s="57"/>
      <c r="AX13" s="59" t="s">
        <v>141</v>
      </c>
      <c r="AY13" s="58"/>
      <c r="AZ13" s="58"/>
      <c r="BA13" s="58"/>
      <c r="BB13" s="58"/>
      <c r="BC13" s="58"/>
      <c r="BD13" s="58"/>
      <c r="BE13" s="57"/>
      <c r="BF13" s="59" t="s">
        <v>140</v>
      </c>
      <c r="BG13" s="58"/>
      <c r="BH13" s="58"/>
      <c r="BI13" s="58"/>
      <c r="BJ13" s="58"/>
      <c r="BK13" s="58"/>
      <c r="BL13" s="58"/>
      <c r="BM13" s="57"/>
    </row>
    <row r="14" spans="1:65" ht="15" customHeight="1" x14ac:dyDescent="0.2">
      <c r="A14" s="56" t="s">
        <v>9</v>
      </c>
      <c r="B14" s="56" t="s">
        <v>139</v>
      </c>
      <c r="C14" s="56" t="s">
        <v>138</v>
      </c>
      <c r="D14" s="56" t="s">
        <v>137</v>
      </c>
      <c r="E14" s="56" t="s">
        <v>136</v>
      </c>
      <c r="F14" s="56" t="s">
        <v>135</v>
      </c>
      <c r="G14" s="56" t="s">
        <v>134</v>
      </c>
      <c r="H14" s="56" t="s">
        <v>133</v>
      </c>
      <c r="I14" s="56" t="s">
        <v>132</v>
      </c>
      <c r="J14" s="56" t="s">
        <v>139</v>
      </c>
      <c r="K14" s="56" t="s">
        <v>138</v>
      </c>
      <c r="L14" s="56" t="s">
        <v>137</v>
      </c>
      <c r="M14" s="56" t="s">
        <v>136</v>
      </c>
      <c r="N14" s="56" t="s">
        <v>135</v>
      </c>
      <c r="O14" s="56" t="s">
        <v>134</v>
      </c>
      <c r="P14" s="56" t="s">
        <v>133</v>
      </c>
      <c r="Q14" s="56" t="s">
        <v>132</v>
      </c>
      <c r="R14" s="56" t="s">
        <v>139</v>
      </c>
      <c r="S14" s="56" t="s">
        <v>138</v>
      </c>
      <c r="T14" s="56" t="s">
        <v>137</v>
      </c>
      <c r="U14" s="56" t="s">
        <v>136</v>
      </c>
      <c r="V14" s="56" t="s">
        <v>135</v>
      </c>
      <c r="W14" s="56" t="s">
        <v>134</v>
      </c>
      <c r="X14" s="56" t="s">
        <v>133</v>
      </c>
      <c r="Y14" s="56" t="s">
        <v>132</v>
      </c>
      <c r="Z14" s="56" t="s">
        <v>139</v>
      </c>
      <c r="AA14" s="56" t="s">
        <v>138</v>
      </c>
      <c r="AB14" s="56" t="s">
        <v>137</v>
      </c>
      <c r="AC14" s="56" t="s">
        <v>136</v>
      </c>
      <c r="AD14" s="56" t="s">
        <v>135</v>
      </c>
      <c r="AE14" s="56" t="s">
        <v>134</v>
      </c>
      <c r="AF14" s="56" t="s">
        <v>133</v>
      </c>
      <c r="AG14" s="56" t="s">
        <v>132</v>
      </c>
      <c r="AH14" s="56" t="s">
        <v>139</v>
      </c>
      <c r="AI14" s="56" t="s">
        <v>138</v>
      </c>
      <c r="AJ14" s="56" t="s">
        <v>137</v>
      </c>
      <c r="AK14" s="56" t="s">
        <v>136</v>
      </c>
      <c r="AL14" s="56" t="s">
        <v>135</v>
      </c>
      <c r="AM14" s="56" t="s">
        <v>134</v>
      </c>
      <c r="AN14" s="56" t="s">
        <v>133</v>
      </c>
      <c r="AO14" s="56" t="s">
        <v>132</v>
      </c>
      <c r="AP14" s="56" t="s">
        <v>139</v>
      </c>
      <c r="AQ14" s="56" t="s">
        <v>138</v>
      </c>
      <c r="AR14" s="56" t="s">
        <v>137</v>
      </c>
      <c r="AS14" s="56" t="s">
        <v>136</v>
      </c>
      <c r="AT14" s="56" t="s">
        <v>135</v>
      </c>
      <c r="AU14" s="56" t="s">
        <v>134</v>
      </c>
      <c r="AV14" s="56" t="s">
        <v>133</v>
      </c>
      <c r="AW14" s="56" t="s">
        <v>132</v>
      </c>
      <c r="AX14" s="56" t="s">
        <v>139</v>
      </c>
      <c r="AY14" s="56" t="s">
        <v>138</v>
      </c>
      <c r="AZ14" s="56" t="s">
        <v>137</v>
      </c>
      <c r="BA14" s="56" t="s">
        <v>136</v>
      </c>
      <c r="BB14" s="56" t="s">
        <v>135</v>
      </c>
      <c r="BC14" s="56" t="s">
        <v>134</v>
      </c>
      <c r="BD14" s="56" t="s">
        <v>133</v>
      </c>
      <c r="BE14" s="56" t="s">
        <v>132</v>
      </c>
      <c r="BF14" s="56" t="s">
        <v>139</v>
      </c>
      <c r="BG14" s="56" t="s">
        <v>138</v>
      </c>
      <c r="BH14" s="56" t="s">
        <v>137</v>
      </c>
      <c r="BI14" s="56" t="s">
        <v>136</v>
      </c>
      <c r="BJ14" s="56" t="s">
        <v>135</v>
      </c>
      <c r="BK14" s="56" t="s">
        <v>134</v>
      </c>
      <c r="BL14" s="56" t="s">
        <v>133</v>
      </c>
      <c r="BM14" s="56" t="s">
        <v>132</v>
      </c>
    </row>
    <row r="15" spans="1:65" ht="15" customHeight="1" x14ac:dyDescent="0.2">
      <c r="A15" s="55" t="s">
        <v>131</v>
      </c>
      <c r="B15" s="55" t="s">
        <v>109</v>
      </c>
      <c r="C15" s="55" t="s">
        <v>109</v>
      </c>
      <c r="D15" s="55" t="s">
        <v>109</v>
      </c>
      <c r="E15" s="55" t="s">
        <v>109</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2</v>
      </c>
      <c r="AL15" s="55" t="s">
        <v>109</v>
      </c>
      <c r="AM15" s="55">
        <v>0</v>
      </c>
      <c r="AN15" s="55" t="s">
        <v>109</v>
      </c>
      <c r="AO15" s="55" t="s">
        <v>109</v>
      </c>
      <c r="AP15" s="55" t="s">
        <v>109</v>
      </c>
      <c r="AQ15" s="55" t="s">
        <v>109</v>
      </c>
      <c r="AR15" s="55" t="s">
        <v>109</v>
      </c>
      <c r="AS15" s="55" t="s">
        <v>109</v>
      </c>
      <c r="AT15" s="55" t="s">
        <v>109</v>
      </c>
      <c r="AU15" s="55" t="s">
        <v>109</v>
      </c>
      <c r="AV15" s="55" t="s">
        <v>109</v>
      </c>
      <c r="AW15" s="55" t="s">
        <v>109</v>
      </c>
      <c r="AX15" s="55" t="s">
        <v>109</v>
      </c>
      <c r="AY15" s="55">
        <v>0</v>
      </c>
      <c r="AZ15" s="55" t="s">
        <v>109</v>
      </c>
      <c r="BA15" s="55">
        <v>1</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130</v>
      </c>
      <c r="B16" s="55" t="s">
        <v>109</v>
      </c>
      <c r="C16" s="55" t="s">
        <v>109</v>
      </c>
      <c r="D16" s="55" t="s">
        <v>109</v>
      </c>
      <c r="E16" s="55" t="s">
        <v>109</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1</v>
      </c>
      <c r="AL16" s="55" t="s">
        <v>109</v>
      </c>
      <c r="AM16" s="55">
        <v>0</v>
      </c>
      <c r="AN16" s="55" t="s">
        <v>109</v>
      </c>
      <c r="AO16" s="55" t="s">
        <v>109</v>
      </c>
      <c r="AP16" s="55" t="s">
        <v>109</v>
      </c>
      <c r="AQ16" s="55" t="s">
        <v>109</v>
      </c>
      <c r="AR16" s="55" t="s">
        <v>109</v>
      </c>
      <c r="AS16" s="55" t="s">
        <v>109</v>
      </c>
      <c r="AT16" s="55" t="s">
        <v>109</v>
      </c>
      <c r="AU16" s="55" t="s">
        <v>109</v>
      </c>
      <c r="AV16" s="55" t="s">
        <v>109</v>
      </c>
      <c r="AW16" s="55" t="s">
        <v>109</v>
      </c>
      <c r="AX16" s="55" t="s">
        <v>109</v>
      </c>
      <c r="AY16" s="55">
        <v>0</v>
      </c>
      <c r="AZ16" s="55" t="s">
        <v>109</v>
      </c>
      <c r="BA16" s="55">
        <v>0</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129</v>
      </c>
      <c r="B17" s="55" t="s">
        <v>109</v>
      </c>
      <c r="C17" s="55" t="s">
        <v>109</v>
      </c>
      <c r="D17" s="55" t="s">
        <v>109</v>
      </c>
      <c r="E17" s="55" t="s">
        <v>109</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1</v>
      </c>
      <c r="AL17" s="55" t="s">
        <v>109</v>
      </c>
      <c r="AM17" s="55">
        <v>0</v>
      </c>
      <c r="AN17" s="55" t="s">
        <v>109</v>
      </c>
      <c r="AO17" s="55" t="s">
        <v>109</v>
      </c>
      <c r="AP17" s="55" t="s">
        <v>109</v>
      </c>
      <c r="AQ17" s="55" t="s">
        <v>109</v>
      </c>
      <c r="AR17" s="55" t="s">
        <v>109</v>
      </c>
      <c r="AS17" s="55" t="s">
        <v>109</v>
      </c>
      <c r="AT17" s="55" t="s">
        <v>109</v>
      </c>
      <c r="AU17" s="55" t="s">
        <v>109</v>
      </c>
      <c r="AV17" s="55" t="s">
        <v>109</v>
      </c>
      <c r="AW17" s="55" t="s">
        <v>109</v>
      </c>
      <c r="AX17" s="55" t="s">
        <v>109</v>
      </c>
      <c r="AY17" s="55">
        <v>0</v>
      </c>
      <c r="AZ17" s="55" t="s">
        <v>109</v>
      </c>
      <c r="BA17" s="55">
        <v>1</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128</v>
      </c>
      <c r="B18" s="55" t="s">
        <v>109</v>
      </c>
      <c r="C18" s="55" t="s">
        <v>109</v>
      </c>
      <c r="D18" s="55" t="s">
        <v>109</v>
      </c>
      <c r="E18" s="55" t="s">
        <v>109</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2</v>
      </c>
      <c r="AL18" s="55" t="s">
        <v>109</v>
      </c>
      <c r="AM18" s="55">
        <v>0</v>
      </c>
      <c r="AN18" s="55" t="s">
        <v>109</v>
      </c>
      <c r="AO18" s="55" t="s">
        <v>109</v>
      </c>
      <c r="AP18" s="55" t="s">
        <v>109</v>
      </c>
      <c r="AQ18" s="55" t="s">
        <v>109</v>
      </c>
      <c r="AR18" s="55" t="s">
        <v>109</v>
      </c>
      <c r="AS18" s="55" t="s">
        <v>109</v>
      </c>
      <c r="AT18" s="55" t="s">
        <v>109</v>
      </c>
      <c r="AU18" s="55" t="s">
        <v>109</v>
      </c>
      <c r="AV18" s="55" t="s">
        <v>109</v>
      </c>
      <c r="AW18" s="55" t="s">
        <v>109</v>
      </c>
      <c r="AX18" s="55" t="s">
        <v>109</v>
      </c>
      <c r="AY18" s="55">
        <v>0</v>
      </c>
      <c r="AZ18" s="55" t="s">
        <v>109</v>
      </c>
      <c r="BA18" s="55">
        <v>1</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127</v>
      </c>
      <c r="B19" s="55" t="s">
        <v>109</v>
      </c>
      <c r="C19" s="55" t="s">
        <v>109</v>
      </c>
      <c r="D19" s="55" t="s">
        <v>109</v>
      </c>
      <c r="E19" s="55" t="s">
        <v>109</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3</v>
      </c>
      <c r="AL19" s="55" t="s">
        <v>109</v>
      </c>
      <c r="AM19" s="55">
        <v>0</v>
      </c>
      <c r="AN19" s="55" t="s">
        <v>109</v>
      </c>
      <c r="AO19" s="55" t="s">
        <v>109</v>
      </c>
      <c r="AP19" s="55" t="s">
        <v>109</v>
      </c>
      <c r="AQ19" s="55" t="s">
        <v>109</v>
      </c>
      <c r="AR19" s="55" t="s">
        <v>109</v>
      </c>
      <c r="AS19" s="55" t="s">
        <v>109</v>
      </c>
      <c r="AT19" s="55" t="s">
        <v>109</v>
      </c>
      <c r="AU19" s="55" t="s">
        <v>109</v>
      </c>
      <c r="AV19" s="55" t="s">
        <v>109</v>
      </c>
      <c r="AW19" s="55" t="s">
        <v>109</v>
      </c>
      <c r="AX19" s="55" t="s">
        <v>109</v>
      </c>
      <c r="AY19" s="55">
        <v>0</v>
      </c>
      <c r="AZ19" s="55" t="s">
        <v>109</v>
      </c>
      <c r="BA19" s="55">
        <v>2</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126</v>
      </c>
      <c r="B20" s="55" t="s">
        <v>109</v>
      </c>
      <c r="C20" s="55" t="s">
        <v>109</v>
      </c>
      <c r="D20" s="55" t="s">
        <v>109</v>
      </c>
      <c r="E20" s="55" t="s">
        <v>109</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0</v>
      </c>
      <c r="AL20" s="55" t="s">
        <v>109</v>
      </c>
      <c r="AM20" s="55">
        <v>0</v>
      </c>
      <c r="AN20" s="55" t="s">
        <v>109</v>
      </c>
      <c r="AO20" s="55" t="s">
        <v>109</v>
      </c>
      <c r="AP20" s="55" t="s">
        <v>109</v>
      </c>
      <c r="AQ20" s="55" t="s">
        <v>109</v>
      </c>
      <c r="AR20" s="55" t="s">
        <v>109</v>
      </c>
      <c r="AS20" s="55" t="s">
        <v>109</v>
      </c>
      <c r="AT20" s="55" t="s">
        <v>109</v>
      </c>
      <c r="AU20" s="55" t="s">
        <v>109</v>
      </c>
      <c r="AV20" s="55" t="s">
        <v>109</v>
      </c>
      <c r="AW20" s="55" t="s">
        <v>109</v>
      </c>
      <c r="AX20" s="55" t="s">
        <v>109</v>
      </c>
      <c r="AY20" s="55">
        <v>0</v>
      </c>
      <c r="AZ20" s="55" t="s">
        <v>109</v>
      </c>
      <c r="BA20" s="55">
        <v>2</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125</v>
      </c>
      <c r="B21" s="55" t="s">
        <v>109</v>
      </c>
      <c r="C21" s="55" t="s">
        <v>109</v>
      </c>
      <c r="D21" s="55" t="s">
        <v>109</v>
      </c>
      <c r="E21" s="55" t="s">
        <v>109</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2</v>
      </c>
      <c r="AL21" s="55" t="s">
        <v>109</v>
      </c>
      <c r="AM21" s="55">
        <v>0</v>
      </c>
      <c r="AN21" s="55" t="s">
        <v>109</v>
      </c>
      <c r="AO21" s="55" t="s">
        <v>109</v>
      </c>
      <c r="AP21" s="55" t="s">
        <v>109</v>
      </c>
      <c r="AQ21" s="55" t="s">
        <v>109</v>
      </c>
      <c r="AR21" s="55" t="s">
        <v>109</v>
      </c>
      <c r="AS21" s="55" t="s">
        <v>109</v>
      </c>
      <c r="AT21" s="55" t="s">
        <v>109</v>
      </c>
      <c r="AU21" s="55" t="s">
        <v>109</v>
      </c>
      <c r="AV21" s="55" t="s">
        <v>109</v>
      </c>
      <c r="AW21" s="55" t="s">
        <v>109</v>
      </c>
      <c r="AX21" s="55" t="s">
        <v>109</v>
      </c>
      <c r="AY21" s="55">
        <v>0</v>
      </c>
      <c r="AZ21" s="55" t="s">
        <v>109</v>
      </c>
      <c r="BA21" s="55">
        <v>1</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124</v>
      </c>
      <c r="B22" s="55" t="s">
        <v>109</v>
      </c>
      <c r="C22" s="55" t="s">
        <v>109</v>
      </c>
      <c r="D22" s="55" t="s">
        <v>109</v>
      </c>
      <c r="E22" s="55" t="s">
        <v>109</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1</v>
      </c>
      <c r="AL22" s="55" t="s">
        <v>109</v>
      </c>
      <c r="AM22" s="55">
        <v>1</v>
      </c>
      <c r="AN22" s="55" t="s">
        <v>109</v>
      </c>
      <c r="AO22" s="55" t="s">
        <v>109</v>
      </c>
      <c r="AP22" s="55" t="s">
        <v>109</v>
      </c>
      <c r="AQ22" s="55" t="s">
        <v>109</v>
      </c>
      <c r="AR22" s="55" t="s">
        <v>109</v>
      </c>
      <c r="AS22" s="55" t="s">
        <v>109</v>
      </c>
      <c r="AT22" s="55" t="s">
        <v>109</v>
      </c>
      <c r="AU22" s="55" t="s">
        <v>109</v>
      </c>
      <c r="AV22" s="55" t="s">
        <v>109</v>
      </c>
      <c r="AW22" s="55" t="s">
        <v>109</v>
      </c>
      <c r="AX22" s="55" t="s">
        <v>109</v>
      </c>
      <c r="AY22" s="55">
        <v>0</v>
      </c>
      <c r="AZ22" s="55" t="s">
        <v>109</v>
      </c>
      <c r="BA22" s="55">
        <v>1</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123</v>
      </c>
      <c r="B23" s="55" t="s">
        <v>109</v>
      </c>
      <c r="C23" s="55" t="s">
        <v>109</v>
      </c>
      <c r="D23" s="55" t="s">
        <v>109</v>
      </c>
      <c r="E23" s="55" t="s">
        <v>109</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0</v>
      </c>
      <c r="AL23" s="55" t="s">
        <v>109</v>
      </c>
      <c r="AM23" s="55">
        <v>0</v>
      </c>
      <c r="AN23" s="55" t="s">
        <v>109</v>
      </c>
      <c r="AO23" s="55" t="s">
        <v>109</v>
      </c>
      <c r="AP23" s="55" t="s">
        <v>109</v>
      </c>
      <c r="AQ23" s="55" t="s">
        <v>109</v>
      </c>
      <c r="AR23" s="55" t="s">
        <v>109</v>
      </c>
      <c r="AS23" s="55" t="s">
        <v>109</v>
      </c>
      <c r="AT23" s="55" t="s">
        <v>109</v>
      </c>
      <c r="AU23" s="55" t="s">
        <v>109</v>
      </c>
      <c r="AV23" s="55" t="s">
        <v>109</v>
      </c>
      <c r="AW23" s="55" t="s">
        <v>109</v>
      </c>
      <c r="AX23" s="55" t="s">
        <v>109</v>
      </c>
      <c r="AY23" s="55">
        <v>0</v>
      </c>
      <c r="AZ23" s="55" t="s">
        <v>109</v>
      </c>
      <c r="BA23" s="55">
        <v>0</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122</v>
      </c>
      <c r="B24" s="55" t="s">
        <v>109</v>
      </c>
      <c r="C24" s="55" t="s">
        <v>109</v>
      </c>
      <c r="D24" s="55" t="s">
        <v>109</v>
      </c>
      <c r="E24" s="55" t="s">
        <v>109</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1</v>
      </c>
      <c r="AL24" s="55" t="s">
        <v>109</v>
      </c>
      <c r="AM24" s="55">
        <v>0</v>
      </c>
      <c r="AN24" s="55" t="s">
        <v>109</v>
      </c>
      <c r="AO24" s="55" t="s">
        <v>109</v>
      </c>
      <c r="AP24" s="55" t="s">
        <v>109</v>
      </c>
      <c r="AQ24" s="55" t="s">
        <v>109</v>
      </c>
      <c r="AR24" s="55" t="s">
        <v>109</v>
      </c>
      <c r="AS24" s="55" t="s">
        <v>109</v>
      </c>
      <c r="AT24" s="55" t="s">
        <v>109</v>
      </c>
      <c r="AU24" s="55" t="s">
        <v>109</v>
      </c>
      <c r="AV24" s="55" t="s">
        <v>109</v>
      </c>
      <c r="AW24" s="55" t="s">
        <v>109</v>
      </c>
      <c r="AX24" s="55" t="s">
        <v>109</v>
      </c>
      <c r="AY24" s="55">
        <v>0</v>
      </c>
      <c r="AZ24" s="55" t="s">
        <v>109</v>
      </c>
      <c r="BA24" s="55">
        <v>1</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121</v>
      </c>
      <c r="B25" s="55" t="s">
        <v>109</v>
      </c>
      <c r="C25" s="55" t="s">
        <v>109</v>
      </c>
      <c r="D25" s="55" t="s">
        <v>109</v>
      </c>
      <c r="E25" s="55" t="s">
        <v>109</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2</v>
      </c>
      <c r="AL25" s="55" t="s">
        <v>109</v>
      </c>
      <c r="AM25" s="55">
        <v>0</v>
      </c>
      <c r="AN25" s="55" t="s">
        <v>109</v>
      </c>
      <c r="AO25" s="55" t="s">
        <v>109</v>
      </c>
      <c r="AP25" s="55" t="s">
        <v>109</v>
      </c>
      <c r="AQ25" s="55" t="s">
        <v>109</v>
      </c>
      <c r="AR25" s="55" t="s">
        <v>109</v>
      </c>
      <c r="AS25" s="55" t="s">
        <v>109</v>
      </c>
      <c r="AT25" s="55" t="s">
        <v>109</v>
      </c>
      <c r="AU25" s="55" t="s">
        <v>109</v>
      </c>
      <c r="AV25" s="55" t="s">
        <v>109</v>
      </c>
      <c r="AW25" s="55" t="s">
        <v>109</v>
      </c>
      <c r="AX25" s="55" t="s">
        <v>109</v>
      </c>
      <c r="AY25" s="55">
        <v>0</v>
      </c>
      <c r="AZ25" s="55" t="s">
        <v>109</v>
      </c>
      <c r="BA25" s="55">
        <v>0</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120</v>
      </c>
      <c r="B26" s="55" t="s">
        <v>109</v>
      </c>
      <c r="C26" s="55" t="s">
        <v>109</v>
      </c>
      <c r="D26" s="55" t="s">
        <v>109</v>
      </c>
      <c r="E26" s="55" t="s">
        <v>109</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2</v>
      </c>
      <c r="AL26" s="55" t="s">
        <v>109</v>
      </c>
      <c r="AM26" s="55">
        <v>0</v>
      </c>
      <c r="AN26" s="55" t="s">
        <v>109</v>
      </c>
      <c r="AO26" s="55" t="s">
        <v>109</v>
      </c>
      <c r="AP26" s="55" t="s">
        <v>109</v>
      </c>
      <c r="AQ26" s="55" t="s">
        <v>109</v>
      </c>
      <c r="AR26" s="55" t="s">
        <v>109</v>
      </c>
      <c r="AS26" s="55" t="s">
        <v>109</v>
      </c>
      <c r="AT26" s="55" t="s">
        <v>109</v>
      </c>
      <c r="AU26" s="55" t="s">
        <v>109</v>
      </c>
      <c r="AV26" s="55" t="s">
        <v>109</v>
      </c>
      <c r="AW26" s="55" t="s">
        <v>109</v>
      </c>
      <c r="AX26" s="55" t="s">
        <v>109</v>
      </c>
      <c r="AY26" s="55">
        <v>0</v>
      </c>
      <c r="AZ26" s="55" t="s">
        <v>109</v>
      </c>
      <c r="BA26" s="55">
        <v>2</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119</v>
      </c>
      <c r="B27" s="55" t="s">
        <v>109</v>
      </c>
      <c r="C27" s="55" t="s">
        <v>109</v>
      </c>
      <c r="D27" s="55" t="s">
        <v>109</v>
      </c>
      <c r="E27" s="55" t="s">
        <v>109</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1</v>
      </c>
      <c r="AL27" s="55" t="s">
        <v>109</v>
      </c>
      <c r="AM27" s="55">
        <v>0</v>
      </c>
      <c r="AN27" s="55" t="s">
        <v>109</v>
      </c>
      <c r="AO27" s="55" t="s">
        <v>109</v>
      </c>
      <c r="AP27" s="55" t="s">
        <v>109</v>
      </c>
      <c r="AQ27" s="55" t="s">
        <v>109</v>
      </c>
      <c r="AR27" s="55" t="s">
        <v>109</v>
      </c>
      <c r="AS27" s="55" t="s">
        <v>109</v>
      </c>
      <c r="AT27" s="55" t="s">
        <v>109</v>
      </c>
      <c r="AU27" s="55" t="s">
        <v>109</v>
      </c>
      <c r="AV27" s="55" t="s">
        <v>109</v>
      </c>
      <c r="AW27" s="55" t="s">
        <v>109</v>
      </c>
      <c r="AX27" s="55" t="s">
        <v>109</v>
      </c>
      <c r="AY27" s="55">
        <v>0</v>
      </c>
      <c r="AZ27" s="55" t="s">
        <v>109</v>
      </c>
      <c r="BA27" s="55">
        <v>1</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118</v>
      </c>
      <c r="B28" s="55" t="s">
        <v>109</v>
      </c>
      <c r="C28" s="55" t="s">
        <v>109</v>
      </c>
      <c r="D28" s="55" t="s">
        <v>109</v>
      </c>
      <c r="E28" s="55" t="s">
        <v>109</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t="s">
        <v>109</v>
      </c>
      <c r="AM28" s="55">
        <v>0</v>
      </c>
      <c r="AN28" s="55" t="s">
        <v>109</v>
      </c>
      <c r="AO28" s="55" t="s">
        <v>109</v>
      </c>
      <c r="AP28" s="55" t="s">
        <v>109</v>
      </c>
      <c r="AQ28" s="55" t="s">
        <v>109</v>
      </c>
      <c r="AR28" s="55" t="s">
        <v>109</v>
      </c>
      <c r="AS28" s="55" t="s">
        <v>109</v>
      </c>
      <c r="AT28" s="55" t="s">
        <v>109</v>
      </c>
      <c r="AU28" s="55" t="s">
        <v>109</v>
      </c>
      <c r="AV28" s="55" t="s">
        <v>109</v>
      </c>
      <c r="AW28" s="55" t="s">
        <v>109</v>
      </c>
      <c r="AX28" s="55" t="s">
        <v>109</v>
      </c>
      <c r="AY28" s="55">
        <v>0</v>
      </c>
      <c r="AZ28" s="55" t="s">
        <v>109</v>
      </c>
      <c r="BA28" s="55">
        <v>0</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117</v>
      </c>
      <c r="B29" s="55" t="s">
        <v>109</v>
      </c>
      <c r="C29" s="55" t="s">
        <v>109</v>
      </c>
      <c r="D29" s="55" t="s">
        <v>109</v>
      </c>
      <c r="E29" s="55" t="s">
        <v>109</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5</v>
      </c>
      <c r="AL29" s="55" t="s">
        <v>109</v>
      </c>
      <c r="AM29" s="55">
        <v>0</v>
      </c>
      <c r="AN29" s="55" t="s">
        <v>109</v>
      </c>
      <c r="AO29" s="55" t="s">
        <v>109</v>
      </c>
      <c r="AP29" s="55" t="s">
        <v>109</v>
      </c>
      <c r="AQ29" s="55" t="s">
        <v>109</v>
      </c>
      <c r="AR29" s="55" t="s">
        <v>109</v>
      </c>
      <c r="AS29" s="55" t="s">
        <v>109</v>
      </c>
      <c r="AT29" s="55" t="s">
        <v>109</v>
      </c>
      <c r="AU29" s="55" t="s">
        <v>109</v>
      </c>
      <c r="AV29" s="55" t="s">
        <v>109</v>
      </c>
      <c r="AW29" s="55" t="s">
        <v>109</v>
      </c>
      <c r="AX29" s="55" t="s">
        <v>109</v>
      </c>
      <c r="AY29" s="55">
        <v>0</v>
      </c>
      <c r="AZ29" s="55" t="s">
        <v>109</v>
      </c>
      <c r="BA29" s="55">
        <v>0</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116</v>
      </c>
      <c r="B30" s="55" t="s">
        <v>109</v>
      </c>
      <c r="C30" s="55" t="s">
        <v>109</v>
      </c>
      <c r="D30" s="55" t="s">
        <v>109</v>
      </c>
      <c r="E30" s="55" t="s">
        <v>109</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5</v>
      </c>
      <c r="AL30" s="55" t="s">
        <v>109</v>
      </c>
      <c r="AM30" s="55">
        <v>0</v>
      </c>
      <c r="AN30" s="55" t="s">
        <v>109</v>
      </c>
      <c r="AO30" s="55" t="s">
        <v>109</v>
      </c>
      <c r="AP30" s="55" t="s">
        <v>109</v>
      </c>
      <c r="AQ30" s="55" t="s">
        <v>109</v>
      </c>
      <c r="AR30" s="55" t="s">
        <v>109</v>
      </c>
      <c r="AS30" s="55" t="s">
        <v>109</v>
      </c>
      <c r="AT30" s="55" t="s">
        <v>109</v>
      </c>
      <c r="AU30" s="55" t="s">
        <v>109</v>
      </c>
      <c r="AV30" s="55" t="s">
        <v>109</v>
      </c>
      <c r="AW30" s="55" t="s">
        <v>109</v>
      </c>
      <c r="AX30" s="55" t="s">
        <v>109</v>
      </c>
      <c r="AY30" s="55">
        <v>1</v>
      </c>
      <c r="AZ30" s="55" t="s">
        <v>109</v>
      </c>
      <c r="BA30" s="55">
        <v>2</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115</v>
      </c>
      <c r="B31" s="55" t="s">
        <v>109</v>
      </c>
      <c r="C31" s="55" t="s">
        <v>109</v>
      </c>
      <c r="D31" s="55" t="s">
        <v>109</v>
      </c>
      <c r="E31" s="55" t="s">
        <v>109</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4</v>
      </c>
      <c r="AL31" s="55" t="s">
        <v>109</v>
      </c>
      <c r="AM31" s="55">
        <v>0</v>
      </c>
      <c r="AN31" s="55" t="s">
        <v>109</v>
      </c>
      <c r="AO31" s="55" t="s">
        <v>109</v>
      </c>
      <c r="AP31" s="55" t="s">
        <v>109</v>
      </c>
      <c r="AQ31" s="55" t="s">
        <v>109</v>
      </c>
      <c r="AR31" s="55" t="s">
        <v>109</v>
      </c>
      <c r="AS31" s="55" t="s">
        <v>109</v>
      </c>
      <c r="AT31" s="55" t="s">
        <v>109</v>
      </c>
      <c r="AU31" s="55" t="s">
        <v>109</v>
      </c>
      <c r="AV31" s="55" t="s">
        <v>109</v>
      </c>
      <c r="AW31" s="55" t="s">
        <v>109</v>
      </c>
      <c r="AX31" s="55" t="s">
        <v>109</v>
      </c>
      <c r="AY31" s="55">
        <v>0</v>
      </c>
      <c r="AZ31" s="55" t="s">
        <v>109</v>
      </c>
      <c r="BA31" s="55">
        <v>3</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114</v>
      </c>
      <c r="B32" s="55" t="s">
        <v>109</v>
      </c>
      <c r="C32" s="55" t="s">
        <v>109</v>
      </c>
      <c r="D32" s="55" t="s">
        <v>109</v>
      </c>
      <c r="E32" s="55" t="s">
        <v>109</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7</v>
      </c>
      <c r="AL32" s="55" t="s">
        <v>109</v>
      </c>
      <c r="AM32" s="55">
        <v>0</v>
      </c>
      <c r="AN32" s="55" t="s">
        <v>109</v>
      </c>
      <c r="AO32" s="55" t="s">
        <v>109</v>
      </c>
      <c r="AP32" s="55" t="s">
        <v>109</v>
      </c>
      <c r="AQ32" s="55" t="s">
        <v>109</v>
      </c>
      <c r="AR32" s="55" t="s">
        <v>109</v>
      </c>
      <c r="AS32" s="55" t="s">
        <v>109</v>
      </c>
      <c r="AT32" s="55" t="s">
        <v>109</v>
      </c>
      <c r="AU32" s="55" t="s">
        <v>109</v>
      </c>
      <c r="AV32" s="55" t="s">
        <v>109</v>
      </c>
      <c r="AW32" s="55" t="s">
        <v>109</v>
      </c>
      <c r="AX32" s="55" t="s">
        <v>109</v>
      </c>
      <c r="AY32" s="55">
        <v>0</v>
      </c>
      <c r="AZ32" s="55" t="s">
        <v>109</v>
      </c>
      <c r="BA32" s="55">
        <v>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113</v>
      </c>
      <c r="B33" s="55" t="s">
        <v>109</v>
      </c>
      <c r="C33" s="55" t="s">
        <v>109</v>
      </c>
      <c r="D33" s="55" t="s">
        <v>109</v>
      </c>
      <c r="E33" s="55" t="s">
        <v>109</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2</v>
      </c>
      <c r="AL33" s="55" t="s">
        <v>109</v>
      </c>
      <c r="AM33" s="55">
        <v>0</v>
      </c>
      <c r="AN33" s="55" t="s">
        <v>109</v>
      </c>
      <c r="AO33" s="55" t="s">
        <v>109</v>
      </c>
      <c r="AP33" s="55" t="s">
        <v>109</v>
      </c>
      <c r="AQ33" s="55" t="s">
        <v>109</v>
      </c>
      <c r="AR33" s="55" t="s">
        <v>109</v>
      </c>
      <c r="AS33" s="55" t="s">
        <v>109</v>
      </c>
      <c r="AT33" s="55" t="s">
        <v>109</v>
      </c>
      <c r="AU33" s="55" t="s">
        <v>109</v>
      </c>
      <c r="AV33" s="55" t="s">
        <v>109</v>
      </c>
      <c r="AW33" s="55" t="s">
        <v>109</v>
      </c>
      <c r="AX33" s="55" t="s">
        <v>109</v>
      </c>
      <c r="AY33" s="55">
        <v>1</v>
      </c>
      <c r="AZ33" s="55" t="s">
        <v>109</v>
      </c>
      <c r="BA33" s="55">
        <v>4</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112</v>
      </c>
      <c r="B34" s="55" t="s">
        <v>109</v>
      </c>
      <c r="C34" s="55" t="s">
        <v>109</v>
      </c>
      <c r="D34" s="55" t="s">
        <v>109</v>
      </c>
      <c r="E34" s="55" t="s">
        <v>109</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10</v>
      </c>
      <c r="AL34" s="55" t="s">
        <v>109</v>
      </c>
      <c r="AM34" s="55">
        <v>0</v>
      </c>
      <c r="AN34" s="55" t="s">
        <v>109</v>
      </c>
      <c r="AO34" s="55" t="s">
        <v>109</v>
      </c>
      <c r="AP34" s="55" t="s">
        <v>109</v>
      </c>
      <c r="AQ34" s="55" t="s">
        <v>109</v>
      </c>
      <c r="AR34" s="55" t="s">
        <v>109</v>
      </c>
      <c r="AS34" s="55" t="s">
        <v>109</v>
      </c>
      <c r="AT34" s="55" t="s">
        <v>109</v>
      </c>
      <c r="AU34" s="55" t="s">
        <v>109</v>
      </c>
      <c r="AV34" s="55" t="s">
        <v>109</v>
      </c>
      <c r="AW34" s="55" t="s">
        <v>109</v>
      </c>
      <c r="AX34" s="55" t="s">
        <v>109</v>
      </c>
      <c r="AY34" s="55">
        <v>2</v>
      </c>
      <c r="AZ34" s="55" t="s">
        <v>109</v>
      </c>
      <c r="BA34" s="55">
        <v>7</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111</v>
      </c>
      <c r="B35" s="55" t="s">
        <v>109</v>
      </c>
      <c r="C35" s="55" t="s">
        <v>109</v>
      </c>
      <c r="D35" s="55" t="s">
        <v>109</v>
      </c>
      <c r="E35" s="55" t="s">
        <v>109</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6</v>
      </c>
      <c r="AL35" s="55" t="s">
        <v>109</v>
      </c>
      <c r="AM35" s="55">
        <v>0</v>
      </c>
      <c r="AN35" s="55" t="s">
        <v>109</v>
      </c>
      <c r="AO35" s="55" t="s">
        <v>109</v>
      </c>
      <c r="AP35" s="55" t="s">
        <v>109</v>
      </c>
      <c r="AQ35" s="55" t="s">
        <v>109</v>
      </c>
      <c r="AR35" s="55" t="s">
        <v>109</v>
      </c>
      <c r="AS35" s="55" t="s">
        <v>109</v>
      </c>
      <c r="AT35" s="55" t="s">
        <v>109</v>
      </c>
      <c r="AU35" s="55" t="s">
        <v>109</v>
      </c>
      <c r="AV35" s="55" t="s">
        <v>109</v>
      </c>
      <c r="AW35" s="55" t="s">
        <v>109</v>
      </c>
      <c r="AX35" s="55" t="s">
        <v>109</v>
      </c>
      <c r="AY35" s="55">
        <v>2</v>
      </c>
      <c r="AZ35" s="55" t="s">
        <v>109</v>
      </c>
      <c r="BA35" s="55">
        <v>0</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110</v>
      </c>
      <c r="B36" s="55" t="s">
        <v>109</v>
      </c>
      <c r="C36" s="55" t="s">
        <v>109</v>
      </c>
      <c r="D36" s="55" t="s">
        <v>109</v>
      </c>
      <c r="E36" s="55" t="s">
        <v>109</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4</v>
      </c>
      <c r="AL36" s="55" t="s">
        <v>109</v>
      </c>
      <c r="AM36" s="55">
        <v>0</v>
      </c>
      <c r="AN36" s="55" t="s">
        <v>109</v>
      </c>
      <c r="AO36" s="55" t="s">
        <v>109</v>
      </c>
      <c r="AP36" s="55" t="s">
        <v>109</v>
      </c>
      <c r="AQ36" s="55" t="s">
        <v>109</v>
      </c>
      <c r="AR36" s="55" t="s">
        <v>109</v>
      </c>
      <c r="AS36" s="55" t="s">
        <v>109</v>
      </c>
      <c r="AT36" s="55" t="s">
        <v>109</v>
      </c>
      <c r="AU36" s="55" t="s">
        <v>109</v>
      </c>
      <c r="AV36" s="55" t="s">
        <v>109</v>
      </c>
      <c r="AW36" s="55" t="s">
        <v>109</v>
      </c>
      <c r="AX36" s="55" t="s">
        <v>109</v>
      </c>
      <c r="AY36" s="55">
        <v>0</v>
      </c>
      <c r="AZ36" s="55" t="s">
        <v>109</v>
      </c>
      <c r="BA36" s="55">
        <v>5</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417F-F355-4B5F-9C25-DBC755A77B8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163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150</v>
      </c>
      <c r="C12" s="61"/>
      <c r="D12" s="61"/>
      <c r="E12" s="61"/>
      <c r="F12" s="61"/>
      <c r="G12" s="61"/>
      <c r="H12" s="61"/>
      <c r="I12" s="60"/>
      <c r="J12" s="62" t="s">
        <v>148</v>
      </c>
      <c r="K12" s="61"/>
      <c r="L12" s="61"/>
      <c r="M12" s="61"/>
      <c r="N12" s="61"/>
      <c r="O12" s="61"/>
      <c r="P12" s="61"/>
      <c r="Q12" s="60"/>
      <c r="R12" s="62" t="s">
        <v>151</v>
      </c>
      <c r="S12" s="61"/>
      <c r="T12" s="61"/>
      <c r="U12" s="61"/>
      <c r="V12" s="61"/>
      <c r="W12" s="61"/>
      <c r="X12" s="61"/>
      <c r="Y12" s="60"/>
      <c r="Z12" s="62" t="s">
        <v>148</v>
      </c>
      <c r="AA12" s="61"/>
      <c r="AB12" s="61"/>
      <c r="AC12" s="61"/>
      <c r="AD12" s="61"/>
      <c r="AE12" s="61"/>
      <c r="AF12" s="61"/>
      <c r="AG12" s="60"/>
      <c r="AH12" s="62" t="s">
        <v>150</v>
      </c>
      <c r="AI12" s="61"/>
      <c r="AJ12" s="61"/>
      <c r="AK12" s="61"/>
      <c r="AL12" s="61"/>
      <c r="AM12" s="61"/>
      <c r="AN12" s="61"/>
      <c r="AO12" s="60"/>
      <c r="AP12" s="62" t="s">
        <v>148</v>
      </c>
      <c r="AQ12" s="61"/>
      <c r="AR12" s="61"/>
      <c r="AS12" s="61"/>
      <c r="AT12" s="61"/>
      <c r="AU12" s="61"/>
      <c r="AV12" s="61"/>
      <c r="AW12" s="60"/>
      <c r="AX12" s="62" t="s">
        <v>149</v>
      </c>
      <c r="AY12" s="61"/>
      <c r="AZ12" s="61"/>
      <c r="BA12" s="61"/>
      <c r="BB12" s="61"/>
      <c r="BC12" s="61"/>
      <c r="BD12" s="61"/>
      <c r="BE12" s="60"/>
      <c r="BF12" s="62" t="s">
        <v>148</v>
      </c>
      <c r="BG12" s="61"/>
      <c r="BH12" s="61"/>
      <c r="BI12" s="61"/>
      <c r="BJ12" s="61"/>
      <c r="BK12" s="61"/>
      <c r="BL12" s="61"/>
      <c r="BM12" s="60"/>
    </row>
    <row r="13" spans="1:65" ht="15" customHeight="1" x14ac:dyDescent="0.2">
      <c r="A13" s="55" t="s">
        <v>109</v>
      </c>
      <c r="B13" s="59" t="s">
        <v>147</v>
      </c>
      <c r="C13" s="58"/>
      <c r="D13" s="58"/>
      <c r="E13" s="58"/>
      <c r="F13" s="58"/>
      <c r="G13" s="58"/>
      <c r="H13" s="58"/>
      <c r="I13" s="57"/>
      <c r="J13" s="59" t="s">
        <v>146</v>
      </c>
      <c r="K13" s="58"/>
      <c r="L13" s="58"/>
      <c r="M13" s="58"/>
      <c r="N13" s="58"/>
      <c r="O13" s="58"/>
      <c r="P13" s="58"/>
      <c r="Q13" s="57"/>
      <c r="R13" s="59" t="s">
        <v>145</v>
      </c>
      <c r="S13" s="58"/>
      <c r="T13" s="58"/>
      <c r="U13" s="58"/>
      <c r="V13" s="58"/>
      <c r="W13" s="58"/>
      <c r="X13" s="58"/>
      <c r="Y13" s="57"/>
      <c r="Z13" s="59" t="s">
        <v>144</v>
      </c>
      <c r="AA13" s="58"/>
      <c r="AB13" s="58"/>
      <c r="AC13" s="58"/>
      <c r="AD13" s="58"/>
      <c r="AE13" s="58"/>
      <c r="AF13" s="58"/>
      <c r="AG13" s="57"/>
      <c r="AH13" s="59" t="s">
        <v>143</v>
      </c>
      <c r="AI13" s="58"/>
      <c r="AJ13" s="58"/>
      <c r="AK13" s="58"/>
      <c r="AL13" s="58"/>
      <c r="AM13" s="58"/>
      <c r="AN13" s="58"/>
      <c r="AO13" s="57"/>
      <c r="AP13" s="59" t="s">
        <v>142</v>
      </c>
      <c r="AQ13" s="58"/>
      <c r="AR13" s="58"/>
      <c r="AS13" s="58"/>
      <c r="AT13" s="58"/>
      <c r="AU13" s="58"/>
      <c r="AV13" s="58"/>
      <c r="AW13" s="57"/>
      <c r="AX13" s="59" t="s">
        <v>141</v>
      </c>
      <c r="AY13" s="58"/>
      <c r="AZ13" s="58"/>
      <c r="BA13" s="58"/>
      <c r="BB13" s="58"/>
      <c r="BC13" s="58"/>
      <c r="BD13" s="58"/>
      <c r="BE13" s="57"/>
      <c r="BF13" s="59" t="s">
        <v>140</v>
      </c>
      <c r="BG13" s="58"/>
      <c r="BH13" s="58"/>
      <c r="BI13" s="58"/>
      <c r="BJ13" s="58"/>
      <c r="BK13" s="58"/>
      <c r="BL13" s="58"/>
      <c r="BM13" s="57"/>
    </row>
    <row r="14" spans="1:65" ht="15" customHeight="1" x14ac:dyDescent="0.2">
      <c r="A14" s="56" t="s">
        <v>9</v>
      </c>
      <c r="B14" s="56" t="s">
        <v>139</v>
      </c>
      <c r="C14" s="56" t="s">
        <v>138</v>
      </c>
      <c r="D14" s="56" t="s">
        <v>137</v>
      </c>
      <c r="E14" s="56" t="s">
        <v>136</v>
      </c>
      <c r="F14" s="56" t="s">
        <v>135</v>
      </c>
      <c r="G14" s="56" t="s">
        <v>134</v>
      </c>
      <c r="H14" s="56" t="s">
        <v>133</v>
      </c>
      <c r="I14" s="56" t="s">
        <v>132</v>
      </c>
      <c r="J14" s="56" t="s">
        <v>139</v>
      </c>
      <c r="K14" s="56" t="s">
        <v>138</v>
      </c>
      <c r="L14" s="56" t="s">
        <v>137</v>
      </c>
      <c r="M14" s="56" t="s">
        <v>136</v>
      </c>
      <c r="N14" s="56" t="s">
        <v>135</v>
      </c>
      <c r="O14" s="56" t="s">
        <v>134</v>
      </c>
      <c r="P14" s="56" t="s">
        <v>133</v>
      </c>
      <c r="Q14" s="56" t="s">
        <v>132</v>
      </c>
      <c r="R14" s="56" t="s">
        <v>139</v>
      </c>
      <c r="S14" s="56" t="s">
        <v>138</v>
      </c>
      <c r="T14" s="56" t="s">
        <v>137</v>
      </c>
      <c r="U14" s="56" t="s">
        <v>136</v>
      </c>
      <c r="V14" s="56" t="s">
        <v>135</v>
      </c>
      <c r="W14" s="56" t="s">
        <v>134</v>
      </c>
      <c r="X14" s="56" t="s">
        <v>133</v>
      </c>
      <c r="Y14" s="56" t="s">
        <v>132</v>
      </c>
      <c r="Z14" s="56" t="s">
        <v>139</v>
      </c>
      <c r="AA14" s="56" t="s">
        <v>138</v>
      </c>
      <c r="AB14" s="56" t="s">
        <v>137</v>
      </c>
      <c r="AC14" s="56" t="s">
        <v>136</v>
      </c>
      <c r="AD14" s="56" t="s">
        <v>135</v>
      </c>
      <c r="AE14" s="56" t="s">
        <v>134</v>
      </c>
      <c r="AF14" s="56" t="s">
        <v>133</v>
      </c>
      <c r="AG14" s="56" t="s">
        <v>132</v>
      </c>
      <c r="AH14" s="56" t="s">
        <v>139</v>
      </c>
      <c r="AI14" s="56" t="s">
        <v>138</v>
      </c>
      <c r="AJ14" s="56" t="s">
        <v>137</v>
      </c>
      <c r="AK14" s="56" t="s">
        <v>136</v>
      </c>
      <c r="AL14" s="56" t="s">
        <v>135</v>
      </c>
      <c r="AM14" s="56" t="s">
        <v>134</v>
      </c>
      <c r="AN14" s="56" t="s">
        <v>133</v>
      </c>
      <c r="AO14" s="56" t="s">
        <v>132</v>
      </c>
      <c r="AP14" s="56" t="s">
        <v>139</v>
      </c>
      <c r="AQ14" s="56" t="s">
        <v>138</v>
      </c>
      <c r="AR14" s="56" t="s">
        <v>137</v>
      </c>
      <c r="AS14" s="56" t="s">
        <v>136</v>
      </c>
      <c r="AT14" s="56" t="s">
        <v>135</v>
      </c>
      <c r="AU14" s="56" t="s">
        <v>134</v>
      </c>
      <c r="AV14" s="56" t="s">
        <v>133</v>
      </c>
      <c r="AW14" s="56" t="s">
        <v>132</v>
      </c>
      <c r="AX14" s="56" t="s">
        <v>139</v>
      </c>
      <c r="AY14" s="56" t="s">
        <v>138</v>
      </c>
      <c r="AZ14" s="56" t="s">
        <v>137</v>
      </c>
      <c r="BA14" s="56" t="s">
        <v>136</v>
      </c>
      <c r="BB14" s="56" t="s">
        <v>135</v>
      </c>
      <c r="BC14" s="56" t="s">
        <v>134</v>
      </c>
      <c r="BD14" s="56" t="s">
        <v>133</v>
      </c>
      <c r="BE14" s="56" t="s">
        <v>132</v>
      </c>
      <c r="BF14" s="56" t="s">
        <v>139</v>
      </c>
      <c r="BG14" s="56" t="s">
        <v>138</v>
      </c>
      <c r="BH14" s="56" t="s">
        <v>137</v>
      </c>
      <c r="BI14" s="56" t="s">
        <v>136</v>
      </c>
      <c r="BJ14" s="56" t="s">
        <v>135</v>
      </c>
      <c r="BK14" s="56" t="s">
        <v>134</v>
      </c>
      <c r="BL14" s="56" t="s">
        <v>133</v>
      </c>
      <c r="BM14" s="56" t="s">
        <v>132</v>
      </c>
    </row>
    <row r="15" spans="1:65" ht="15" customHeight="1" x14ac:dyDescent="0.2">
      <c r="A15" s="55" t="s">
        <v>131</v>
      </c>
      <c r="B15" s="55" t="s">
        <v>109</v>
      </c>
      <c r="C15" s="55" t="s">
        <v>109</v>
      </c>
      <c r="D15" s="55" t="s">
        <v>109</v>
      </c>
      <c r="E15" s="55" t="s">
        <v>109</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98</v>
      </c>
      <c r="AL15" s="55" t="s">
        <v>109</v>
      </c>
      <c r="AM15" s="55">
        <v>5</v>
      </c>
      <c r="AN15" s="55" t="s">
        <v>109</v>
      </c>
      <c r="AO15" s="55" t="s">
        <v>109</v>
      </c>
      <c r="AP15" s="55" t="s">
        <v>109</v>
      </c>
      <c r="AQ15" s="55" t="s">
        <v>109</v>
      </c>
      <c r="AR15" s="55" t="s">
        <v>109</v>
      </c>
      <c r="AS15" s="55" t="s">
        <v>109</v>
      </c>
      <c r="AT15" s="55" t="s">
        <v>109</v>
      </c>
      <c r="AU15" s="55" t="s">
        <v>109</v>
      </c>
      <c r="AV15" s="55" t="s">
        <v>109</v>
      </c>
      <c r="AW15" s="55" t="s">
        <v>109</v>
      </c>
      <c r="AX15" s="55" t="s">
        <v>109</v>
      </c>
      <c r="AY15" s="55">
        <v>9</v>
      </c>
      <c r="AZ15" s="55" t="s">
        <v>109</v>
      </c>
      <c r="BA15" s="55">
        <v>31</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130</v>
      </c>
      <c r="B16" s="55" t="s">
        <v>109</v>
      </c>
      <c r="C16" s="55" t="s">
        <v>109</v>
      </c>
      <c r="D16" s="55" t="s">
        <v>109</v>
      </c>
      <c r="E16" s="55" t="s">
        <v>109</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110</v>
      </c>
      <c r="AL16" s="55" t="s">
        <v>109</v>
      </c>
      <c r="AM16" s="55">
        <v>1</v>
      </c>
      <c r="AN16" s="55" t="s">
        <v>109</v>
      </c>
      <c r="AO16" s="55" t="s">
        <v>109</v>
      </c>
      <c r="AP16" s="55" t="s">
        <v>109</v>
      </c>
      <c r="AQ16" s="55" t="s">
        <v>109</v>
      </c>
      <c r="AR16" s="55" t="s">
        <v>109</v>
      </c>
      <c r="AS16" s="55" t="s">
        <v>109</v>
      </c>
      <c r="AT16" s="55" t="s">
        <v>109</v>
      </c>
      <c r="AU16" s="55" t="s">
        <v>109</v>
      </c>
      <c r="AV16" s="55" t="s">
        <v>109</v>
      </c>
      <c r="AW16" s="55" t="s">
        <v>109</v>
      </c>
      <c r="AX16" s="55" t="s">
        <v>109</v>
      </c>
      <c r="AY16" s="55">
        <v>12</v>
      </c>
      <c r="AZ16" s="55" t="s">
        <v>109</v>
      </c>
      <c r="BA16" s="55">
        <v>43</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129</v>
      </c>
      <c r="B17" s="55" t="s">
        <v>109</v>
      </c>
      <c r="C17" s="55" t="s">
        <v>109</v>
      </c>
      <c r="D17" s="55" t="s">
        <v>109</v>
      </c>
      <c r="E17" s="55" t="s">
        <v>109</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106</v>
      </c>
      <c r="AL17" s="55" t="s">
        <v>109</v>
      </c>
      <c r="AM17" s="55">
        <v>1</v>
      </c>
      <c r="AN17" s="55" t="s">
        <v>109</v>
      </c>
      <c r="AO17" s="55" t="s">
        <v>109</v>
      </c>
      <c r="AP17" s="55" t="s">
        <v>109</v>
      </c>
      <c r="AQ17" s="55" t="s">
        <v>109</v>
      </c>
      <c r="AR17" s="55" t="s">
        <v>109</v>
      </c>
      <c r="AS17" s="55" t="s">
        <v>109</v>
      </c>
      <c r="AT17" s="55" t="s">
        <v>109</v>
      </c>
      <c r="AU17" s="55" t="s">
        <v>109</v>
      </c>
      <c r="AV17" s="55" t="s">
        <v>109</v>
      </c>
      <c r="AW17" s="55" t="s">
        <v>109</v>
      </c>
      <c r="AX17" s="55" t="s">
        <v>109</v>
      </c>
      <c r="AY17" s="55">
        <v>7</v>
      </c>
      <c r="AZ17" s="55" t="s">
        <v>109</v>
      </c>
      <c r="BA17" s="55">
        <v>22</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128</v>
      </c>
      <c r="B18" s="55" t="s">
        <v>109</v>
      </c>
      <c r="C18" s="55" t="s">
        <v>109</v>
      </c>
      <c r="D18" s="55" t="s">
        <v>109</v>
      </c>
      <c r="E18" s="55" t="s">
        <v>109</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141</v>
      </c>
      <c r="AL18" s="55" t="s">
        <v>109</v>
      </c>
      <c r="AM18" s="55">
        <v>3</v>
      </c>
      <c r="AN18" s="55" t="s">
        <v>109</v>
      </c>
      <c r="AO18" s="55" t="s">
        <v>109</v>
      </c>
      <c r="AP18" s="55" t="s">
        <v>109</v>
      </c>
      <c r="AQ18" s="55" t="s">
        <v>109</v>
      </c>
      <c r="AR18" s="55" t="s">
        <v>109</v>
      </c>
      <c r="AS18" s="55" t="s">
        <v>109</v>
      </c>
      <c r="AT18" s="55" t="s">
        <v>109</v>
      </c>
      <c r="AU18" s="55" t="s">
        <v>109</v>
      </c>
      <c r="AV18" s="55" t="s">
        <v>109</v>
      </c>
      <c r="AW18" s="55" t="s">
        <v>109</v>
      </c>
      <c r="AX18" s="55" t="s">
        <v>109</v>
      </c>
      <c r="AY18" s="55">
        <v>11</v>
      </c>
      <c r="AZ18" s="55" t="s">
        <v>109</v>
      </c>
      <c r="BA18" s="55">
        <v>52</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127</v>
      </c>
      <c r="B19" s="55" t="s">
        <v>109</v>
      </c>
      <c r="C19" s="55" t="s">
        <v>109</v>
      </c>
      <c r="D19" s="55" t="s">
        <v>109</v>
      </c>
      <c r="E19" s="55" t="s">
        <v>109</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134</v>
      </c>
      <c r="AL19" s="55" t="s">
        <v>109</v>
      </c>
      <c r="AM19" s="55">
        <v>4</v>
      </c>
      <c r="AN19" s="55" t="s">
        <v>109</v>
      </c>
      <c r="AO19" s="55" t="s">
        <v>109</v>
      </c>
      <c r="AP19" s="55" t="s">
        <v>109</v>
      </c>
      <c r="AQ19" s="55" t="s">
        <v>109</v>
      </c>
      <c r="AR19" s="55" t="s">
        <v>109</v>
      </c>
      <c r="AS19" s="55" t="s">
        <v>109</v>
      </c>
      <c r="AT19" s="55" t="s">
        <v>109</v>
      </c>
      <c r="AU19" s="55" t="s">
        <v>109</v>
      </c>
      <c r="AV19" s="55" t="s">
        <v>109</v>
      </c>
      <c r="AW19" s="55" t="s">
        <v>109</v>
      </c>
      <c r="AX19" s="55" t="s">
        <v>109</v>
      </c>
      <c r="AY19" s="55">
        <v>13</v>
      </c>
      <c r="AZ19" s="55" t="s">
        <v>109</v>
      </c>
      <c r="BA19" s="55">
        <v>51</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126</v>
      </c>
      <c r="B20" s="55" t="s">
        <v>109</v>
      </c>
      <c r="C20" s="55" t="s">
        <v>109</v>
      </c>
      <c r="D20" s="55" t="s">
        <v>109</v>
      </c>
      <c r="E20" s="55" t="s">
        <v>109</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129</v>
      </c>
      <c r="AL20" s="55" t="s">
        <v>109</v>
      </c>
      <c r="AM20" s="55">
        <v>8</v>
      </c>
      <c r="AN20" s="55" t="s">
        <v>109</v>
      </c>
      <c r="AO20" s="55" t="s">
        <v>109</v>
      </c>
      <c r="AP20" s="55" t="s">
        <v>109</v>
      </c>
      <c r="AQ20" s="55" t="s">
        <v>109</v>
      </c>
      <c r="AR20" s="55" t="s">
        <v>109</v>
      </c>
      <c r="AS20" s="55" t="s">
        <v>109</v>
      </c>
      <c r="AT20" s="55" t="s">
        <v>109</v>
      </c>
      <c r="AU20" s="55" t="s">
        <v>109</v>
      </c>
      <c r="AV20" s="55" t="s">
        <v>109</v>
      </c>
      <c r="AW20" s="55" t="s">
        <v>109</v>
      </c>
      <c r="AX20" s="55" t="s">
        <v>109</v>
      </c>
      <c r="AY20" s="55">
        <v>19</v>
      </c>
      <c r="AZ20" s="55" t="s">
        <v>109</v>
      </c>
      <c r="BA20" s="55">
        <v>75</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125</v>
      </c>
      <c r="B21" s="55" t="s">
        <v>109</v>
      </c>
      <c r="C21" s="55" t="s">
        <v>109</v>
      </c>
      <c r="D21" s="55" t="s">
        <v>109</v>
      </c>
      <c r="E21" s="55" t="s">
        <v>109</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153</v>
      </c>
      <c r="AL21" s="55" t="s">
        <v>109</v>
      </c>
      <c r="AM21" s="55">
        <v>1</v>
      </c>
      <c r="AN21" s="55" t="s">
        <v>109</v>
      </c>
      <c r="AO21" s="55" t="s">
        <v>109</v>
      </c>
      <c r="AP21" s="55" t="s">
        <v>109</v>
      </c>
      <c r="AQ21" s="55" t="s">
        <v>109</v>
      </c>
      <c r="AR21" s="55" t="s">
        <v>109</v>
      </c>
      <c r="AS21" s="55" t="s">
        <v>109</v>
      </c>
      <c r="AT21" s="55" t="s">
        <v>109</v>
      </c>
      <c r="AU21" s="55" t="s">
        <v>109</v>
      </c>
      <c r="AV21" s="55" t="s">
        <v>109</v>
      </c>
      <c r="AW21" s="55" t="s">
        <v>109</v>
      </c>
      <c r="AX21" s="55" t="s">
        <v>109</v>
      </c>
      <c r="AY21" s="55">
        <v>13</v>
      </c>
      <c r="AZ21" s="55" t="s">
        <v>109</v>
      </c>
      <c r="BA21" s="55">
        <v>60</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124</v>
      </c>
      <c r="B22" s="55" t="s">
        <v>109</v>
      </c>
      <c r="C22" s="55" t="s">
        <v>109</v>
      </c>
      <c r="D22" s="55" t="s">
        <v>109</v>
      </c>
      <c r="E22" s="55" t="s">
        <v>109</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130</v>
      </c>
      <c r="AL22" s="55" t="s">
        <v>109</v>
      </c>
      <c r="AM22" s="55">
        <v>8</v>
      </c>
      <c r="AN22" s="55" t="s">
        <v>109</v>
      </c>
      <c r="AO22" s="55" t="s">
        <v>109</v>
      </c>
      <c r="AP22" s="55" t="s">
        <v>109</v>
      </c>
      <c r="AQ22" s="55" t="s">
        <v>109</v>
      </c>
      <c r="AR22" s="55" t="s">
        <v>109</v>
      </c>
      <c r="AS22" s="55" t="s">
        <v>109</v>
      </c>
      <c r="AT22" s="55" t="s">
        <v>109</v>
      </c>
      <c r="AU22" s="55" t="s">
        <v>109</v>
      </c>
      <c r="AV22" s="55" t="s">
        <v>109</v>
      </c>
      <c r="AW22" s="55" t="s">
        <v>109</v>
      </c>
      <c r="AX22" s="55" t="s">
        <v>109</v>
      </c>
      <c r="AY22" s="55">
        <v>15</v>
      </c>
      <c r="AZ22" s="55" t="s">
        <v>109</v>
      </c>
      <c r="BA22" s="55">
        <v>58</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123</v>
      </c>
      <c r="B23" s="55" t="s">
        <v>109</v>
      </c>
      <c r="C23" s="55" t="s">
        <v>109</v>
      </c>
      <c r="D23" s="55" t="s">
        <v>109</v>
      </c>
      <c r="E23" s="55" t="s">
        <v>109</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1</v>
      </c>
      <c r="AL23" s="55" t="s">
        <v>109</v>
      </c>
      <c r="AM23" s="55">
        <v>0</v>
      </c>
      <c r="AN23" s="55" t="s">
        <v>109</v>
      </c>
      <c r="AO23" s="55" t="s">
        <v>109</v>
      </c>
      <c r="AP23" s="55" t="s">
        <v>109</v>
      </c>
      <c r="AQ23" s="55" t="s">
        <v>109</v>
      </c>
      <c r="AR23" s="55" t="s">
        <v>109</v>
      </c>
      <c r="AS23" s="55" t="s">
        <v>109</v>
      </c>
      <c r="AT23" s="55" t="s">
        <v>109</v>
      </c>
      <c r="AU23" s="55" t="s">
        <v>109</v>
      </c>
      <c r="AV23" s="55" t="s">
        <v>109</v>
      </c>
      <c r="AW23" s="55" t="s">
        <v>109</v>
      </c>
      <c r="AX23" s="55" t="s">
        <v>109</v>
      </c>
      <c r="AY23" s="55">
        <v>0</v>
      </c>
      <c r="AZ23" s="55" t="s">
        <v>109</v>
      </c>
      <c r="BA23" s="55">
        <v>0</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122</v>
      </c>
      <c r="B24" s="55" t="s">
        <v>109</v>
      </c>
      <c r="C24" s="55" t="s">
        <v>109</v>
      </c>
      <c r="D24" s="55" t="s">
        <v>109</v>
      </c>
      <c r="E24" s="55" t="s">
        <v>109</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140</v>
      </c>
      <c r="AL24" s="55" t="s">
        <v>109</v>
      </c>
      <c r="AM24" s="55">
        <v>8</v>
      </c>
      <c r="AN24" s="55" t="s">
        <v>109</v>
      </c>
      <c r="AO24" s="55" t="s">
        <v>109</v>
      </c>
      <c r="AP24" s="55" t="s">
        <v>109</v>
      </c>
      <c r="AQ24" s="55" t="s">
        <v>109</v>
      </c>
      <c r="AR24" s="55" t="s">
        <v>109</v>
      </c>
      <c r="AS24" s="55" t="s">
        <v>109</v>
      </c>
      <c r="AT24" s="55" t="s">
        <v>109</v>
      </c>
      <c r="AU24" s="55" t="s">
        <v>109</v>
      </c>
      <c r="AV24" s="55" t="s">
        <v>109</v>
      </c>
      <c r="AW24" s="55" t="s">
        <v>109</v>
      </c>
      <c r="AX24" s="55" t="s">
        <v>109</v>
      </c>
      <c r="AY24" s="55">
        <v>15</v>
      </c>
      <c r="AZ24" s="55" t="s">
        <v>109</v>
      </c>
      <c r="BA24" s="55">
        <v>53</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121</v>
      </c>
      <c r="B25" s="55" t="s">
        <v>109</v>
      </c>
      <c r="C25" s="55" t="s">
        <v>109</v>
      </c>
      <c r="D25" s="55" t="s">
        <v>109</v>
      </c>
      <c r="E25" s="55" t="s">
        <v>109</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125</v>
      </c>
      <c r="AL25" s="55" t="s">
        <v>109</v>
      </c>
      <c r="AM25" s="55">
        <v>6</v>
      </c>
      <c r="AN25" s="55" t="s">
        <v>109</v>
      </c>
      <c r="AO25" s="55" t="s">
        <v>109</v>
      </c>
      <c r="AP25" s="55" t="s">
        <v>109</v>
      </c>
      <c r="AQ25" s="55" t="s">
        <v>109</v>
      </c>
      <c r="AR25" s="55" t="s">
        <v>109</v>
      </c>
      <c r="AS25" s="55" t="s">
        <v>109</v>
      </c>
      <c r="AT25" s="55" t="s">
        <v>109</v>
      </c>
      <c r="AU25" s="55" t="s">
        <v>109</v>
      </c>
      <c r="AV25" s="55" t="s">
        <v>109</v>
      </c>
      <c r="AW25" s="55" t="s">
        <v>109</v>
      </c>
      <c r="AX25" s="55" t="s">
        <v>109</v>
      </c>
      <c r="AY25" s="55">
        <v>16</v>
      </c>
      <c r="AZ25" s="55" t="s">
        <v>109</v>
      </c>
      <c r="BA25" s="55">
        <v>52</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120</v>
      </c>
      <c r="B26" s="55" t="s">
        <v>109</v>
      </c>
      <c r="C26" s="55" t="s">
        <v>109</v>
      </c>
      <c r="D26" s="55" t="s">
        <v>109</v>
      </c>
      <c r="E26" s="55" t="s">
        <v>109</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153</v>
      </c>
      <c r="AL26" s="55" t="s">
        <v>109</v>
      </c>
      <c r="AM26" s="55">
        <v>11</v>
      </c>
      <c r="AN26" s="55" t="s">
        <v>109</v>
      </c>
      <c r="AO26" s="55" t="s">
        <v>109</v>
      </c>
      <c r="AP26" s="55" t="s">
        <v>109</v>
      </c>
      <c r="AQ26" s="55" t="s">
        <v>109</v>
      </c>
      <c r="AR26" s="55" t="s">
        <v>109</v>
      </c>
      <c r="AS26" s="55" t="s">
        <v>109</v>
      </c>
      <c r="AT26" s="55" t="s">
        <v>109</v>
      </c>
      <c r="AU26" s="55" t="s">
        <v>109</v>
      </c>
      <c r="AV26" s="55" t="s">
        <v>109</v>
      </c>
      <c r="AW26" s="55" t="s">
        <v>109</v>
      </c>
      <c r="AX26" s="55" t="s">
        <v>109</v>
      </c>
      <c r="AY26" s="55">
        <v>18</v>
      </c>
      <c r="AZ26" s="55" t="s">
        <v>109</v>
      </c>
      <c r="BA26" s="55">
        <v>37</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119</v>
      </c>
      <c r="B27" s="55" t="s">
        <v>109</v>
      </c>
      <c r="C27" s="55" t="s">
        <v>109</v>
      </c>
      <c r="D27" s="55" t="s">
        <v>109</v>
      </c>
      <c r="E27" s="55" t="s">
        <v>109</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140</v>
      </c>
      <c r="AL27" s="55" t="s">
        <v>109</v>
      </c>
      <c r="AM27" s="55">
        <v>5</v>
      </c>
      <c r="AN27" s="55" t="s">
        <v>109</v>
      </c>
      <c r="AO27" s="55" t="s">
        <v>109</v>
      </c>
      <c r="AP27" s="55" t="s">
        <v>109</v>
      </c>
      <c r="AQ27" s="55" t="s">
        <v>109</v>
      </c>
      <c r="AR27" s="55" t="s">
        <v>109</v>
      </c>
      <c r="AS27" s="55" t="s">
        <v>109</v>
      </c>
      <c r="AT27" s="55" t="s">
        <v>109</v>
      </c>
      <c r="AU27" s="55" t="s">
        <v>109</v>
      </c>
      <c r="AV27" s="55" t="s">
        <v>109</v>
      </c>
      <c r="AW27" s="55" t="s">
        <v>109</v>
      </c>
      <c r="AX27" s="55" t="s">
        <v>109</v>
      </c>
      <c r="AY27" s="55">
        <v>18</v>
      </c>
      <c r="AZ27" s="55" t="s">
        <v>109</v>
      </c>
      <c r="BA27" s="55">
        <v>60</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118</v>
      </c>
      <c r="B28" s="55" t="s">
        <v>109</v>
      </c>
      <c r="C28" s="55" t="s">
        <v>109</v>
      </c>
      <c r="D28" s="55" t="s">
        <v>109</v>
      </c>
      <c r="E28" s="55" t="s">
        <v>109</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t="s">
        <v>109</v>
      </c>
      <c r="AM28" s="55">
        <v>0</v>
      </c>
      <c r="AN28" s="55" t="s">
        <v>109</v>
      </c>
      <c r="AO28" s="55" t="s">
        <v>109</v>
      </c>
      <c r="AP28" s="55" t="s">
        <v>109</v>
      </c>
      <c r="AQ28" s="55" t="s">
        <v>109</v>
      </c>
      <c r="AR28" s="55" t="s">
        <v>109</v>
      </c>
      <c r="AS28" s="55" t="s">
        <v>109</v>
      </c>
      <c r="AT28" s="55" t="s">
        <v>109</v>
      </c>
      <c r="AU28" s="55" t="s">
        <v>109</v>
      </c>
      <c r="AV28" s="55" t="s">
        <v>109</v>
      </c>
      <c r="AW28" s="55" t="s">
        <v>109</v>
      </c>
      <c r="AX28" s="55" t="s">
        <v>109</v>
      </c>
      <c r="AY28" s="55">
        <v>0</v>
      </c>
      <c r="AZ28" s="55" t="s">
        <v>109</v>
      </c>
      <c r="BA28" s="55">
        <v>0</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117</v>
      </c>
      <c r="B29" s="55" t="s">
        <v>109</v>
      </c>
      <c r="C29" s="55" t="s">
        <v>109</v>
      </c>
      <c r="D29" s="55" t="s">
        <v>109</v>
      </c>
      <c r="E29" s="55" t="s">
        <v>109</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236</v>
      </c>
      <c r="AL29" s="55" t="s">
        <v>109</v>
      </c>
      <c r="AM29" s="55">
        <v>9</v>
      </c>
      <c r="AN29" s="55" t="s">
        <v>109</v>
      </c>
      <c r="AO29" s="55" t="s">
        <v>109</v>
      </c>
      <c r="AP29" s="55" t="s">
        <v>109</v>
      </c>
      <c r="AQ29" s="55" t="s">
        <v>109</v>
      </c>
      <c r="AR29" s="55" t="s">
        <v>109</v>
      </c>
      <c r="AS29" s="55" t="s">
        <v>109</v>
      </c>
      <c r="AT29" s="55" t="s">
        <v>109</v>
      </c>
      <c r="AU29" s="55" t="s">
        <v>109</v>
      </c>
      <c r="AV29" s="55" t="s">
        <v>109</v>
      </c>
      <c r="AW29" s="55" t="s">
        <v>109</v>
      </c>
      <c r="AX29" s="55" t="s">
        <v>109</v>
      </c>
      <c r="AY29" s="55">
        <v>26</v>
      </c>
      <c r="AZ29" s="55" t="s">
        <v>109</v>
      </c>
      <c r="BA29" s="55">
        <v>65</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116</v>
      </c>
      <c r="B30" s="55" t="s">
        <v>109</v>
      </c>
      <c r="C30" s="55" t="s">
        <v>109</v>
      </c>
      <c r="D30" s="55" t="s">
        <v>109</v>
      </c>
      <c r="E30" s="55" t="s">
        <v>109</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237</v>
      </c>
      <c r="AL30" s="55" t="s">
        <v>109</v>
      </c>
      <c r="AM30" s="55">
        <v>8</v>
      </c>
      <c r="AN30" s="55" t="s">
        <v>109</v>
      </c>
      <c r="AO30" s="55" t="s">
        <v>109</v>
      </c>
      <c r="AP30" s="55" t="s">
        <v>109</v>
      </c>
      <c r="AQ30" s="55" t="s">
        <v>109</v>
      </c>
      <c r="AR30" s="55" t="s">
        <v>109</v>
      </c>
      <c r="AS30" s="55" t="s">
        <v>109</v>
      </c>
      <c r="AT30" s="55" t="s">
        <v>109</v>
      </c>
      <c r="AU30" s="55" t="s">
        <v>109</v>
      </c>
      <c r="AV30" s="55" t="s">
        <v>109</v>
      </c>
      <c r="AW30" s="55" t="s">
        <v>109</v>
      </c>
      <c r="AX30" s="55" t="s">
        <v>109</v>
      </c>
      <c r="AY30" s="55">
        <v>29</v>
      </c>
      <c r="AZ30" s="55" t="s">
        <v>109</v>
      </c>
      <c r="BA30" s="55">
        <v>87</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115</v>
      </c>
      <c r="B31" s="55" t="s">
        <v>109</v>
      </c>
      <c r="C31" s="55" t="s">
        <v>109</v>
      </c>
      <c r="D31" s="55" t="s">
        <v>109</v>
      </c>
      <c r="E31" s="55" t="s">
        <v>109</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285</v>
      </c>
      <c r="AL31" s="55" t="s">
        <v>109</v>
      </c>
      <c r="AM31" s="55">
        <v>15</v>
      </c>
      <c r="AN31" s="55" t="s">
        <v>109</v>
      </c>
      <c r="AO31" s="55" t="s">
        <v>109</v>
      </c>
      <c r="AP31" s="55" t="s">
        <v>109</v>
      </c>
      <c r="AQ31" s="55" t="s">
        <v>109</v>
      </c>
      <c r="AR31" s="55" t="s">
        <v>109</v>
      </c>
      <c r="AS31" s="55" t="s">
        <v>109</v>
      </c>
      <c r="AT31" s="55" t="s">
        <v>109</v>
      </c>
      <c r="AU31" s="55" t="s">
        <v>109</v>
      </c>
      <c r="AV31" s="55" t="s">
        <v>109</v>
      </c>
      <c r="AW31" s="55" t="s">
        <v>109</v>
      </c>
      <c r="AX31" s="55" t="s">
        <v>109</v>
      </c>
      <c r="AY31" s="55">
        <v>22</v>
      </c>
      <c r="AZ31" s="55" t="s">
        <v>109</v>
      </c>
      <c r="BA31" s="55">
        <v>87</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114</v>
      </c>
      <c r="B32" s="55" t="s">
        <v>109</v>
      </c>
      <c r="C32" s="55" t="s">
        <v>109</v>
      </c>
      <c r="D32" s="55" t="s">
        <v>109</v>
      </c>
      <c r="E32" s="55" t="s">
        <v>109</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249</v>
      </c>
      <c r="AL32" s="55" t="s">
        <v>109</v>
      </c>
      <c r="AM32" s="55">
        <v>6</v>
      </c>
      <c r="AN32" s="55" t="s">
        <v>109</v>
      </c>
      <c r="AO32" s="55" t="s">
        <v>109</v>
      </c>
      <c r="AP32" s="55" t="s">
        <v>109</v>
      </c>
      <c r="AQ32" s="55" t="s">
        <v>109</v>
      </c>
      <c r="AR32" s="55" t="s">
        <v>109</v>
      </c>
      <c r="AS32" s="55" t="s">
        <v>109</v>
      </c>
      <c r="AT32" s="55" t="s">
        <v>109</v>
      </c>
      <c r="AU32" s="55" t="s">
        <v>109</v>
      </c>
      <c r="AV32" s="55" t="s">
        <v>109</v>
      </c>
      <c r="AW32" s="55" t="s">
        <v>109</v>
      </c>
      <c r="AX32" s="55" t="s">
        <v>109</v>
      </c>
      <c r="AY32" s="55">
        <v>34</v>
      </c>
      <c r="AZ32" s="55" t="s">
        <v>109</v>
      </c>
      <c r="BA32" s="55">
        <v>104</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113</v>
      </c>
      <c r="B33" s="55" t="s">
        <v>109</v>
      </c>
      <c r="C33" s="55" t="s">
        <v>109</v>
      </c>
      <c r="D33" s="55" t="s">
        <v>109</v>
      </c>
      <c r="E33" s="55" t="s">
        <v>109</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282</v>
      </c>
      <c r="AL33" s="55" t="s">
        <v>109</v>
      </c>
      <c r="AM33" s="55">
        <v>11</v>
      </c>
      <c r="AN33" s="55" t="s">
        <v>109</v>
      </c>
      <c r="AO33" s="55" t="s">
        <v>109</v>
      </c>
      <c r="AP33" s="55" t="s">
        <v>109</v>
      </c>
      <c r="AQ33" s="55" t="s">
        <v>109</v>
      </c>
      <c r="AR33" s="55" t="s">
        <v>109</v>
      </c>
      <c r="AS33" s="55" t="s">
        <v>109</v>
      </c>
      <c r="AT33" s="55" t="s">
        <v>109</v>
      </c>
      <c r="AU33" s="55" t="s">
        <v>109</v>
      </c>
      <c r="AV33" s="55" t="s">
        <v>109</v>
      </c>
      <c r="AW33" s="55" t="s">
        <v>109</v>
      </c>
      <c r="AX33" s="55" t="s">
        <v>109</v>
      </c>
      <c r="AY33" s="55">
        <v>44</v>
      </c>
      <c r="AZ33" s="55" t="s">
        <v>109</v>
      </c>
      <c r="BA33" s="55">
        <v>77</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112</v>
      </c>
      <c r="B34" s="55" t="s">
        <v>109</v>
      </c>
      <c r="C34" s="55" t="s">
        <v>109</v>
      </c>
      <c r="D34" s="55" t="s">
        <v>109</v>
      </c>
      <c r="E34" s="55" t="s">
        <v>109</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297</v>
      </c>
      <c r="AL34" s="55" t="s">
        <v>109</v>
      </c>
      <c r="AM34" s="55">
        <v>7</v>
      </c>
      <c r="AN34" s="55" t="s">
        <v>109</v>
      </c>
      <c r="AO34" s="55" t="s">
        <v>109</v>
      </c>
      <c r="AP34" s="55" t="s">
        <v>109</v>
      </c>
      <c r="AQ34" s="55" t="s">
        <v>109</v>
      </c>
      <c r="AR34" s="55" t="s">
        <v>109</v>
      </c>
      <c r="AS34" s="55" t="s">
        <v>109</v>
      </c>
      <c r="AT34" s="55" t="s">
        <v>109</v>
      </c>
      <c r="AU34" s="55" t="s">
        <v>109</v>
      </c>
      <c r="AV34" s="55" t="s">
        <v>109</v>
      </c>
      <c r="AW34" s="55" t="s">
        <v>109</v>
      </c>
      <c r="AX34" s="55" t="s">
        <v>109</v>
      </c>
      <c r="AY34" s="55">
        <v>39</v>
      </c>
      <c r="AZ34" s="55" t="s">
        <v>109</v>
      </c>
      <c r="BA34" s="55">
        <v>99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111</v>
      </c>
      <c r="B35" s="55" t="s">
        <v>109</v>
      </c>
      <c r="C35" s="55" t="s">
        <v>109</v>
      </c>
      <c r="D35" s="55" t="s">
        <v>109</v>
      </c>
      <c r="E35" s="55" t="s">
        <v>109</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237</v>
      </c>
      <c r="AL35" s="55" t="s">
        <v>109</v>
      </c>
      <c r="AM35" s="55">
        <v>8</v>
      </c>
      <c r="AN35" s="55" t="s">
        <v>109</v>
      </c>
      <c r="AO35" s="55" t="s">
        <v>109</v>
      </c>
      <c r="AP35" s="55" t="s">
        <v>109</v>
      </c>
      <c r="AQ35" s="55" t="s">
        <v>109</v>
      </c>
      <c r="AR35" s="55" t="s">
        <v>109</v>
      </c>
      <c r="AS35" s="55" t="s">
        <v>109</v>
      </c>
      <c r="AT35" s="55" t="s">
        <v>109</v>
      </c>
      <c r="AU35" s="55" t="s">
        <v>109</v>
      </c>
      <c r="AV35" s="55" t="s">
        <v>109</v>
      </c>
      <c r="AW35" s="55" t="s">
        <v>109</v>
      </c>
      <c r="AX35" s="55" t="s">
        <v>109</v>
      </c>
      <c r="AY35" s="55">
        <v>32</v>
      </c>
      <c r="AZ35" s="55" t="s">
        <v>109</v>
      </c>
      <c r="BA35" s="55">
        <v>76</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110</v>
      </c>
      <c r="B36" s="55" t="s">
        <v>109</v>
      </c>
      <c r="C36" s="55" t="s">
        <v>109</v>
      </c>
      <c r="D36" s="55" t="s">
        <v>109</v>
      </c>
      <c r="E36" s="55" t="s">
        <v>109</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196</v>
      </c>
      <c r="AL36" s="55" t="s">
        <v>109</v>
      </c>
      <c r="AM36" s="55">
        <v>10</v>
      </c>
      <c r="AN36" s="55" t="s">
        <v>109</v>
      </c>
      <c r="AO36" s="55" t="s">
        <v>109</v>
      </c>
      <c r="AP36" s="55" t="s">
        <v>109</v>
      </c>
      <c r="AQ36" s="55" t="s">
        <v>109</v>
      </c>
      <c r="AR36" s="55" t="s">
        <v>109</v>
      </c>
      <c r="AS36" s="55" t="s">
        <v>109</v>
      </c>
      <c r="AT36" s="55" t="s">
        <v>109</v>
      </c>
      <c r="AU36" s="55" t="s">
        <v>109</v>
      </c>
      <c r="AV36" s="55" t="s">
        <v>109</v>
      </c>
      <c r="AW36" s="55" t="s">
        <v>109</v>
      </c>
      <c r="AX36" s="55" t="s">
        <v>109</v>
      </c>
      <c r="AY36" s="55">
        <v>19</v>
      </c>
      <c r="AZ36" s="55" t="s">
        <v>109</v>
      </c>
      <c r="BA36" s="55">
        <v>63</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2022-05-12T03:45:43Z</dcterms:modified>
</cp:coreProperties>
</file>