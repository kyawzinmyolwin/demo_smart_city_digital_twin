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COMPLETED INTERSECTION REPORTS\"/>
    </mc:Choice>
  </mc:AlternateContent>
  <xr:revisionPtr revIDLastSave="0" documentId="13_ncr:1_{137FAD98-265E-497B-955D-C38EADEF4B1F}" xr6:coauthVersionLast="47" xr6:coauthVersionMax="47" xr10:uidLastSave="{00000000-0000-0000-0000-000000000000}"/>
  <bookViews>
    <workbookView xWindow="-22710" yWindow="-2460" windowWidth="21525" windowHeight="1843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54" r:id="rId15"/>
    <pivotCache cacheId="5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42" i="4"/>
  <c r="I390" i="4"/>
  <c r="I438" i="4"/>
  <c r="I486" i="4"/>
  <c r="I534" i="4"/>
  <c r="I582" i="4"/>
  <c r="I630" i="4"/>
  <c r="I318" i="4"/>
  <c r="I366" i="4"/>
  <c r="I414" i="4"/>
  <c r="I462" i="4"/>
  <c r="I510" i="4"/>
  <c r="I558" i="4"/>
  <c r="I606" i="4"/>
  <c r="I678" i="4"/>
  <c r="I726" i="4"/>
  <c r="I774" i="4"/>
  <c r="I822" i="4"/>
  <c r="I870" i="4"/>
  <c r="I918" i="4"/>
  <c r="I654" i="4"/>
  <c r="I702" i="4"/>
  <c r="I750" i="4"/>
  <c r="I798" i="4"/>
  <c r="I846" i="4"/>
  <c r="I894" i="4"/>
  <c r="I18" i="4"/>
  <c r="I66" i="4"/>
  <c r="I114" i="4"/>
  <c r="I162" i="4"/>
  <c r="I210" i="4"/>
  <c r="I258" i="4"/>
  <c r="I306" i="4"/>
  <c r="I42" i="4"/>
  <c r="I90" i="4"/>
  <c r="I138" i="4"/>
  <c r="I186" i="4"/>
  <c r="I234" i="4"/>
  <c r="I282" i="4"/>
  <c r="I330" i="4"/>
  <c r="I378" i="4"/>
  <c r="I426" i="4"/>
  <c r="I474" i="4"/>
  <c r="I522" i="4"/>
  <c r="I570" i="4"/>
  <c r="I618" i="4"/>
  <c r="I354" i="4"/>
  <c r="I402" i="4"/>
  <c r="I450" i="4"/>
  <c r="I498" i="4"/>
  <c r="I546" i="4"/>
  <c r="I594" i="4"/>
  <c r="I666" i="4"/>
  <c r="I714" i="4"/>
  <c r="I762" i="4"/>
  <c r="I810" i="4"/>
  <c r="I858" i="4"/>
  <c r="I906" i="4"/>
  <c r="I930" i="4"/>
  <c r="I642" i="4"/>
  <c r="I690" i="4"/>
  <c r="I738" i="4"/>
  <c r="I786" i="4"/>
  <c r="I834" i="4"/>
  <c r="I882" i="4"/>
  <c r="I24" i="4"/>
  <c r="I72" i="4"/>
  <c r="I120" i="4"/>
  <c r="I168" i="4"/>
  <c r="I216" i="4"/>
  <c r="I264" i="4"/>
  <c r="I312" i="4"/>
  <c r="I48" i="4"/>
  <c r="I96" i="4"/>
  <c r="I144" i="4"/>
  <c r="I192" i="4"/>
  <c r="I240" i="4"/>
  <c r="I288" i="4"/>
  <c r="I336" i="4"/>
  <c r="I384" i="4"/>
  <c r="I432" i="4"/>
  <c r="I480" i="4"/>
  <c r="I528" i="4"/>
  <c r="I360" i="4"/>
  <c r="I408" i="4"/>
  <c r="I456" i="4"/>
  <c r="I504" i="4"/>
  <c r="I552" i="4"/>
  <c r="I600" i="4"/>
  <c r="I624" i="4"/>
  <c r="I648" i="4"/>
  <c r="I696" i="4"/>
  <c r="I744" i="4"/>
  <c r="I792" i="4"/>
  <c r="I840" i="4"/>
  <c r="I888" i="4"/>
  <c r="I936" i="4"/>
  <c r="I576" i="4"/>
  <c r="I672" i="4"/>
  <c r="I720" i="4"/>
  <c r="I768" i="4"/>
  <c r="I816" i="4"/>
  <c r="I864" i="4"/>
  <c r="I912" i="4"/>
  <c r="I27" i="4"/>
  <c r="I75" i="4"/>
  <c r="I123" i="4"/>
  <c r="I171" i="4"/>
  <c r="I219" i="4"/>
  <c r="I267" i="4"/>
  <c r="I315" i="4"/>
  <c r="I3" i="4"/>
  <c r="I51" i="4"/>
  <c r="I99" i="4"/>
  <c r="I147" i="4"/>
  <c r="I195" i="4"/>
  <c r="I243" i="4"/>
  <c r="I291" i="4"/>
  <c r="I339" i="4"/>
  <c r="I387" i="4"/>
  <c r="I435" i="4"/>
  <c r="I483" i="4"/>
  <c r="I531" i="4"/>
  <c r="I579" i="4"/>
  <c r="I627" i="4"/>
  <c r="I363" i="4"/>
  <c r="I411" i="4"/>
  <c r="I459" i="4"/>
  <c r="I507" i="4"/>
  <c r="I555" i="4"/>
  <c r="I603" i="4"/>
  <c r="I651" i="4"/>
  <c r="I699" i="4"/>
  <c r="I747" i="4"/>
  <c r="I795" i="4"/>
  <c r="I843" i="4"/>
  <c r="I891" i="4"/>
  <c r="I675" i="4"/>
  <c r="I723" i="4"/>
  <c r="I771" i="4"/>
  <c r="I819" i="4"/>
  <c r="I867" i="4"/>
  <c r="I915" i="4"/>
  <c r="I221" i="4"/>
  <c r="I5" i="4"/>
  <c r="I53" i="4"/>
  <c r="I101" i="4"/>
  <c r="I149" i="4"/>
  <c r="I197" i="4"/>
  <c r="I341" i="4"/>
  <c r="I389" i="4"/>
  <c r="I437" i="4"/>
  <c r="I317" i="4"/>
  <c r="I29" i="4"/>
  <c r="I77" i="4"/>
  <c r="I125" i="4"/>
  <c r="I173" i="4"/>
  <c r="I269" i="4"/>
  <c r="I365" i="4"/>
  <c r="I413" i="4"/>
  <c r="I461" i="4"/>
  <c r="I293" i="4"/>
  <c r="I509" i="4"/>
  <c r="I557" i="4"/>
  <c r="I605" i="4"/>
  <c r="I245" i="4"/>
  <c r="I677" i="4"/>
  <c r="I725" i="4"/>
  <c r="I773" i="4"/>
  <c r="I485" i="4"/>
  <c r="I533" i="4"/>
  <c r="I581" i="4"/>
  <c r="I629" i="4"/>
  <c r="I821" i="4"/>
  <c r="I869" i="4"/>
  <c r="I917" i="4"/>
  <c r="I653" i="4"/>
  <c r="I749" i="4"/>
  <c r="I845" i="4"/>
  <c r="I893" i="4"/>
  <c r="I701" i="4"/>
  <c r="I797" i="4"/>
  <c r="I37" i="4"/>
  <c r="I85" i="4"/>
  <c r="I133" i="4"/>
  <c r="I181" i="4"/>
  <c r="I301" i="4"/>
  <c r="I373" i="4"/>
  <c r="I421" i="4"/>
  <c r="I469" i="4"/>
  <c r="I253" i="4"/>
  <c r="I13" i="4"/>
  <c r="I61" i="4"/>
  <c r="I109" i="4"/>
  <c r="I157" i="4"/>
  <c r="I205" i="4"/>
  <c r="I325" i="4"/>
  <c r="I349" i="4"/>
  <c r="I397" i="4"/>
  <c r="I445" i="4"/>
  <c r="I229" i="4"/>
  <c r="I493" i="4"/>
  <c r="I541" i="4"/>
  <c r="I589" i="4"/>
  <c r="I637" i="4"/>
  <c r="I661" i="4"/>
  <c r="I709" i="4"/>
  <c r="I757" i="4"/>
  <c r="I805" i="4"/>
  <c r="I517" i="4"/>
  <c r="I565" i="4"/>
  <c r="I613" i="4"/>
  <c r="I277" i="4"/>
  <c r="I853" i="4"/>
  <c r="I901" i="4"/>
  <c r="I685" i="4"/>
  <c r="I781" i="4"/>
  <c r="I925" i="4"/>
  <c r="I829" i="4"/>
  <c r="I877" i="4"/>
  <c r="I733" i="4"/>
  <c r="I34" i="4"/>
  <c r="I82" i="4"/>
  <c r="I130" i="4"/>
  <c r="I178" i="4"/>
  <c r="I226" i="4"/>
  <c r="I274" i="4"/>
  <c r="I10" i="4"/>
  <c r="I58" i="4"/>
  <c r="I106" i="4"/>
  <c r="I154" i="4"/>
  <c r="I202" i="4"/>
  <c r="I250" i="4"/>
  <c r="I298" i="4"/>
  <c r="I346" i="4"/>
  <c r="I394" i="4"/>
  <c r="I442" i="4"/>
  <c r="I490" i="4"/>
  <c r="I538" i="4"/>
  <c r="I586" i="4"/>
  <c r="I634" i="4"/>
  <c r="I370" i="4"/>
  <c r="I418" i="4"/>
  <c r="I466" i="4"/>
  <c r="I514" i="4"/>
  <c r="I562" i="4"/>
  <c r="I610" i="4"/>
  <c r="I682" i="4"/>
  <c r="I730" i="4"/>
  <c r="I778" i="4"/>
  <c r="I826" i="4"/>
  <c r="I874" i="4"/>
  <c r="I922" i="4"/>
  <c r="I322" i="4"/>
  <c r="I658" i="4"/>
  <c r="I706" i="4"/>
  <c r="I754" i="4"/>
  <c r="I802" i="4"/>
  <c r="I850" i="4"/>
  <c r="I898" i="4"/>
  <c r="I7" i="4"/>
  <c r="I55" i="4"/>
  <c r="I103" i="4"/>
  <c r="I151" i="4"/>
  <c r="I199" i="4"/>
  <c r="I247" i="4"/>
  <c r="I295" i="4"/>
  <c r="I31" i="4"/>
  <c r="I79" i="4"/>
  <c r="I127" i="4"/>
  <c r="I175" i="4"/>
  <c r="I223" i="4"/>
  <c r="I271" i="4"/>
  <c r="I319" i="4"/>
  <c r="I343" i="4"/>
  <c r="I391" i="4"/>
  <c r="I439" i="4"/>
  <c r="I487" i="4"/>
  <c r="I535" i="4"/>
  <c r="I583" i="4"/>
  <c r="I631" i="4"/>
  <c r="I367" i="4"/>
  <c r="I415" i="4"/>
  <c r="I463" i="4"/>
  <c r="I559" i="4"/>
  <c r="I679" i="4"/>
  <c r="I727" i="4"/>
  <c r="I775" i="4"/>
  <c r="I823" i="4"/>
  <c r="I871" i="4"/>
  <c r="I919" i="4"/>
  <c r="I511" i="4"/>
  <c r="I655" i="4"/>
  <c r="I703" i="4"/>
  <c r="I751" i="4"/>
  <c r="I799" i="4"/>
  <c r="I847" i="4"/>
  <c r="I895" i="4"/>
  <c r="I607" i="4"/>
  <c r="I20" i="4"/>
  <c r="I68" i="4"/>
  <c r="I116" i="4"/>
  <c r="I164" i="4"/>
  <c r="I212" i="4"/>
  <c r="I260" i="4"/>
  <c r="I308" i="4"/>
  <c r="I44" i="4"/>
  <c r="I92" i="4"/>
  <c r="I140" i="4"/>
  <c r="I188" i="4"/>
  <c r="I236" i="4"/>
  <c r="I284" i="4"/>
  <c r="I332" i="4"/>
  <c r="I356" i="4"/>
  <c r="I404" i="4"/>
  <c r="I452" i="4"/>
  <c r="I500" i="4"/>
  <c r="I548" i="4"/>
  <c r="I596" i="4"/>
  <c r="I476" i="4"/>
  <c r="I620" i="4"/>
  <c r="I644" i="4"/>
  <c r="I692" i="4"/>
  <c r="I740" i="4"/>
  <c r="I788" i="4"/>
  <c r="I836" i="4"/>
  <c r="I884" i="4"/>
  <c r="I932" i="4"/>
  <c r="I428" i="4"/>
  <c r="I380" i="4"/>
  <c r="I572" i="4"/>
  <c r="I668" i="4"/>
  <c r="I716" i="4"/>
  <c r="I764" i="4"/>
  <c r="I812" i="4"/>
  <c r="I860" i="4"/>
  <c r="I908" i="4"/>
  <c r="I524" i="4"/>
  <c r="I22" i="4"/>
  <c r="I70" i="4"/>
  <c r="I118" i="4"/>
  <c r="I166" i="4"/>
  <c r="I214" i="4"/>
  <c r="I262" i="4"/>
  <c r="I310" i="4"/>
  <c r="I46" i="4"/>
  <c r="I94" i="4"/>
  <c r="I142" i="4"/>
  <c r="I190" i="4"/>
  <c r="I238" i="4"/>
  <c r="I286" i="4"/>
  <c r="I358" i="4"/>
  <c r="I406" i="4"/>
  <c r="I454" i="4"/>
  <c r="I502" i="4"/>
  <c r="I550" i="4"/>
  <c r="I598" i="4"/>
  <c r="I382" i="4"/>
  <c r="I430" i="4"/>
  <c r="I478" i="4"/>
  <c r="I526" i="4"/>
  <c r="I574" i="4"/>
  <c r="I622" i="4"/>
  <c r="I334" i="4"/>
  <c r="I646" i="4"/>
  <c r="I694" i="4"/>
  <c r="I742" i="4"/>
  <c r="I790" i="4"/>
  <c r="I838" i="4"/>
  <c r="I886" i="4"/>
  <c r="I670" i="4"/>
  <c r="I718" i="4"/>
  <c r="I766" i="4"/>
  <c r="I814" i="4"/>
  <c r="I862" i="4"/>
  <c r="I910" i="4"/>
  <c r="I934" i="4"/>
  <c r="I2" i="4"/>
  <c r="I50" i="4"/>
  <c r="I98" i="4"/>
  <c r="I146" i="4"/>
  <c r="I194" i="4"/>
  <c r="I242" i="4"/>
  <c r="I290" i="4"/>
  <c r="I26" i="4"/>
  <c r="I74" i="4"/>
  <c r="I122" i="4"/>
  <c r="I170" i="4"/>
  <c r="I218" i="4"/>
  <c r="I266" i="4"/>
  <c r="I314" i="4"/>
  <c r="I362" i="4"/>
  <c r="I410" i="4"/>
  <c r="I458" i="4"/>
  <c r="I506" i="4"/>
  <c r="I554" i="4"/>
  <c r="I602" i="4"/>
  <c r="I338" i="4"/>
  <c r="I386" i="4"/>
  <c r="I434" i="4"/>
  <c r="I482" i="4"/>
  <c r="I530" i="4"/>
  <c r="I578" i="4"/>
  <c r="I626" i="4"/>
  <c r="I650" i="4"/>
  <c r="I698" i="4"/>
  <c r="I746" i="4"/>
  <c r="I794" i="4"/>
  <c r="I842" i="4"/>
  <c r="I890" i="4"/>
  <c r="I674" i="4"/>
  <c r="I722" i="4"/>
  <c r="I770" i="4"/>
  <c r="I818" i="4"/>
  <c r="I866" i="4"/>
  <c r="I914" i="4"/>
  <c r="I38" i="4"/>
  <c r="I86" i="4"/>
  <c r="I134" i="4"/>
  <c r="I182" i="4"/>
  <c r="I230" i="4"/>
  <c r="I278" i="4"/>
  <c r="I14" i="4"/>
  <c r="I62" i="4"/>
  <c r="I110" i="4"/>
  <c r="I158" i="4"/>
  <c r="I206" i="4"/>
  <c r="I254" i="4"/>
  <c r="I302" i="4"/>
  <c r="I374" i="4"/>
  <c r="I422" i="4"/>
  <c r="I470" i="4"/>
  <c r="I518" i="4"/>
  <c r="I566" i="4"/>
  <c r="I614" i="4"/>
  <c r="I326" i="4"/>
  <c r="I350" i="4"/>
  <c r="I398" i="4"/>
  <c r="I446" i="4"/>
  <c r="I494" i="4"/>
  <c r="I542" i="4"/>
  <c r="I590" i="4"/>
  <c r="I638" i="4"/>
  <c r="I662" i="4"/>
  <c r="I710" i="4"/>
  <c r="I758" i="4"/>
  <c r="I806" i="4"/>
  <c r="I854" i="4"/>
  <c r="I902" i="4"/>
  <c r="I686" i="4"/>
  <c r="I734" i="4"/>
  <c r="I782" i="4"/>
  <c r="I830" i="4"/>
  <c r="I878" i="4"/>
  <c r="I926" i="4"/>
  <c r="I11" i="4"/>
  <c r="I59" i="4"/>
  <c r="I107" i="4"/>
  <c r="I155" i="4"/>
  <c r="I203" i="4"/>
  <c r="I251" i="4"/>
  <c r="I299" i="4"/>
  <c r="I35" i="4"/>
  <c r="I83" i="4"/>
  <c r="I131" i="4"/>
  <c r="I179" i="4"/>
  <c r="I227" i="4"/>
  <c r="I275" i="4"/>
  <c r="I323" i="4"/>
  <c r="I371" i="4"/>
  <c r="I419" i="4"/>
  <c r="I467" i="4"/>
  <c r="I515" i="4"/>
  <c r="I563" i="4"/>
  <c r="I611" i="4"/>
  <c r="I347" i="4"/>
  <c r="I395" i="4"/>
  <c r="I443" i="4"/>
  <c r="I491" i="4"/>
  <c r="I539" i="4"/>
  <c r="I587" i="4"/>
  <c r="I635" i="4"/>
  <c r="I683" i="4"/>
  <c r="I731" i="4"/>
  <c r="I779" i="4"/>
  <c r="I827" i="4"/>
  <c r="I875" i="4"/>
  <c r="I923" i="4"/>
  <c r="I659" i="4"/>
  <c r="I707" i="4"/>
  <c r="I755" i="4"/>
  <c r="I803" i="4"/>
  <c r="I851" i="4"/>
  <c r="I899" i="4"/>
  <c r="I8" i="4"/>
  <c r="I56" i="4"/>
  <c r="I104" i="4"/>
  <c r="I152" i="4"/>
  <c r="I200" i="4"/>
  <c r="I248" i="4"/>
  <c r="I296" i="4"/>
  <c r="I32" i="4"/>
  <c r="I80" i="4"/>
  <c r="I128" i="4"/>
  <c r="I176" i="4"/>
  <c r="I224" i="4"/>
  <c r="I272" i="4"/>
  <c r="I320" i="4"/>
  <c r="I368" i="4"/>
  <c r="I416" i="4"/>
  <c r="I464" i="4"/>
  <c r="I512" i="4"/>
  <c r="I560" i="4"/>
  <c r="I344" i="4"/>
  <c r="I392" i="4"/>
  <c r="I440" i="4"/>
  <c r="I488" i="4"/>
  <c r="I536" i="4"/>
  <c r="I584" i="4"/>
  <c r="I632" i="4"/>
  <c r="I680" i="4"/>
  <c r="I728" i="4"/>
  <c r="I776" i="4"/>
  <c r="I824" i="4"/>
  <c r="I872" i="4"/>
  <c r="I920" i="4"/>
  <c r="I608" i="4"/>
  <c r="I656" i="4"/>
  <c r="I704" i="4"/>
  <c r="I752" i="4"/>
  <c r="I800" i="4"/>
  <c r="I848" i="4"/>
  <c r="I896" i="4"/>
  <c r="I4" i="4"/>
  <c r="I52" i="4"/>
  <c r="I100" i="4"/>
  <c r="I148" i="4"/>
  <c r="I196" i="4"/>
  <c r="I244" i="4"/>
  <c r="I292" i="4"/>
  <c r="I340" i="4"/>
  <c r="I28" i="4"/>
  <c r="I76" i="4"/>
  <c r="I124" i="4"/>
  <c r="I172" i="4"/>
  <c r="I220" i="4"/>
  <c r="I268" i="4"/>
  <c r="I316" i="4"/>
  <c r="I388" i="4"/>
  <c r="I436" i="4"/>
  <c r="I484" i="4"/>
  <c r="I532" i="4"/>
  <c r="I580" i="4"/>
  <c r="I628" i="4"/>
  <c r="I412" i="4"/>
  <c r="I676" i="4"/>
  <c r="I724" i="4"/>
  <c r="I772" i="4"/>
  <c r="I820" i="4"/>
  <c r="I868" i="4"/>
  <c r="I916" i="4"/>
  <c r="I364" i="4"/>
  <c r="I556" i="4"/>
  <c r="I508" i="4"/>
  <c r="I604" i="4"/>
  <c r="I652" i="4"/>
  <c r="I700" i="4"/>
  <c r="I748" i="4"/>
  <c r="I796" i="4"/>
  <c r="I844" i="4"/>
  <c r="I892" i="4"/>
  <c r="I460" i="4"/>
  <c r="I36" i="4"/>
  <c r="I84" i="4"/>
  <c r="I132" i="4"/>
  <c r="I180" i="4"/>
  <c r="I228" i="4"/>
  <c r="I276" i="4"/>
  <c r="I324" i="4"/>
  <c r="I12" i="4"/>
  <c r="I60" i="4"/>
  <c r="I108" i="4"/>
  <c r="I156" i="4"/>
  <c r="I204" i="4"/>
  <c r="I252" i="4"/>
  <c r="I300" i="4"/>
  <c r="I372" i="4"/>
  <c r="I420" i="4"/>
  <c r="I468" i="4"/>
  <c r="I516" i="4"/>
  <c r="I564" i="4"/>
  <c r="I612" i="4"/>
  <c r="I348" i="4"/>
  <c r="I540" i="4"/>
  <c r="I588" i="4"/>
  <c r="I660" i="4"/>
  <c r="I708" i="4"/>
  <c r="I756" i="4"/>
  <c r="I804" i="4"/>
  <c r="I852" i="4"/>
  <c r="I900" i="4"/>
  <c r="I492" i="4"/>
  <c r="I444" i="4"/>
  <c r="I636" i="4"/>
  <c r="I684" i="4"/>
  <c r="I732" i="4"/>
  <c r="I780" i="4"/>
  <c r="I828" i="4"/>
  <c r="I876" i="4"/>
  <c r="I924" i="4"/>
  <c r="I396" i="4"/>
  <c r="I39" i="4"/>
  <c r="I87" i="4"/>
  <c r="I135" i="4"/>
  <c r="I183" i="4"/>
  <c r="I231" i="4"/>
  <c r="I279" i="4"/>
  <c r="I327" i="4"/>
  <c r="I15" i="4"/>
  <c r="I63" i="4"/>
  <c r="I111" i="4"/>
  <c r="I159" i="4"/>
  <c r="I207" i="4"/>
  <c r="I255" i="4"/>
  <c r="I303" i="4"/>
  <c r="I375" i="4"/>
  <c r="I423" i="4"/>
  <c r="I471" i="4"/>
  <c r="I519" i="4"/>
  <c r="I567" i="4"/>
  <c r="I615" i="4"/>
  <c r="I351" i="4"/>
  <c r="I399" i="4"/>
  <c r="I447" i="4"/>
  <c r="I495" i="4"/>
  <c r="I663" i="4"/>
  <c r="I711" i="4"/>
  <c r="I759" i="4"/>
  <c r="I807" i="4"/>
  <c r="I855" i="4"/>
  <c r="I903" i="4"/>
  <c r="I639" i="4"/>
  <c r="I591" i="4"/>
  <c r="I687" i="4"/>
  <c r="I735" i="4"/>
  <c r="I783" i="4"/>
  <c r="I831" i="4"/>
  <c r="I879" i="4"/>
  <c r="I927" i="4"/>
  <c r="I543" i="4"/>
  <c r="I33" i="4"/>
  <c r="I81" i="4"/>
  <c r="I129" i="4"/>
  <c r="I177" i="4"/>
  <c r="I369" i="4"/>
  <c r="I417" i="4"/>
  <c r="I465" i="4"/>
  <c r="I9" i="4"/>
  <c r="I57" i="4"/>
  <c r="I105" i="4"/>
  <c r="I153" i="4"/>
  <c r="I201" i="4"/>
  <c r="I345" i="4"/>
  <c r="I393" i="4"/>
  <c r="I441" i="4"/>
  <c r="I489" i="4"/>
  <c r="I537" i="4"/>
  <c r="I585" i="4"/>
  <c r="I633" i="4"/>
  <c r="I297" i="4"/>
  <c r="I657" i="4"/>
  <c r="I705" i="4"/>
  <c r="I753" i="4"/>
  <c r="I513" i="4"/>
  <c r="I561" i="4"/>
  <c r="I609" i="4"/>
  <c r="I273" i="4"/>
  <c r="I321" i="4"/>
  <c r="I249" i="4"/>
  <c r="I225" i="4"/>
  <c r="I681" i="4"/>
  <c r="I777" i="4"/>
  <c r="I801" i="4"/>
  <c r="I825" i="4"/>
  <c r="I873" i="4"/>
  <c r="I921" i="4"/>
  <c r="I729" i="4"/>
  <c r="I849" i="4"/>
  <c r="I897" i="4"/>
  <c r="I285" i="4"/>
  <c r="I333" i="4"/>
  <c r="I21" i="4"/>
  <c r="I69" i="4"/>
  <c r="I117" i="4"/>
  <c r="I165" i="4"/>
  <c r="I237" i="4"/>
  <c r="I357" i="4"/>
  <c r="I405" i="4"/>
  <c r="I453" i="4"/>
  <c r="I45" i="4"/>
  <c r="I93" i="4"/>
  <c r="I141" i="4"/>
  <c r="I189" i="4"/>
  <c r="I381" i="4"/>
  <c r="I429" i="4"/>
  <c r="I477" i="4"/>
  <c r="I525" i="4"/>
  <c r="I573" i="4"/>
  <c r="I621" i="4"/>
  <c r="I309" i="4"/>
  <c r="I261" i="4"/>
  <c r="I645" i="4"/>
  <c r="I693" i="4"/>
  <c r="I741" i="4"/>
  <c r="I789" i="4"/>
  <c r="I501" i="4"/>
  <c r="I549" i="4"/>
  <c r="I597" i="4"/>
  <c r="I213" i="4"/>
  <c r="I837" i="4"/>
  <c r="I885" i="4"/>
  <c r="I717" i="4"/>
  <c r="I813" i="4"/>
  <c r="I861" i="4"/>
  <c r="I909" i="4"/>
  <c r="I933" i="4"/>
  <c r="I669" i="4"/>
  <c r="I765" i="4"/>
  <c r="I49" i="4"/>
  <c r="I97" i="4"/>
  <c r="I145" i="4"/>
  <c r="I193" i="4"/>
  <c r="I385" i="4"/>
  <c r="I433" i="4"/>
  <c r="I25" i="4"/>
  <c r="I73" i="4"/>
  <c r="I121" i="4"/>
  <c r="I169" i="4"/>
  <c r="I361" i="4"/>
  <c r="I409" i="4"/>
  <c r="I457" i="4"/>
  <c r="I505" i="4"/>
  <c r="I553" i="4"/>
  <c r="I601" i="4"/>
  <c r="I241" i="4"/>
  <c r="I337" i="4"/>
  <c r="I217" i="4"/>
  <c r="I673" i="4"/>
  <c r="I721" i="4"/>
  <c r="I769" i="4"/>
  <c r="I481" i="4"/>
  <c r="I529" i="4"/>
  <c r="I577" i="4"/>
  <c r="I625" i="4"/>
  <c r="I313" i="4"/>
  <c r="I289" i="4"/>
  <c r="I649" i="4"/>
  <c r="I745" i="4"/>
  <c r="I841" i="4"/>
  <c r="I889" i="4"/>
  <c r="I265" i="4"/>
  <c r="I697" i="4"/>
  <c r="I793" i="4"/>
  <c r="I817" i="4"/>
  <c r="I865" i="4"/>
  <c r="I913" i="4"/>
  <c r="I937" i="4"/>
  <c r="I17" i="4"/>
  <c r="I65" i="4"/>
  <c r="I113" i="4"/>
  <c r="I161" i="4"/>
  <c r="I353" i="4"/>
  <c r="I401" i="4"/>
  <c r="I449" i="4"/>
  <c r="I41" i="4"/>
  <c r="I89" i="4"/>
  <c r="I137" i="4"/>
  <c r="I185" i="4"/>
  <c r="I377" i="4"/>
  <c r="I425" i="4"/>
  <c r="I473" i="4"/>
  <c r="I521" i="4"/>
  <c r="I569" i="4"/>
  <c r="I617" i="4"/>
  <c r="I305" i="4"/>
  <c r="I281" i="4"/>
  <c r="I257" i="4"/>
  <c r="I233" i="4"/>
  <c r="I641" i="4"/>
  <c r="I689" i="4"/>
  <c r="I737" i="4"/>
  <c r="I785" i="4"/>
  <c r="I497" i="4"/>
  <c r="I545" i="4"/>
  <c r="I593" i="4"/>
  <c r="I209" i="4"/>
  <c r="I329" i="4"/>
  <c r="I713" i="4"/>
  <c r="I809" i="4"/>
  <c r="I857" i="4"/>
  <c r="I905" i="4"/>
  <c r="I665" i="4"/>
  <c r="I761" i="4"/>
  <c r="I929" i="4"/>
  <c r="I833" i="4"/>
  <c r="I881" i="4"/>
  <c r="I23" i="4"/>
  <c r="I71" i="4"/>
  <c r="I119" i="4"/>
  <c r="I167" i="4"/>
  <c r="I215" i="4"/>
  <c r="I263" i="4"/>
  <c r="I311" i="4"/>
  <c r="I47" i="4"/>
  <c r="I95" i="4"/>
  <c r="I143" i="4"/>
  <c r="I191" i="4"/>
  <c r="I239" i="4"/>
  <c r="I287" i="4"/>
  <c r="I335" i="4"/>
  <c r="I359" i="4"/>
  <c r="I407" i="4"/>
  <c r="I455" i="4"/>
  <c r="I503" i="4"/>
  <c r="I551" i="4"/>
  <c r="I599" i="4"/>
  <c r="I383" i="4"/>
  <c r="I431" i="4"/>
  <c r="I479" i="4"/>
  <c r="I623" i="4"/>
  <c r="I647" i="4"/>
  <c r="I695" i="4"/>
  <c r="I743" i="4"/>
  <c r="I791" i="4"/>
  <c r="I839" i="4"/>
  <c r="I887" i="4"/>
  <c r="I935" i="4"/>
  <c r="I575" i="4"/>
  <c r="I527" i="4"/>
  <c r="I671" i="4"/>
  <c r="I719" i="4"/>
  <c r="I767" i="4"/>
  <c r="I815" i="4"/>
  <c r="I863" i="4"/>
  <c r="I911" i="4"/>
  <c r="I40" i="4"/>
  <c r="I88" i="4"/>
  <c r="I136" i="4"/>
  <c r="I184" i="4"/>
  <c r="I232" i="4"/>
  <c r="I280" i="4"/>
  <c r="I328" i="4"/>
  <c r="I16" i="4"/>
  <c r="I64" i="4"/>
  <c r="I112" i="4"/>
  <c r="I160" i="4"/>
  <c r="I208" i="4"/>
  <c r="I256" i="4"/>
  <c r="I304" i="4"/>
  <c r="I352" i="4"/>
  <c r="I400" i="4"/>
  <c r="I448" i="4"/>
  <c r="I496" i="4"/>
  <c r="I544" i="4"/>
  <c r="I376" i="4"/>
  <c r="I424" i="4"/>
  <c r="I472" i="4"/>
  <c r="I520" i="4"/>
  <c r="I568" i="4"/>
  <c r="I616" i="4"/>
  <c r="I592" i="4"/>
  <c r="I664" i="4"/>
  <c r="I712" i="4"/>
  <c r="I760" i="4"/>
  <c r="I808" i="4"/>
  <c r="I856" i="4"/>
  <c r="I904" i="4"/>
  <c r="I640" i="4"/>
  <c r="I688" i="4"/>
  <c r="I736" i="4"/>
  <c r="I784" i="4"/>
  <c r="I832" i="4"/>
  <c r="I880" i="4"/>
  <c r="I928" i="4"/>
  <c r="I43" i="4"/>
  <c r="I91" i="4"/>
  <c r="I139" i="4"/>
  <c r="I187" i="4"/>
  <c r="I235" i="4"/>
  <c r="I283" i="4"/>
  <c r="I331" i="4"/>
  <c r="I19" i="4"/>
  <c r="I67" i="4"/>
  <c r="I115" i="4"/>
  <c r="I163" i="4"/>
  <c r="I211" i="4"/>
  <c r="I259" i="4"/>
  <c r="I307" i="4"/>
  <c r="I355" i="4"/>
  <c r="I403" i="4"/>
  <c r="I451" i="4"/>
  <c r="I499" i="4"/>
  <c r="I547" i="4"/>
  <c r="I595" i="4"/>
  <c r="I379" i="4"/>
  <c r="I427" i="4"/>
  <c r="I475" i="4"/>
  <c r="I523" i="4"/>
  <c r="I571" i="4"/>
  <c r="I619" i="4"/>
  <c r="I667" i="4"/>
  <c r="I715" i="4"/>
  <c r="I763" i="4"/>
  <c r="I811" i="4"/>
  <c r="I859" i="4"/>
  <c r="I907" i="4"/>
  <c r="I643" i="4"/>
  <c r="I691" i="4"/>
  <c r="I739" i="4"/>
  <c r="I787" i="4"/>
  <c r="I835" i="4"/>
  <c r="I883" i="4"/>
  <c r="I93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<sst xmlns="http://schemas.openxmlformats.org/spreadsheetml/2006/main" count="10442" uniqueCount="187">
  <si>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</si>
  <si>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</si>
  <si>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</si>
  <si>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</si>
  <si>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</si>
  <si>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</si>
  <si>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</si>
  <si>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</si>
  <si>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</si>
  <si>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</si>
  <si>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</si>
  <si>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</si>
  <si>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</si>
  <si>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</si>
  <si>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</si>
  <si>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</si>
  <si>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</si>
  <si>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</si>
  <si>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</si>
  <si>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</si>
  <si>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</si>
  <si>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</si>
  <si>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</si>
  <si>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</si>
  <si>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</si>
  <si>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</si>
  <si>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</si>
  <si>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</si>
  <si>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</si>
  <si>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</si>
  <si>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</si>
  <si>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</si>
  <si>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</si>
  <si>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</si>
  <si>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</si>
  <si>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</si>
  <si>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</si>
  <si>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</si>
  <si>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</si>
  <si>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</si>
  <si>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</si>
  <si>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</si>
  <si>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</si>
  <si>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</si>
  <si>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</si>
  <si>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</si>
  <si>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</si>
  <si>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</si>
  <si>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</si>
  <si>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</si>
  <si>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</si>
  <si>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</si>
  <si>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</si>
  <si>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</si>
  <si>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</si>
  <si>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</si>
  <si>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</si>
  <si>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</si>
  <si>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</si>
  <si>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</si>
  <si>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</si>
  <si>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</si>
  <si>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</si>
  <si>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</si>
  <si>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</si>
  <si>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</si>
  <si>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</si>
  <si>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</si>
  <si>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</si>
  <si>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</si>
  <si>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</si>
  <si>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</si>
  <si>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</si>
  <si>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</si>
  <si>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</si>
  <si>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</si>
  <si>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</si>
  <si>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</si>
  <si>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</si>
  <si>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</si>
  <si>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</si>
  <si>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</si>
  <si>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</si>
  <si>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</si>
  <si>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</si>
  <si>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</si>
  <si>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</si>
  <si>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</si>
  <si>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</si>
  <si>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</si>
  <si>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</si>
  <si>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</si>
  <si>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Oxford Street_London Street_Sumner Road_Intersection</t>
  </si>
  <si>
    <t>Oxford Street North</t>
  </si>
  <si>
    <t>Sumner Road East</t>
  </si>
  <si>
    <t>Oxford Street South</t>
  </si>
  <si>
    <t>London Street West</t>
  </si>
  <si>
    <t>Left into Sumner Road East</t>
  </si>
  <si>
    <t>Thru to Oxford Street South</t>
  </si>
  <si>
    <t>Right into London Street West</t>
  </si>
  <si>
    <t>U-Turn</t>
  </si>
  <si>
    <t>Left into Oxford Street South</t>
  </si>
  <si>
    <t>Thru to London Street West</t>
  </si>
  <si>
    <t>Right into Oxford Street North</t>
  </si>
  <si>
    <t>Left into London Street West</t>
  </si>
  <si>
    <t>Thru to Oxford Street North</t>
  </si>
  <si>
    <t>Right into Sumner Road East</t>
  </si>
  <si>
    <t>Left into Oxford Street North</t>
  </si>
  <si>
    <t>Thru to Sumner Road East</t>
  </si>
  <si>
    <t>Right into Oxford Street South</t>
  </si>
  <si>
    <t>Oxford Street_London Street_Sumner Road_Intersection      Fine      12/04/2022</t>
  </si>
  <si>
    <t>Oxford Street North Total</t>
  </si>
  <si>
    <t>Sumner Road East Total</t>
  </si>
  <si>
    <t>Oxford Street South Total</t>
  </si>
  <si>
    <t>London Street West Total</t>
  </si>
  <si>
    <t>Left into Sumner Road East Total</t>
  </si>
  <si>
    <t>Thru to Oxford Street South Total</t>
  </si>
  <si>
    <t>Right into London Street West Total</t>
  </si>
  <si>
    <t>U-Turn Total</t>
  </si>
  <si>
    <t>Left into Oxford Street South Total</t>
  </si>
  <si>
    <t>Thru to London Street West Total</t>
  </si>
  <si>
    <t>Right into Oxford Street North Total</t>
  </si>
  <si>
    <t>Left into London Street West Total</t>
  </si>
  <si>
    <t>Thru to Oxford Street North Total</t>
  </si>
  <si>
    <t>Right into Sumner Road East Total</t>
  </si>
  <si>
    <t>Left into Oxford Street North Total</t>
  </si>
  <si>
    <t>Thru to Sumner Road East Total</t>
  </si>
  <si>
    <t>Right into Oxford Street South Total</t>
  </si>
  <si>
    <t>INT Total</t>
  </si>
  <si>
    <t/>
  </si>
  <si>
    <t>6:00 PM</t>
  </si>
  <si>
    <t>5:45 PM</t>
  </si>
  <si>
    <t>5:30 PM</t>
  </si>
  <si>
    <t>5:15 PM</t>
  </si>
  <si>
    <t>5:00 PM</t>
  </si>
  <si>
    <t>4:45 PM</t>
  </si>
  <si>
    <t>4:30 PM</t>
  </si>
  <si>
    <t>4:15 PM</t>
  </si>
  <si>
    <t>4:00 PM</t>
  </si>
  <si>
    <t>3:15 PM</t>
  </si>
  <si>
    <t>3:00 PM</t>
  </si>
  <si>
    <t>2:45 PM</t>
  </si>
  <si>
    <t>2:30 PM</t>
  </si>
  <si>
    <t>2:15 PM</t>
  </si>
  <si>
    <t>2:00 PM</t>
  </si>
  <si>
    <t>1:45 PM</t>
  </si>
  <si>
    <t>1:30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</si>
  <si>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</si>
  <si>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</si>
  <si>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</si>
  <si>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</si>
  <si>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</si>
  <si>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</si>
  <si>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</si>
  <si>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</si>
  <si>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</si>
  <si>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</si>
  <si>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</si>
  <si>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</si>
  <si>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</si>
  <si>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</si>
  <si>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</si>
  <si>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</si>
  <si>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</si>
  <si>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</si>
  <si>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</si>
  <si>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</si>
  <si>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</si>
  <si>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</si>
  <si>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</si>
  <si>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</si>
  <si>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London St</t>
  </si>
  <si>
    <t>Oxford St Northbound</t>
  </si>
  <si>
    <t>Sumner Rd</t>
  </si>
  <si>
    <t>Oxford St Southbound</t>
  </si>
  <si>
    <t>Lights</t>
  </si>
  <si>
    <t>Classification</t>
  </si>
  <si>
    <t>Road</t>
  </si>
  <si>
    <t>Type</t>
  </si>
  <si>
    <t>Project</t>
  </si>
  <si>
    <t>Site Code</t>
  </si>
  <si>
    <t>04/12/2022</t>
  </si>
  <si>
    <t>Start Date</t>
  </si>
  <si>
    <t>CCC I6000 London St - Oxford St - Sumner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</si>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</sst>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A413F6D-CFBE-4F41-BEF1-97039AEF59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[I6000_Oxford Street_London Street_Sumner Road_Intersection_12-04-2022.xlsx]Graphs!pvtGraphApproach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London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3</c:v>
                </c:pt>
                <c:pt idx="2">
                  <c:v>11</c:v>
                </c:pt>
                <c:pt idx="3">
                  <c:v>7</c:v>
                </c:pt>
                <c:pt idx="4">
                  <c:v>7</c:v>
                </c:pt>
                <c:pt idx="5">
                  <c:v>7</c:v>
                </c:pt>
                <c:pt idx="6">
                  <c:v>7</c:v>
                </c:pt>
                <c:pt idx="7">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Oxford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19</c:v>
                </c:pt>
                <c:pt idx="2">
                  <c:v>28</c:v>
                </c:pt>
                <c:pt idx="3">
                  <c:v>22</c:v>
                </c:pt>
                <c:pt idx="4">
                  <c:v>23</c:v>
                </c:pt>
                <c:pt idx="5">
                  <c:v>24</c:v>
                </c:pt>
                <c:pt idx="6">
                  <c:v>31</c:v>
                </c:pt>
                <c:pt idx="7">
                  <c:v>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Oxford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10</c:v>
                </c:pt>
                <c:pt idx="2">
                  <c:v>12</c:v>
                </c:pt>
                <c:pt idx="3">
                  <c:v>12</c:v>
                </c:pt>
                <c:pt idx="4">
                  <c:v>19</c:v>
                </c:pt>
                <c:pt idx="5">
                  <c:v>21</c:v>
                </c:pt>
                <c:pt idx="6">
                  <c:v>17</c:v>
                </c:pt>
                <c:pt idx="7">
                  <c:v>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Sumner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7</c:v>
                </c:pt>
                <c:pt idx="2">
                  <c:v>9</c:v>
                </c:pt>
                <c:pt idx="3">
                  <c:v>11</c:v>
                </c:pt>
                <c:pt idx="4">
                  <c:v>14</c:v>
                </c:pt>
                <c:pt idx="5">
                  <c:v>10</c:v>
                </c:pt>
                <c:pt idx="6">
                  <c:v>17</c:v>
                </c:pt>
                <c:pt idx="7">
                  <c:v>12</c:v>
                </c:pt>
              </c:numCache>
            </c:numRef>
          </c:val>
          <c:smooth val="0"/>
          <c:extLst>
            <c:ext xmlns:c16="http://schemas.microsoft.com/office/drawing/2014/chart" uri="{C3380CC4-5D6E-409C-BE32-E72D297353CC}">
              <c16:uniqueId val="{00000000-52A3-4E39-9794-125CEA1DC20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[I6000_Oxford Street_London Street_Sumner Road_Intersection_12-04-2022.xlsx]Graphs!pvtGraphExit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London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4</c:v>
                </c:pt>
                <c:pt idx="2">
                  <c:v>10</c:v>
                </c:pt>
                <c:pt idx="3">
                  <c:v>10</c:v>
                </c:pt>
                <c:pt idx="4">
                  <c:v>11</c:v>
                </c:pt>
                <c:pt idx="5">
                  <c:v>11</c:v>
                </c:pt>
                <c:pt idx="6">
                  <c:v>14</c:v>
                </c:pt>
                <c:pt idx="7">
                  <c:v>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Oxford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3</c:v>
                </c:pt>
                <c:pt idx="2">
                  <c:v>8</c:v>
                </c:pt>
                <c:pt idx="3">
                  <c:v>6</c:v>
                </c:pt>
                <c:pt idx="4">
                  <c:v>16</c:v>
                </c:pt>
                <c:pt idx="5">
                  <c:v>12</c:v>
                </c:pt>
                <c:pt idx="6">
                  <c:v>11</c:v>
                </c:pt>
                <c:pt idx="7">
                  <c:v>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Oxford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26</c:v>
                </c:pt>
                <c:pt idx="2">
                  <c:v>31</c:v>
                </c:pt>
                <c:pt idx="3">
                  <c:v>30</c:v>
                </c:pt>
                <c:pt idx="4">
                  <c:v>32</c:v>
                </c:pt>
                <c:pt idx="5">
                  <c:v>35</c:v>
                </c:pt>
                <c:pt idx="6">
                  <c:v>39</c:v>
                </c:pt>
                <c:pt idx="7">
                  <c:v>47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Sumner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6</c:v>
                </c:pt>
                <c:pt idx="2">
                  <c:v>11</c:v>
                </c:pt>
                <c:pt idx="3">
                  <c:v>6</c:v>
                </c:pt>
                <c:pt idx="4">
                  <c:v>4</c:v>
                </c:pt>
                <c:pt idx="5">
                  <c:v>4</c:v>
                </c:pt>
                <c:pt idx="6">
                  <c:v>8</c:v>
                </c:pt>
                <c:pt idx="7">
                  <c:v>12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[I6000_Oxford Street_London Street_Sumner Road_Intersection_12-04-2022.xlsx]GraphData!PivotTable2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c:v>
                </c:pt>
                <c:pt idx="1">
                  <c:v>39</c:v>
                </c:pt>
                <c:pt idx="2">
                  <c:v>60</c:v>
                </c:pt>
                <c:pt idx="3">
                  <c:v>52</c:v>
                </c:pt>
                <c:pt idx="4">
                  <c:v>63</c:v>
                </c:pt>
                <c:pt idx="5">
                  <c:v>62</c:v>
                </c:pt>
                <c:pt idx="6">
                  <c:v>72</c:v>
                </c:pt>
                <c:pt idx="7">
                  <c:v>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[I6000_Oxford Street_London Street_Sumner Road_Intersection_12-04-2022.xlsx]PeakCalc!pvtPeak2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c:v>
                </c:pt>
                <c:pt idx="1">
                  <c:v>39</c:v>
                </c:pt>
                <c:pt idx="2">
                  <c:v>60</c:v>
                </c:pt>
                <c:pt idx="3">
                  <c:v>52</c:v>
                </c:pt>
                <c:pt idx="4">
                  <c:v>63</c:v>
                </c:pt>
                <c:pt idx="5">
                  <c:v>62</c:v>
                </c:pt>
                <c:pt idx="6">
                  <c:v>72</c:v>
                </c:pt>
                <c:pt idx="7">
                  <c:v>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63</c:v>
                </c:pt>
                <c:pt idx="5">
                  <c:v>62</c:v>
                </c:pt>
                <c:pt idx="6">
                  <c:v>72</c:v>
                </c:pt>
                <c:pt idx="7">
                  <c:v>87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189442</xdr:colOff>
      <xdr:row>5</xdr:row>
      <xdr:rowOff>3175</xdr:rowOff>
    </xdr:from>
    <xdr:to>
      <xdr:col>20</xdr:col>
      <xdr:colOff>707017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608249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79.42214999999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7"/>
    </cacheField>
    <cacheField name="Peak" numFmtId="0">
      <sharedItems containsSemiMixedTypes="0" containsString="0" containsNumber="1" containsInteger="1" minValue="0" maxValue="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79.422340625002" createdVersion="5" refreshedVersion="7" minRefreshableVersion="3" recordCount="936" xr:uid="{00000000-000A-0000-FFFF-FFFF01000000}">
  <cacheSource type="worksheet">
    <worksheetSource name="tblPivotData"/>
  </cacheSource>
  <cacheFields count="9">
    <cacheField name="Approach" numFmtId="0">
      <sharedItems count="7">
        <s v="Oxford Street North"/>
        <s v="Sumner Road East"/>
        <s v="Oxford Street South"/>
        <s v="London Street West"/>
        <s v="Great south Rd (North)" u="1"/>
        <s v="Great south Rd (South)" u="1"/>
        <s v="Grange Rd" u="1"/>
      </sharedItems>
    </cacheField>
    <cacheField name="Movement" numFmtId="0">
      <sharedItems count="21">
        <s v="Left into Sumner Road East"/>
        <s v="Thru to Oxford Street South"/>
        <s v="Right into London Street West"/>
        <s v="U-Turn"/>
        <s v="Left into Oxford Street South"/>
        <s v="Thru to London Street West"/>
        <s v="Right into Oxford Street North"/>
        <s v="Left into London Street West"/>
        <s v="Thru to Oxford Street North"/>
        <s v="Right into Sumner Road East"/>
        <s v="Left into Oxford Street North"/>
        <s v="Thru to Sumner Road East"/>
        <s v="Right into Oxford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umner Road East"/>
        <s v="Oxford Street South"/>
        <s v="London Street West"/>
        <s v="Oxford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d v="1899-12-30T12:30:00" u="1"/>
        <d v="1899-12-30T15:30:00" u="1"/>
        <d v="1899-12-30T11:45:00" u="1"/>
        <d v="1899-12-30T12:45:00" u="1"/>
        <d v="1899-12-30T15:45:00" u="1"/>
        <d v="1899-12-30T11:00:00" u="1"/>
        <d v="1899-12-30T12:00:00" u="1"/>
        <d v="1899-12-30T11:15:00" u="1"/>
        <d v="1899-12-30T12:15:00" u="1"/>
        <d v="1899-12-30T11:30:00" u="1"/>
      </sharedItems>
    </cacheField>
    <cacheField name="Count" numFmtId="0">
      <sharedItems containsSemiMixedTypes="0" containsString="0" containsNumber="1" containsInteger="1" minValue="0" maxValue="33"/>
    </cacheField>
    <cacheField name="Time Grouped" numFmtId="20">
      <sharedItems containsSemiMixedTypes="0" containsNonDate="0" containsDate="1" containsString="0" minDate="1899-12-30T07:00:00" maxDate="1899-12-30T17:45:00" count="43">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13: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
    <n v="0"/>
  </r>
  <r>
    <x v="0"/>
    <x v="1"/>
    <n v="39"/>
    <n v="0"/>
  </r>
  <r>
    <x v="0"/>
    <x v="2"/>
    <n v="60"/>
    <n v="0"/>
  </r>
  <r>
    <x v="0"/>
    <x v="3"/>
    <n v="52"/>
    <n v="0"/>
  </r>
  <r>
    <x v="0"/>
    <x v="4"/>
    <n v="63"/>
    <n v="63"/>
  </r>
  <r>
    <x v="0"/>
    <x v="5"/>
    <n v="62"/>
    <n v="62"/>
  </r>
  <r>
    <x v="0"/>
    <x v="6"/>
    <n v="72"/>
    <n v="72"/>
  </r>
  <r>
    <x v="0"/>
    <x v="7"/>
    <n v="87"/>
    <n v="87"/>
  </r>
  <r>
    <x v="1"/>
    <x v="8"/>
    <n v="61"/>
    <n v="0"/>
  </r>
  <r>
    <x v="1"/>
    <x v="9"/>
    <n v="80"/>
    <n v="0"/>
  </r>
  <r>
    <x v="1"/>
    <x v="10"/>
    <n v="65"/>
    <n v="0"/>
  </r>
  <r>
    <x v="1"/>
    <x v="11"/>
    <n v="66"/>
    <n v="0"/>
  </r>
  <r>
    <x v="1"/>
    <x v="12"/>
    <n v="64"/>
    <n v="64"/>
  </r>
  <r>
    <x v="1"/>
    <x v="13"/>
    <n v="73"/>
    <n v="73"/>
  </r>
  <r>
    <x v="1"/>
    <x v="14"/>
    <n v="82"/>
    <n v="82"/>
  </r>
  <r>
    <x v="1"/>
    <x v="15"/>
    <n v="70"/>
    <n v="70"/>
  </r>
  <r>
    <x v="2"/>
    <x v="16"/>
    <n v="78"/>
    <n v="0"/>
  </r>
  <r>
    <x v="2"/>
    <x v="17"/>
    <n v="75"/>
    <n v="0"/>
  </r>
  <r>
    <x v="2"/>
    <x v="18"/>
    <n v="68"/>
    <n v="68"/>
  </r>
  <r>
    <x v="2"/>
    <x v="19"/>
    <n v="58"/>
    <n v="58"/>
  </r>
  <r>
    <x v="2"/>
    <x v="20"/>
    <n v="86"/>
    <n v="86"/>
  </r>
  <r>
    <x v="2"/>
    <x v="21"/>
    <n v="83"/>
    <n v="83"/>
  </r>
  <r>
    <x v="2"/>
    <x v="22"/>
    <n v="67"/>
    <n v="0"/>
  </r>
  <r>
    <x v="2"/>
    <x v="23"/>
    <n v="56"/>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
  <r>
    <x v="0"/>
    <x v="0"/>
    <x v="0"/>
    <x v="0"/>
    <x v="0"/>
    <x v="0"/>
    <n v="1"/>
    <x v="0"/>
    <x v="0"/>
  </r>
  <r>
    <x v="0"/>
    <x v="0"/>
    <x v="0"/>
    <x v="0"/>
    <x v="0"/>
    <x v="1"/>
    <n v="0"/>
    <x v="1"/>
    <x v="0"/>
  </r>
  <r>
    <x v="0"/>
    <x v="0"/>
    <x v="0"/>
    <x v="0"/>
    <x v="0"/>
    <x v="2"/>
    <n v="1"/>
    <x v="2"/>
    <x v="0"/>
  </r>
  <r>
    <x v="0"/>
    <x v="0"/>
    <x v="0"/>
    <x v="0"/>
    <x v="0"/>
    <x v="3"/>
    <n v="0"/>
    <x v="3"/>
    <x v="0"/>
  </r>
  <r>
    <x v="0"/>
    <x v="0"/>
    <x v="0"/>
    <x v="0"/>
    <x v="0"/>
    <x v="4"/>
    <n v="0"/>
    <x v="4"/>
    <x v="1"/>
  </r>
  <r>
    <x v="0"/>
    <x v="0"/>
    <x v="0"/>
    <x v="0"/>
    <x v="0"/>
    <x v="5"/>
    <n v="0"/>
    <x v="5"/>
    <x v="1"/>
  </r>
  <r>
    <x v="0"/>
    <x v="0"/>
    <x v="0"/>
    <x v="0"/>
    <x v="0"/>
    <x v="6"/>
    <n v="0"/>
    <x v="6"/>
    <x v="1"/>
  </r>
  <r>
    <x v="0"/>
    <x v="0"/>
    <x v="0"/>
    <x v="0"/>
    <x v="0"/>
    <x v="7"/>
    <n v="1"/>
    <x v="7"/>
    <x v="1"/>
  </r>
  <r>
    <x v="0"/>
    <x v="0"/>
    <x v="0"/>
    <x v="0"/>
    <x v="1"/>
    <x v="8"/>
    <n v="2"/>
    <x v="8"/>
    <x v="0"/>
  </r>
  <r>
    <x v="0"/>
    <x v="0"/>
    <x v="0"/>
    <x v="0"/>
    <x v="1"/>
    <x v="9"/>
    <n v="4"/>
    <x v="9"/>
    <x v="0"/>
  </r>
  <r>
    <x v="0"/>
    <x v="0"/>
    <x v="0"/>
    <x v="0"/>
    <x v="1"/>
    <x v="10"/>
    <n v="0"/>
    <x v="10"/>
    <x v="0"/>
  </r>
  <r>
    <x v="0"/>
    <x v="0"/>
    <x v="0"/>
    <x v="0"/>
    <x v="1"/>
    <x v="11"/>
    <n v="2"/>
    <x v="11"/>
    <x v="0"/>
  </r>
  <r>
    <x v="0"/>
    <x v="0"/>
    <x v="0"/>
    <x v="0"/>
    <x v="1"/>
    <x v="12"/>
    <n v="0"/>
    <x v="12"/>
    <x v="1"/>
  </r>
  <r>
    <x v="0"/>
    <x v="0"/>
    <x v="0"/>
    <x v="0"/>
    <x v="1"/>
    <x v="13"/>
    <n v="0"/>
    <x v="13"/>
    <x v="1"/>
  </r>
  <r>
    <x v="0"/>
    <x v="0"/>
    <x v="0"/>
    <x v="0"/>
    <x v="1"/>
    <x v="14"/>
    <n v="1"/>
    <x v="14"/>
    <x v="1"/>
  </r>
  <r>
    <x v="0"/>
    <x v="0"/>
    <x v="0"/>
    <x v="0"/>
    <x v="1"/>
    <x v="15"/>
    <n v="1"/>
    <x v="15"/>
    <x v="1"/>
  </r>
  <r>
    <x v="0"/>
    <x v="0"/>
    <x v="0"/>
    <x v="0"/>
    <x v="2"/>
    <x v="16"/>
    <n v="0"/>
    <x v="16"/>
    <x v="0"/>
  </r>
  <r>
    <x v="0"/>
    <x v="0"/>
    <x v="0"/>
    <x v="0"/>
    <x v="2"/>
    <x v="17"/>
    <n v="2"/>
    <x v="17"/>
    <x v="0"/>
  </r>
  <r>
    <x v="0"/>
    <x v="0"/>
    <x v="0"/>
    <x v="0"/>
    <x v="2"/>
    <x v="18"/>
    <n v="1"/>
    <x v="18"/>
    <x v="1"/>
  </r>
  <r>
    <x v="0"/>
    <x v="0"/>
    <x v="0"/>
    <x v="0"/>
    <x v="2"/>
    <x v="19"/>
    <n v="0"/>
    <x v="19"/>
    <x v="1"/>
  </r>
  <r>
    <x v="0"/>
    <x v="0"/>
    <x v="0"/>
    <x v="0"/>
    <x v="2"/>
    <x v="20"/>
    <n v="0"/>
    <x v="20"/>
    <x v="1"/>
  </r>
  <r>
    <x v="0"/>
    <x v="0"/>
    <x v="0"/>
    <x v="0"/>
    <x v="2"/>
    <x v="21"/>
    <n v="2"/>
    <x v="21"/>
    <x v="1"/>
  </r>
  <r>
    <x v="0"/>
    <x v="0"/>
    <x v="0"/>
    <x v="0"/>
    <x v="2"/>
    <x v="22"/>
    <n v="1"/>
    <x v="22"/>
    <x v="0"/>
  </r>
  <r>
    <x v="0"/>
    <x v="0"/>
    <x v="0"/>
    <x v="0"/>
    <x v="2"/>
    <x v="23"/>
    <n v="1"/>
    <x v="23"/>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0"/>
  </r>
  <r>
    <x v="0"/>
    <x v="0"/>
    <x v="0"/>
    <x v="1"/>
    <x v="1"/>
    <x v="9"/>
    <n v="0"/>
    <x v="9"/>
    <x v="0"/>
  </r>
  <r>
    <x v="0"/>
    <x v="0"/>
    <x v="0"/>
    <x v="1"/>
    <x v="1"/>
    <x v="10"/>
    <n v="0"/>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0"/>
  </r>
  <r>
    <x v="0"/>
    <x v="0"/>
    <x v="0"/>
    <x v="1"/>
    <x v="2"/>
    <x v="17"/>
    <n v="0"/>
    <x v="17"/>
    <x v="0"/>
  </r>
  <r>
    <x v="0"/>
    <x v="0"/>
    <x v="0"/>
    <x v="1"/>
    <x v="2"/>
    <x v="18"/>
    <n v="0"/>
    <x v="18"/>
    <x v="1"/>
  </r>
  <r>
    <x v="0"/>
    <x v="0"/>
    <x v="0"/>
    <x v="1"/>
    <x v="2"/>
    <x v="19"/>
    <n v="0"/>
    <x v="19"/>
    <x v="1"/>
  </r>
  <r>
    <x v="0"/>
    <x v="0"/>
    <x v="0"/>
    <x v="1"/>
    <x v="2"/>
    <x v="20"/>
    <n v="0"/>
    <x v="20"/>
    <x v="1"/>
  </r>
  <r>
    <x v="0"/>
    <x v="0"/>
    <x v="0"/>
    <x v="1"/>
    <x v="2"/>
    <x v="21"/>
    <n v="0"/>
    <x v="21"/>
    <x v="1"/>
  </r>
  <r>
    <x v="0"/>
    <x v="0"/>
    <x v="0"/>
    <x v="1"/>
    <x v="2"/>
    <x v="22"/>
    <n v="0"/>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0"/>
  </r>
  <r>
    <x v="0"/>
    <x v="0"/>
    <x v="0"/>
    <x v="2"/>
    <x v="2"/>
    <x v="17"/>
    <n v="0"/>
    <x v="17"/>
    <x v="0"/>
  </r>
  <r>
    <x v="0"/>
    <x v="0"/>
    <x v="0"/>
    <x v="2"/>
    <x v="2"/>
    <x v="18"/>
    <n v="0"/>
    <x v="18"/>
    <x v="1"/>
  </r>
  <r>
    <x v="0"/>
    <x v="0"/>
    <x v="0"/>
    <x v="2"/>
    <x v="2"/>
    <x v="19"/>
    <n v="0"/>
    <x v="19"/>
    <x v="1"/>
  </r>
  <r>
    <x v="0"/>
    <x v="0"/>
    <x v="0"/>
    <x v="2"/>
    <x v="2"/>
    <x v="20"/>
    <n v="0"/>
    <x v="20"/>
    <x v="1"/>
  </r>
  <r>
    <x v="0"/>
    <x v="0"/>
    <x v="0"/>
    <x v="2"/>
    <x v="2"/>
    <x v="21"/>
    <n v="0"/>
    <x v="21"/>
    <x v="1"/>
  </r>
  <r>
    <x v="0"/>
    <x v="0"/>
    <x v="0"/>
    <x v="2"/>
    <x v="2"/>
    <x v="22"/>
    <n v="0"/>
    <x v="22"/>
    <x v="0"/>
  </r>
  <r>
    <x v="0"/>
    <x v="0"/>
    <x v="0"/>
    <x v="2"/>
    <x v="2"/>
    <x v="23"/>
    <n v="0"/>
    <x v="23"/>
    <x v="0"/>
  </r>
  <r>
    <x v="0"/>
    <x v="1"/>
    <x v="1"/>
    <x v="0"/>
    <x v="0"/>
    <x v="0"/>
    <n v="12"/>
    <x v="0"/>
    <x v="0"/>
  </r>
  <r>
    <x v="0"/>
    <x v="1"/>
    <x v="1"/>
    <x v="0"/>
    <x v="0"/>
    <x v="1"/>
    <n v="16"/>
    <x v="1"/>
    <x v="0"/>
  </r>
  <r>
    <x v="0"/>
    <x v="1"/>
    <x v="1"/>
    <x v="0"/>
    <x v="0"/>
    <x v="2"/>
    <n v="18"/>
    <x v="2"/>
    <x v="0"/>
  </r>
  <r>
    <x v="0"/>
    <x v="1"/>
    <x v="1"/>
    <x v="0"/>
    <x v="0"/>
    <x v="3"/>
    <n v="16"/>
    <x v="3"/>
    <x v="0"/>
  </r>
  <r>
    <x v="0"/>
    <x v="1"/>
    <x v="1"/>
    <x v="0"/>
    <x v="0"/>
    <x v="4"/>
    <n v="19"/>
    <x v="4"/>
    <x v="1"/>
  </r>
  <r>
    <x v="0"/>
    <x v="1"/>
    <x v="1"/>
    <x v="0"/>
    <x v="0"/>
    <x v="5"/>
    <n v="22"/>
    <x v="5"/>
    <x v="1"/>
  </r>
  <r>
    <x v="0"/>
    <x v="1"/>
    <x v="1"/>
    <x v="0"/>
    <x v="0"/>
    <x v="6"/>
    <n v="21"/>
    <x v="6"/>
    <x v="1"/>
  </r>
  <r>
    <x v="0"/>
    <x v="1"/>
    <x v="1"/>
    <x v="0"/>
    <x v="0"/>
    <x v="7"/>
    <n v="33"/>
    <x v="7"/>
    <x v="1"/>
  </r>
  <r>
    <x v="0"/>
    <x v="1"/>
    <x v="1"/>
    <x v="0"/>
    <x v="1"/>
    <x v="8"/>
    <n v="10"/>
    <x v="8"/>
    <x v="0"/>
  </r>
  <r>
    <x v="0"/>
    <x v="1"/>
    <x v="1"/>
    <x v="0"/>
    <x v="1"/>
    <x v="9"/>
    <n v="16"/>
    <x v="9"/>
    <x v="0"/>
  </r>
  <r>
    <x v="0"/>
    <x v="1"/>
    <x v="1"/>
    <x v="0"/>
    <x v="1"/>
    <x v="10"/>
    <n v="12"/>
    <x v="10"/>
    <x v="0"/>
  </r>
  <r>
    <x v="0"/>
    <x v="1"/>
    <x v="1"/>
    <x v="0"/>
    <x v="1"/>
    <x v="11"/>
    <n v="10"/>
    <x v="11"/>
    <x v="0"/>
  </r>
  <r>
    <x v="0"/>
    <x v="1"/>
    <x v="1"/>
    <x v="0"/>
    <x v="1"/>
    <x v="12"/>
    <n v="13"/>
    <x v="12"/>
    <x v="1"/>
  </r>
  <r>
    <x v="0"/>
    <x v="1"/>
    <x v="1"/>
    <x v="0"/>
    <x v="1"/>
    <x v="13"/>
    <n v="10"/>
    <x v="13"/>
    <x v="1"/>
  </r>
  <r>
    <x v="0"/>
    <x v="1"/>
    <x v="1"/>
    <x v="0"/>
    <x v="1"/>
    <x v="14"/>
    <n v="12"/>
    <x v="14"/>
    <x v="1"/>
  </r>
  <r>
    <x v="0"/>
    <x v="1"/>
    <x v="1"/>
    <x v="0"/>
    <x v="1"/>
    <x v="15"/>
    <n v="13"/>
    <x v="15"/>
    <x v="1"/>
  </r>
  <r>
    <x v="0"/>
    <x v="1"/>
    <x v="1"/>
    <x v="0"/>
    <x v="2"/>
    <x v="16"/>
    <n v="18"/>
    <x v="16"/>
    <x v="0"/>
  </r>
  <r>
    <x v="0"/>
    <x v="1"/>
    <x v="1"/>
    <x v="0"/>
    <x v="2"/>
    <x v="17"/>
    <n v="10"/>
    <x v="17"/>
    <x v="0"/>
  </r>
  <r>
    <x v="0"/>
    <x v="1"/>
    <x v="1"/>
    <x v="0"/>
    <x v="2"/>
    <x v="18"/>
    <n v="12"/>
    <x v="18"/>
    <x v="1"/>
  </r>
  <r>
    <x v="0"/>
    <x v="1"/>
    <x v="1"/>
    <x v="0"/>
    <x v="2"/>
    <x v="19"/>
    <n v="5"/>
    <x v="19"/>
    <x v="1"/>
  </r>
  <r>
    <x v="0"/>
    <x v="1"/>
    <x v="1"/>
    <x v="0"/>
    <x v="2"/>
    <x v="20"/>
    <n v="13"/>
    <x v="20"/>
    <x v="1"/>
  </r>
  <r>
    <x v="0"/>
    <x v="1"/>
    <x v="1"/>
    <x v="0"/>
    <x v="2"/>
    <x v="21"/>
    <n v="10"/>
    <x v="21"/>
    <x v="1"/>
  </r>
  <r>
    <x v="0"/>
    <x v="1"/>
    <x v="1"/>
    <x v="0"/>
    <x v="2"/>
    <x v="22"/>
    <n v="6"/>
    <x v="22"/>
    <x v="0"/>
  </r>
  <r>
    <x v="0"/>
    <x v="1"/>
    <x v="1"/>
    <x v="0"/>
    <x v="2"/>
    <x v="23"/>
    <n v="7"/>
    <x v="23"/>
    <x v="0"/>
  </r>
  <r>
    <x v="0"/>
    <x v="1"/>
    <x v="1"/>
    <x v="1"/>
    <x v="0"/>
    <x v="0"/>
    <n v="2"/>
    <x v="0"/>
    <x v="0"/>
  </r>
  <r>
    <x v="0"/>
    <x v="1"/>
    <x v="1"/>
    <x v="1"/>
    <x v="0"/>
    <x v="1"/>
    <n v="1"/>
    <x v="1"/>
    <x v="0"/>
  </r>
  <r>
    <x v="0"/>
    <x v="1"/>
    <x v="1"/>
    <x v="1"/>
    <x v="0"/>
    <x v="2"/>
    <n v="3"/>
    <x v="2"/>
    <x v="0"/>
  </r>
  <r>
    <x v="0"/>
    <x v="1"/>
    <x v="1"/>
    <x v="1"/>
    <x v="0"/>
    <x v="3"/>
    <n v="2"/>
    <x v="3"/>
    <x v="0"/>
  </r>
  <r>
    <x v="0"/>
    <x v="1"/>
    <x v="1"/>
    <x v="1"/>
    <x v="0"/>
    <x v="4"/>
    <n v="1"/>
    <x v="4"/>
    <x v="1"/>
  </r>
  <r>
    <x v="0"/>
    <x v="1"/>
    <x v="1"/>
    <x v="1"/>
    <x v="0"/>
    <x v="5"/>
    <n v="1"/>
    <x v="5"/>
    <x v="1"/>
  </r>
  <r>
    <x v="0"/>
    <x v="1"/>
    <x v="1"/>
    <x v="1"/>
    <x v="0"/>
    <x v="6"/>
    <n v="2"/>
    <x v="6"/>
    <x v="1"/>
  </r>
  <r>
    <x v="0"/>
    <x v="1"/>
    <x v="1"/>
    <x v="1"/>
    <x v="0"/>
    <x v="7"/>
    <n v="1"/>
    <x v="7"/>
    <x v="1"/>
  </r>
  <r>
    <x v="0"/>
    <x v="1"/>
    <x v="1"/>
    <x v="1"/>
    <x v="1"/>
    <x v="8"/>
    <n v="0"/>
    <x v="8"/>
    <x v="0"/>
  </r>
  <r>
    <x v="0"/>
    <x v="1"/>
    <x v="1"/>
    <x v="1"/>
    <x v="1"/>
    <x v="9"/>
    <n v="0"/>
    <x v="9"/>
    <x v="0"/>
  </r>
  <r>
    <x v="0"/>
    <x v="1"/>
    <x v="1"/>
    <x v="1"/>
    <x v="1"/>
    <x v="10"/>
    <n v="0"/>
    <x v="10"/>
    <x v="0"/>
  </r>
  <r>
    <x v="0"/>
    <x v="1"/>
    <x v="1"/>
    <x v="1"/>
    <x v="1"/>
    <x v="11"/>
    <n v="0"/>
    <x v="11"/>
    <x v="0"/>
  </r>
  <r>
    <x v="0"/>
    <x v="1"/>
    <x v="1"/>
    <x v="1"/>
    <x v="1"/>
    <x v="12"/>
    <n v="1"/>
    <x v="12"/>
    <x v="1"/>
  </r>
  <r>
    <x v="0"/>
    <x v="1"/>
    <x v="1"/>
    <x v="1"/>
    <x v="1"/>
    <x v="13"/>
    <n v="0"/>
    <x v="13"/>
    <x v="1"/>
  </r>
  <r>
    <x v="0"/>
    <x v="1"/>
    <x v="1"/>
    <x v="1"/>
    <x v="1"/>
    <x v="14"/>
    <n v="2"/>
    <x v="14"/>
    <x v="1"/>
  </r>
  <r>
    <x v="0"/>
    <x v="1"/>
    <x v="1"/>
    <x v="1"/>
    <x v="1"/>
    <x v="15"/>
    <n v="2"/>
    <x v="15"/>
    <x v="1"/>
  </r>
  <r>
    <x v="0"/>
    <x v="1"/>
    <x v="1"/>
    <x v="1"/>
    <x v="2"/>
    <x v="16"/>
    <n v="0"/>
    <x v="16"/>
    <x v="0"/>
  </r>
  <r>
    <x v="0"/>
    <x v="1"/>
    <x v="1"/>
    <x v="1"/>
    <x v="2"/>
    <x v="17"/>
    <n v="2"/>
    <x v="17"/>
    <x v="0"/>
  </r>
  <r>
    <x v="0"/>
    <x v="1"/>
    <x v="1"/>
    <x v="1"/>
    <x v="2"/>
    <x v="18"/>
    <n v="2"/>
    <x v="18"/>
    <x v="1"/>
  </r>
  <r>
    <x v="0"/>
    <x v="1"/>
    <x v="1"/>
    <x v="1"/>
    <x v="2"/>
    <x v="19"/>
    <n v="1"/>
    <x v="19"/>
    <x v="1"/>
  </r>
  <r>
    <x v="0"/>
    <x v="1"/>
    <x v="1"/>
    <x v="1"/>
    <x v="2"/>
    <x v="20"/>
    <n v="1"/>
    <x v="20"/>
    <x v="1"/>
  </r>
  <r>
    <x v="0"/>
    <x v="1"/>
    <x v="1"/>
    <x v="1"/>
    <x v="2"/>
    <x v="21"/>
    <n v="1"/>
    <x v="21"/>
    <x v="1"/>
  </r>
  <r>
    <x v="0"/>
    <x v="1"/>
    <x v="1"/>
    <x v="1"/>
    <x v="2"/>
    <x v="22"/>
    <n v="2"/>
    <x v="22"/>
    <x v="0"/>
  </r>
  <r>
    <x v="0"/>
    <x v="1"/>
    <x v="1"/>
    <x v="1"/>
    <x v="2"/>
    <x v="23"/>
    <n v="1"/>
    <x v="23"/>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1"/>
    <x v="12"/>
    <n v="0"/>
    <x v="12"/>
    <x v="1"/>
  </r>
  <r>
    <x v="0"/>
    <x v="1"/>
    <x v="1"/>
    <x v="2"/>
    <x v="1"/>
    <x v="13"/>
    <n v="0"/>
    <x v="13"/>
    <x v="1"/>
  </r>
  <r>
    <x v="0"/>
    <x v="1"/>
    <x v="1"/>
    <x v="2"/>
    <x v="1"/>
    <x v="14"/>
    <n v="0"/>
    <x v="14"/>
    <x v="1"/>
  </r>
  <r>
    <x v="0"/>
    <x v="1"/>
    <x v="1"/>
    <x v="2"/>
    <x v="1"/>
    <x v="15"/>
    <n v="0"/>
    <x v="15"/>
    <x v="1"/>
  </r>
  <r>
    <x v="0"/>
    <x v="1"/>
    <x v="1"/>
    <x v="2"/>
    <x v="2"/>
    <x v="16"/>
    <n v="0"/>
    <x v="16"/>
    <x v="0"/>
  </r>
  <r>
    <x v="0"/>
    <x v="1"/>
    <x v="1"/>
    <x v="2"/>
    <x v="2"/>
    <x v="17"/>
    <n v="0"/>
    <x v="17"/>
    <x v="0"/>
  </r>
  <r>
    <x v="0"/>
    <x v="1"/>
    <x v="1"/>
    <x v="2"/>
    <x v="2"/>
    <x v="18"/>
    <n v="0"/>
    <x v="18"/>
    <x v="1"/>
  </r>
  <r>
    <x v="0"/>
    <x v="1"/>
    <x v="1"/>
    <x v="2"/>
    <x v="2"/>
    <x v="19"/>
    <n v="0"/>
    <x v="19"/>
    <x v="1"/>
  </r>
  <r>
    <x v="0"/>
    <x v="1"/>
    <x v="1"/>
    <x v="2"/>
    <x v="2"/>
    <x v="20"/>
    <n v="0"/>
    <x v="20"/>
    <x v="1"/>
  </r>
  <r>
    <x v="0"/>
    <x v="1"/>
    <x v="1"/>
    <x v="2"/>
    <x v="2"/>
    <x v="21"/>
    <n v="0"/>
    <x v="21"/>
    <x v="1"/>
  </r>
  <r>
    <x v="0"/>
    <x v="1"/>
    <x v="1"/>
    <x v="2"/>
    <x v="2"/>
    <x v="22"/>
    <n v="0"/>
    <x v="22"/>
    <x v="0"/>
  </r>
  <r>
    <x v="0"/>
    <x v="1"/>
    <x v="1"/>
    <x v="2"/>
    <x v="2"/>
    <x v="23"/>
    <n v="0"/>
    <x v="23"/>
    <x v="0"/>
  </r>
  <r>
    <x v="0"/>
    <x v="2"/>
    <x v="2"/>
    <x v="0"/>
    <x v="0"/>
    <x v="0"/>
    <n v="1"/>
    <x v="0"/>
    <x v="0"/>
  </r>
  <r>
    <x v="0"/>
    <x v="2"/>
    <x v="2"/>
    <x v="0"/>
    <x v="0"/>
    <x v="1"/>
    <n v="2"/>
    <x v="1"/>
    <x v="0"/>
  </r>
  <r>
    <x v="0"/>
    <x v="2"/>
    <x v="2"/>
    <x v="0"/>
    <x v="0"/>
    <x v="2"/>
    <n v="5"/>
    <x v="2"/>
    <x v="0"/>
  </r>
  <r>
    <x v="0"/>
    <x v="2"/>
    <x v="2"/>
    <x v="0"/>
    <x v="0"/>
    <x v="3"/>
    <n v="4"/>
    <x v="3"/>
    <x v="0"/>
  </r>
  <r>
    <x v="0"/>
    <x v="2"/>
    <x v="2"/>
    <x v="0"/>
    <x v="0"/>
    <x v="4"/>
    <n v="3"/>
    <x v="4"/>
    <x v="1"/>
  </r>
  <r>
    <x v="0"/>
    <x v="2"/>
    <x v="2"/>
    <x v="0"/>
    <x v="0"/>
    <x v="5"/>
    <n v="1"/>
    <x v="5"/>
    <x v="1"/>
  </r>
  <r>
    <x v="0"/>
    <x v="2"/>
    <x v="2"/>
    <x v="0"/>
    <x v="0"/>
    <x v="6"/>
    <n v="8"/>
    <x v="6"/>
    <x v="1"/>
  </r>
  <r>
    <x v="0"/>
    <x v="2"/>
    <x v="2"/>
    <x v="0"/>
    <x v="0"/>
    <x v="7"/>
    <n v="6"/>
    <x v="7"/>
    <x v="1"/>
  </r>
  <r>
    <x v="0"/>
    <x v="2"/>
    <x v="2"/>
    <x v="0"/>
    <x v="1"/>
    <x v="8"/>
    <n v="4"/>
    <x v="8"/>
    <x v="0"/>
  </r>
  <r>
    <x v="0"/>
    <x v="2"/>
    <x v="2"/>
    <x v="0"/>
    <x v="1"/>
    <x v="9"/>
    <n v="3"/>
    <x v="9"/>
    <x v="0"/>
  </r>
  <r>
    <x v="0"/>
    <x v="2"/>
    <x v="2"/>
    <x v="0"/>
    <x v="1"/>
    <x v="10"/>
    <n v="4"/>
    <x v="10"/>
    <x v="0"/>
  </r>
  <r>
    <x v="0"/>
    <x v="2"/>
    <x v="2"/>
    <x v="0"/>
    <x v="1"/>
    <x v="11"/>
    <n v="4"/>
    <x v="11"/>
    <x v="0"/>
  </r>
  <r>
    <x v="0"/>
    <x v="2"/>
    <x v="2"/>
    <x v="0"/>
    <x v="1"/>
    <x v="12"/>
    <n v="3"/>
    <x v="12"/>
    <x v="1"/>
  </r>
  <r>
    <x v="0"/>
    <x v="2"/>
    <x v="2"/>
    <x v="0"/>
    <x v="1"/>
    <x v="13"/>
    <n v="4"/>
    <x v="13"/>
    <x v="1"/>
  </r>
  <r>
    <x v="0"/>
    <x v="2"/>
    <x v="2"/>
    <x v="0"/>
    <x v="1"/>
    <x v="14"/>
    <n v="10"/>
    <x v="14"/>
    <x v="1"/>
  </r>
  <r>
    <x v="0"/>
    <x v="2"/>
    <x v="2"/>
    <x v="0"/>
    <x v="1"/>
    <x v="15"/>
    <n v="5"/>
    <x v="15"/>
    <x v="1"/>
  </r>
  <r>
    <x v="0"/>
    <x v="2"/>
    <x v="2"/>
    <x v="0"/>
    <x v="2"/>
    <x v="16"/>
    <n v="8"/>
    <x v="16"/>
    <x v="0"/>
  </r>
  <r>
    <x v="0"/>
    <x v="2"/>
    <x v="2"/>
    <x v="0"/>
    <x v="2"/>
    <x v="17"/>
    <n v="1"/>
    <x v="17"/>
    <x v="0"/>
  </r>
  <r>
    <x v="0"/>
    <x v="2"/>
    <x v="2"/>
    <x v="0"/>
    <x v="2"/>
    <x v="18"/>
    <n v="3"/>
    <x v="18"/>
    <x v="1"/>
  </r>
  <r>
    <x v="0"/>
    <x v="2"/>
    <x v="2"/>
    <x v="0"/>
    <x v="2"/>
    <x v="19"/>
    <n v="4"/>
    <x v="19"/>
    <x v="1"/>
  </r>
  <r>
    <x v="0"/>
    <x v="2"/>
    <x v="2"/>
    <x v="0"/>
    <x v="2"/>
    <x v="20"/>
    <n v="6"/>
    <x v="20"/>
    <x v="1"/>
  </r>
  <r>
    <x v="0"/>
    <x v="2"/>
    <x v="2"/>
    <x v="0"/>
    <x v="2"/>
    <x v="21"/>
    <n v="7"/>
    <x v="21"/>
    <x v="1"/>
  </r>
  <r>
    <x v="0"/>
    <x v="2"/>
    <x v="2"/>
    <x v="0"/>
    <x v="2"/>
    <x v="22"/>
    <n v="5"/>
    <x v="22"/>
    <x v="0"/>
  </r>
  <r>
    <x v="0"/>
    <x v="2"/>
    <x v="2"/>
    <x v="0"/>
    <x v="2"/>
    <x v="23"/>
    <n v="0"/>
    <x v="23"/>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0"/>
  </r>
  <r>
    <x v="0"/>
    <x v="2"/>
    <x v="2"/>
    <x v="1"/>
    <x v="1"/>
    <x v="9"/>
    <n v="0"/>
    <x v="9"/>
    <x v="0"/>
  </r>
  <r>
    <x v="0"/>
    <x v="2"/>
    <x v="2"/>
    <x v="1"/>
    <x v="1"/>
    <x v="10"/>
    <n v="0"/>
    <x v="10"/>
    <x v="0"/>
  </r>
  <r>
    <x v="0"/>
    <x v="2"/>
    <x v="2"/>
    <x v="1"/>
    <x v="1"/>
    <x v="11"/>
    <n v="0"/>
    <x v="11"/>
    <x v="0"/>
  </r>
  <r>
    <x v="0"/>
    <x v="2"/>
    <x v="2"/>
    <x v="1"/>
    <x v="1"/>
    <x v="12"/>
    <n v="0"/>
    <x v="12"/>
    <x v="1"/>
  </r>
  <r>
    <x v="0"/>
    <x v="2"/>
    <x v="2"/>
    <x v="1"/>
    <x v="1"/>
    <x v="13"/>
    <n v="0"/>
    <x v="13"/>
    <x v="1"/>
  </r>
  <r>
    <x v="0"/>
    <x v="2"/>
    <x v="2"/>
    <x v="1"/>
    <x v="1"/>
    <x v="14"/>
    <n v="0"/>
    <x v="14"/>
    <x v="1"/>
  </r>
  <r>
    <x v="0"/>
    <x v="2"/>
    <x v="2"/>
    <x v="1"/>
    <x v="1"/>
    <x v="15"/>
    <n v="0"/>
    <x v="15"/>
    <x v="1"/>
  </r>
  <r>
    <x v="0"/>
    <x v="2"/>
    <x v="2"/>
    <x v="1"/>
    <x v="2"/>
    <x v="16"/>
    <n v="0"/>
    <x v="16"/>
    <x v="0"/>
  </r>
  <r>
    <x v="0"/>
    <x v="2"/>
    <x v="2"/>
    <x v="1"/>
    <x v="2"/>
    <x v="17"/>
    <n v="0"/>
    <x v="17"/>
    <x v="0"/>
  </r>
  <r>
    <x v="0"/>
    <x v="2"/>
    <x v="2"/>
    <x v="1"/>
    <x v="2"/>
    <x v="18"/>
    <n v="0"/>
    <x v="18"/>
    <x v="1"/>
  </r>
  <r>
    <x v="0"/>
    <x v="2"/>
    <x v="2"/>
    <x v="1"/>
    <x v="2"/>
    <x v="19"/>
    <n v="0"/>
    <x v="19"/>
    <x v="1"/>
  </r>
  <r>
    <x v="0"/>
    <x v="2"/>
    <x v="2"/>
    <x v="1"/>
    <x v="2"/>
    <x v="20"/>
    <n v="0"/>
    <x v="20"/>
    <x v="1"/>
  </r>
  <r>
    <x v="0"/>
    <x v="2"/>
    <x v="2"/>
    <x v="1"/>
    <x v="2"/>
    <x v="21"/>
    <n v="0"/>
    <x v="21"/>
    <x v="1"/>
  </r>
  <r>
    <x v="0"/>
    <x v="2"/>
    <x v="2"/>
    <x v="1"/>
    <x v="2"/>
    <x v="22"/>
    <n v="0"/>
    <x v="22"/>
    <x v="0"/>
  </r>
  <r>
    <x v="0"/>
    <x v="2"/>
    <x v="2"/>
    <x v="1"/>
    <x v="2"/>
    <x v="23"/>
    <n v="0"/>
    <x v="23"/>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0"/>
  </r>
  <r>
    <x v="0"/>
    <x v="2"/>
    <x v="2"/>
    <x v="2"/>
    <x v="2"/>
    <x v="17"/>
    <n v="0"/>
    <x v="17"/>
    <x v="0"/>
  </r>
  <r>
    <x v="0"/>
    <x v="2"/>
    <x v="2"/>
    <x v="2"/>
    <x v="2"/>
    <x v="18"/>
    <n v="0"/>
    <x v="18"/>
    <x v="1"/>
  </r>
  <r>
    <x v="0"/>
    <x v="2"/>
    <x v="2"/>
    <x v="2"/>
    <x v="2"/>
    <x v="19"/>
    <n v="0"/>
    <x v="19"/>
    <x v="1"/>
  </r>
  <r>
    <x v="0"/>
    <x v="2"/>
    <x v="2"/>
    <x v="2"/>
    <x v="2"/>
    <x v="20"/>
    <n v="0"/>
    <x v="20"/>
    <x v="1"/>
  </r>
  <r>
    <x v="0"/>
    <x v="2"/>
    <x v="2"/>
    <x v="2"/>
    <x v="2"/>
    <x v="21"/>
    <n v="0"/>
    <x v="21"/>
    <x v="1"/>
  </r>
  <r>
    <x v="0"/>
    <x v="2"/>
    <x v="2"/>
    <x v="2"/>
    <x v="2"/>
    <x v="22"/>
    <n v="0"/>
    <x v="22"/>
    <x v="0"/>
  </r>
  <r>
    <x v="0"/>
    <x v="2"/>
    <x v="2"/>
    <x v="2"/>
    <x v="2"/>
    <x v="23"/>
    <n v="0"/>
    <x v="23"/>
    <x v="0"/>
  </r>
  <r>
    <x v="0"/>
    <x v="3"/>
    <x v="3"/>
    <x v="0"/>
    <x v="0"/>
    <x v="0"/>
    <n v="0"/>
    <x v="0"/>
    <x v="0"/>
  </r>
  <r>
    <x v="0"/>
    <x v="3"/>
    <x v="3"/>
    <x v="0"/>
    <x v="0"/>
    <x v="1"/>
    <n v="0"/>
    <x v="1"/>
    <x v="0"/>
  </r>
  <r>
    <x v="0"/>
    <x v="3"/>
    <x v="3"/>
    <x v="0"/>
    <x v="0"/>
    <x v="2"/>
    <n v="1"/>
    <x v="2"/>
    <x v="0"/>
  </r>
  <r>
    <x v="0"/>
    <x v="3"/>
    <x v="3"/>
    <x v="0"/>
    <x v="0"/>
    <x v="3"/>
    <n v="0"/>
    <x v="3"/>
    <x v="0"/>
  </r>
  <r>
    <x v="0"/>
    <x v="3"/>
    <x v="3"/>
    <x v="0"/>
    <x v="0"/>
    <x v="4"/>
    <n v="0"/>
    <x v="4"/>
    <x v="1"/>
  </r>
  <r>
    <x v="0"/>
    <x v="3"/>
    <x v="3"/>
    <x v="0"/>
    <x v="0"/>
    <x v="5"/>
    <n v="0"/>
    <x v="5"/>
    <x v="1"/>
  </r>
  <r>
    <x v="0"/>
    <x v="3"/>
    <x v="3"/>
    <x v="0"/>
    <x v="0"/>
    <x v="6"/>
    <n v="0"/>
    <x v="6"/>
    <x v="1"/>
  </r>
  <r>
    <x v="0"/>
    <x v="3"/>
    <x v="3"/>
    <x v="0"/>
    <x v="0"/>
    <x v="7"/>
    <n v="1"/>
    <x v="7"/>
    <x v="1"/>
  </r>
  <r>
    <x v="0"/>
    <x v="3"/>
    <x v="3"/>
    <x v="0"/>
    <x v="1"/>
    <x v="8"/>
    <n v="0"/>
    <x v="8"/>
    <x v="0"/>
  </r>
  <r>
    <x v="0"/>
    <x v="3"/>
    <x v="3"/>
    <x v="0"/>
    <x v="1"/>
    <x v="9"/>
    <n v="0"/>
    <x v="9"/>
    <x v="0"/>
  </r>
  <r>
    <x v="0"/>
    <x v="3"/>
    <x v="3"/>
    <x v="0"/>
    <x v="1"/>
    <x v="10"/>
    <n v="0"/>
    <x v="10"/>
    <x v="0"/>
  </r>
  <r>
    <x v="0"/>
    <x v="3"/>
    <x v="3"/>
    <x v="0"/>
    <x v="1"/>
    <x v="11"/>
    <n v="0"/>
    <x v="11"/>
    <x v="0"/>
  </r>
  <r>
    <x v="0"/>
    <x v="3"/>
    <x v="3"/>
    <x v="0"/>
    <x v="1"/>
    <x v="12"/>
    <n v="0"/>
    <x v="12"/>
    <x v="1"/>
  </r>
  <r>
    <x v="0"/>
    <x v="3"/>
    <x v="3"/>
    <x v="0"/>
    <x v="1"/>
    <x v="13"/>
    <n v="0"/>
    <x v="13"/>
    <x v="1"/>
  </r>
  <r>
    <x v="0"/>
    <x v="3"/>
    <x v="3"/>
    <x v="0"/>
    <x v="1"/>
    <x v="14"/>
    <n v="0"/>
    <x v="14"/>
    <x v="1"/>
  </r>
  <r>
    <x v="0"/>
    <x v="3"/>
    <x v="3"/>
    <x v="0"/>
    <x v="1"/>
    <x v="15"/>
    <n v="0"/>
    <x v="15"/>
    <x v="1"/>
  </r>
  <r>
    <x v="0"/>
    <x v="3"/>
    <x v="3"/>
    <x v="0"/>
    <x v="2"/>
    <x v="16"/>
    <n v="0"/>
    <x v="16"/>
    <x v="0"/>
  </r>
  <r>
    <x v="0"/>
    <x v="3"/>
    <x v="3"/>
    <x v="0"/>
    <x v="2"/>
    <x v="17"/>
    <n v="0"/>
    <x v="17"/>
    <x v="0"/>
  </r>
  <r>
    <x v="0"/>
    <x v="3"/>
    <x v="3"/>
    <x v="0"/>
    <x v="2"/>
    <x v="18"/>
    <n v="0"/>
    <x v="18"/>
    <x v="1"/>
  </r>
  <r>
    <x v="0"/>
    <x v="3"/>
    <x v="3"/>
    <x v="0"/>
    <x v="2"/>
    <x v="19"/>
    <n v="0"/>
    <x v="19"/>
    <x v="1"/>
  </r>
  <r>
    <x v="0"/>
    <x v="3"/>
    <x v="3"/>
    <x v="0"/>
    <x v="2"/>
    <x v="20"/>
    <n v="0"/>
    <x v="20"/>
    <x v="1"/>
  </r>
  <r>
    <x v="0"/>
    <x v="3"/>
    <x v="3"/>
    <x v="0"/>
    <x v="2"/>
    <x v="21"/>
    <n v="0"/>
    <x v="21"/>
    <x v="1"/>
  </r>
  <r>
    <x v="0"/>
    <x v="3"/>
    <x v="3"/>
    <x v="0"/>
    <x v="2"/>
    <x v="22"/>
    <n v="0"/>
    <x v="22"/>
    <x v="0"/>
  </r>
  <r>
    <x v="0"/>
    <x v="3"/>
    <x v="3"/>
    <x v="0"/>
    <x v="2"/>
    <x v="23"/>
    <n v="0"/>
    <x v="23"/>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0"/>
  </r>
  <r>
    <x v="0"/>
    <x v="3"/>
    <x v="3"/>
    <x v="1"/>
    <x v="2"/>
    <x v="17"/>
    <n v="0"/>
    <x v="17"/>
    <x v="0"/>
  </r>
  <r>
    <x v="0"/>
    <x v="3"/>
    <x v="3"/>
    <x v="1"/>
    <x v="2"/>
    <x v="18"/>
    <n v="0"/>
    <x v="18"/>
    <x v="1"/>
  </r>
  <r>
    <x v="0"/>
    <x v="3"/>
    <x v="3"/>
    <x v="1"/>
    <x v="2"/>
    <x v="19"/>
    <n v="0"/>
    <x v="19"/>
    <x v="1"/>
  </r>
  <r>
    <x v="0"/>
    <x v="3"/>
    <x v="3"/>
    <x v="1"/>
    <x v="2"/>
    <x v="20"/>
    <n v="0"/>
    <x v="20"/>
    <x v="1"/>
  </r>
  <r>
    <x v="0"/>
    <x v="3"/>
    <x v="3"/>
    <x v="1"/>
    <x v="2"/>
    <x v="21"/>
    <n v="0"/>
    <x v="21"/>
    <x v="1"/>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0"/>
  </r>
  <r>
    <x v="0"/>
    <x v="3"/>
    <x v="3"/>
    <x v="2"/>
    <x v="2"/>
    <x v="17"/>
    <n v="0"/>
    <x v="17"/>
    <x v="0"/>
  </r>
  <r>
    <x v="0"/>
    <x v="3"/>
    <x v="3"/>
    <x v="2"/>
    <x v="2"/>
    <x v="18"/>
    <n v="0"/>
    <x v="18"/>
    <x v="1"/>
  </r>
  <r>
    <x v="0"/>
    <x v="3"/>
    <x v="3"/>
    <x v="2"/>
    <x v="2"/>
    <x v="19"/>
    <n v="0"/>
    <x v="19"/>
    <x v="1"/>
  </r>
  <r>
    <x v="0"/>
    <x v="3"/>
    <x v="3"/>
    <x v="2"/>
    <x v="2"/>
    <x v="20"/>
    <n v="0"/>
    <x v="20"/>
    <x v="1"/>
  </r>
  <r>
    <x v="0"/>
    <x v="3"/>
    <x v="3"/>
    <x v="2"/>
    <x v="2"/>
    <x v="21"/>
    <n v="0"/>
    <x v="21"/>
    <x v="1"/>
  </r>
  <r>
    <x v="0"/>
    <x v="3"/>
    <x v="3"/>
    <x v="2"/>
    <x v="2"/>
    <x v="22"/>
    <n v="0"/>
    <x v="22"/>
    <x v="0"/>
  </r>
  <r>
    <x v="0"/>
    <x v="3"/>
    <x v="3"/>
    <x v="2"/>
    <x v="2"/>
    <x v="23"/>
    <n v="0"/>
    <x v="23"/>
    <x v="0"/>
  </r>
  <r>
    <x v="1"/>
    <x v="4"/>
    <x v="1"/>
    <x v="0"/>
    <x v="0"/>
    <x v="0"/>
    <n v="5"/>
    <x v="0"/>
    <x v="0"/>
  </r>
  <r>
    <x v="1"/>
    <x v="4"/>
    <x v="1"/>
    <x v="0"/>
    <x v="0"/>
    <x v="1"/>
    <n v="7"/>
    <x v="1"/>
    <x v="0"/>
  </r>
  <r>
    <x v="1"/>
    <x v="4"/>
    <x v="1"/>
    <x v="0"/>
    <x v="0"/>
    <x v="2"/>
    <n v="5"/>
    <x v="2"/>
    <x v="0"/>
  </r>
  <r>
    <x v="1"/>
    <x v="4"/>
    <x v="1"/>
    <x v="0"/>
    <x v="0"/>
    <x v="3"/>
    <n v="6"/>
    <x v="3"/>
    <x v="0"/>
  </r>
  <r>
    <x v="1"/>
    <x v="4"/>
    <x v="1"/>
    <x v="0"/>
    <x v="0"/>
    <x v="4"/>
    <n v="10"/>
    <x v="4"/>
    <x v="1"/>
  </r>
  <r>
    <x v="1"/>
    <x v="4"/>
    <x v="1"/>
    <x v="0"/>
    <x v="0"/>
    <x v="5"/>
    <n v="7"/>
    <x v="5"/>
    <x v="1"/>
  </r>
  <r>
    <x v="1"/>
    <x v="4"/>
    <x v="1"/>
    <x v="0"/>
    <x v="0"/>
    <x v="6"/>
    <n v="10"/>
    <x v="6"/>
    <x v="1"/>
  </r>
  <r>
    <x v="1"/>
    <x v="4"/>
    <x v="1"/>
    <x v="0"/>
    <x v="0"/>
    <x v="7"/>
    <n v="9"/>
    <x v="7"/>
    <x v="1"/>
  </r>
  <r>
    <x v="1"/>
    <x v="4"/>
    <x v="1"/>
    <x v="0"/>
    <x v="1"/>
    <x v="8"/>
    <n v="3"/>
    <x v="8"/>
    <x v="0"/>
  </r>
  <r>
    <x v="1"/>
    <x v="4"/>
    <x v="1"/>
    <x v="0"/>
    <x v="1"/>
    <x v="9"/>
    <n v="7"/>
    <x v="9"/>
    <x v="0"/>
  </r>
  <r>
    <x v="1"/>
    <x v="4"/>
    <x v="1"/>
    <x v="0"/>
    <x v="1"/>
    <x v="10"/>
    <n v="5"/>
    <x v="10"/>
    <x v="0"/>
  </r>
  <r>
    <x v="1"/>
    <x v="4"/>
    <x v="1"/>
    <x v="0"/>
    <x v="1"/>
    <x v="11"/>
    <n v="6"/>
    <x v="11"/>
    <x v="0"/>
  </r>
  <r>
    <x v="1"/>
    <x v="4"/>
    <x v="1"/>
    <x v="0"/>
    <x v="1"/>
    <x v="12"/>
    <n v="6"/>
    <x v="12"/>
    <x v="1"/>
  </r>
  <r>
    <x v="1"/>
    <x v="4"/>
    <x v="1"/>
    <x v="0"/>
    <x v="1"/>
    <x v="13"/>
    <n v="7"/>
    <x v="13"/>
    <x v="1"/>
  </r>
  <r>
    <x v="1"/>
    <x v="4"/>
    <x v="1"/>
    <x v="0"/>
    <x v="1"/>
    <x v="14"/>
    <n v="5"/>
    <x v="14"/>
    <x v="1"/>
  </r>
  <r>
    <x v="1"/>
    <x v="4"/>
    <x v="1"/>
    <x v="0"/>
    <x v="1"/>
    <x v="15"/>
    <n v="6"/>
    <x v="15"/>
    <x v="1"/>
  </r>
  <r>
    <x v="1"/>
    <x v="4"/>
    <x v="1"/>
    <x v="0"/>
    <x v="2"/>
    <x v="16"/>
    <n v="5"/>
    <x v="16"/>
    <x v="0"/>
  </r>
  <r>
    <x v="1"/>
    <x v="4"/>
    <x v="1"/>
    <x v="0"/>
    <x v="2"/>
    <x v="17"/>
    <n v="7"/>
    <x v="17"/>
    <x v="0"/>
  </r>
  <r>
    <x v="1"/>
    <x v="4"/>
    <x v="1"/>
    <x v="0"/>
    <x v="2"/>
    <x v="18"/>
    <n v="5"/>
    <x v="18"/>
    <x v="1"/>
  </r>
  <r>
    <x v="1"/>
    <x v="4"/>
    <x v="1"/>
    <x v="0"/>
    <x v="2"/>
    <x v="19"/>
    <n v="3"/>
    <x v="19"/>
    <x v="1"/>
  </r>
  <r>
    <x v="1"/>
    <x v="4"/>
    <x v="1"/>
    <x v="0"/>
    <x v="2"/>
    <x v="20"/>
    <n v="6"/>
    <x v="20"/>
    <x v="1"/>
  </r>
  <r>
    <x v="1"/>
    <x v="4"/>
    <x v="1"/>
    <x v="0"/>
    <x v="2"/>
    <x v="21"/>
    <n v="8"/>
    <x v="21"/>
    <x v="1"/>
  </r>
  <r>
    <x v="1"/>
    <x v="4"/>
    <x v="1"/>
    <x v="0"/>
    <x v="2"/>
    <x v="22"/>
    <n v="6"/>
    <x v="22"/>
    <x v="0"/>
  </r>
  <r>
    <x v="1"/>
    <x v="4"/>
    <x v="1"/>
    <x v="0"/>
    <x v="2"/>
    <x v="23"/>
    <n v="3"/>
    <x v="23"/>
    <x v="0"/>
  </r>
  <r>
    <x v="1"/>
    <x v="4"/>
    <x v="1"/>
    <x v="1"/>
    <x v="0"/>
    <x v="0"/>
    <n v="1"/>
    <x v="0"/>
    <x v="0"/>
  </r>
  <r>
    <x v="1"/>
    <x v="4"/>
    <x v="1"/>
    <x v="1"/>
    <x v="0"/>
    <x v="1"/>
    <n v="0"/>
    <x v="1"/>
    <x v="0"/>
  </r>
  <r>
    <x v="1"/>
    <x v="4"/>
    <x v="1"/>
    <x v="1"/>
    <x v="0"/>
    <x v="2"/>
    <n v="0"/>
    <x v="2"/>
    <x v="0"/>
  </r>
  <r>
    <x v="1"/>
    <x v="4"/>
    <x v="1"/>
    <x v="1"/>
    <x v="0"/>
    <x v="3"/>
    <n v="1"/>
    <x v="3"/>
    <x v="0"/>
  </r>
  <r>
    <x v="1"/>
    <x v="4"/>
    <x v="1"/>
    <x v="1"/>
    <x v="0"/>
    <x v="4"/>
    <n v="0"/>
    <x v="4"/>
    <x v="1"/>
  </r>
  <r>
    <x v="1"/>
    <x v="4"/>
    <x v="1"/>
    <x v="1"/>
    <x v="0"/>
    <x v="5"/>
    <n v="1"/>
    <x v="5"/>
    <x v="1"/>
  </r>
  <r>
    <x v="1"/>
    <x v="4"/>
    <x v="1"/>
    <x v="1"/>
    <x v="0"/>
    <x v="6"/>
    <n v="1"/>
    <x v="6"/>
    <x v="1"/>
  </r>
  <r>
    <x v="1"/>
    <x v="4"/>
    <x v="1"/>
    <x v="1"/>
    <x v="0"/>
    <x v="7"/>
    <n v="0"/>
    <x v="7"/>
    <x v="1"/>
  </r>
  <r>
    <x v="1"/>
    <x v="4"/>
    <x v="1"/>
    <x v="1"/>
    <x v="1"/>
    <x v="8"/>
    <n v="0"/>
    <x v="8"/>
    <x v="0"/>
  </r>
  <r>
    <x v="1"/>
    <x v="4"/>
    <x v="1"/>
    <x v="1"/>
    <x v="1"/>
    <x v="9"/>
    <n v="2"/>
    <x v="9"/>
    <x v="0"/>
  </r>
  <r>
    <x v="1"/>
    <x v="4"/>
    <x v="1"/>
    <x v="1"/>
    <x v="1"/>
    <x v="10"/>
    <n v="0"/>
    <x v="10"/>
    <x v="0"/>
  </r>
  <r>
    <x v="1"/>
    <x v="4"/>
    <x v="1"/>
    <x v="1"/>
    <x v="1"/>
    <x v="11"/>
    <n v="0"/>
    <x v="11"/>
    <x v="0"/>
  </r>
  <r>
    <x v="1"/>
    <x v="4"/>
    <x v="1"/>
    <x v="1"/>
    <x v="1"/>
    <x v="12"/>
    <n v="0"/>
    <x v="12"/>
    <x v="1"/>
  </r>
  <r>
    <x v="1"/>
    <x v="4"/>
    <x v="1"/>
    <x v="1"/>
    <x v="1"/>
    <x v="13"/>
    <n v="1"/>
    <x v="13"/>
    <x v="1"/>
  </r>
  <r>
    <x v="1"/>
    <x v="4"/>
    <x v="1"/>
    <x v="1"/>
    <x v="1"/>
    <x v="14"/>
    <n v="1"/>
    <x v="14"/>
    <x v="1"/>
  </r>
  <r>
    <x v="1"/>
    <x v="4"/>
    <x v="1"/>
    <x v="1"/>
    <x v="1"/>
    <x v="15"/>
    <n v="0"/>
    <x v="15"/>
    <x v="1"/>
  </r>
  <r>
    <x v="1"/>
    <x v="4"/>
    <x v="1"/>
    <x v="1"/>
    <x v="2"/>
    <x v="16"/>
    <n v="0"/>
    <x v="16"/>
    <x v="0"/>
  </r>
  <r>
    <x v="1"/>
    <x v="4"/>
    <x v="1"/>
    <x v="1"/>
    <x v="2"/>
    <x v="17"/>
    <n v="1"/>
    <x v="17"/>
    <x v="0"/>
  </r>
  <r>
    <x v="1"/>
    <x v="4"/>
    <x v="1"/>
    <x v="1"/>
    <x v="2"/>
    <x v="18"/>
    <n v="0"/>
    <x v="18"/>
    <x v="1"/>
  </r>
  <r>
    <x v="1"/>
    <x v="4"/>
    <x v="1"/>
    <x v="1"/>
    <x v="2"/>
    <x v="19"/>
    <n v="0"/>
    <x v="19"/>
    <x v="1"/>
  </r>
  <r>
    <x v="1"/>
    <x v="4"/>
    <x v="1"/>
    <x v="1"/>
    <x v="2"/>
    <x v="20"/>
    <n v="1"/>
    <x v="20"/>
    <x v="1"/>
  </r>
  <r>
    <x v="1"/>
    <x v="4"/>
    <x v="1"/>
    <x v="1"/>
    <x v="2"/>
    <x v="21"/>
    <n v="0"/>
    <x v="21"/>
    <x v="1"/>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1"/>
    <x v="3"/>
    <x v="0"/>
  </r>
  <r>
    <x v="1"/>
    <x v="4"/>
    <x v="1"/>
    <x v="2"/>
    <x v="0"/>
    <x v="4"/>
    <n v="0"/>
    <x v="4"/>
    <x v="1"/>
  </r>
  <r>
    <x v="1"/>
    <x v="4"/>
    <x v="1"/>
    <x v="2"/>
    <x v="0"/>
    <x v="5"/>
    <n v="0"/>
    <x v="5"/>
    <x v="1"/>
  </r>
  <r>
    <x v="1"/>
    <x v="4"/>
    <x v="1"/>
    <x v="2"/>
    <x v="0"/>
    <x v="6"/>
    <n v="0"/>
    <x v="6"/>
    <x v="1"/>
  </r>
  <r>
    <x v="1"/>
    <x v="4"/>
    <x v="1"/>
    <x v="2"/>
    <x v="0"/>
    <x v="7"/>
    <n v="0"/>
    <x v="7"/>
    <x v="1"/>
  </r>
  <r>
    <x v="1"/>
    <x v="4"/>
    <x v="1"/>
    <x v="2"/>
    <x v="1"/>
    <x v="8"/>
    <n v="0"/>
    <x v="8"/>
    <x v="0"/>
  </r>
  <r>
    <x v="1"/>
    <x v="4"/>
    <x v="1"/>
    <x v="2"/>
    <x v="1"/>
    <x v="9"/>
    <n v="0"/>
    <x v="9"/>
    <x v="0"/>
  </r>
  <r>
    <x v="1"/>
    <x v="4"/>
    <x v="1"/>
    <x v="2"/>
    <x v="1"/>
    <x v="10"/>
    <n v="0"/>
    <x v="10"/>
    <x v="0"/>
  </r>
  <r>
    <x v="1"/>
    <x v="4"/>
    <x v="1"/>
    <x v="2"/>
    <x v="1"/>
    <x v="11"/>
    <n v="0"/>
    <x v="11"/>
    <x v="0"/>
  </r>
  <r>
    <x v="1"/>
    <x v="4"/>
    <x v="1"/>
    <x v="2"/>
    <x v="1"/>
    <x v="12"/>
    <n v="0"/>
    <x v="12"/>
    <x v="1"/>
  </r>
  <r>
    <x v="1"/>
    <x v="4"/>
    <x v="1"/>
    <x v="2"/>
    <x v="1"/>
    <x v="13"/>
    <n v="0"/>
    <x v="13"/>
    <x v="1"/>
  </r>
  <r>
    <x v="1"/>
    <x v="4"/>
    <x v="1"/>
    <x v="2"/>
    <x v="1"/>
    <x v="14"/>
    <n v="0"/>
    <x v="14"/>
    <x v="1"/>
  </r>
  <r>
    <x v="1"/>
    <x v="4"/>
    <x v="1"/>
    <x v="2"/>
    <x v="1"/>
    <x v="15"/>
    <n v="0"/>
    <x v="15"/>
    <x v="1"/>
  </r>
  <r>
    <x v="1"/>
    <x v="4"/>
    <x v="1"/>
    <x v="2"/>
    <x v="2"/>
    <x v="16"/>
    <n v="0"/>
    <x v="16"/>
    <x v="0"/>
  </r>
  <r>
    <x v="1"/>
    <x v="4"/>
    <x v="1"/>
    <x v="2"/>
    <x v="2"/>
    <x v="17"/>
    <n v="0"/>
    <x v="17"/>
    <x v="0"/>
  </r>
  <r>
    <x v="1"/>
    <x v="4"/>
    <x v="1"/>
    <x v="2"/>
    <x v="2"/>
    <x v="18"/>
    <n v="0"/>
    <x v="18"/>
    <x v="1"/>
  </r>
  <r>
    <x v="1"/>
    <x v="4"/>
    <x v="1"/>
    <x v="2"/>
    <x v="2"/>
    <x v="19"/>
    <n v="0"/>
    <x v="19"/>
    <x v="1"/>
  </r>
  <r>
    <x v="1"/>
    <x v="4"/>
    <x v="1"/>
    <x v="2"/>
    <x v="2"/>
    <x v="20"/>
    <n v="0"/>
    <x v="20"/>
    <x v="1"/>
  </r>
  <r>
    <x v="1"/>
    <x v="4"/>
    <x v="1"/>
    <x v="2"/>
    <x v="2"/>
    <x v="21"/>
    <n v="0"/>
    <x v="21"/>
    <x v="1"/>
  </r>
  <r>
    <x v="1"/>
    <x v="4"/>
    <x v="1"/>
    <x v="2"/>
    <x v="2"/>
    <x v="22"/>
    <n v="0"/>
    <x v="22"/>
    <x v="0"/>
  </r>
  <r>
    <x v="1"/>
    <x v="4"/>
    <x v="1"/>
    <x v="2"/>
    <x v="2"/>
    <x v="23"/>
    <n v="1"/>
    <x v="23"/>
    <x v="0"/>
  </r>
  <r>
    <x v="1"/>
    <x v="5"/>
    <x v="2"/>
    <x v="0"/>
    <x v="0"/>
    <x v="0"/>
    <n v="2"/>
    <x v="0"/>
    <x v="0"/>
  </r>
  <r>
    <x v="1"/>
    <x v="5"/>
    <x v="2"/>
    <x v="0"/>
    <x v="0"/>
    <x v="1"/>
    <n v="0"/>
    <x v="1"/>
    <x v="0"/>
  </r>
  <r>
    <x v="1"/>
    <x v="5"/>
    <x v="2"/>
    <x v="0"/>
    <x v="0"/>
    <x v="2"/>
    <n v="2"/>
    <x v="2"/>
    <x v="0"/>
  </r>
  <r>
    <x v="1"/>
    <x v="5"/>
    <x v="2"/>
    <x v="0"/>
    <x v="0"/>
    <x v="3"/>
    <n v="2"/>
    <x v="3"/>
    <x v="0"/>
  </r>
  <r>
    <x v="1"/>
    <x v="5"/>
    <x v="2"/>
    <x v="0"/>
    <x v="0"/>
    <x v="4"/>
    <n v="2"/>
    <x v="4"/>
    <x v="1"/>
  </r>
  <r>
    <x v="1"/>
    <x v="5"/>
    <x v="2"/>
    <x v="0"/>
    <x v="0"/>
    <x v="5"/>
    <n v="2"/>
    <x v="5"/>
    <x v="1"/>
  </r>
  <r>
    <x v="1"/>
    <x v="5"/>
    <x v="2"/>
    <x v="0"/>
    <x v="0"/>
    <x v="6"/>
    <n v="5"/>
    <x v="6"/>
    <x v="1"/>
  </r>
  <r>
    <x v="1"/>
    <x v="5"/>
    <x v="2"/>
    <x v="0"/>
    <x v="0"/>
    <x v="7"/>
    <n v="2"/>
    <x v="7"/>
    <x v="1"/>
  </r>
  <r>
    <x v="1"/>
    <x v="5"/>
    <x v="2"/>
    <x v="0"/>
    <x v="1"/>
    <x v="8"/>
    <n v="2"/>
    <x v="8"/>
    <x v="0"/>
  </r>
  <r>
    <x v="1"/>
    <x v="5"/>
    <x v="2"/>
    <x v="0"/>
    <x v="1"/>
    <x v="9"/>
    <n v="4"/>
    <x v="9"/>
    <x v="0"/>
  </r>
  <r>
    <x v="1"/>
    <x v="5"/>
    <x v="2"/>
    <x v="0"/>
    <x v="1"/>
    <x v="10"/>
    <n v="1"/>
    <x v="10"/>
    <x v="0"/>
  </r>
  <r>
    <x v="1"/>
    <x v="5"/>
    <x v="2"/>
    <x v="0"/>
    <x v="1"/>
    <x v="11"/>
    <n v="6"/>
    <x v="11"/>
    <x v="0"/>
  </r>
  <r>
    <x v="1"/>
    <x v="5"/>
    <x v="2"/>
    <x v="0"/>
    <x v="1"/>
    <x v="12"/>
    <n v="0"/>
    <x v="12"/>
    <x v="1"/>
  </r>
  <r>
    <x v="1"/>
    <x v="5"/>
    <x v="2"/>
    <x v="0"/>
    <x v="1"/>
    <x v="13"/>
    <n v="6"/>
    <x v="13"/>
    <x v="1"/>
  </r>
  <r>
    <x v="1"/>
    <x v="5"/>
    <x v="2"/>
    <x v="0"/>
    <x v="1"/>
    <x v="14"/>
    <n v="5"/>
    <x v="14"/>
    <x v="1"/>
  </r>
  <r>
    <x v="1"/>
    <x v="5"/>
    <x v="2"/>
    <x v="0"/>
    <x v="1"/>
    <x v="15"/>
    <n v="1"/>
    <x v="15"/>
    <x v="1"/>
  </r>
  <r>
    <x v="1"/>
    <x v="5"/>
    <x v="2"/>
    <x v="0"/>
    <x v="2"/>
    <x v="16"/>
    <n v="5"/>
    <x v="16"/>
    <x v="0"/>
  </r>
  <r>
    <x v="1"/>
    <x v="5"/>
    <x v="2"/>
    <x v="0"/>
    <x v="2"/>
    <x v="17"/>
    <n v="3"/>
    <x v="17"/>
    <x v="0"/>
  </r>
  <r>
    <x v="1"/>
    <x v="5"/>
    <x v="2"/>
    <x v="0"/>
    <x v="2"/>
    <x v="18"/>
    <n v="2"/>
    <x v="18"/>
    <x v="1"/>
  </r>
  <r>
    <x v="1"/>
    <x v="5"/>
    <x v="2"/>
    <x v="0"/>
    <x v="2"/>
    <x v="19"/>
    <n v="2"/>
    <x v="19"/>
    <x v="1"/>
  </r>
  <r>
    <x v="1"/>
    <x v="5"/>
    <x v="2"/>
    <x v="0"/>
    <x v="2"/>
    <x v="20"/>
    <n v="3"/>
    <x v="20"/>
    <x v="1"/>
  </r>
  <r>
    <x v="1"/>
    <x v="5"/>
    <x v="2"/>
    <x v="0"/>
    <x v="2"/>
    <x v="21"/>
    <n v="5"/>
    <x v="21"/>
    <x v="1"/>
  </r>
  <r>
    <x v="1"/>
    <x v="5"/>
    <x v="2"/>
    <x v="0"/>
    <x v="2"/>
    <x v="22"/>
    <n v="3"/>
    <x v="22"/>
    <x v="0"/>
  </r>
  <r>
    <x v="1"/>
    <x v="5"/>
    <x v="2"/>
    <x v="0"/>
    <x v="2"/>
    <x v="23"/>
    <n v="3"/>
    <x v="23"/>
    <x v="0"/>
  </r>
  <r>
    <x v="1"/>
    <x v="5"/>
    <x v="2"/>
    <x v="1"/>
    <x v="0"/>
    <x v="0"/>
    <n v="0"/>
    <x v="0"/>
    <x v="0"/>
  </r>
  <r>
    <x v="1"/>
    <x v="5"/>
    <x v="2"/>
    <x v="1"/>
    <x v="0"/>
    <x v="1"/>
    <n v="0"/>
    <x v="1"/>
    <x v="0"/>
  </r>
  <r>
    <x v="1"/>
    <x v="5"/>
    <x v="2"/>
    <x v="1"/>
    <x v="0"/>
    <x v="2"/>
    <n v="1"/>
    <x v="2"/>
    <x v="0"/>
  </r>
  <r>
    <x v="1"/>
    <x v="5"/>
    <x v="2"/>
    <x v="1"/>
    <x v="0"/>
    <x v="3"/>
    <n v="1"/>
    <x v="3"/>
    <x v="0"/>
  </r>
  <r>
    <x v="1"/>
    <x v="5"/>
    <x v="2"/>
    <x v="1"/>
    <x v="0"/>
    <x v="4"/>
    <n v="1"/>
    <x v="4"/>
    <x v="1"/>
  </r>
  <r>
    <x v="1"/>
    <x v="5"/>
    <x v="2"/>
    <x v="1"/>
    <x v="0"/>
    <x v="5"/>
    <n v="0"/>
    <x v="5"/>
    <x v="1"/>
  </r>
  <r>
    <x v="1"/>
    <x v="5"/>
    <x v="2"/>
    <x v="1"/>
    <x v="0"/>
    <x v="6"/>
    <n v="0"/>
    <x v="6"/>
    <x v="1"/>
  </r>
  <r>
    <x v="1"/>
    <x v="5"/>
    <x v="2"/>
    <x v="1"/>
    <x v="0"/>
    <x v="7"/>
    <n v="0"/>
    <x v="7"/>
    <x v="1"/>
  </r>
  <r>
    <x v="1"/>
    <x v="5"/>
    <x v="2"/>
    <x v="1"/>
    <x v="1"/>
    <x v="8"/>
    <n v="0"/>
    <x v="8"/>
    <x v="0"/>
  </r>
  <r>
    <x v="1"/>
    <x v="5"/>
    <x v="2"/>
    <x v="1"/>
    <x v="1"/>
    <x v="9"/>
    <n v="0"/>
    <x v="9"/>
    <x v="0"/>
  </r>
  <r>
    <x v="1"/>
    <x v="5"/>
    <x v="2"/>
    <x v="1"/>
    <x v="1"/>
    <x v="10"/>
    <n v="0"/>
    <x v="10"/>
    <x v="0"/>
  </r>
  <r>
    <x v="1"/>
    <x v="5"/>
    <x v="2"/>
    <x v="1"/>
    <x v="1"/>
    <x v="11"/>
    <n v="0"/>
    <x v="11"/>
    <x v="0"/>
  </r>
  <r>
    <x v="1"/>
    <x v="5"/>
    <x v="2"/>
    <x v="1"/>
    <x v="1"/>
    <x v="12"/>
    <n v="0"/>
    <x v="12"/>
    <x v="1"/>
  </r>
  <r>
    <x v="1"/>
    <x v="5"/>
    <x v="2"/>
    <x v="1"/>
    <x v="1"/>
    <x v="13"/>
    <n v="0"/>
    <x v="13"/>
    <x v="1"/>
  </r>
  <r>
    <x v="1"/>
    <x v="5"/>
    <x v="2"/>
    <x v="1"/>
    <x v="1"/>
    <x v="14"/>
    <n v="0"/>
    <x v="14"/>
    <x v="1"/>
  </r>
  <r>
    <x v="1"/>
    <x v="5"/>
    <x v="2"/>
    <x v="1"/>
    <x v="1"/>
    <x v="15"/>
    <n v="0"/>
    <x v="15"/>
    <x v="1"/>
  </r>
  <r>
    <x v="1"/>
    <x v="5"/>
    <x v="2"/>
    <x v="1"/>
    <x v="2"/>
    <x v="16"/>
    <n v="0"/>
    <x v="16"/>
    <x v="0"/>
  </r>
  <r>
    <x v="1"/>
    <x v="5"/>
    <x v="2"/>
    <x v="1"/>
    <x v="2"/>
    <x v="17"/>
    <n v="0"/>
    <x v="17"/>
    <x v="0"/>
  </r>
  <r>
    <x v="1"/>
    <x v="5"/>
    <x v="2"/>
    <x v="1"/>
    <x v="2"/>
    <x v="18"/>
    <n v="0"/>
    <x v="18"/>
    <x v="1"/>
  </r>
  <r>
    <x v="1"/>
    <x v="5"/>
    <x v="2"/>
    <x v="1"/>
    <x v="2"/>
    <x v="19"/>
    <n v="0"/>
    <x v="19"/>
    <x v="1"/>
  </r>
  <r>
    <x v="1"/>
    <x v="5"/>
    <x v="2"/>
    <x v="1"/>
    <x v="2"/>
    <x v="20"/>
    <n v="0"/>
    <x v="20"/>
    <x v="1"/>
  </r>
  <r>
    <x v="1"/>
    <x v="5"/>
    <x v="2"/>
    <x v="1"/>
    <x v="2"/>
    <x v="21"/>
    <n v="0"/>
    <x v="21"/>
    <x v="1"/>
  </r>
  <r>
    <x v="1"/>
    <x v="5"/>
    <x v="2"/>
    <x v="1"/>
    <x v="2"/>
    <x v="22"/>
    <n v="0"/>
    <x v="22"/>
    <x v="0"/>
  </r>
  <r>
    <x v="1"/>
    <x v="5"/>
    <x v="2"/>
    <x v="1"/>
    <x v="2"/>
    <x v="23"/>
    <n v="0"/>
    <x v="23"/>
    <x v="0"/>
  </r>
  <r>
    <x v="1"/>
    <x v="5"/>
    <x v="2"/>
    <x v="2"/>
    <x v="0"/>
    <x v="0"/>
    <n v="0"/>
    <x v="0"/>
    <x v="0"/>
  </r>
  <r>
    <x v="1"/>
    <x v="5"/>
    <x v="2"/>
    <x v="2"/>
    <x v="0"/>
    <x v="1"/>
    <n v="0"/>
    <x v="1"/>
    <x v="0"/>
  </r>
  <r>
    <x v="1"/>
    <x v="5"/>
    <x v="2"/>
    <x v="2"/>
    <x v="0"/>
    <x v="2"/>
    <n v="0"/>
    <x v="2"/>
    <x v="0"/>
  </r>
  <r>
    <x v="1"/>
    <x v="5"/>
    <x v="2"/>
    <x v="2"/>
    <x v="0"/>
    <x v="3"/>
    <n v="0"/>
    <x v="3"/>
    <x v="0"/>
  </r>
  <r>
    <x v="1"/>
    <x v="5"/>
    <x v="2"/>
    <x v="2"/>
    <x v="0"/>
    <x v="4"/>
    <n v="1"/>
    <x v="4"/>
    <x v="1"/>
  </r>
  <r>
    <x v="1"/>
    <x v="5"/>
    <x v="2"/>
    <x v="2"/>
    <x v="0"/>
    <x v="5"/>
    <n v="0"/>
    <x v="5"/>
    <x v="1"/>
  </r>
  <r>
    <x v="1"/>
    <x v="5"/>
    <x v="2"/>
    <x v="2"/>
    <x v="0"/>
    <x v="6"/>
    <n v="1"/>
    <x v="6"/>
    <x v="1"/>
  </r>
  <r>
    <x v="1"/>
    <x v="5"/>
    <x v="2"/>
    <x v="2"/>
    <x v="0"/>
    <x v="7"/>
    <n v="0"/>
    <x v="7"/>
    <x v="1"/>
  </r>
  <r>
    <x v="1"/>
    <x v="5"/>
    <x v="2"/>
    <x v="2"/>
    <x v="1"/>
    <x v="8"/>
    <n v="0"/>
    <x v="8"/>
    <x v="0"/>
  </r>
  <r>
    <x v="1"/>
    <x v="5"/>
    <x v="2"/>
    <x v="2"/>
    <x v="1"/>
    <x v="9"/>
    <n v="0"/>
    <x v="9"/>
    <x v="0"/>
  </r>
  <r>
    <x v="1"/>
    <x v="5"/>
    <x v="2"/>
    <x v="2"/>
    <x v="1"/>
    <x v="10"/>
    <n v="0"/>
    <x v="10"/>
    <x v="0"/>
  </r>
  <r>
    <x v="1"/>
    <x v="5"/>
    <x v="2"/>
    <x v="2"/>
    <x v="1"/>
    <x v="11"/>
    <n v="0"/>
    <x v="11"/>
    <x v="0"/>
  </r>
  <r>
    <x v="1"/>
    <x v="5"/>
    <x v="2"/>
    <x v="2"/>
    <x v="1"/>
    <x v="12"/>
    <n v="0"/>
    <x v="12"/>
    <x v="1"/>
  </r>
  <r>
    <x v="1"/>
    <x v="5"/>
    <x v="2"/>
    <x v="2"/>
    <x v="1"/>
    <x v="13"/>
    <n v="0"/>
    <x v="13"/>
    <x v="1"/>
  </r>
  <r>
    <x v="1"/>
    <x v="5"/>
    <x v="2"/>
    <x v="2"/>
    <x v="1"/>
    <x v="14"/>
    <n v="0"/>
    <x v="14"/>
    <x v="1"/>
  </r>
  <r>
    <x v="1"/>
    <x v="5"/>
    <x v="2"/>
    <x v="2"/>
    <x v="1"/>
    <x v="15"/>
    <n v="0"/>
    <x v="15"/>
    <x v="1"/>
  </r>
  <r>
    <x v="1"/>
    <x v="5"/>
    <x v="2"/>
    <x v="2"/>
    <x v="2"/>
    <x v="16"/>
    <n v="0"/>
    <x v="16"/>
    <x v="0"/>
  </r>
  <r>
    <x v="1"/>
    <x v="5"/>
    <x v="2"/>
    <x v="2"/>
    <x v="2"/>
    <x v="17"/>
    <n v="0"/>
    <x v="17"/>
    <x v="0"/>
  </r>
  <r>
    <x v="1"/>
    <x v="5"/>
    <x v="2"/>
    <x v="2"/>
    <x v="2"/>
    <x v="18"/>
    <n v="0"/>
    <x v="18"/>
    <x v="1"/>
  </r>
  <r>
    <x v="1"/>
    <x v="5"/>
    <x v="2"/>
    <x v="2"/>
    <x v="2"/>
    <x v="19"/>
    <n v="0"/>
    <x v="19"/>
    <x v="1"/>
  </r>
  <r>
    <x v="1"/>
    <x v="5"/>
    <x v="2"/>
    <x v="2"/>
    <x v="2"/>
    <x v="20"/>
    <n v="0"/>
    <x v="20"/>
    <x v="1"/>
  </r>
  <r>
    <x v="1"/>
    <x v="5"/>
    <x v="2"/>
    <x v="2"/>
    <x v="2"/>
    <x v="21"/>
    <n v="0"/>
    <x v="21"/>
    <x v="1"/>
  </r>
  <r>
    <x v="1"/>
    <x v="5"/>
    <x v="2"/>
    <x v="2"/>
    <x v="2"/>
    <x v="22"/>
    <n v="0"/>
    <x v="22"/>
    <x v="0"/>
  </r>
  <r>
    <x v="1"/>
    <x v="5"/>
    <x v="2"/>
    <x v="2"/>
    <x v="2"/>
    <x v="23"/>
    <n v="1"/>
    <x v="23"/>
    <x v="0"/>
  </r>
  <r>
    <x v="1"/>
    <x v="6"/>
    <x v="3"/>
    <x v="0"/>
    <x v="0"/>
    <x v="0"/>
    <n v="0"/>
    <x v="0"/>
    <x v="0"/>
  </r>
  <r>
    <x v="1"/>
    <x v="6"/>
    <x v="3"/>
    <x v="0"/>
    <x v="0"/>
    <x v="1"/>
    <n v="0"/>
    <x v="1"/>
    <x v="0"/>
  </r>
  <r>
    <x v="1"/>
    <x v="6"/>
    <x v="3"/>
    <x v="0"/>
    <x v="0"/>
    <x v="2"/>
    <n v="1"/>
    <x v="2"/>
    <x v="0"/>
  </r>
  <r>
    <x v="1"/>
    <x v="6"/>
    <x v="3"/>
    <x v="0"/>
    <x v="0"/>
    <x v="3"/>
    <n v="0"/>
    <x v="3"/>
    <x v="0"/>
  </r>
  <r>
    <x v="1"/>
    <x v="6"/>
    <x v="3"/>
    <x v="0"/>
    <x v="0"/>
    <x v="4"/>
    <n v="0"/>
    <x v="4"/>
    <x v="1"/>
  </r>
  <r>
    <x v="1"/>
    <x v="6"/>
    <x v="3"/>
    <x v="0"/>
    <x v="0"/>
    <x v="5"/>
    <n v="0"/>
    <x v="5"/>
    <x v="1"/>
  </r>
  <r>
    <x v="1"/>
    <x v="6"/>
    <x v="3"/>
    <x v="0"/>
    <x v="0"/>
    <x v="6"/>
    <n v="0"/>
    <x v="6"/>
    <x v="1"/>
  </r>
  <r>
    <x v="1"/>
    <x v="6"/>
    <x v="3"/>
    <x v="0"/>
    <x v="0"/>
    <x v="7"/>
    <n v="1"/>
    <x v="7"/>
    <x v="1"/>
  </r>
  <r>
    <x v="1"/>
    <x v="6"/>
    <x v="3"/>
    <x v="0"/>
    <x v="1"/>
    <x v="8"/>
    <n v="1"/>
    <x v="8"/>
    <x v="0"/>
  </r>
  <r>
    <x v="1"/>
    <x v="6"/>
    <x v="3"/>
    <x v="0"/>
    <x v="1"/>
    <x v="9"/>
    <n v="3"/>
    <x v="9"/>
    <x v="0"/>
  </r>
  <r>
    <x v="1"/>
    <x v="6"/>
    <x v="3"/>
    <x v="0"/>
    <x v="1"/>
    <x v="10"/>
    <n v="1"/>
    <x v="10"/>
    <x v="0"/>
  </r>
  <r>
    <x v="1"/>
    <x v="6"/>
    <x v="3"/>
    <x v="0"/>
    <x v="1"/>
    <x v="11"/>
    <n v="1"/>
    <x v="11"/>
    <x v="0"/>
  </r>
  <r>
    <x v="1"/>
    <x v="6"/>
    <x v="3"/>
    <x v="0"/>
    <x v="1"/>
    <x v="12"/>
    <n v="0"/>
    <x v="12"/>
    <x v="1"/>
  </r>
  <r>
    <x v="1"/>
    <x v="6"/>
    <x v="3"/>
    <x v="0"/>
    <x v="1"/>
    <x v="13"/>
    <n v="1"/>
    <x v="13"/>
    <x v="1"/>
  </r>
  <r>
    <x v="1"/>
    <x v="6"/>
    <x v="3"/>
    <x v="0"/>
    <x v="1"/>
    <x v="14"/>
    <n v="0"/>
    <x v="14"/>
    <x v="1"/>
  </r>
  <r>
    <x v="1"/>
    <x v="6"/>
    <x v="3"/>
    <x v="0"/>
    <x v="1"/>
    <x v="15"/>
    <n v="1"/>
    <x v="15"/>
    <x v="1"/>
  </r>
  <r>
    <x v="1"/>
    <x v="6"/>
    <x v="3"/>
    <x v="0"/>
    <x v="2"/>
    <x v="16"/>
    <n v="0"/>
    <x v="16"/>
    <x v="0"/>
  </r>
  <r>
    <x v="1"/>
    <x v="6"/>
    <x v="3"/>
    <x v="0"/>
    <x v="2"/>
    <x v="17"/>
    <n v="0"/>
    <x v="17"/>
    <x v="0"/>
  </r>
  <r>
    <x v="1"/>
    <x v="6"/>
    <x v="3"/>
    <x v="0"/>
    <x v="2"/>
    <x v="18"/>
    <n v="0"/>
    <x v="18"/>
    <x v="1"/>
  </r>
  <r>
    <x v="1"/>
    <x v="6"/>
    <x v="3"/>
    <x v="0"/>
    <x v="2"/>
    <x v="19"/>
    <n v="0"/>
    <x v="19"/>
    <x v="1"/>
  </r>
  <r>
    <x v="1"/>
    <x v="6"/>
    <x v="3"/>
    <x v="0"/>
    <x v="2"/>
    <x v="20"/>
    <n v="1"/>
    <x v="20"/>
    <x v="1"/>
  </r>
  <r>
    <x v="1"/>
    <x v="6"/>
    <x v="3"/>
    <x v="0"/>
    <x v="2"/>
    <x v="21"/>
    <n v="2"/>
    <x v="21"/>
    <x v="1"/>
  </r>
  <r>
    <x v="1"/>
    <x v="6"/>
    <x v="3"/>
    <x v="0"/>
    <x v="2"/>
    <x v="22"/>
    <n v="1"/>
    <x v="22"/>
    <x v="0"/>
  </r>
  <r>
    <x v="1"/>
    <x v="6"/>
    <x v="3"/>
    <x v="0"/>
    <x v="2"/>
    <x v="23"/>
    <n v="1"/>
    <x v="23"/>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0"/>
  </r>
  <r>
    <x v="1"/>
    <x v="6"/>
    <x v="3"/>
    <x v="1"/>
    <x v="1"/>
    <x v="9"/>
    <n v="0"/>
    <x v="9"/>
    <x v="0"/>
  </r>
  <r>
    <x v="1"/>
    <x v="6"/>
    <x v="3"/>
    <x v="1"/>
    <x v="1"/>
    <x v="10"/>
    <n v="0"/>
    <x v="10"/>
    <x v="0"/>
  </r>
  <r>
    <x v="1"/>
    <x v="6"/>
    <x v="3"/>
    <x v="1"/>
    <x v="1"/>
    <x v="11"/>
    <n v="0"/>
    <x v="11"/>
    <x v="0"/>
  </r>
  <r>
    <x v="1"/>
    <x v="6"/>
    <x v="3"/>
    <x v="1"/>
    <x v="1"/>
    <x v="12"/>
    <n v="0"/>
    <x v="12"/>
    <x v="1"/>
  </r>
  <r>
    <x v="1"/>
    <x v="6"/>
    <x v="3"/>
    <x v="1"/>
    <x v="1"/>
    <x v="13"/>
    <n v="0"/>
    <x v="13"/>
    <x v="1"/>
  </r>
  <r>
    <x v="1"/>
    <x v="6"/>
    <x v="3"/>
    <x v="1"/>
    <x v="1"/>
    <x v="14"/>
    <n v="0"/>
    <x v="14"/>
    <x v="1"/>
  </r>
  <r>
    <x v="1"/>
    <x v="6"/>
    <x v="3"/>
    <x v="1"/>
    <x v="1"/>
    <x v="15"/>
    <n v="0"/>
    <x v="15"/>
    <x v="1"/>
  </r>
  <r>
    <x v="1"/>
    <x v="6"/>
    <x v="3"/>
    <x v="1"/>
    <x v="2"/>
    <x v="16"/>
    <n v="0"/>
    <x v="16"/>
    <x v="0"/>
  </r>
  <r>
    <x v="1"/>
    <x v="6"/>
    <x v="3"/>
    <x v="1"/>
    <x v="2"/>
    <x v="17"/>
    <n v="0"/>
    <x v="17"/>
    <x v="0"/>
  </r>
  <r>
    <x v="1"/>
    <x v="6"/>
    <x v="3"/>
    <x v="1"/>
    <x v="2"/>
    <x v="18"/>
    <n v="0"/>
    <x v="18"/>
    <x v="1"/>
  </r>
  <r>
    <x v="1"/>
    <x v="6"/>
    <x v="3"/>
    <x v="1"/>
    <x v="2"/>
    <x v="19"/>
    <n v="0"/>
    <x v="19"/>
    <x v="1"/>
  </r>
  <r>
    <x v="1"/>
    <x v="6"/>
    <x v="3"/>
    <x v="1"/>
    <x v="2"/>
    <x v="20"/>
    <n v="0"/>
    <x v="20"/>
    <x v="1"/>
  </r>
  <r>
    <x v="1"/>
    <x v="6"/>
    <x v="3"/>
    <x v="1"/>
    <x v="2"/>
    <x v="21"/>
    <n v="0"/>
    <x v="21"/>
    <x v="1"/>
  </r>
  <r>
    <x v="1"/>
    <x v="6"/>
    <x v="3"/>
    <x v="1"/>
    <x v="2"/>
    <x v="22"/>
    <n v="0"/>
    <x v="22"/>
    <x v="0"/>
  </r>
  <r>
    <x v="1"/>
    <x v="6"/>
    <x v="3"/>
    <x v="1"/>
    <x v="2"/>
    <x v="23"/>
    <n v="0"/>
    <x v="23"/>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0"/>
  </r>
  <r>
    <x v="1"/>
    <x v="6"/>
    <x v="3"/>
    <x v="2"/>
    <x v="1"/>
    <x v="9"/>
    <n v="0"/>
    <x v="9"/>
    <x v="0"/>
  </r>
  <r>
    <x v="1"/>
    <x v="6"/>
    <x v="3"/>
    <x v="2"/>
    <x v="1"/>
    <x v="10"/>
    <n v="0"/>
    <x v="10"/>
    <x v="0"/>
  </r>
  <r>
    <x v="1"/>
    <x v="6"/>
    <x v="3"/>
    <x v="2"/>
    <x v="1"/>
    <x v="11"/>
    <n v="0"/>
    <x v="11"/>
    <x v="0"/>
  </r>
  <r>
    <x v="1"/>
    <x v="6"/>
    <x v="3"/>
    <x v="2"/>
    <x v="1"/>
    <x v="12"/>
    <n v="0"/>
    <x v="12"/>
    <x v="1"/>
  </r>
  <r>
    <x v="1"/>
    <x v="6"/>
    <x v="3"/>
    <x v="2"/>
    <x v="1"/>
    <x v="13"/>
    <n v="0"/>
    <x v="13"/>
    <x v="1"/>
  </r>
  <r>
    <x v="1"/>
    <x v="6"/>
    <x v="3"/>
    <x v="2"/>
    <x v="1"/>
    <x v="14"/>
    <n v="0"/>
    <x v="14"/>
    <x v="1"/>
  </r>
  <r>
    <x v="1"/>
    <x v="6"/>
    <x v="3"/>
    <x v="2"/>
    <x v="1"/>
    <x v="15"/>
    <n v="0"/>
    <x v="15"/>
    <x v="1"/>
  </r>
  <r>
    <x v="1"/>
    <x v="6"/>
    <x v="3"/>
    <x v="2"/>
    <x v="2"/>
    <x v="16"/>
    <n v="0"/>
    <x v="16"/>
    <x v="0"/>
  </r>
  <r>
    <x v="1"/>
    <x v="6"/>
    <x v="3"/>
    <x v="2"/>
    <x v="2"/>
    <x v="17"/>
    <n v="0"/>
    <x v="17"/>
    <x v="0"/>
  </r>
  <r>
    <x v="1"/>
    <x v="6"/>
    <x v="3"/>
    <x v="2"/>
    <x v="2"/>
    <x v="18"/>
    <n v="0"/>
    <x v="18"/>
    <x v="1"/>
  </r>
  <r>
    <x v="1"/>
    <x v="6"/>
    <x v="3"/>
    <x v="2"/>
    <x v="2"/>
    <x v="19"/>
    <n v="0"/>
    <x v="19"/>
    <x v="1"/>
  </r>
  <r>
    <x v="1"/>
    <x v="6"/>
    <x v="3"/>
    <x v="2"/>
    <x v="2"/>
    <x v="20"/>
    <n v="0"/>
    <x v="20"/>
    <x v="1"/>
  </r>
  <r>
    <x v="1"/>
    <x v="6"/>
    <x v="3"/>
    <x v="2"/>
    <x v="2"/>
    <x v="21"/>
    <n v="0"/>
    <x v="21"/>
    <x v="1"/>
  </r>
  <r>
    <x v="1"/>
    <x v="6"/>
    <x v="3"/>
    <x v="2"/>
    <x v="2"/>
    <x v="22"/>
    <n v="0"/>
    <x v="22"/>
    <x v="0"/>
  </r>
  <r>
    <x v="1"/>
    <x v="6"/>
    <x v="3"/>
    <x v="2"/>
    <x v="2"/>
    <x v="23"/>
    <n v="0"/>
    <x v="23"/>
    <x v="0"/>
  </r>
  <r>
    <x v="2"/>
    <x v="7"/>
    <x v="2"/>
    <x v="0"/>
    <x v="0"/>
    <x v="0"/>
    <n v="3"/>
    <x v="0"/>
    <x v="0"/>
  </r>
  <r>
    <x v="2"/>
    <x v="7"/>
    <x v="2"/>
    <x v="0"/>
    <x v="0"/>
    <x v="1"/>
    <n v="2"/>
    <x v="1"/>
    <x v="0"/>
  </r>
  <r>
    <x v="2"/>
    <x v="7"/>
    <x v="2"/>
    <x v="0"/>
    <x v="0"/>
    <x v="2"/>
    <n v="2"/>
    <x v="2"/>
    <x v="0"/>
  </r>
  <r>
    <x v="2"/>
    <x v="7"/>
    <x v="2"/>
    <x v="0"/>
    <x v="0"/>
    <x v="3"/>
    <n v="3"/>
    <x v="3"/>
    <x v="0"/>
  </r>
  <r>
    <x v="2"/>
    <x v="7"/>
    <x v="2"/>
    <x v="0"/>
    <x v="0"/>
    <x v="4"/>
    <n v="4"/>
    <x v="4"/>
    <x v="1"/>
  </r>
  <r>
    <x v="2"/>
    <x v="7"/>
    <x v="2"/>
    <x v="0"/>
    <x v="0"/>
    <x v="5"/>
    <n v="8"/>
    <x v="5"/>
    <x v="1"/>
  </r>
  <r>
    <x v="2"/>
    <x v="7"/>
    <x v="2"/>
    <x v="0"/>
    <x v="0"/>
    <x v="6"/>
    <n v="0"/>
    <x v="6"/>
    <x v="1"/>
  </r>
  <r>
    <x v="2"/>
    <x v="7"/>
    <x v="2"/>
    <x v="0"/>
    <x v="0"/>
    <x v="7"/>
    <n v="4"/>
    <x v="7"/>
    <x v="1"/>
  </r>
  <r>
    <x v="2"/>
    <x v="7"/>
    <x v="2"/>
    <x v="0"/>
    <x v="1"/>
    <x v="8"/>
    <n v="5"/>
    <x v="8"/>
    <x v="0"/>
  </r>
  <r>
    <x v="2"/>
    <x v="7"/>
    <x v="2"/>
    <x v="0"/>
    <x v="1"/>
    <x v="9"/>
    <n v="10"/>
    <x v="9"/>
    <x v="0"/>
  </r>
  <r>
    <x v="2"/>
    <x v="7"/>
    <x v="2"/>
    <x v="0"/>
    <x v="1"/>
    <x v="10"/>
    <n v="11"/>
    <x v="10"/>
    <x v="0"/>
  </r>
  <r>
    <x v="2"/>
    <x v="7"/>
    <x v="2"/>
    <x v="0"/>
    <x v="1"/>
    <x v="11"/>
    <n v="9"/>
    <x v="11"/>
    <x v="0"/>
  </r>
  <r>
    <x v="2"/>
    <x v="7"/>
    <x v="2"/>
    <x v="0"/>
    <x v="1"/>
    <x v="12"/>
    <n v="7"/>
    <x v="12"/>
    <x v="1"/>
  </r>
  <r>
    <x v="2"/>
    <x v="7"/>
    <x v="2"/>
    <x v="0"/>
    <x v="1"/>
    <x v="13"/>
    <n v="6"/>
    <x v="13"/>
    <x v="1"/>
  </r>
  <r>
    <x v="2"/>
    <x v="7"/>
    <x v="2"/>
    <x v="0"/>
    <x v="1"/>
    <x v="14"/>
    <n v="6"/>
    <x v="14"/>
    <x v="1"/>
  </r>
  <r>
    <x v="2"/>
    <x v="7"/>
    <x v="2"/>
    <x v="0"/>
    <x v="1"/>
    <x v="15"/>
    <n v="9"/>
    <x v="15"/>
    <x v="1"/>
  </r>
  <r>
    <x v="2"/>
    <x v="7"/>
    <x v="2"/>
    <x v="0"/>
    <x v="2"/>
    <x v="16"/>
    <n v="12"/>
    <x v="16"/>
    <x v="0"/>
  </r>
  <r>
    <x v="2"/>
    <x v="7"/>
    <x v="2"/>
    <x v="0"/>
    <x v="2"/>
    <x v="17"/>
    <n v="12"/>
    <x v="17"/>
    <x v="0"/>
  </r>
  <r>
    <x v="2"/>
    <x v="7"/>
    <x v="2"/>
    <x v="0"/>
    <x v="2"/>
    <x v="18"/>
    <n v="6"/>
    <x v="18"/>
    <x v="1"/>
  </r>
  <r>
    <x v="2"/>
    <x v="7"/>
    <x v="2"/>
    <x v="0"/>
    <x v="2"/>
    <x v="19"/>
    <n v="8"/>
    <x v="19"/>
    <x v="1"/>
  </r>
  <r>
    <x v="2"/>
    <x v="7"/>
    <x v="2"/>
    <x v="0"/>
    <x v="2"/>
    <x v="20"/>
    <n v="14"/>
    <x v="20"/>
    <x v="1"/>
  </r>
  <r>
    <x v="2"/>
    <x v="7"/>
    <x v="2"/>
    <x v="0"/>
    <x v="2"/>
    <x v="21"/>
    <n v="9"/>
    <x v="21"/>
    <x v="1"/>
  </r>
  <r>
    <x v="2"/>
    <x v="7"/>
    <x v="2"/>
    <x v="0"/>
    <x v="2"/>
    <x v="22"/>
    <n v="4"/>
    <x v="22"/>
    <x v="0"/>
  </r>
  <r>
    <x v="2"/>
    <x v="7"/>
    <x v="2"/>
    <x v="0"/>
    <x v="2"/>
    <x v="23"/>
    <n v="5"/>
    <x v="23"/>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0"/>
  </r>
  <r>
    <x v="2"/>
    <x v="7"/>
    <x v="2"/>
    <x v="1"/>
    <x v="1"/>
    <x v="9"/>
    <n v="0"/>
    <x v="9"/>
    <x v="0"/>
  </r>
  <r>
    <x v="2"/>
    <x v="7"/>
    <x v="2"/>
    <x v="1"/>
    <x v="1"/>
    <x v="10"/>
    <n v="0"/>
    <x v="10"/>
    <x v="0"/>
  </r>
  <r>
    <x v="2"/>
    <x v="7"/>
    <x v="2"/>
    <x v="1"/>
    <x v="1"/>
    <x v="11"/>
    <n v="0"/>
    <x v="11"/>
    <x v="0"/>
  </r>
  <r>
    <x v="2"/>
    <x v="7"/>
    <x v="2"/>
    <x v="1"/>
    <x v="1"/>
    <x v="12"/>
    <n v="0"/>
    <x v="12"/>
    <x v="1"/>
  </r>
  <r>
    <x v="2"/>
    <x v="7"/>
    <x v="2"/>
    <x v="1"/>
    <x v="1"/>
    <x v="13"/>
    <n v="0"/>
    <x v="13"/>
    <x v="1"/>
  </r>
  <r>
    <x v="2"/>
    <x v="7"/>
    <x v="2"/>
    <x v="1"/>
    <x v="1"/>
    <x v="14"/>
    <n v="0"/>
    <x v="14"/>
    <x v="1"/>
  </r>
  <r>
    <x v="2"/>
    <x v="7"/>
    <x v="2"/>
    <x v="1"/>
    <x v="1"/>
    <x v="15"/>
    <n v="0"/>
    <x v="15"/>
    <x v="1"/>
  </r>
  <r>
    <x v="2"/>
    <x v="7"/>
    <x v="2"/>
    <x v="1"/>
    <x v="2"/>
    <x v="16"/>
    <n v="0"/>
    <x v="16"/>
    <x v="0"/>
  </r>
  <r>
    <x v="2"/>
    <x v="7"/>
    <x v="2"/>
    <x v="1"/>
    <x v="2"/>
    <x v="17"/>
    <n v="0"/>
    <x v="17"/>
    <x v="0"/>
  </r>
  <r>
    <x v="2"/>
    <x v="7"/>
    <x v="2"/>
    <x v="1"/>
    <x v="2"/>
    <x v="18"/>
    <n v="0"/>
    <x v="18"/>
    <x v="1"/>
  </r>
  <r>
    <x v="2"/>
    <x v="7"/>
    <x v="2"/>
    <x v="1"/>
    <x v="2"/>
    <x v="19"/>
    <n v="0"/>
    <x v="19"/>
    <x v="1"/>
  </r>
  <r>
    <x v="2"/>
    <x v="7"/>
    <x v="2"/>
    <x v="1"/>
    <x v="2"/>
    <x v="20"/>
    <n v="0"/>
    <x v="20"/>
    <x v="1"/>
  </r>
  <r>
    <x v="2"/>
    <x v="7"/>
    <x v="2"/>
    <x v="1"/>
    <x v="2"/>
    <x v="21"/>
    <n v="0"/>
    <x v="21"/>
    <x v="1"/>
  </r>
  <r>
    <x v="2"/>
    <x v="7"/>
    <x v="2"/>
    <x v="1"/>
    <x v="2"/>
    <x v="22"/>
    <n v="0"/>
    <x v="22"/>
    <x v="0"/>
  </r>
  <r>
    <x v="2"/>
    <x v="7"/>
    <x v="2"/>
    <x v="1"/>
    <x v="2"/>
    <x v="23"/>
    <n v="0"/>
    <x v="23"/>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0"/>
  </r>
  <r>
    <x v="2"/>
    <x v="7"/>
    <x v="2"/>
    <x v="2"/>
    <x v="1"/>
    <x v="9"/>
    <n v="0"/>
    <x v="9"/>
    <x v="0"/>
  </r>
  <r>
    <x v="2"/>
    <x v="7"/>
    <x v="2"/>
    <x v="2"/>
    <x v="1"/>
    <x v="10"/>
    <n v="0"/>
    <x v="10"/>
    <x v="0"/>
  </r>
  <r>
    <x v="2"/>
    <x v="7"/>
    <x v="2"/>
    <x v="2"/>
    <x v="1"/>
    <x v="11"/>
    <n v="0"/>
    <x v="11"/>
    <x v="0"/>
  </r>
  <r>
    <x v="2"/>
    <x v="7"/>
    <x v="2"/>
    <x v="2"/>
    <x v="1"/>
    <x v="12"/>
    <n v="0"/>
    <x v="12"/>
    <x v="1"/>
  </r>
  <r>
    <x v="2"/>
    <x v="7"/>
    <x v="2"/>
    <x v="2"/>
    <x v="1"/>
    <x v="13"/>
    <n v="0"/>
    <x v="13"/>
    <x v="1"/>
  </r>
  <r>
    <x v="2"/>
    <x v="7"/>
    <x v="2"/>
    <x v="2"/>
    <x v="1"/>
    <x v="14"/>
    <n v="0"/>
    <x v="14"/>
    <x v="1"/>
  </r>
  <r>
    <x v="2"/>
    <x v="7"/>
    <x v="2"/>
    <x v="2"/>
    <x v="1"/>
    <x v="15"/>
    <n v="0"/>
    <x v="15"/>
    <x v="1"/>
  </r>
  <r>
    <x v="2"/>
    <x v="7"/>
    <x v="2"/>
    <x v="2"/>
    <x v="2"/>
    <x v="16"/>
    <n v="0"/>
    <x v="16"/>
    <x v="0"/>
  </r>
  <r>
    <x v="2"/>
    <x v="7"/>
    <x v="2"/>
    <x v="2"/>
    <x v="2"/>
    <x v="17"/>
    <n v="0"/>
    <x v="17"/>
    <x v="0"/>
  </r>
  <r>
    <x v="2"/>
    <x v="7"/>
    <x v="2"/>
    <x v="2"/>
    <x v="2"/>
    <x v="18"/>
    <n v="0"/>
    <x v="18"/>
    <x v="1"/>
  </r>
  <r>
    <x v="2"/>
    <x v="7"/>
    <x v="2"/>
    <x v="2"/>
    <x v="2"/>
    <x v="19"/>
    <n v="0"/>
    <x v="19"/>
    <x v="1"/>
  </r>
  <r>
    <x v="2"/>
    <x v="7"/>
    <x v="2"/>
    <x v="2"/>
    <x v="2"/>
    <x v="20"/>
    <n v="0"/>
    <x v="20"/>
    <x v="1"/>
  </r>
  <r>
    <x v="2"/>
    <x v="7"/>
    <x v="2"/>
    <x v="2"/>
    <x v="2"/>
    <x v="21"/>
    <n v="0"/>
    <x v="21"/>
    <x v="1"/>
  </r>
  <r>
    <x v="2"/>
    <x v="7"/>
    <x v="2"/>
    <x v="2"/>
    <x v="2"/>
    <x v="22"/>
    <n v="0"/>
    <x v="22"/>
    <x v="0"/>
  </r>
  <r>
    <x v="2"/>
    <x v="7"/>
    <x v="2"/>
    <x v="2"/>
    <x v="2"/>
    <x v="23"/>
    <n v="0"/>
    <x v="23"/>
    <x v="0"/>
  </r>
  <r>
    <x v="2"/>
    <x v="8"/>
    <x v="3"/>
    <x v="0"/>
    <x v="0"/>
    <x v="0"/>
    <n v="7"/>
    <x v="0"/>
    <x v="0"/>
  </r>
  <r>
    <x v="2"/>
    <x v="8"/>
    <x v="3"/>
    <x v="0"/>
    <x v="0"/>
    <x v="1"/>
    <n v="3"/>
    <x v="1"/>
    <x v="0"/>
  </r>
  <r>
    <x v="2"/>
    <x v="8"/>
    <x v="3"/>
    <x v="0"/>
    <x v="0"/>
    <x v="2"/>
    <n v="5"/>
    <x v="2"/>
    <x v="0"/>
  </r>
  <r>
    <x v="2"/>
    <x v="8"/>
    <x v="3"/>
    <x v="0"/>
    <x v="0"/>
    <x v="3"/>
    <n v="5"/>
    <x v="3"/>
    <x v="0"/>
  </r>
  <r>
    <x v="2"/>
    <x v="8"/>
    <x v="3"/>
    <x v="0"/>
    <x v="0"/>
    <x v="4"/>
    <n v="13"/>
    <x v="4"/>
    <x v="1"/>
  </r>
  <r>
    <x v="2"/>
    <x v="8"/>
    <x v="3"/>
    <x v="0"/>
    <x v="0"/>
    <x v="5"/>
    <n v="9"/>
    <x v="5"/>
    <x v="1"/>
  </r>
  <r>
    <x v="2"/>
    <x v="8"/>
    <x v="3"/>
    <x v="0"/>
    <x v="0"/>
    <x v="6"/>
    <n v="10"/>
    <x v="6"/>
    <x v="1"/>
  </r>
  <r>
    <x v="2"/>
    <x v="8"/>
    <x v="3"/>
    <x v="0"/>
    <x v="0"/>
    <x v="7"/>
    <n v="11"/>
    <x v="7"/>
    <x v="1"/>
  </r>
  <r>
    <x v="2"/>
    <x v="8"/>
    <x v="3"/>
    <x v="0"/>
    <x v="1"/>
    <x v="8"/>
    <n v="8"/>
    <x v="8"/>
    <x v="0"/>
  </r>
  <r>
    <x v="2"/>
    <x v="8"/>
    <x v="3"/>
    <x v="0"/>
    <x v="1"/>
    <x v="9"/>
    <n v="13"/>
    <x v="9"/>
    <x v="0"/>
  </r>
  <r>
    <x v="2"/>
    <x v="8"/>
    <x v="3"/>
    <x v="0"/>
    <x v="1"/>
    <x v="10"/>
    <n v="11"/>
    <x v="10"/>
    <x v="0"/>
  </r>
  <r>
    <x v="2"/>
    <x v="8"/>
    <x v="3"/>
    <x v="0"/>
    <x v="1"/>
    <x v="11"/>
    <n v="5"/>
    <x v="11"/>
    <x v="0"/>
  </r>
  <r>
    <x v="2"/>
    <x v="8"/>
    <x v="3"/>
    <x v="0"/>
    <x v="1"/>
    <x v="12"/>
    <n v="15"/>
    <x v="12"/>
    <x v="1"/>
  </r>
  <r>
    <x v="2"/>
    <x v="8"/>
    <x v="3"/>
    <x v="0"/>
    <x v="1"/>
    <x v="13"/>
    <n v="14"/>
    <x v="13"/>
    <x v="1"/>
  </r>
  <r>
    <x v="2"/>
    <x v="8"/>
    <x v="3"/>
    <x v="0"/>
    <x v="1"/>
    <x v="14"/>
    <n v="12"/>
    <x v="14"/>
    <x v="1"/>
  </r>
  <r>
    <x v="2"/>
    <x v="8"/>
    <x v="3"/>
    <x v="0"/>
    <x v="1"/>
    <x v="15"/>
    <n v="16"/>
    <x v="15"/>
    <x v="1"/>
  </r>
  <r>
    <x v="2"/>
    <x v="8"/>
    <x v="3"/>
    <x v="0"/>
    <x v="2"/>
    <x v="16"/>
    <n v="10"/>
    <x v="16"/>
    <x v="0"/>
  </r>
  <r>
    <x v="2"/>
    <x v="8"/>
    <x v="3"/>
    <x v="0"/>
    <x v="2"/>
    <x v="17"/>
    <n v="12"/>
    <x v="17"/>
    <x v="0"/>
  </r>
  <r>
    <x v="2"/>
    <x v="8"/>
    <x v="3"/>
    <x v="0"/>
    <x v="2"/>
    <x v="18"/>
    <n v="14"/>
    <x v="18"/>
    <x v="1"/>
  </r>
  <r>
    <x v="2"/>
    <x v="8"/>
    <x v="3"/>
    <x v="0"/>
    <x v="2"/>
    <x v="19"/>
    <n v="14"/>
    <x v="19"/>
    <x v="1"/>
  </r>
  <r>
    <x v="2"/>
    <x v="8"/>
    <x v="3"/>
    <x v="0"/>
    <x v="2"/>
    <x v="20"/>
    <n v="20"/>
    <x v="20"/>
    <x v="1"/>
  </r>
  <r>
    <x v="2"/>
    <x v="8"/>
    <x v="3"/>
    <x v="0"/>
    <x v="2"/>
    <x v="21"/>
    <n v="18"/>
    <x v="21"/>
    <x v="1"/>
  </r>
  <r>
    <x v="2"/>
    <x v="8"/>
    <x v="3"/>
    <x v="0"/>
    <x v="2"/>
    <x v="22"/>
    <n v="16"/>
    <x v="22"/>
    <x v="0"/>
  </r>
  <r>
    <x v="2"/>
    <x v="8"/>
    <x v="3"/>
    <x v="0"/>
    <x v="2"/>
    <x v="23"/>
    <n v="13"/>
    <x v="23"/>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0"/>
  </r>
  <r>
    <x v="2"/>
    <x v="8"/>
    <x v="3"/>
    <x v="1"/>
    <x v="1"/>
    <x v="9"/>
    <n v="0"/>
    <x v="9"/>
    <x v="0"/>
  </r>
  <r>
    <x v="2"/>
    <x v="8"/>
    <x v="3"/>
    <x v="1"/>
    <x v="1"/>
    <x v="10"/>
    <n v="0"/>
    <x v="10"/>
    <x v="0"/>
  </r>
  <r>
    <x v="2"/>
    <x v="8"/>
    <x v="3"/>
    <x v="1"/>
    <x v="1"/>
    <x v="11"/>
    <n v="0"/>
    <x v="11"/>
    <x v="0"/>
  </r>
  <r>
    <x v="2"/>
    <x v="8"/>
    <x v="3"/>
    <x v="1"/>
    <x v="1"/>
    <x v="12"/>
    <n v="0"/>
    <x v="12"/>
    <x v="1"/>
  </r>
  <r>
    <x v="2"/>
    <x v="8"/>
    <x v="3"/>
    <x v="1"/>
    <x v="1"/>
    <x v="13"/>
    <n v="0"/>
    <x v="13"/>
    <x v="1"/>
  </r>
  <r>
    <x v="2"/>
    <x v="8"/>
    <x v="3"/>
    <x v="1"/>
    <x v="1"/>
    <x v="14"/>
    <n v="0"/>
    <x v="14"/>
    <x v="1"/>
  </r>
  <r>
    <x v="2"/>
    <x v="8"/>
    <x v="3"/>
    <x v="1"/>
    <x v="1"/>
    <x v="15"/>
    <n v="0"/>
    <x v="15"/>
    <x v="1"/>
  </r>
  <r>
    <x v="2"/>
    <x v="8"/>
    <x v="3"/>
    <x v="1"/>
    <x v="2"/>
    <x v="16"/>
    <n v="0"/>
    <x v="16"/>
    <x v="0"/>
  </r>
  <r>
    <x v="2"/>
    <x v="8"/>
    <x v="3"/>
    <x v="1"/>
    <x v="2"/>
    <x v="17"/>
    <n v="0"/>
    <x v="17"/>
    <x v="0"/>
  </r>
  <r>
    <x v="2"/>
    <x v="8"/>
    <x v="3"/>
    <x v="1"/>
    <x v="2"/>
    <x v="18"/>
    <n v="0"/>
    <x v="18"/>
    <x v="1"/>
  </r>
  <r>
    <x v="2"/>
    <x v="8"/>
    <x v="3"/>
    <x v="1"/>
    <x v="2"/>
    <x v="19"/>
    <n v="0"/>
    <x v="19"/>
    <x v="1"/>
  </r>
  <r>
    <x v="2"/>
    <x v="8"/>
    <x v="3"/>
    <x v="1"/>
    <x v="2"/>
    <x v="20"/>
    <n v="0"/>
    <x v="20"/>
    <x v="1"/>
  </r>
  <r>
    <x v="2"/>
    <x v="8"/>
    <x v="3"/>
    <x v="1"/>
    <x v="2"/>
    <x v="21"/>
    <n v="0"/>
    <x v="21"/>
    <x v="1"/>
  </r>
  <r>
    <x v="2"/>
    <x v="8"/>
    <x v="3"/>
    <x v="1"/>
    <x v="2"/>
    <x v="22"/>
    <n v="0"/>
    <x v="22"/>
    <x v="0"/>
  </r>
  <r>
    <x v="2"/>
    <x v="8"/>
    <x v="3"/>
    <x v="1"/>
    <x v="2"/>
    <x v="23"/>
    <n v="0"/>
    <x v="23"/>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1"/>
    <x v="5"/>
    <x v="1"/>
  </r>
  <r>
    <x v="2"/>
    <x v="8"/>
    <x v="3"/>
    <x v="2"/>
    <x v="0"/>
    <x v="6"/>
    <n v="0"/>
    <x v="6"/>
    <x v="1"/>
  </r>
  <r>
    <x v="2"/>
    <x v="8"/>
    <x v="3"/>
    <x v="2"/>
    <x v="0"/>
    <x v="7"/>
    <n v="0"/>
    <x v="7"/>
    <x v="1"/>
  </r>
  <r>
    <x v="2"/>
    <x v="8"/>
    <x v="3"/>
    <x v="2"/>
    <x v="1"/>
    <x v="8"/>
    <n v="0"/>
    <x v="8"/>
    <x v="0"/>
  </r>
  <r>
    <x v="2"/>
    <x v="8"/>
    <x v="3"/>
    <x v="2"/>
    <x v="1"/>
    <x v="9"/>
    <n v="0"/>
    <x v="9"/>
    <x v="0"/>
  </r>
  <r>
    <x v="2"/>
    <x v="8"/>
    <x v="3"/>
    <x v="2"/>
    <x v="1"/>
    <x v="10"/>
    <n v="0"/>
    <x v="10"/>
    <x v="0"/>
  </r>
  <r>
    <x v="2"/>
    <x v="8"/>
    <x v="3"/>
    <x v="2"/>
    <x v="1"/>
    <x v="11"/>
    <n v="0"/>
    <x v="11"/>
    <x v="0"/>
  </r>
  <r>
    <x v="2"/>
    <x v="8"/>
    <x v="3"/>
    <x v="2"/>
    <x v="1"/>
    <x v="12"/>
    <n v="0"/>
    <x v="12"/>
    <x v="1"/>
  </r>
  <r>
    <x v="2"/>
    <x v="8"/>
    <x v="3"/>
    <x v="2"/>
    <x v="1"/>
    <x v="13"/>
    <n v="0"/>
    <x v="13"/>
    <x v="1"/>
  </r>
  <r>
    <x v="2"/>
    <x v="8"/>
    <x v="3"/>
    <x v="2"/>
    <x v="1"/>
    <x v="14"/>
    <n v="0"/>
    <x v="14"/>
    <x v="1"/>
  </r>
  <r>
    <x v="2"/>
    <x v="8"/>
    <x v="3"/>
    <x v="2"/>
    <x v="1"/>
    <x v="15"/>
    <n v="0"/>
    <x v="15"/>
    <x v="1"/>
  </r>
  <r>
    <x v="2"/>
    <x v="8"/>
    <x v="3"/>
    <x v="2"/>
    <x v="2"/>
    <x v="16"/>
    <n v="0"/>
    <x v="16"/>
    <x v="0"/>
  </r>
  <r>
    <x v="2"/>
    <x v="8"/>
    <x v="3"/>
    <x v="2"/>
    <x v="2"/>
    <x v="17"/>
    <n v="0"/>
    <x v="17"/>
    <x v="0"/>
  </r>
  <r>
    <x v="2"/>
    <x v="8"/>
    <x v="3"/>
    <x v="2"/>
    <x v="2"/>
    <x v="18"/>
    <n v="0"/>
    <x v="18"/>
    <x v="1"/>
  </r>
  <r>
    <x v="2"/>
    <x v="8"/>
    <x v="3"/>
    <x v="2"/>
    <x v="2"/>
    <x v="19"/>
    <n v="0"/>
    <x v="19"/>
    <x v="1"/>
  </r>
  <r>
    <x v="2"/>
    <x v="8"/>
    <x v="3"/>
    <x v="2"/>
    <x v="2"/>
    <x v="20"/>
    <n v="0"/>
    <x v="20"/>
    <x v="1"/>
  </r>
  <r>
    <x v="2"/>
    <x v="8"/>
    <x v="3"/>
    <x v="2"/>
    <x v="2"/>
    <x v="21"/>
    <n v="0"/>
    <x v="21"/>
    <x v="1"/>
  </r>
  <r>
    <x v="2"/>
    <x v="8"/>
    <x v="3"/>
    <x v="2"/>
    <x v="2"/>
    <x v="22"/>
    <n v="0"/>
    <x v="22"/>
    <x v="0"/>
  </r>
  <r>
    <x v="2"/>
    <x v="8"/>
    <x v="3"/>
    <x v="2"/>
    <x v="2"/>
    <x v="23"/>
    <n v="0"/>
    <x v="23"/>
    <x v="0"/>
  </r>
  <r>
    <x v="2"/>
    <x v="9"/>
    <x v="0"/>
    <x v="0"/>
    <x v="0"/>
    <x v="0"/>
    <n v="2"/>
    <x v="0"/>
    <x v="0"/>
  </r>
  <r>
    <x v="2"/>
    <x v="9"/>
    <x v="0"/>
    <x v="0"/>
    <x v="0"/>
    <x v="1"/>
    <n v="5"/>
    <x v="1"/>
    <x v="0"/>
  </r>
  <r>
    <x v="2"/>
    <x v="9"/>
    <x v="0"/>
    <x v="0"/>
    <x v="0"/>
    <x v="2"/>
    <n v="5"/>
    <x v="2"/>
    <x v="0"/>
  </r>
  <r>
    <x v="2"/>
    <x v="9"/>
    <x v="0"/>
    <x v="0"/>
    <x v="0"/>
    <x v="3"/>
    <n v="4"/>
    <x v="3"/>
    <x v="0"/>
  </r>
  <r>
    <x v="2"/>
    <x v="9"/>
    <x v="0"/>
    <x v="0"/>
    <x v="0"/>
    <x v="4"/>
    <n v="2"/>
    <x v="4"/>
    <x v="1"/>
  </r>
  <r>
    <x v="2"/>
    <x v="9"/>
    <x v="0"/>
    <x v="0"/>
    <x v="0"/>
    <x v="5"/>
    <n v="3"/>
    <x v="5"/>
    <x v="1"/>
  </r>
  <r>
    <x v="2"/>
    <x v="9"/>
    <x v="0"/>
    <x v="0"/>
    <x v="0"/>
    <x v="6"/>
    <n v="7"/>
    <x v="6"/>
    <x v="1"/>
  </r>
  <r>
    <x v="2"/>
    <x v="9"/>
    <x v="0"/>
    <x v="0"/>
    <x v="0"/>
    <x v="7"/>
    <n v="6"/>
    <x v="7"/>
    <x v="1"/>
  </r>
  <r>
    <x v="2"/>
    <x v="9"/>
    <x v="0"/>
    <x v="0"/>
    <x v="1"/>
    <x v="8"/>
    <n v="12"/>
    <x v="8"/>
    <x v="0"/>
  </r>
  <r>
    <x v="2"/>
    <x v="9"/>
    <x v="0"/>
    <x v="0"/>
    <x v="1"/>
    <x v="9"/>
    <n v="5"/>
    <x v="9"/>
    <x v="0"/>
  </r>
  <r>
    <x v="2"/>
    <x v="9"/>
    <x v="0"/>
    <x v="0"/>
    <x v="1"/>
    <x v="10"/>
    <n v="9"/>
    <x v="10"/>
    <x v="0"/>
  </r>
  <r>
    <x v="2"/>
    <x v="9"/>
    <x v="0"/>
    <x v="0"/>
    <x v="1"/>
    <x v="11"/>
    <n v="9"/>
    <x v="11"/>
    <x v="0"/>
  </r>
  <r>
    <x v="2"/>
    <x v="9"/>
    <x v="0"/>
    <x v="0"/>
    <x v="1"/>
    <x v="12"/>
    <n v="3"/>
    <x v="12"/>
    <x v="1"/>
  </r>
  <r>
    <x v="2"/>
    <x v="9"/>
    <x v="0"/>
    <x v="0"/>
    <x v="1"/>
    <x v="13"/>
    <n v="7"/>
    <x v="13"/>
    <x v="1"/>
  </r>
  <r>
    <x v="2"/>
    <x v="9"/>
    <x v="0"/>
    <x v="0"/>
    <x v="1"/>
    <x v="14"/>
    <n v="8"/>
    <x v="14"/>
    <x v="1"/>
  </r>
  <r>
    <x v="2"/>
    <x v="9"/>
    <x v="0"/>
    <x v="0"/>
    <x v="1"/>
    <x v="15"/>
    <n v="3"/>
    <x v="15"/>
    <x v="1"/>
  </r>
  <r>
    <x v="2"/>
    <x v="9"/>
    <x v="0"/>
    <x v="0"/>
    <x v="2"/>
    <x v="16"/>
    <n v="9"/>
    <x v="16"/>
    <x v="0"/>
  </r>
  <r>
    <x v="2"/>
    <x v="9"/>
    <x v="0"/>
    <x v="0"/>
    <x v="2"/>
    <x v="17"/>
    <n v="10"/>
    <x v="17"/>
    <x v="0"/>
  </r>
  <r>
    <x v="2"/>
    <x v="9"/>
    <x v="0"/>
    <x v="0"/>
    <x v="2"/>
    <x v="18"/>
    <n v="6"/>
    <x v="18"/>
    <x v="1"/>
  </r>
  <r>
    <x v="2"/>
    <x v="9"/>
    <x v="0"/>
    <x v="0"/>
    <x v="2"/>
    <x v="19"/>
    <n v="9"/>
    <x v="19"/>
    <x v="1"/>
  </r>
  <r>
    <x v="2"/>
    <x v="9"/>
    <x v="0"/>
    <x v="0"/>
    <x v="2"/>
    <x v="20"/>
    <n v="6"/>
    <x v="20"/>
    <x v="1"/>
  </r>
  <r>
    <x v="2"/>
    <x v="9"/>
    <x v="0"/>
    <x v="0"/>
    <x v="2"/>
    <x v="21"/>
    <n v="6"/>
    <x v="21"/>
    <x v="1"/>
  </r>
  <r>
    <x v="2"/>
    <x v="9"/>
    <x v="0"/>
    <x v="0"/>
    <x v="2"/>
    <x v="22"/>
    <n v="8"/>
    <x v="22"/>
    <x v="0"/>
  </r>
  <r>
    <x v="2"/>
    <x v="9"/>
    <x v="0"/>
    <x v="0"/>
    <x v="2"/>
    <x v="23"/>
    <n v="10"/>
    <x v="23"/>
    <x v="0"/>
  </r>
  <r>
    <x v="2"/>
    <x v="9"/>
    <x v="0"/>
    <x v="1"/>
    <x v="0"/>
    <x v="0"/>
    <n v="1"/>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0"/>
  </r>
  <r>
    <x v="2"/>
    <x v="9"/>
    <x v="0"/>
    <x v="1"/>
    <x v="1"/>
    <x v="9"/>
    <n v="0"/>
    <x v="9"/>
    <x v="0"/>
  </r>
  <r>
    <x v="2"/>
    <x v="9"/>
    <x v="0"/>
    <x v="1"/>
    <x v="1"/>
    <x v="10"/>
    <n v="0"/>
    <x v="10"/>
    <x v="0"/>
  </r>
  <r>
    <x v="2"/>
    <x v="9"/>
    <x v="0"/>
    <x v="1"/>
    <x v="1"/>
    <x v="11"/>
    <n v="0"/>
    <x v="11"/>
    <x v="0"/>
  </r>
  <r>
    <x v="2"/>
    <x v="9"/>
    <x v="0"/>
    <x v="1"/>
    <x v="1"/>
    <x v="12"/>
    <n v="2"/>
    <x v="12"/>
    <x v="1"/>
  </r>
  <r>
    <x v="2"/>
    <x v="9"/>
    <x v="0"/>
    <x v="1"/>
    <x v="1"/>
    <x v="13"/>
    <n v="0"/>
    <x v="13"/>
    <x v="1"/>
  </r>
  <r>
    <x v="2"/>
    <x v="9"/>
    <x v="0"/>
    <x v="1"/>
    <x v="1"/>
    <x v="14"/>
    <n v="1"/>
    <x v="14"/>
    <x v="1"/>
  </r>
  <r>
    <x v="2"/>
    <x v="9"/>
    <x v="0"/>
    <x v="1"/>
    <x v="1"/>
    <x v="15"/>
    <n v="0"/>
    <x v="15"/>
    <x v="1"/>
  </r>
  <r>
    <x v="2"/>
    <x v="9"/>
    <x v="0"/>
    <x v="1"/>
    <x v="2"/>
    <x v="16"/>
    <n v="1"/>
    <x v="16"/>
    <x v="0"/>
  </r>
  <r>
    <x v="2"/>
    <x v="9"/>
    <x v="0"/>
    <x v="1"/>
    <x v="2"/>
    <x v="17"/>
    <n v="0"/>
    <x v="17"/>
    <x v="0"/>
  </r>
  <r>
    <x v="2"/>
    <x v="9"/>
    <x v="0"/>
    <x v="1"/>
    <x v="2"/>
    <x v="18"/>
    <n v="1"/>
    <x v="18"/>
    <x v="1"/>
  </r>
  <r>
    <x v="2"/>
    <x v="9"/>
    <x v="0"/>
    <x v="1"/>
    <x v="2"/>
    <x v="19"/>
    <n v="0"/>
    <x v="19"/>
    <x v="1"/>
  </r>
  <r>
    <x v="2"/>
    <x v="9"/>
    <x v="0"/>
    <x v="1"/>
    <x v="2"/>
    <x v="20"/>
    <n v="1"/>
    <x v="20"/>
    <x v="1"/>
  </r>
  <r>
    <x v="2"/>
    <x v="9"/>
    <x v="0"/>
    <x v="1"/>
    <x v="2"/>
    <x v="21"/>
    <n v="0"/>
    <x v="21"/>
    <x v="1"/>
  </r>
  <r>
    <x v="2"/>
    <x v="9"/>
    <x v="0"/>
    <x v="1"/>
    <x v="2"/>
    <x v="22"/>
    <n v="1"/>
    <x v="22"/>
    <x v="0"/>
  </r>
  <r>
    <x v="2"/>
    <x v="9"/>
    <x v="0"/>
    <x v="1"/>
    <x v="2"/>
    <x v="23"/>
    <n v="1"/>
    <x v="23"/>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1"/>
    <x v="14"/>
    <x v="1"/>
  </r>
  <r>
    <x v="2"/>
    <x v="9"/>
    <x v="0"/>
    <x v="2"/>
    <x v="1"/>
    <x v="15"/>
    <n v="0"/>
    <x v="15"/>
    <x v="1"/>
  </r>
  <r>
    <x v="2"/>
    <x v="9"/>
    <x v="0"/>
    <x v="2"/>
    <x v="2"/>
    <x v="16"/>
    <n v="1"/>
    <x v="16"/>
    <x v="0"/>
  </r>
  <r>
    <x v="2"/>
    <x v="9"/>
    <x v="0"/>
    <x v="2"/>
    <x v="2"/>
    <x v="17"/>
    <n v="0"/>
    <x v="17"/>
    <x v="0"/>
  </r>
  <r>
    <x v="2"/>
    <x v="9"/>
    <x v="0"/>
    <x v="2"/>
    <x v="2"/>
    <x v="18"/>
    <n v="0"/>
    <x v="18"/>
    <x v="1"/>
  </r>
  <r>
    <x v="2"/>
    <x v="9"/>
    <x v="0"/>
    <x v="2"/>
    <x v="2"/>
    <x v="19"/>
    <n v="2"/>
    <x v="19"/>
    <x v="1"/>
  </r>
  <r>
    <x v="2"/>
    <x v="9"/>
    <x v="0"/>
    <x v="2"/>
    <x v="2"/>
    <x v="20"/>
    <n v="2"/>
    <x v="20"/>
    <x v="1"/>
  </r>
  <r>
    <x v="2"/>
    <x v="9"/>
    <x v="0"/>
    <x v="2"/>
    <x v="2"/>
    <x v="21"/>
    <n v="0"/>
    <x v="21"/>
    <x v="1"/>
  </r>
  <r>
    <x v="2"/>
    <x v="9"/>
    <x v="0"/>
    <x v="2"/>
    <x v="2"/>
    <x v="22"/>
    <n v="0"/>
    <x v="22"/>
    <x v="0"/>
  </r>
  <r>
    <x v="2"/>
    <x v="9"/>
    <x v="0"/>
    <x v="2"/>
    <x v="2"/>
    <x v="23"/>
    <n v="1"/>
    <x v="23"/>
    <x v="0"/>
  </r>
  <r>
    <x v="3"/>
    <x v="10"/>
    <x v="3"/>
    <x v="0"/>
    <x v="0"/>
    <x v="0"/>
    <n v="1"/>
    <x v="0"/>
    <x v="0"/>
  </r>
  <r>
    <x v="3"/>
    <x v="10"/>
    <x v="3"/>
    <x v="0"/>
    <x v="0"/>
    <x v="1"/>
    <n v="0"/>
    <x v="1"/>
    <x v="0"/>
  </r>
  <r>
    <x v="3"/>
    <x v="10"/>
    <x v="3"/>
    <x v="0"/>
    <x v="0"/>
    <x v="2"/>
    <n v="1"/>
    <x v="2"/>
    <x v="0"/>
  </r>
  <r>
    <x v="3"/>
    <x v="10"/>
    <x v="3"/>
    <x v="0"/>
    <x v="0"/>
    <x v="3"/>
    <n v="1"/>
    <x v="3"/>
    <x v="0"/>
  </r>
  <r>
    <x v="3"/>
    <x v="10"/>
    <x v="3"/>
    <x v="0"/>
    <x v="0"/>
    <x v="4"/>
    <n v="3"/>
    <x v="4"/>
    <x v="1"/>
  </r>
  <r>
    <x v="3"/>
    <x v="10"/>
    <x v="3"/>
    <x v="0"/>
    <x v="0"/>
    <x v="5"/>
    <n v="1"/>
    <x v="5"/>
    <x v="1"/>
  </r>
  <r>
    <x v="3"/>
    <x v="10"/>
    <x v="3"/>
    <x v="0"/>
    <x v="0"/>
    <x v="6"/>
    <n v="1"/>
    <x v="6"/>
    <x v="1"/>
  </r>
  <r>
    <x v="3"/>
    <x v="10"/>
    <x v="3"/>
    <x v="0"/>
    <x v="0"/>
    <x v="7"/>
    <n v="3"/>
    <x v="7"/>
    <x v="1"/>
  </r>
  <r>
    <x v="3"/>
    <x v="10"/>
    <x v="3"/>
    <x v="0"/>
    <x v="1"/>
    <x v="8"/>
    <n v="2"/>
    <x v="8"/>
    <x v="0"/>
  </r>
  <r>
    <x v="3"/>
    <x v="10"/>
    <x v="3"/>
    <x v="0"/>
    <x v="1"/>
    <x v="9"/>
    <n v="7"/>
    <x v="9"/>
    <x v="0"/>
  </r>
  <r>
    <x v="3"/>
    <x v="10"/>
    <x v="3"/>
    <x v="0"/>
    <x v="1"/>
    <x v="10"/>
    <n v="6"/>
    <x v="10"/>
    <x v="0"/>
  </r>
  <r>
    <x v="3"/>
    <x v="10"/>
    <x v="3"/>
    <x v="0"/>
    <x v="1"/>
    <x v="11"/>
    <n v="1"/>
    <x v="11"/>
    <x v="0"/>
  </r>
  <r>
    <x v="3"/>
    <x v="10"/>
    <x v="3"/>
    <x v="0"/>
    <x v="1"/>
    <x v="12"/>
    <n v="2"/>
    <x v="12"/>
    <x v="1"/>
  </r>
  <r>
    <x v="3"/>
    <x v="10"/>
    <x v="3"/>
    <x v="0"/>
    <x v="1"/>
    <x v="13"/>
    <n v="5"/>
    <x v="13"/>
    <x v="1"/>
  </r>
  <r>
    <x v="3"/>
    <x v="10"/>
    <x v="3"/>
    <x v="0"/>
    <x v="1"/>
    <x v="14"/>
    <n v="6"/>
    <x v="14"/>
    <x v="1"/>
  </r>
  <r>
    <x v="3"/>
    <x v="10"/>
    <x v="3"/>
    <x v="0"/>
    <x v="1"/>
    <x v="15"/>
    <n v="2"/>
    <x v="15"/>
    <x v="1"/>
  </r>
  <r>
    <x v="3"/>
    <x v="10"/>
    <x v="3"/>
    <x v="0"/>
    <x v="2"/>
    <x v="16"/>
    <n v="3"/>
    <x v="16"/>
    <x v="0"/>
  </r>
  <r>
    <x v="3"/>
    <x v="10"/>
    <x v="3"/>
    <x v="0"/>
    <x v="2"/>
    <x v="17"/>
    <n v="7"/>
    <x v="17"/>
    <x v="0"/>
  </r>
  <r>
    <x v="3"/>
    <x v="10"/>
    <x v="3"/>
    <x v="0"/>
    <x v="2"/>
    <x v="18"/>
    <n v="2"/>
    <x v="18"/>
    <x v="1"/>
  </r>
  <r>
    <x v="3"/>
    <x v="10"/>
    <x v="3"/>
    <x v="0"/>
    <x v="2"/>
    <x v="19"/>
    <n v="3"/>
    <x v="19"/>
    <x v="1"/>
  </r>
  <r>
    <x v="3"/>
    <x v="10"/>
    <x v="3"/>
    <x v="0"/>
    <x v="2"/>
    <x v="20"/>
    <n v="6"/>
    <x v="20"/>
    <x v="1"/>
  </r>
  <r>
    <x v="3"/>
    <x v="10"/>
    <x v="3"/>
    <x v="0"/>
    <x v="2"/>
    <x v="21"/>
    <n v="7"/>
    <x v="21"/>
    <x v="1"/>
  </r>
  <r>
    <x v="3"/>
    <x v="10"/>
    <x v="3"/>
    <x v="0"/>
    <x v="2"/>
    <x v="22"/>
    <n v="8"/>
    <x v="22"/>
    <x v="0"/>
  </r>
  <r>
    <x v="3"/>
    <x v="10"/>
    <x v="3"/>
    <x v="0"/>
    <x v="2"/>
    <x v="23"/>
    <n v="2"/>
    <x v="23"/>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0"/>
    <x v="8"/>
    <x v="0"/>
  </r>
  <r>
    <x v="3"/>
    <x v="10"/>
    <x v="3"/>
    <x v="1"/>
    <x v="1"/>
    <x v="9"/>
    <n v="0"/>
    <x v="9"/>
    <x v="0"/>
  </r>
  <r>
    <x v="3"/>
    <x v="10"/>
    <x v="3"/>
    <x v="1"/>
    <x v="1"/>
    <x v="10"/>
    <n v="0"/>
    <x v="10"/>
    <x v="0"/>
  </r>
  <r>
    <x v="3"/>
    <x v="10"/>
    <x v="3"/>
    <x v="1"/>
    <x v="1"/>
    <x v="11"/>
    <n v="0"/>
    <x v="11"/>
    <x v="0"/>
  </r>
  <r>
    <x v="3"/>
    <x v="10"/>
    <x v="3"/>
    <x v="1"/>
    <x v="1"/>
    <x v="12"/>
    <n v="0"/>
    <x v="12"/>
    <x v="1"/>
  </r>
  <r>
    <x v="3"/>
    <x v="10"/>
    <x v="3"/>
    <x v="1"/>
    <x v="1"/>
    <x v="13"/>
    <n v="0"/>
    <x v="13"/>
    <x v="1"/>
  </r>
  <r>
    <x v="3"/>
    <x v="10"/>
    <x v="3"/>
    <x v="1"/>
    <x v="1"/>
    <x v="14"/>
    <n v="0"/>
    <x v="14"/>
    <x v="1"/>
  </r>
  <r>
    <x v="3"/>
    <x v="10"/>
    <x v="3"/>
    <x v="1"/>
    <x v="1"/>
    <x v="15"/>
    <n v="0"/>
    <x v="15"/>
    <x v="1"/>
  </r>
  <r>
    <x v="3"/>
    <x v="10"/>
    <x v="3"/>
    <x v="1"/>
    <x v="2"/>
    <x v="16"/>
    <n v="0"/>
    <x v="16"/>
    <x v="0"/>
  </r>
  <r>
    <x v="3"/>
    <x v="10"/>
    <x v="3"/>
    <x v="1"/>
    <x v="2"/>
    <x v="17"/>
    <n v="0"/>
    <x v="17"/>
    <x v="0"/>
  </r>
  <r>
    <x v="3"/>
    <x v="10"/>
    <x v="3"/>
    <x v="1"/>
    <x v="2"/>
    <x v="18"/>
    <n v="0"/>
    <x v="18"/>
    <x v="1"/>
  </r>
  <r>
    <x v="3"/>
    <x v="10"/>
    <x v="3"/>
    <x v="1"/>
    <x v="2"/>
    <x v="19"/>
    <n v="0"/>
    <x v="19"/>
    <x v="1"/>
  </r>
  <r>
    <x v="3"/>
    <x v="10"/>
    <x v="3"/>
    <x v="1"/>
    <x v="2"/>
    <x v="20"/>
    <n v="0"/>
    <x v="20"/>
    <x v="1"/>
  </r>
  <r>
    <x v="3"/>
    <x v="10"/>
    <x v="3"/>
    <x v="1"/>
    <x v="2"/>
    <x v="21"/>
    <n v="0"/>
    <x v="21"/>
    <x v="1"/>
  </r>
  <r>
    <x v="3"/>
    <x v="10"/>
    <x v="3"/>
    <x v="1"/>
    <x v="2"/>
    <x v="22"/>
    <n v="0"/>
    <x v="22"/>
    <x v="0"/>
  </r>
  <r>
    <x v="3"/>
    <x v="10"/>
    <x v="3"/>
    <x v="1"/>
    <x v="2"/>
    <x v="23"/>
    <n v="0"/>
    <x v="23"/>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1"/>
    <x v="5"/>
    <x v="1"/>
  </r>
  <r>
    <x v="3"/>
    <x v="10"/>
    <x v="3"/>
    <x v="2"/>
    <x v="0"/>
    <x v="6"/>
    <n v="0"/>
    <x v="6"/>
    <x v="1"/>
  </r>
  <r>
    <x v="3"/>
    <x v="10"/>
    <x v="3"/>
    <x v="2"/>
    <x v="0"/>
    <x v="7"/>
    <n v="0"/>
    <x v="7"/>
    <x v="1"/>
  </r>
  <r>
    <x v="3"/>
    <x v="10"/>
    <x v="3"/>
    <x v="2"/>
    <x v="1"/>
    <x v="8"/>
    <n v="0"/>
    <x v="8"/>
    <x v="0"/>
  </r>
  <r>
    <x v="3"/>
    <x v="10"/>
    <x v="3"/>
    <x v="2"/>
    <x v="1"/>
    <x v="9"/>
    <n v="0"/>
    <x v="9"/>
    <x v="0"/>
  </r>
  <r>
    <x v="3"/>
    <x v="10"/>
    <x v="3"/>
    <x v="2"/>
    <x v="1"/>
    <x v="10"/>
    <n v="0"/>
    <x v="10"/>
    <x v="0"/>
  </r>
  <r>
    <x v="3"/>
    <x v="10"/>
    <x v="3"/>
    <x v="2"/>
    <x v="1"/>
    <x v="11"/>
    <n v="0"/>
    <x v="11"/>
    <x v="0"/>
  </r>
  <r>
    <x v="3"/>
    <x v="10"/>
    <x v="3"/>
    <x v="2"/>
    <x v="1"/>
    <x v="12"/>
    <n v="0"/>
    <x v="12"/>
    <x v="1"/>
  </r>
  <r>
    <x v="3"/>
    <x v="10"/>
    <x v="3"/>
    <x v="2"/>
    <x v="1"/>
    <x v="13"/>
    <n v="0"/>
    <x v="13"/>
    <x v="1"/>
  </r>
  <r>
    <x v="3"/>
    <x v="10"/>
    <x v="3"/>
    <x v="2"/>
    <x v="1"/>
    <x v="14"/>
    <n v="0"/>
    <x v="14"/>
    <x v="1"/>
  </r>
  <r>
    <x v="3"/>
    <x v="10"/>
    <x v="3"/>
    <x v="2"/>
    <x v="1"/>
    <x v="15"/>
    <n v="0"/>
    <x v="15"/>
    <x v="1"/>
  </r>
  <r>
    <x v="3"/>
    <x v="10"/>
    <x v="3"/>
    <x v="2"/>
    <x v="2"/>
    <x v="16"/>
    <n v="0"/>
    <x v="16"/>
    <x v="0"/>
  </r>
  <r>
    <x v="3"/>
    <x v="10"/>
    <x v="3"/>
    <x v="2"/>
    <x v="2"/>
    <x v="17"/>
    <n v="0"/>
    <x v="17"/>
    <x v="0"/>
  </r>
  <r>
    <x v="3"/>
    <x v="10"/>
    <x v="3"/>
    <x v="2"/>
    <x v="2"/>
    <x v="18"/>
    <n v="0"/>
    <x v="18"/>
    <x v="1"/>
  </r>
  <r>
    <x v="3"/>
    <x v="10"/>
    <x v="3"/>
    <x v="2"/>
    <x v="2"/>
    <x v="19"/>
    <n v="0"/>
    <x v="19"/>
    <x v="1"/>
  </r>
  <r>
    <x v="3"/>
    <x v="10"/>
    <x v="3"/>
    <x v="2"/>
    <x v="2"/>
    <x v="20"/>
    <n v="0"/>
    <x v="20"/>
    <x v="1"/>
  </r>
  <r>
    <x v="3"/>
    <x v="10"/>
    <x v="3"/>
    <x v="2"/>
    <x v="2"/>
    <x v="21"/>
    <n v="0"/>
    <x v="21"/>
    <x v="1"/>
  </r>
  <r>
    <x v="3"/>
    <x v="10"/>
    <x v="3"/>
    <x v="2"/>
    <x v="2"/>
    <x v="22"/>
    <n v="0"/>
    <x v="22"/>
    <x v="0"/>
  </r>
  <r>
    <x v="3"/>
    <x v="10"/>
    <x v="3"/>
    <x v="2"/>
    <x v="2"/>
    <x v="23"/>
    <n v="0"/>
    <x v="23"/>
    <x v="0"/>
  </r>
  <r>
    <x v="3"/>
    <x v="11"/>
    <x v="0"/>
    <x v="0"/>
    <x v="0"/>
    <x v="0"/>
    <n v="1"/>
    <x v="0"/>
    <x v="0"/>
  </r>
  <r>
    <x v="3"/>
    <x v="11"/>
    <x v="0"/>
    <x v="0"/>
    <x v="0"/>
    <x v="1"/>
    <n v="1"/>
    <x v="1"/>
    <x v="0"/>
  </r>
  <r>
    <x v="3"/>
    <x v="11"/>
    <x v="0"/>
    <x v="0"/>
    <x v="0"/>
    <x v="2"/>
    <n v="4"/>
    <x v="2"/>
    <x v="0"/>
  </r>
  <r>
    <x v="3"/>
    <x v="11"/>
    <x v="0"/>
    <x v="0"/>
    <x v="0"/>
    <x v="3"/>
    <n v="2"/>
    <x v="3"/>
    <x v="0"/>
  </r>
  <r>
    <x v="3"/>
    <x v="11"/>
    <x v="0"/>
    <x v="0"/>
    <x v="0"/>
    <x v="4"/>
    <n v="2"/>
    <x v="4"/>
    <x v="1"/>
  </r>
  <r>
    <x v="3"/>
    <x v="11"/>
    <x v="0"/>
    <x v="0"/>
    <x v="0"/>
    <x v="5"/>
    <n v="1"/>
    <x v="5"/>
    <x v="1"/>
  </r>
  <r>
    <x v="3"/>
    <x v="11"/>
    <x v="0"/>
    <x v="0"/>
    <x v="0"/>
    <x v="6"/>
    <n v="1"/>
    <x v="6"/>
    <x v="1"/>
  </r>
  <r>
    <x v="3"/>
    <x v="11"/>
    <x v="0"/>
    <x v="0"/>
    <x v="0"/>
    <x v="7"/>
    <n v="3"/>
    <x v="7"/>
    <x v="1"/>
  </r>
  <r>
    <x v="3"/>
    <x v="11"/>
    <x v="0"/>
    <x v="0"/>
    <x v="1"/>
    <x v="8"/>
    <n v="6"/>
    <x v="8"/>
    <x v="0"/>
  </r>
  <r>
    <x v="3"/>
    <x v="11"/>
    <x v="0"/>
    <x v="0"/>
    <x v="1"/>
    <x v="9"/>
    <n v="1"/>
    <x v="9"/>
    <x v="0"/>
  </r>
  <r>
    <x v="3"/>
    <x v="11"/>
    <x v="0"/>
    <x v="0"/>
    <x v="1"/>
    <x v="10"/>
    <n v="0"/>
    <x v="10"/>
    <x v="0"/>
  </r>
  <r>
    <x v="3"/>
    <x v="11"/>
    <x v="0"/>
    <x v="0"/>
    <x v="1"/>
    <x v="11"/>
    <n v="5"/>
    <x v="11"/>
    <x v="0"/>
  </r>
  <r>
    <x v="3"/>
    <x v="11"/>
    <x v="0"/>
    <x v="0"/>
    <x v="1"/>
    <x v="12"/>
    <n v="5"/>
    <x v="12"/>
    <x v="1"/>
  </r>
  <r>
    <x v="3"/>
    <x v="11"/>
    <x v="0"/>
    <x v="0"/>
    <x v="1"/>
    <x v="13"/>
    <n v="2"/>
    <x v="13"/>
    <x v="1"/>
  </r>
  <r>
    <x v="3"/>
    <x v="11"/>
    <x v="0"/>
    <x v="0"/>
    <x v="1"/>
    <x v="14"/>
    <n v="5"/>
    <x v="14"/>
    <x v="1"/>
  </r>
  <r>
    <x v="3"/>
    <x v="11"/>
    <x v="0"/>
    <x v="0"/>
    <x v="1"/>
    <x v="15"/>
    <n v="4"/>
    <x v="15"/>
    <x v="1"/>
  </r>
  <r>
    <x v="3"/>
    <x v="11"/>
    <x v="0"/>
    <x v="0"/>
    <x v="2"/>
    <x v="16"/>
    <n v="1"/>
    <x v="16"/>
    <x v="0"/>
  </r>
  <r>
    <x v="3"/>
    <x v="11"/>
    <x v="0"/>
    <x v="0"/>
    <x v="2"/>
    <x v="17"/>
    <n v="2"/>
    <x v="17"/>
    <x v="0"/>
  </r>
  <r>
    <x v="3"/>
    <x v="11"/>
    <x v="0"/>
    <x v="0"/>
    <x v="2"/>
    <x v="18"/>
    <n v="3"/>
    <x v="18"/>
    <x v="1"/>
  </r>
  <r>
    <x v="3"/>
    <x v="11"/>
    <x v="0"/>
    <x v="0"/>
    <x v="2"/>
    <x v="19"/>
    <n v="1"/>
    <x v="19"/>
    <x v="1"/>
  </r>
  <r>
    <x v="3"/>
    <x v="11"/>
    <x v="0"/>
    <x v="0"/>
    <x v="2"/>
    <x v="20"/>
    <n v="2"/>
    <x v="20"/>
    <x v="1"/>
  </r>
  <r>
    <x v="3"/>
    <x v="11"/>
    <x v="0"/>
    <x v="0"/>
    <x v="2"/>
    <x v="21"/>
    <n v="1"/>
    <x v="21"/>
    <x v="1"/>
  </r>
  <r>
    <x v="3"/>
    <x v="11"/>
    <x v="0"/>
    <x v="0"/>
    <x v="2"/>
    <x v="22"/>
    <n v="2"/>
    <x v="22"/>
    <x v="0"/>
  </r>
  <r>
    <x v="3"/>
    <x v="11"/>
    <x v="0"/>
    <x v="0"/>
    <x v="2"/>
    <x v="23"/>
    <n v="3"/>
    <x v="23"/>
    <x v="0"/>
  </r>
  <r>
    <x v="3"/>
    <x v="11"/>
    <x v="0"/>
    <x v="1"/>
    <x v="0"/>
    <x v="0"/>
    <n v="0"/>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0"/>
    <x v="6"/>
    <x v="1"/>
  </r>
  <r>
    <x v="3"/>
    <x v="11"/>
    <x v="0"/>
    <x v="1"/>
    <x v="0"/>
    <x v="7"/>
    <n v="0"/>
    <x v="7"/>
    <x v="1"/>
  </r>
  <r>
    <x v="3"/>
    <x v="11"/>
    <x v="0"/>
    <x v="1"/>
    <x v="1"/>
    <x v="8"/>
    <n v="0"/>
    <x v="8"/>
    <x v="0"/>
  </r>
  <r>
    <x v="3"/>
    <x v="11"/>
    <x v="0"/>
    <x v="1"/>
    <x v="1"/>
    <x v="9"/>
    <n v="0"/>
    <x v="9"/>
    <x v="0"/>
  </r>
  <r>
    <x v="3"/>
    <x v="11"/>
    <x v="0"/>
    <x v="1"/>
    <x v="1"/>
    <x v="10"/>
    <n v="0"/>
    <x v="10"/>
    <x v="0"/>
  </r>
  <r>
    <x v="3"/>
    <x v="11"/>
    <x v="0"/>
    <x v="1"/>
    <x v="1"/>
    <x v="11"/>
    <n v="0"/>
    <x v="11"/>
    <x v="0"/>
  </r>
  <r>
    <x v="3"/>
    <x v="11"/>
    <x v="0"/>
    <x v="1"/>
    <x v="1"/>
    <x v="12"/>
    <n v="0"/>
    <x v="12"/>
    <x v="1"/>
  </r>
  <r>
    <x v="3"/>
    <x v="11"/>
    <x v="0"/>
    <x v="1"/>
    <x v="1"/>
    <x v="13"/>
    <n v="0"/>
    <x v="13"/>
    <x v="1"/>
  </r>
  <r>
    <x v="3"/>
    <x v="11"/>
    <x v="0"/>
    <x v="1"/>
    <x v="1"/>
    <x v="14"/>
    <n v="0"/>
    <x v="14"/>
    <x v="1"/>
  </r>
  <r>
    <x v="3"/>
    <x v="11"/>
    <x v="0"/>
    <x v="1"/>
    <x v="1"/>
    <x v="15"/>
    <n v="1"/>
    <x v="15"/>
    <x v="1"/>
  </r>
  <r>
    <x v="3"/>
    <x v="11"/>
    <x v="0"/>
    <x v="1"/>
    <x v="2"/>
    <x v="16"/>
    <n v="0"/>
    <x v="16"/>
    <x v="0"/>
  </r>
  <r>
    <x v="3"/>
    <x v="11"/>
    <x v="0"/>
    <x v="1"/>
    <x v="2"/>
    <x v="17"/>
    <n v="0"/>
    <x v="17"/>
    <x v="0"/>
  </r>
  <r>
    <x v="3"/>
    <x v="11"/>
    <x v="0"/>
    <x v="1"/>
    <x v="2"/>
    <x v="18"/>
    <n v="0"/>
    <x v="18"/>
    <x v="1"/>
  </r>
  <r>
    <x v="3"/>
    <x v="11"/>
    <x v="0"/>
    <x v="1"/>
    <x v="2"/>
    <x v="19"/>
    <n v="0"/>
    <x v="19"/>
    <x v="1"/>
  </r>
  <r>
    <x v="3"/>
    <x v="11"/>
    <x v="0"/>
    <x v="1"/>
    <x v="2"/>
    <x v="20"/>
    <n v="0"/>
    <x v="20"/>
    <x v="1"/>
  </r>
  <r>
    <x v="3"/>
    <x v="11"/>
    <x v="0"/>
    <x v="1"/>
    <x v="2"/>
    <x v="21"/>
    <n v="0"/>
    <x v="21"/>
    <x v="1"/>
  </r>
  <r>
    <x v="3"/>
    <x v="11"/>
    <x v="0"/>
    <x v="1"/>
    <x v="2"/>
    <x v="22"/>
    <n v="0"/>
    <x v="22"/>
    <x v="0"/>
  </r>
  <r>
    <x v="3"/>
    <x v="11"/>
    <x v="0"/>
    <x v="1"/>
    <x v="2"/>
    <x v="23"/>
    <n v="0"/>
    <x v="23"/>
    <x v="0"/>
  </r>
  <r>
    <x v="3"/>
    <x v="11"/>
    <x v="0"/>
    <x v="2"/>
    <x v="0"/>
    <x v="0"/>
    <n v="0"/>
    <x v="0"/>
    <x v="0"/>
  </r>
  <r>
    <x v="3"/>
    <x v="11"/>
    <x v="0"/>
    <x v="2"/>
    <x v="0"/>
    <x v="1"/>
    <n v="0"/>
    <x v="1"/>
    <x v="0"/>
  </r>
  <r>
    <x v="3"/>
    <x v="11"/>
    <x v="0"/>
    <x v="2"/>
    <x v="0"/>
    <x v="2"/>
    <n v="1"/>
    <x v="2"/>
    <x v="0"/>
  </r>
  <r>
    <x v="3"/>
    <x v="11"/>
    <x v="0"/>
    <x v="2"/>
    <x v="0"/>
    <x v="3"/>
    <n v="0"/>
    <x v="3"/>
    <x v="0"/>
  </r>
  <r>
    <x v="3"/>
    <x v="11"/>
    <x v="0"/>
    <x v="2"/>
    <x v="0"/>
    <x v="4"/>
    <n v="0"/>
    <x v="4"/>
    <x v="1"/>
  </r>
  <r>
    <x v="3"/>
    <x v="11"/>
    <x v="0"/>
    <x v="2"/>
    <x v="0"/>
    <x v="5"/>
    <n v="0"/>
    <x v="5"/>
    <x v="1"/>
  </r>
  <r>
    <x v="3"/>
    <x v="11"/>
    <x v="0"/>
    <x v="2"/>
    <x v="0"/>
    <x v="6"/>
    <n v="0"/>
    <x v="6"/>
    <x v="1"/>
  </r>
  <r>
    <x v="3"/>
    <x v="11"/>
    <x v="0"/>
    <x v="2"/>
    <x v="0"/>
    <x v="7"/>
    <n v="2"/>
    <x v="7"/>
    <x v="1"/>
  </r>
  <r>
    <x v="3"/>
    <x v="11"/>
    <x v="0"/>
    <x v="2"/>
    <x v="1"/>
    <x v="8"/>
    <n v="0"/>
    <x v="8"/>
    <x v="0"/>
  </r>
  <r>
    <x v="3"/>
    <x v="11"/>
    <x v="0"/>
    <x v="2"/>
    <x v="1"/>
    <x v="9"/>
    <n v="0"/>
    <x v="9"/>
    <x v="0"/>
  </r>
  <r>
    <x v="3"/>
    <x v="11"/>
    <x v="0"/>
    <x v="2"/>
    <x v="1"/>
    <x v="10"/>
    <n v="0"/>
    <x v="10"/>
    <x v="0"/>
  </r>
  <r>
    <x v="3"/>
    <x v="11"/>
    <x v="0"/>
    <x v="2"/>
    <x v="1"/>
    <x v="11"/>
    <n v="0"/>
    <x v="11"/>
    <x v="0"/>
  </r>
  <r>
    <x v="3"/>
    <x v="11"/>
    <x v="0"/>
    <x v="2"/>
    <x v="1"/>
    <x v="12"/>
    <n v="0"/>
    <x v="12"/>
    <x v="1"/>
  </r>
  <r>
    <x v="3"/>
    <x v="11"/>
    <x v="0"/>
    <x v="2"/>
    <x v="1"/>
    <x v="13"/>
    <n v="0"/>
    <x v="13"/>
    <x v="1"/>
  </r>
  <r>
    <x v="3"/>
    <x v="11"/>
    <x v="0"/>
    <x v="2"/>
    <x v="1"/>
    <x v="14"/>
    <n v="0"/>
    <x v="14"/>
    <x v="1"/>
  </r>
  <r>
    <x v="3"/>
    <x v="11"/>
    <x v="0"/>
    <x v="2"/>
    <x v="1"/>
    <x v="15"/>
    <n v="0"/>
    <x v="15"/>
    <x v="1"/>
  </r>
  <r>
    <x v="3"/>
    <x v="11"/>
    <x v="0"/>
    <x v="2"/>
    <x v="2"/>
    <x v="16"/>
    <n v="0"/>
    <x v="16"/>
    <x v="0"/>
  </r>
  <r>
    <x v="3"/>
    <x v="11"/>
    <x v="0"/>
    <x v="2"/>
    <x v="2"/>
    <x v="17"/>
    <n v="0"/>
    <x v="17"/>
    <x v="0"/>
  </r>
  <r>
    <x v="3"/>
    <x v="11"/>
    <x v="0"/>
    <x v="2"/>
    <x v="2"/>
    <x v="18"/>
    <n v="0"/>
    <x v="18"/>
    <x v="1"/>
  </r>
  <r>
    <x v="3"/>
    <x v="11"/>
    <x v="0"/>
    <x v="2"/>
    <x v="2"/>
    <x v="19"/>
    <n v="0"/>
    <x v="19"/>
    <x v="1"/>
  </r>
  <r>
    <x v="3"/>
    <x v="11"/>
    <x v="0"/>
    <x v="2"/>
    <x v="2"/>
    <x v="20"/>
    <n v="0"/>
    <x v="20"/>
    <x v="1"/>
  </r>
  <r>
    <x v="3"/>
    <x v="11"/>
    <x v="0"/>
    <x v="2"/>
    <x v="2"/>
    <x v="21"/>
    <n v="0"/>
    <x v="21"/>
    <x v="1"/>
  </r>
  <r>
    <x v="3"/>
    <x v="11"/>
    <x v="0"/>
    <x v="2"/>
    <x v="2"/>
    <x v="22"/>
    <n v="0"/>
    <x v="22"/>
    <x v="0"/>
  </r>
  <r>
    <x v="3"/>
    <x v="11"/>
    <x v="0"/>
    <x v="2"/>
    <x v="2"/>
    <x v="23"/>
    <n v="0"/>
    <x v="23"/>
    <x v="0"/>
  </r>
  <r>
    <x v="3"/>
    <x v="12"/>
    <x v="1"/>
    <x v="0"/>
    <x v="0"/>
    <x v="0"/>
    <n v="0"/>
    <x v="0"/>
    <x v="0"/>
  </r>
  <r>
    <x v="3"/>
    <x v="12"/>
    <x v="1"/>
    <x v="0"/>
    <x v="0"/>
    <x v="1"/>
    <n v="2"/>
    <x v="1"/>
    <x v="0"/>
  </r>
  <r>
    <x v="3"/>
    <x v="12"/>
    <x v="1"/>
    <x v="0"/>
    <x v="0"/>
    <x v="2"/>
    <n v="4"/>
    <x v="2"/>
    <x v="0"/>
  </r>
  <r>
    <x v="3"/>
    <x v="12"/>
    <x v="1"/>
    <x v="0"/>
    <x v="0"/>
    <x v="3"/>
    <n v="4"/>
    <x v="3"/>
    <x v="0"/>
  </r>
  <r>
    <x v="3"/>
    <x v="12"/>
    <x v="1"/>
    <x v="0"/>
    <x v="0"/>
    <x v="4"/>
    <n v="2"/>
    <x v="4"/>
    <x v="1"/>
  </r>
  <r>
    <x v="3"/>
    <x v="12"/>
    <x v="1"/>
    <x v="0"/>
    <x v="0"/>
    <x v="5"/>
    <n v="4"/>
    <x v="5"/>
    <x v="1"/>
  </r>
  <r>
    <x v="3"/>
    <x v="12"/>
    <x v="1"/>
    <x v="0"/>
    <x v="0"/>
    <x v="6"/>
    <n v="5"/>
    <x v="6"/>
    <x v="1"/>
  </r>
  <r>
    <x v="3"/>
    <x v="12"/>
    <x v="1"/>
    <x v="0"/>
    <x v="0"/>
    <x v="7"/>
    <n v="4"/>
    <x v="7"/>
    <x v="1"/>
  </r>
  <r>
    <x v="3"/>
    <x v="12"/>
    <x v="1"/>
    <x v="0"/>
    <x v="1"/>
    <x v="8"/>
    <n v="6"/>
    <x v="8"/>
    <x v="0"/>
  </r>
  <r>
    <x v="3"/>
    <x v="12"/>
    <x v="1"/>
    <x v="0"/>
    <x v="1"/>
    <x v="9"/>
    <n v="4"/>
    <x v="9"/>
    <x v="0"/>
  </r>
  <r>
    <x v="3"/>
    <x v="12"/>
    <x v="1"/>
    <x v="0"/>
    <x v="1"/>
    <x v="10"/>
    <n v="5"/>
    <x v="10"/>
    <x v="0"/>
  </r>
  <r>
    <x v="3"/>
    <x v="12"/>
    <x v="1"/>
    <x v="0"/>
    <x v="1"/>
    <x v="11"/>
    <n v="8"/>
    <x v="11"/>
    <x v="0"/>
  </r>
  <r>
    <x v="3"/>
    <x v="12"/>
    <x v="1"/>
    <x v="0"/>
    <x v="1"/>
    <x v="12"/>
    <n v="7"/>
    <x v="12"/>
    <x v="1"/>
  </r>
  <r>
    <x v="3"/>
    <x v="12"/>
    <x v="1"/>
    <x v="0"/>
    <x v="1"/>
    <x v="13"/>
    <n v="10"/>
    <x v="13"/>
    <x v="1"/>
  </r>
  <r>
    <x v="3"/>
    <x v="12"/>
    <x v="1"/>
    <x v="0"/>
    <x v="1"/>
    <x v="14"/>
    <n v="7"/>
    <x v="14"/>
    <x v="1"/>
  </r>
  <r>
    <x v="3"/>
    <x v="12"/>
    <x v="1"/>
    <x v="0"/>
    <x v="1"/>
    <x v="15"/>
    <n v="6"/>
    <x v="15"/>
    <x v="1"/>
  </r>
  <r>
    <x v="3"/>
    <x v="12"/>
    <x v="1"/>
    <x v="0"/>
    <x v="2"/>
    <x v="16"/>
    <n v="5"/>
    <x v="16"/>
    <x v="0"/>
  </r>
  <r>
    <x v="3"/>
    <x v="12"/>
    <x v="1"/>
    <x v="0"/>
    <x v="2"/>
    <x v="17"/>
    <n v="6"/>
    <x v="17"/>
    <x v="0"/>
  </r>
  <r>
    <x v="3"/>
    <x v="12"/>
    <x v="1"/>
    <x v="0"/>
    <x v="2"/>
    <x v="18"/>
    <n v="11"/>
    <x v="18"/>
    <x v="1"/>
  </r>
  <r>
    <x v="3"/>
    <x v="12"/>
    <x v="1"/>
    <x v="0"/>
    <x v="2"/>
    <x v="19"/>
    <n v="6"/>
    <x v="19"/>
    <x v="1"/>
  </r>
  <r>
    <x v="3"/>
    <x v="12"/>
    <x v="1"/>
    <x v="0"/>
    <x v="2"/>
    <x v="20"/>
    <n v="4"/>
    <x v="20"/>
    <x v="1"/>
  </r>
  <r>
    <x v="3"/>
    <x v="12"/>
    <x v="1"/>
    <x v="0"/>
    <x v="2"/>
    <x v="21"/>
    <n v="7"/>
    <x v="21"/>
    <x v="1"/>
  </r>
  <r>
    <x v="3"/>
    <x v="12"/>
    <x v="1"/>
    <x v="0"/>
    <x v="2"/>
    <x v="22"/>
    <n v="4"/>
    <x v="22"/>
    <x v="0"/>
  </r>
  <r>
    <x v="3"/>
    <x v="12"/>
    <x v="1"/>
    <x v="0"/>
    <x v="2"/>
    <x v="23"/>
    <n v="3"/>
    <x v="23"/>
    <x v="0"/>
  </r>
  <r>
    <x v="3"/>
    <x v="12"/>
    <x v="1"/>
    <x v="1"/>
    <x v="0"/>
    <x v="0"/>
    <n v="1"/>
    <x v="0"/>
    <x v="0"/>
  </r>
  <r>
    <x v="3"/>
    <x v="12"/>
    <x v="1"/>
    <x v="1"/>
    <x v="0"/>
    <x v="1"/>
    <n v="0"/>
    <x v="1"/>
    <x v="0"/>
  </r>
  <r>
    <x v="3"/>
    <x v="12"/>
    <x v="1"/>
    <x v="1"/>
    <x v="0"/>
    <x v="2"/>
    <n v="1"/>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0"/>
  </r>
  <r>
    <x v="3"/>
    <x v="12"/>
    <x v="1"/>
    <x v="1"/>
    <x v="1"/>
    <x v="9"/>
    <n v="1"/>
    <x v="9"/>
    <x v="0"/>
  </r>
  <r>
    <x v="3"/>
    <x v="12"/>
    <x v="1"/>
    <x v="1"/>
    <x v="1"/>
    <x v="10"/>
    <n v="0"/>
    <x v="10"/>
    <x v="0"/>
  </r>
  <r>
    <x v="3"/>
    <x v="12"/>
    <x v="1"/>
    <x v="1"/>
    <x v="1"/>
    <x v="11"/>
    <n v="0"/>
    <x v="11"/>
    <x v="0"/>
  </r>
  <r>
    <x v="3"/>
    <x v="12"/>
    <x v="1"/>
    <x v="1"/>
    <x v="1"/>
    <x v="12"/>
    <n v="0"/>
    <x v="12"/>
    <x v="1"/>
  </r>
  <r>
    <x v="3"/>
    <x v="12"/>
    <x v="1"/>
    <x v="1"/>
    <x v="1"/>
    <x v="13"/>
    <n v="0"/>
    <x v="13"/>
    <x v="1"/>
  </r>
  <r>
    <x v="3"/>
    <x v="12"/>
    <x v="1"/>
    <x v="1"/>
    <x v="1"/>
    <x v="14"/>
    <n v="0"/>
    <x v="14"/>
    <x v="1"/>
  </r>
  <r>
    <x v="3"/>
    <x v="12"/>
    <x v="1"/>
    <x v="1"/>
    <x v="1"/>
    <x v="15"/>
    <n v="0"/>
    <x v="15"/>
    <x v="1"/>
  </r>
  <r>
    <x v="3"/>
    <x v="12"/>
    <x v="1"/>
    <x v="1"/>
    <x v="2"/>
    <x v="16"/>
    <n v="0"/>
    <x v="16"/>
    <x v="0"/>
  </r>
  <r>
    <x v="3"/>
    <x v="12"/>
    <x v="1"/>
    <x v="1"/>
    <x v="2"/>
    <x v="17"/>
    <n v="0"/>
    <x v="17"/>
    <x v="0"/>
  </r>
  <r>
    <x v="3"/>
    <x v="12"/>
    <x v="1"/>
    <x v="1"/>
    <x v="2"/>
    <x v="18"/>
    <n v="0"/>
    <x v="18"/>
    <x v="1"/>
  </r>
  <r>
    <x v="3"/>
    <x v="12"/>
    <x v="1"/>
    <x v="1"/>
    <x v="2"/>
    <x v="19"/>
    <n v="0"/>
    <x v="19"/>
    <x v="1"/>
  </r>
  <r>
    <x v="3"/>
    <x v="12"/>
    <x v="1"/>
    <x v="1"/>
    <x v="2"/>
    <x v="20"/>
    <n v="0"/>
    <x v="20"/>
    <x v="1"/>
  </r>
  <r>
    <x v="3"/>
    <x v="12"/>
    <x v="1"/>
    <x v="1"/>
    <x v="2"/>
    <x v="21"/>
    <n v="0"/>
    <x v="21"/>
    <x v="1"/>
  </r>
  <r>
    <x v="3"/>
    <x v="12"/>
    <x v="1"/>
    <x v="1"/>
    <x v="2"/>
    <x v="22"/>
    <n v="0"/>
    <x v="22"/>
    <x v="0"/>
  </r>
  <r>
    <x v="3"/>
    <x v="12"/>
    <x v="1"/>
    <x v="1"/>
    <x v="2"/>
    <x v="23"/>
    <n v="0"/>
    <x v="23"/>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0"/>
  </r>
  <r>
    <x v="3"/>
    <x v="12"/>
    <x v="1"/>
    <x v="2"/>
    <x v="1"/>
    <x v="9"/>
    <n v="0"/>
    <x v="9"/>
    <x v="0"/>
  </r>
  <r>
    <x v="3"/>
    <x v="12"/>
    <x v="1"/>
    <x v="2"/>
    <x v="1"/>
    <x v="10"/>
    <n v="0"/>
    <x v="10"/>
    <x v="0"/>
  </r>
  <r>
    <x v="3"/>
    <x v="12"/>
    <x v="1"/>
    <x v="2"/>
    <x v="1"/>
    <x v="11"/>
    <n v="0"/>
    <x v="11"/>
    <x v="0"/>
  </r>
  <r>
    <x v="3"/>
    <x v="12"/>
    <x v="1"/>
    <x v="2"/>
    <x v="1"/>
    <x v="12"/>
    <n v="0"/>
    <x v="12"/>
    <x v="1"/>
  </r>
  <r>
    <x v="3"/>
    <x v="12"/>
    <x v="1"/>
    <x v="2"/>
    <x v="1"/>
    <x v="13"/>
    <n v="0"/>
    <x v="13"/>
    <x v="1"/>
  </r>
  <r>
    <x v="3"/>
    <x v="12"/>
    <x v="1"/>
    <x v="2"/>
    <x v="1"/>
    <x v="14"/>
    <n v="0"/>
    <x v="14"/>
    <x v="1"/>
  </r>
  <r>
    <x v="3"/>
    <x v="12"/>
    <x v="1"/>
    <x v="2"/>
    <x v="1"/>
    <x v="15"/>
    <n v="0"/>
    <x v="15"/>
    <x v="1"/>
  </r>
  <r>
    <x v="3"/>
    <x v="12"/>
    <x v="1"/>
    <x v="2"/>
    <x v="2"/>
    <x v="16"/>
    <n v="0"/>
    <x v="16"/>
    <x v="0"/>
  </r>
  <r>
    <x v="3"/>
    <x v="12"/>
    <x v="1"/>
    <x v="2"/>
    <x v="2"/>
    <x v="17"/>
    <n v="0"/>
    <x v="17"/>
    <x v="0"/>
  </r>
  <r>
    <x v="3"/>
    <x v="12"/>
    <x v="1"/>
    <x v="2"/>
    <x v="2"/>
    <x v="18"/>
    <n v="0"/>
    <x v="18"/>
    <x v="1"/>
  </r>
  <r>
    <x v="3"/>
    <x v="12"/>
    <x v="1"/>
    <x v="2"/>
    <x v="2"/>
    <x v="19"/>
    <n v="0"/>
    <x v="19"/>
    <x v="1"/>
  </r>
  <r>
    <x v="3"/>
    <x v="12"/>
    <x v="1"/>
    <x v="2"/>
    <x v="2"/>
    <x v="20"/>
    <n v="0"/>
    <x v="20"/>
    <x v="1"/>
  </r>
  <r>
    <x v="3"/>
    <x v="12"/>
    <x v="1"/>
    <x v="2"/>
    <x v="2"/>
    <x v="21"/>
    <n v="0"/>
    <x v="21"/>
    <x v="1"/>
  </r>
  <r>
    <x v="3"/>
    <x v="12"/>
    <x v="1"/>
    <x v="2"/>
    <x v="2"/>
    <x v="22"/>
    <n v="0"/>
    <x v="22"/>
    <x v="0"/>
  </r>
  <r>
    <x v="3"/>
    <x v="12"/>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5"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G40"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4">
        <item x="0"/>
        <item x="1"/>
        <item m="1" x="36"/>
        <item x="2"/>
        <item m="1" x="41"/>
        <item x="3"/>
        <item x="4"/>
        <item x="5"/>
        <item m="1" x="37"/>
        <item x="6"/>
        <item m="1" x="24"/>
        <item x="7"/>
        <item m="1" x="33"/>
        <item m="1" x="38"/>
        <item m="1" x="27"/>
        <item m="1" x="34"/>
        <item m="1" x="39"/>
        <item m="1" x="28"/>
        <item m="1" x="35"/>
        <item x="8"/>
        <item x="9"/>
        <item x="10"/>
        <item x="11"/>
        <item m="1" x="40"/>
        <item x="12"/>
        <item m="1" x="29"/>
        <item x="13"/>
        <item x="14"/>
        <item x="15"/>
        <item m="1" x="42"/>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31"/>
    </i>
    <i r="1">
      <x v="32"/>
    </i>
    <i r="1">
      <x v="34"/>
    </i>
    <i r="1">
      <x v="36"/>
    </i>
    <i r="1">
      <x v="37"/>
    </i>
    <i r="1">
      <x v="38"/>
    </i>
    <i r="1">
      <x v="40"/>
    </i>
    <i r="1">
      <x v="42"/>
    </i>
    <i>
      <x v="3"/>
    </i>
    <i r="1">
      <x v="19"/>
    </i>
    <i r="1">
      <x v="20"/>
    </i>
    <i r="1">
      <x v="21"/>
    </i>
    <i r="1">
      <x v="22"/>
    </i>
    <i r="1">
      <x v="24"/>
    </i>
    <i r="1">
      <x v="26"/>
    </i>
    <i r="1">
      <x v="27"/>
    </i>
    <i r="1">
      <x v="28"/>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54"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5"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16"/>
    </i>
    <i>
      <x v="17"/>
    </i>
    <i>
      <x v="18"/>
    </i>
    <i>
      <x v="19"/>
    </i>
    <i>
      <x v="20"/>
    </i>
    <i>
      <x v="21"/>
    </i>
    <i>
      <x v="22"/>
    </i>
    <i>
      <x v="23"/>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5"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5"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5"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m="1" x="5"/>
        <item x="3"/>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5"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5"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37" totalsRowShown="0">
  <autoFilter ref="A1:I937"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44663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0.5625</v>
      </c>
      <c r="K13" s="5">
        <v>0.66666666666666663</v>
      </c>
      <c r="L13" s="5"/>
    </row>
    <row r="14" spans="2:12" x14ac:dyDescent="0.25">
      <c r="D14">
        <v>5</v>
      </c>
      <c r="E14" s="1"/>
      <c r="F14" s="1"/>
      <c r="H14" t="s">
        <v>10</v>
      </c>
      <c r="I14" s="5">
        <v>0.36458333333333331</v>
      </c>
      <c r="J14" s="5">
        <v>0.63541666666666663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Oxford Street North</v>
      </c>
      <c r="C4" s="1" t="str">
        <f>Input!C31</f>
        <v>Sumner Road East</v>
      </c>
      <c r="D4" s="1" t="str">
        <f>Input!C42</f>
        <v>Oxford Street South</v>
      </c>
      <c r="E4" s="1" t="str">
        <f>Input!C53</f>
        <v>London Street West</v>
      </c>
      <c r="F4" s="1">
        <f>Input!C64</f>
        <v>0</v>
      </c>
      <c r="G4" s="1">
        <f>Input!C75</f>
        <v>0</v>
      </c>
      <c r="H4" s="1">
        <f>Input!C86</f>
        <v>0</v>
      </c>
    </row>
    <row r="6" spans="2:8" x14ac:dyDescent="0.25">
      <c r="B6" t="s">
        <v>18</v>
      </c>
    </row>
    <row r="8" spans="2:8" x14ac:dyDescent="0.25">
      <c r="B8" s="1" t="str">
        <f>Input!C22</f>
        <v>Left into Sumner Road East</v>
      </c>
      <c r="C8" s="1" t="str">
        <f>Input!C33</f>
        <v>Left into Oxford Street South</v>
      </c>
      <c r="D8" s="1" t="str">
        <f>Input!C44</f>
        <v>Left into London Street West</v>
      </c>
      <c r="E8" s="1" t="str">
        <f>Input!C55</f>
        <v>Left into Oxford Street North</v>
      </c>
      <c r="F8" s="1">
        <f>Input!C66</f>
        <v>0</v>
      </c>
      <c r="G8" s="1">
        <f>Input!C77</f>
        <v>0</v>
      </c>
      <c r="H8" s="1">
        <f>Input!C88</f>
        <v>0</v>
      </c>
    </row>
    <row r="9" spans="2:8" x14ac:dyDescent="0.25">
      <c r="B9" s="1" t="str">
        <f>Input!C23</f>
        <v>Thru to Oxford Street South</v>
      </c>
      <c r="C9" s="1" t="str">
        <f>Input!C34</f>
        <v>Thru to London Street West</v>
      </c>
      <c r="D9" s="1" t="str">
        <f>Input!C45</f>
        <v>Thru to Oxford Street North</v>
      </c>
      <c r="E9" s="1" t="str">
        <f>Input!C56</f>
        <v>Thru to Sumner Road East</v>
      </c>
      <c r="F9" s="1">
        <f>Input!C67</f>
        <v>0</v>
      </c>
      <c r="G9" s="1">
        <f>Input!C78</f>
        <v>0</v>
      </c>
      <c r="H9" s="1">
        <f>Input!C89</f>
        <v>0</v>
      </c>
    </row>
    <row r="10" spans="2:8" x14ac:dyDescent="0.25">
      <c r="B10" s="1" t="str">
        <f>Input!C24</f>
        <v>Right into London Street West</v>
      </c>
      <c r="C10" s="1" t="str">
        <f>Input!C35</f>
        <v>Right into Oxford Street North</v>
      </c>
      <c r="D10" s="1" t="str">
        <f>Input!C46</f>
        <v>Right into Sumner Road East</v>
      </c>
      <c r="E10" s="1" t="str">
        <f>Input!C57</f>
        <v>Right into Oxford Street South</v>
      </c>
      <c r="F10" s="1">
        <f>Input!C68</f>
        <v>0</v>
      </c>
      <c r="G10" s="1">
        <f>Input!C79</f>
        <v>0</v>
      </c>
      <c r="H10" s="1">
        <f>Input!C90</f>
        <v>0</v>
      </c>
    </row>
    <row r="11" spans="2:8" x14ac:dyDescent="0.25">
      <c r="B11" s="1" t="str">
        <f>Input!C25</f>
        <v>U-Turn</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Sumner Road East</v>
      </c>
      <c r="C18" s="1" t="str">
        <f>Input!E33</f>
        <v>Oxford Street South</v>
      </c>
      <c r="D18" s="1" t="str">
        <f>Input!E44</f>
        <v>London Street West</v>
      </c>
      <c r="E18" s="1" t="str">
        <f>Input!E55</f>
        <v>Oxford Street North</v>
      </c>
      <c r="F18" s="1">
        <f>Input!E66</f>
        <v>0</v>
      </c>
      <c r="G18" s="1">
        <f>Input!E77</f>
        <v>0</v>
      </c>
      <c r="H18" s="1">
        <f>Input!E88</f>
        <v>0</v>
      </c>
    </row>
    <row r="19" spans="2:8" x14ac:dyDescent="0.25">
      <c r="B19" s="1" t="str">
        <f>Input!E23</f>
        <v>Oxford Street South</v>
      </c>
      <c r="C19" s="1" t="str">
        <f>Input!E34</f>
        <v>London Street West</v>
      </c>
      <c r="D19" s="1" t="str">
        <f>Input!E45</f>
        <v>Oxford Street North</v>
      </c>
      <c r="E19" s="1" t="str">
        <f>Input!E56</f>
        <v>Sumner Road East</v>
      </c>
      <c r="F19" s="1">
        <f>Input!E67</f>
        <v>0</v>
      </c>
      <c r="G19" s="1">
        <f>Input!E78</f>
        <v>0</v>
      </c>
      <c r="H19" s="1">
        <f>Input!E89</f>
        <v>0</v>
      </c>
    </row>
    <row r="20" spans="2:8" x14ac:dyDescent="0.25">
      <c r="B20" s="1" t="str">
        <f>Input!E24</f>
        <v>London Street West</v>
      </c>
      <c r="C20" s="1" t="str">
        <f>Input!E35</f>
        <v>Oxford Street North</v>
      </c>
      <c r="D20" s="1" t="str">
        <f>Input!E46</f>
        <v>Sumner Road East</v>
      </c>
      <c r="E20" s="1" t="str">
        <f>Input!E57</f>
        <v>Oxford Street South</v>
      </c>
      <c r="F20" s="1">
        <f>Input!E68</f>
        <v>0</v>
      </c>
      <c r="G20" s="1">
        <f>Input!E79</f>
        <v>0</v>
      </c>
      <c r="H20" s="1">
        <f>Input!E90</f>
        <v>0</v>
      </c>
    </row>
    <row r="21" spans="2:8" x14ac:dyDescent="0.25">
      <c r="B21" s="1" t="str">
        <f>Input!E25</f>
        <v>Oxford Street North</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33"/>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32"/>
    </row>
    <row r="6" spans="1:41"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30" t="s">
        <v>107</v>
      </c>
      <c r="AH6" s="17"/>
      <c r="AI6" s="19"/>
      <c r="AJ6" s="27" t="s">
        <v>108</v>
      </c>
      <c r="AK6" s="17"/>
      <c r="AL6" s="19"/>
      <c r="AM6" s="27" t="s">
        <v>109</v>
      </c>
      <c r="AN6" s="17"/>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1</v>
      </c>
      <c r="D8">
        <v>0</v>
      </c>
      <c r="E8">
        <v>0</v>
      </c>
      <c r="F8" s="28">
        <v>12</v>
      </c>
      <c r="G8">
        <v>2</v>
      </c>
      <c r="H8">
        <v>0</v>
      </c>
      <c r="I8" s="28">
        <v>1</v>
      </c>
      <c r="J8">
        <v>0</v>
      </c>
      <c r="K8">
        <v>0</v>
      </c>
      <c r="L8" s="28">
        <v>0</v>
      </c>
      <c r="M8">
        <v>0</v>
      </c>
      <c r="N8">
        <v>0</v>
      </c>
      <c r="O8" s="31">
        <v>5</v>
      </c>
      <c r="P8">
        <v>1</v>
      </c>
      <c r="Q8">
        <v>0</v>
      </c>
      <c r="R8" s="28">
        <v>2</v>
      </c>
      <c r="S8">
        <v>0</v>
      </c>
      <c r="T8">
        <v>0</v>
      </c>
      <c r="U8" s="28">
        <v>0</v>
      </c>
      <c r="V8">
        <v>0</v>
      </c>
      <c r="W8">
        <v>0</v>
      </c>
      <c r="X8" s="31">
        <v>3</v>
      </c>
      <c r="Y8">
        <v>0</v>
      </c>
      <c r="Z8">
        <v>0</v>
      </c>
      <c r="AA8" s="28">
        <v>7</v>
      </c>
      <c r="AB8">
        <v>0</v>
      </c>
      <c r="AC8">
        <v>0</v>
      </c>
      <c r="AD8" s="28">
        <v>2</v>
      </c>
      <c r="AE8">
        <v>1</v>
      </c>
      <c r="AF8">
        <v>0</v>
      </c>
      <c r="AG8" s="31">
        <v>1</v>
      </c>
      <c r="AH8">
        <v>0</v>
      </c>
      <c r="AI8">
        <v>0</v>
      </c>
      <c r="AJ8" s="28">
        <v>1</v>
      </c>
      <c r="AK8">
        <v>0</v>
      </c>
      <c r="AL8">
        <v>0</v>
      </c>
      <c r="AM8" s="28">
        <v>0</v>
      </c>
      <c r="AN8">
        <v>1</v>
      </c>
      <c r="AO8" s="34">
        <v>0</v>
      </c>
    </row>
    <row r="9" spans="1:41" x14ac:dyDescent="0.25">
      <c r="A9" s="2" t="s">
        <v>43</v>
      </c>
      <c r="B9" s="7">
        <v>0.30208333333333331</v>
      </c>
      <c r="C9" s="31">
        <v>0</v>
      </c>
      <c r="D9">
        <v>0</v>
      </c>
      <c r="E9">
        <v>0</v>
      </c>
      <c r="F9" s="28">
        <v>16</v>
      </c>
      <c r="G9">
        <v>1</v>
      </c>
      <c r="H9">
        <v>0</v>
      </c>
      <c r="I9" s="28">
        <v>2</v>
      </c>
      <c r="J9">
        <v>0</v>
      </c>
      <c r="K9">
        <v>0</v>
      </c>
      <c r="L9" s="28">
        <v>0</v>
      </c>
      <c r="M9">
        <v>0</v>
      </c>
      <c r="N9">
        <v>0</v>
      </c>
      <c r="O9" s="31">
        <v>7</v>
      </c>
      <c r="P9">
        <v>0</v>
      </c>
      <c r="Q9">
        <v>0</v>
      </c>
      <c r="R9" s="28">
        <v>0</v>
      </c>
      <c r="S9">
        <v>0</v>
      </c>
      <c r="T9">
        <v>0</v>
      </c>
      <c r="U9" s="28">
        <v>0</v>
      </c>
      <c r="V9">
        <v>0</v>
      </c>
      <c r="W9">
        <v>0</v>
      </c>
      <c r="X9" s="31">
        <v>2</v>
      </c>
      <c r="Y9">
        <v>0</v>
      </c>
      <c r="Z9">
        <v>0</v>
      </c>
      <c r="AA9" s="28">
        <v>3</v>
      </c>
      <c r="AB9">
        <v>0</v>
      </c>
      <c r="AC9">
        <v>0</v>
      </c>
      <c r="AD9" s="28">
        <v>5</v>
      </c>
      <c r="AE9">
        <v>0</v>
      </c>
      <c r="AF9">
        <v>0</v>
      </c>
      <c r="AG9" s="31">
        <v>0</v>
      </c>
      <c r="AH9">
        <v>0</v>
      </c>
      <c r="AI9">
        <v>0</v>
      </c>
      <c r="AJ9" s="28">
        <v>1</v>
      </c>
      <c r="AK9">
        <v>0</v>
      </c>
      <c r="AL9">
        <v>0</v>
      </c>
      <c r="AM9" s="28">
        <v>2</v>
      </c>
      <c r="AN9">
        <v>0</v>
      </c>
      <c r="AO9" s="34">
        <v>0</v>
      </c>
    </row>
    <row r="10" spans="1:41" x14ac:dyDescent="0.25">
      <c r="A10" s="2" t="s">
        <v>43</v>
      </c>
      <c r="B10" s="7">
        <v>0.3125</v>
      </c>
      <c r="C10" s="31">
        <v>1</v>
      </c>
      <c r="D10">
        <v>0</v>
      </c>
      <c r="E10">
        <v>0</v>
      </c>
      <c r="F10" s="28">
        <v>18</v>
      </c>
      <c r="G10">
        <v>3</v>
      </c>
      <c r="H10">
        <v>0</v>
      </c>
      <c r="I10" s="28">
        <v>5</v>
      </c>
      <c r="J10">
        <v>0</v>
      </c>
      <c r="K10">
        <v>0</v>
      </c>
      <c r="L10" s="28">
        <v>1</v>
      </c>
      <c r="M10">
        <v>0</v>
      </c>
      <c r="N10">
        <v>0</v>
      </c>
      <c r="O10" s="31">
        <v>5</v>
      </c>
      <c r="P10">
        <v>0</v>
      </c>
      <c r="Q10">
        <v>0</v>
      </c>
      <c r="R10" s="28">
        <v>2</v>
      </c>
      <c r="S10">
        <v>1</v>
      </c>
      <c r="T10">
        <v>0</v>
      </c>
      <c r="U10" s="28">
        <v>1</v>
      </c>
      <c r="V10">
        <v>0</v>
      </c>
      <c r="W10">
        <v>0</v>
      </c>
      <c r="X10" s="31">
        <v>2</v>
      </c>
      <c r="Y10">
        <v>0</v>
      </c>
      <c r="Z10">
        <v>0</v>
      </c>
      <c r="AA10" s="28">
        <v>5</v>
      </c>
      <c r="AB10">
        <v>0</v>
      </c>
      <c r="AC10">
        <v>0</v>
      </c>
      <c r="AD10" s="28">
        <v>5</v>
      </c>
      <c r="AE10">
        <v>0</v>
      </c>
      <c r="AF10">
        <v>0</v>
      </c>
      <c r="AG10" s="31">
        <v>1</v>
      </c>
      <c r="AH10">
        <v>0</v>
      </c>
      <c r="AI10">
        <v>0</v>
      </c>
      <c r="AJ10" s="28">
        <v>4</v>
      </c>
      <c r="AK10">
        <v>0</v>
      </c>
      <c r="AL10">
        <v>1</v>
      </c>
      <c r="AM10" s="28">
        <v>4</v>
      </c>
      <c r="AN10">
        <v>1</v>
      </c>
      <c r="AO10" s="34">
        <v>0</v>
      </c>
    </row>
    <row r="11" spans="1:41" x14ac:dyDescent="0.25">
      <c r="A11" s="2" t="s">
        <v>43</v>
      </c>
      <c r="B11" s="7">
        <v>0.32291666666666669</v>
      </c>
      <c r="C11" s="31">
        <v>0</v>
      </c>
      <c r="D11">
        <v>0</v>
      </c>
      <c r="E11">
        <v>0</v>
      </c>
      <c r="F11" s="28">
        <v>16</v>
      </c>
      <c r="G11">
        <v>2</v>
      </c>
      <c r="H11">
        <v>0</v>
      </c>
      <c r="I11" s="28">
        <v>4</v>
      </c>
      <c r="J11">
        <v>0</v>
      </c>
      <c r="K11">
        <v>0</v>
      </c>
      <c r="L11" s="28">
        <v>0</v>
      </c>
      <c r="M11">
        <v>0</v>
      </c>
      <c r="N11">
        <v>0</v>
      </c>
      <c r="O11" s="31">
        <v>6</v>
      </c>
      <c r="P11">
        <v>1</v>
      </c>
      <c r="Q11">
        <v>1</v>
      </c>
      <c r="R11" s="28">
        <v>2</v>
      </c>
      <c r="S11">
        <v>1</v>
      </c>
      <c r="T11">
        <v>0</v>
      </c>
      <c r="U11" s="28">
        <v>0</v>
      </c>
      <c r="V11">
        <v>0</v>
      </c>
      <c r="W11">
        <v>0</v>
      </c>
      <c r="X11" s="31">
        <v>3</v>
      </c>
      <c r="Y11">
        <v>0</v>
      </c>
      <c r="Z11">
        <v>0</v>
      </c>
      <c r="AA11" s="28">
        <v>5</v>
      </c>
      <c r="AB11">
        <v>0</v>
      </c>
      <c r="AC11">
        <v>0</v>
      </c>
      <c r="AD11" s="28">
        <v>4</v>
      </c>
      <c r="AE11">
        <v>0</v>
      </c>
      <c r="AF11">
        <v>0</v>
      </c>
      <c r="AG11" s="31">
        <v>1</v>
      </c>
      <c r="AH11">
        <v>0</v>
      </c>
      <c r="AI11">
        <v>0</v>
      </c>
      <c r="AJ11" s="28">
        <v>2</v>
      </c>
      <c r="AK11">
        <v>0</v>
      </c>
      <c r="AL11">
        <v>0</v>
      </c>
      <c r="AM11" s="28">
        <v>4</v>
      </c>
      <c r="AN11">
        <v>0</v>
      </c>
      <c r="AO11" s="34">
        <v>0</v>
      </c>
    </row>
    <row r="12" spans="1:41" x14ac:dyDescent="0.25">
      <c r="A12" s="2" t="s">
        <v>43</v>
      </c>
      <c r="B12" s="7">
        <v>0.33333333333333331</v>
      </c>
      <c r="C12" s="31">
        <v>0</v>
      </c>
      <c r="D12">
        <v>0</v>
      </c>
      <c r="E12">
        <v>0</v>
      </c>
      <c r="F12" s="28">
        <v>19</v>
      </c>
      <c r="G12">
        <v>1</v>
      </c>
      <c r="H12">
        <v>0</v>
      </c>
      <c r="I12" s="28">
        <v>3</v>
      </c>
      <c r="J12">
        <v>0</v>
      </c>
      <c r="K12">
        <v>0</v>
      </c>
      <c r="L12" s="28">
        <v>0</v>
      </c>
      <c r="M12">
        <v>0</v>
      </c>
      <c r="N12">
        <v>0</v>
      </c>
      <c r="O12" s="31">
        <v>10</v>
      </c>
      <c r="P12">
        <v>0</v>
      </c>
      <c r="Q12">
        <v>0</v>
      </c>
      <c r="R12" s="28">
        <v>2</v>
      </c>
      <c r="S12">
        <v>1</v>
      </c>
      <c r="T12">
        <v>1</v>
      </c>
      <c r="U12" s="28">
        <v>0</v>
      </c>
      <c r="V12">
        <v>0</v>
      </c>
      <c r="W12">
        <v>0</v>
      </c>
      <c r="X12" s="31">
        <v>4</v>
      </c>
      <c r="Y12">
        <v>0</v>
      </c>
      <c r="Z12">
        <v>0</v>
      </c>
      <c r="AA12" s="28">
        <v>13</v>
      </c>
      <c r="AB12">
        <v>0</v>
      </c>
      <c r="AC12">
        <v>0</v>
      </c>
      <c r="AD12" s="28">
        <v>2</v>
      </c>
      <c r="AE12">
        <v>0</v>
      </c>
      <c r="AF12">
        <v>0</v>
      </c>
      <c r="AG12" s="31">
        <v>3</v>
      </c>
      <c r="AH12">
        <v>0</v>
      </c>
      <c r="AI12">
        <v>0</v>
      </c>
      <c r="AJ12" s="28">
        <v>2</v>
      </c>
      <c r="AK12">
        <v>0</v>
      </c>
      <c r="AL12">
        <v>0</v>
      </c>
      <c r="AM12" s="28">
        <v>2</v>
      </c>
      <c r="AN12">
        <v>0</v>
      </c>
      <c r="AO12" s="34">
        <v>0</v>
      </c>
    </row>
    <row r="13" spans="1:41" x14ac:dyDescent="0.25">
      <c r="A13" s="2" t="s">
        <v>43</v>
      </c>
      <c r="B13" s="7">
        <v>0.34375</v>
      </c>
      <c r="C13" s="31">
        <v>0</v>
      </c>
      <c r="D13">
        <v>0</v>
      </c>
      <c r="E13">
        <v>0</v>
      </c>
      <c r="F13" s="28">
        <v>22</v>
      </c>
      <c r="G13">
        <v>1</v>
      </c>
      <c r="H13">
        <v>0</v>
      </c>
      <c r="I13" s="28">
        <v>1</v>
      </c>
      <c r="J13">
        <v>0</v>
      </c>
      <c r="K13">
        <v>0</v>
      </c>
      <c r="L13" s="28">
        <v>0</v>
      </c>
      <c r="M13">
        <v>0</v>
      </c>
      <c r="N13">
        <v>0</v>
      </c>
      <c r="O13" s="31">
        <v>7</v>
      </c>
      <c r="P13">
        <v>1</v>
      </c>
      <c r="Q13">
        <v>0</v>
      </c>
      <c r="R13" s="28">
        <v>2</v>
      </c>
      <c r="S13">
        <v>0</v>
      </c>
      <c r="T13">
        <v>0</v>
      </c>
      <c r="U13" s="28">
        <v>0</v>
      </c>
      <c r="V13">
        <v>0</v>
      </c>
      <c r="W13">
        <v>0</v>
      </c>
      <c r="X13" s="31">
        <v>8</v>
      </c>
      <c r="Y13">
        <v>0</v>
      </c>
      <c r="Z13">
        <v>0</v>
      </c>
      <c r="AA13" s="28">
        <v>9</v>
      </c>
      <c r="AB13">
        <v>0</v>
      </c>
      <c r="AC13">
        <v>1</v>
      </c>
      <c r="AD13" s="28">
        <v>3</v>
      </c>
      <c r="AE13">
        <v>0</v>
      </c>
      <c r="AF13">
        <v>0</v>
      </c>
      <c r="AG13" s="31">
        <v>1</v>
      </c>
      <c r="AH13">
        <v>0</v>
      </c>
      <c r="AI13">
        <v>1</v>
      </c>
      <c r="AJ13" s="28">
        <v>1</v>
      </c>
      <c r="AK13">
        <v>0</v>
      </c>
      <c r="AL13">
        <v>0</v>
      </c>
      <c r="AM13" s="28">
        <v>4</v>
      </c>
      <c r="AN13">
        <v>0</v>
      </c>
      <c r="AO13" s="34">
        <v>0</v>
      </c>
    </row>
    <row r="14" spans="1:41" x14ac:dyDescent="0.25">
      <c r="A14" s="2" t="s">
        <v>43</v>
      </c>
      <c r="B14" s="7">
        <v>0.35416666666666669</v>
      </c>
      <c r="C14" s="31">
        <v>0</v>
      </c>
      <c r="D14">
        <v>0</v>
      </c>
      <c r="E14">
        <v>0</v>
      </c>
      <c r="F14" s="28">
        <v>21</v>
      </c>
      <c r="G14">
        <v>2</v>
      </c>
      <c r="H14">
        <v>0</v>
      </c>
      <c r="I14" s="28">
        <v>8</v>
      </c>
      <c r="J14">
        <v>0</v>
      </c>
      <c r="K14">
        <v>0</v>
      </c>
      <c r="L14" s="28">
        <v>0</v>
      </c>
      <c r="M14">
        <v>0</v>
      </c>
      <c r="N14">
        <v>0</v>
      </c>
      <c r="O14" s="31">
        <v>10</v>
      </c>
      <c r="P14">
        <v>1</v>
      </c>
      <c r="Q14">
        <v>0</v>
      </c>
      <c r="R14" s="28">
        <v>5</v>
      </c>
      <c r="S14">
        <v>0</v>
      </c>
      <c r="T14">
        <v>1</v>
      </c>
      <c r="U14" s="28">
        <v>0</v>
      </c>
      <c r="V14">
        <v>0</v>
      </c>
      <c r="W14">
        <v>0</v>
      </c>
      <c r="X14" s="31">
        <v>0</v>
      </c>
      <c r="Y14">
        <v>0</v>
      </c>
      <c r="Z14">
        <v>0</v>
      </c>
      <c r="AA14" s="28">
        <v>10</v>
      </c>
      <c r="AB14">
        <v>0</v>
      </c>
      <c r="AC14">
        <v>0</v>
      </c>
      <c r="AD14" s="28">
        <v>7</v>
      </c>
      <c r="AE14">
        <v>0</v>
      </c>
      <c r="AF14">
        <v>0</v>
      </c>
      <c r="AG14" s="31">
        <v>1</v>
      </c>
      <c r="AH14">
        <v>0</v>
      </c>
      <c r="AI14">
        <v>0</v>
      </c>
      <c r="AJ14" s="28">
        <v>1</v>
      </c>
      <c r="AK14">
        <v>0</v>
      </c>
      <c r="AL14">
        <v>0</v>
      </c>
      <c r="AM14" s="28">
        <v>5</v>
      </c>
      <c r="AN14">
        <v>0</v>
      </c>
      <c r="AO14" s="34">
        <v>0</v>
      </c>
    </row>
    <row r="15" spans="1:41" ht="15.75" thickBot="1" x14ac:dyDescent="0.3">
      <c r="A15" s="2" t="s">
        <v>43</v>
      </c>
      <c r="B15" s="7">
        <v>0.36458333333333331</v>
      </c>
      <c r="C15" s="31">
        <v>1</v>
      </c>
      <c r="D15">
        <v>0</v>
      </c>
      <c r="E15">
        <v>0</v>
      </c>
      <c r="F15" s="28">
        <v>33</v>
      </c>
      <c r="G15">
        <v>1</v>
      </c>
      <c r="H15">
        <v>0</v>
      </c>
      <c r="I15" s="28">
        <v>6</v>
      </c>
      <c r="J15">
        <v>0</v>
      </c>
      <c r="K15">
        <v>0</v>
      </c>
      <c r="L15" s="28">
        <v>1</v>
      </c>
      <c r="M15">
        <v>0</v>
      </c>
      <c r="N15">
        <v>0</v>
      </c>
      <c r="O15" s="31">
        <v>9</v>
      </c>
      <c r="P15">
        <v>0</v>
      </c>
      <c r="Q15">
        <v>0</v>
      </c>
      <c r="R15" s="28">
        <v>2</v>
      </c>
      <c r="S15">
        <v>0</v>
      </c>
      <c r="T15">
        <v>0</v>
      </c>
      <c r="U15" s="28">
        <v>1</v>
      </c>
      <c r="V15">
        <v>0</v>
      </c>
      <c r="W15">
        <v>0</v>
      </c>
      <c r="X15" s="31">
        <v>4</v>
      </c>
      <c r="Y15">
        <v>0</v>
      </c>
      <c r="Z15">
        <v>0</v>
      </c>
      <c r="AA15" s="28">
        <v>11</v>
      </c>
      <c r="AB15">
        <v>0</v>
      </c>
      <c r="AC15">
        <v>0</v>
      </c>
      <c r="AD15" s="28">
        <v>6</v>
      </c>
      <c r="AE15">
        <v>0</v>
      </c>
      <c r="AF15">
        <v>0</v>
      </c>
      <c r="AG15" s="31">
        <v>3</v>
      </c>
      <c r="AH15">
        <v>0</v>
      </c>
      <c r="AI15">
        <v>0</v>
      </c>
      <c r="AJ15" s="28">
        <v>3</v>
      </c>
      <c r="AK15">
        <v>0</v>
      </c>
      <c r="AL15">
        <v>2</v>
      </c>
      <c r="AM15" s="28">
        <v>4</v>
      </c>
      <c r="AN15">
        <v>0</v>
      </c>
      <c r="AO15" s="34">
        <v>0</v>
      </c>
    </row>
    <row r="16" spans="1:41"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37"/>
    </row>
    <row r="17" spans="1:41" x14ac:dyDescent="0.25">
      <c r="A17" s="2" t="s">
        <v>91</v>
      </c>
      <c r="B17" s="7">
        <v>0.5625</v>
      </c>
      <c r="C17" s="31">
        <v>2</v>
      </c>
      <c r="D17">
        <v>0</v>
      </c>
      <c r="E17">
        <v>0</v>
      </c>
      <c r="F17" s="28">
        <v>10</v>
      </c>
      <c r="G17">
        <v>0</v>
      </c>
      <c r="H17">
        <v>0</v>
      </c>
      <c r="I17" s="28">
        <v>4</v>
      </c>
      <c r="J17">
        <v>0</v>
      </c>
      <c r="K17">
        <v>0</v>
      </c>
      <c r="L17" s="28">
        <v>0</v>
      </c>
      <c r="M17">
        <v>0</v>
      </c>
      <c r="N17">
        <v>0</v>
      </c>
      <c r="O17" s="31">
        <v>3</v>
      </c>
      <c r="P17">
        <v>0</v>
      </c>
      <c r="Q17">
        <v>0</v>
      </c>
      <c r="R17" s="28">
        <v>2</v>
      </c>
      <c r="S17">
        <v>0</v>
      </c>
      <c r="T17">
        <v>0</v>
      </c>
      <c r="U17" s="28">
        <v>1</v>
      </c>
      <c r="V17">
        <v>0</v>
      </c>
      <c r="W17">
        <v>0</v>
      </c>
      <c r="X17" s="31">
        <v>5</v>
      </c>
      <c r="Y17">
        <v>0</v>
      </c>
      <c r="Z17">
        <v>0</v>
      </c>
      <c r="AA17" s="28">
        <v>8</v>
      </c>
      <c r="AB17">
        <v>0</v>
      </c>
      <c r="AC17">
        <v>0</v>
      </c>
      <c r="AD17" s="28">
        <v>12</v>
      </c>
      <c r="AE17">
        <v>0</v>
      </c>
      <c r="AF17">
        <v>0</v>
      </c>
      <c r="AG17" s="31">
        <v>2</v>
      </c>
      <c r="AH17">
        <v>0</v>
      </c>
      <c r="AI17">
        <v>0</v>
      </c>
      <c r="AJ17" s="28">
        <v>6</v>
      </c>
      <c r="AK17">
        <v>0</v>
      </c>
      <c r="AL17">
        <v>0</v>
      </c>
      <c r="AM17" s="28">
        <v>6</v>
      </c>
      <c r="AN17">
        <v>0</v>
      </c>
      <c r="AO17" s="34">
        <v>0</v>
      </c>
    </row>
    <row r="18" spans="1:41" x14ac:dyDescent="0.25">
      <c r="A18" s="2" t="s">
        <v>91</v>
      </c>
      <c r="B18" s="7">
        <v>0.57291666666666663</v>
      </c>
      <c r="C18" s="31">
        <v>4</v>
      </c>
      <c r="D18">
        <v>0</v>
      </c>
      <c r="E18">
        <v>0</v>
      </c>
      <c r="F18" s="28">
        <v>16</v>
      </c>
      <c r="G18">
        <v>0</v>
      </c>
      <c r="H18">
        <v>0</v>
      </c>
      <c r="I18" s="28">
        <v>3</v>
      </c>
      <c r="J18">
        <v>0</v>
      </c>
      <c r="K18">
        <v>0</v>
      </c>
      <c r="L18" s="28">
        <v>0</v>
      </c>
      <c r="M18">
        <v>0</v>
      </c>
      <c r="N18">
        <v>0</v>
      </c>
      <c r="O18" s="31">
        <v>7</v>
      </c>
      <c r="P18">
        <v>2</v>
      </c>
      <c r="Q18">
        <v>0</v>
      </c>
      <c r="R18" s="28">
        <v>4</v>
      </c>
      <c r="S18">
        <v>0</v>
      </c>
      <c r="T18">
        <v>0</v>
      </c>
      <c r="U18" s="28">
        <v>3</v>
      </c>
      <c r="V18">
        <v>0</v>
      </c>
      <c r="W18">
        <v>0</v>
      </c>
      <c r="X18" s="31">
        <v>10</v>
      </c>
      <c r="Y18">
        <v>0</v>
      </c>
      <c r="Z18">
        <v>0</v>
      </c>
      <c r="AA18" s="28">
        <v>13</v>
      </c>
      <c r="AB18">
        <v>0</v>
      </c>
      <c r="AC18">
        <v>0</v>
      </c>
      <c r="AD18" s="28">
        <v>5</v>
      </c>
      <c r="AE18">
        <v>0</v>
      </c>
      <c r="AF18">
        <v>0</v>
      </c>
      <c r="AG18" s="31">
        <v>7</v>
      </c>
      <c r="AH18">
        <v>0</v>
      </c>
      <c r="AI18">
        <v>0</v>
      </c>
      <c r="AJ18" s="28">
        <v>1</v>
      </c>
      <c r="AK18">
        <v>0</v>
      </c>
      <c r="AL18">
        <v>0</v>
      </c>
      <c r="AM18" s="28">
        <v>4</v>
      </c>
      <c r="AN18">
        <v>1</v>
      </c>
      <c r="AO18" s="34">
        <v>0</v>
      </c>
    </row>
    <row r="19" spans="1:41" x14ac:dyDescent="0.25">
      <c r="A19" s="2" t="s">
        <v>91</v>
      </c>
      <c r="B19" s="7">
        <v>0.58333333333333337</v>
      </c>
      <c r="C19" s="31">
        <v>0</v>
      </c>
      <c r="D19">
        <v>0</v>
      </c>
      <c r="E19">
        <v>0</v>
      </c>
      <c r="F19" s="28">
        <v>12</v>
      </c>
      <c r="G19">
        <v>0</v>
      </c>
      <c r="H19">
        <v>0</v>
      </c>
      <c r="I19" s="28">
        <v>4</v>
      </c>
      <c r="J19">
        <v>0</v>
      </c>
      <c r="K19">
        <v>0</v>
      </c>
      <c r="L19" s="28">
        <v>0</v>
      </c>
      <c r="M19">
        <v>0</v>
      </c>
      <c r="N19">
        <v>0</v>
      </c>
      <c r="O19" s="31">
        <v>5</v>
      </c>
      <c r="P19">
        <v>0</v>
      </c>
      <c r="Q19">
        <v>0</v>
      </c>
      <c r="R19" s="28">
        <v>1</v>
      </c>
      <c r="S19">
        <v>0</v>
      </c>
      <c r="T19">
        <v>0</v>
      </c>
      <c r="U19" s="28">
        <v>1</v>
      </c>
      <c r="V19">
        <v>0</v>
      </c>
      <c r="W19">
        <v>0</v>
      </c>
      <c r="X19" s="31">
        <v>11</v>
      </c>
      <c r="Y19">
        <v>0</v>
      </c>
      <c r="Z19">
        <v>0</v>
      </c>
      <c r="AA19" s="28">
        <v>11</v>
      </c>
      <c r="AB19">
        <v>0</v>
      </c>
      <c r="AC19">
        <v>0</v>
      </c>
      <c r="AD19" s="28">
        <v>9</v>
      </c>
      <c r="AE19">
        <v>0</v>
      </c>
      <c r="AF19">
        <v>0</v>
      </c>
      <c r="AG19" s="31">
        <v>6</v>
      </c>
      <c r="AH19">
        <v>0</v>
      </c>
      <c r="AI19">
        <v>0</v>
      </c>
      <c r="AJ19" s="28">
        <v>0</v>
      </c>
      <c r="AK19">
        <v>0</v>
      </c>
      <c r="AL19">
        <v>0</v>
      </c>
      <c r="AM19" s="28">
        <v>5</v>
      </c>
      <c r="AN19">
        <v>0</v>
      </c>
      <c r="AO19" s="34">
        <v>0</v>
      </c>
    </row>
    <row r="20" spans="1:41" x14ac:dyDescent="0.25">
      <c r="A20" s="2" t="s">
        <v>91</v>
      </c>
      <c r="B20" s="7">
        <v>0.59375</v>
      </c>
      <c r="C20" s="31">
        <v>2</v>
      </c>
      <c r="D20">
        <v>0</v>
      </c>
      <c r="E20">
        <v>0</v>
      </c>
      <c r="F20" s="28">
        <v>10</v>
      </c>
      <c r="G20">
        <v>0</v>
      </c>
      <c r="H20">
        <v>0</v>
      </c>
      <c r="I20" s="28">
        <v>4</v>
      </c>
      <c r="J20">
        <v>0</v>
      </c>
      <c r="K20">
        <v>0</v>
      </c>
      <c r="L20" s="28">
        <v>0</v>
      </c>
      <c r="M20">
        <v>0</v>
      </c>
      <c r="N20">
        <v>0</v>
      </c>
      <c r="O20" s="31">
        <v>6</v>
      </c>
      <c r="P20">
        <v>0</v>
      </c>
      <c r="Q20">
        <v>0</v>
      </c>
      <c r="R20" s="28">
        <v>6</v>
      </c>
      <c r="S20">
        <v>0</v>
      </c>
      <c r="T20">
        <v>0</v>
      </c>
      <c r="U20" s="28">
        <v>1</v>
      </c>
      <c r="V20">
        <v>0</v>
      </c>
      <c r="W20">
        <v>0</v>
      </c>
      <c r="X20" s="31">
        <v>9</v>
      </c>
      <c r="Y20">
        <v>0</v>
      </c>
      <c r="Z20">
        <v>0</v>
      </c>
      <c r="AA20" s="28">
        <v>5</v>
      </c>
      <c r="AB20">
        <v>0</v>
      </c>
      <c r="AC20">
        <v>0</v>
      </c>
      <c r="AD20" s="28">
        <v>9</v>
      </c>
      <c r="AE20">
        <v>0</v>
      </c>
      <c r="AF20">
        <v>0</v>
      </c>
      <c r="AG20" s="31">
        <v>1</v>
      </c>
      <c r="AH20">
        <v>0</v>
      </c>
      <c r="AI20">
        <v>0</v>
      </c>
      <c r="AJ20" s="28">
        <v>5</v>
      </c>
      <c r="AK20">
        <v>0</v>
      </c>
      <c r="AL20">
        <v>0</v>
      </c>
      <c r="AM20" s="28">
        <v>8</v>
      </c>
      <c r="AN20">
        <v>0</v>
      </c>
      <c r="AO20" s="34">
        <v>0</v>
      </c>
    </row>
    <row r="21" spans="1:41" x14ac:dyDescent="0.25">
      <c r="A21" s="2" t="s">
        <v>91</v>
      </c>
      <c r="B21" s="7">
        <v>0.60416666666666663</v>
      </c>
      <c r="C21" s="31">
        <v>0</v>
      </c>
      <c r="D21">
        <v>0</v>
      </c>
      <c r="E21">
        <v>0</v>
      </c>
      <c r="F21" s="28">
        <v>13</v>
      </c>
      <c r="G21">
        <v>1</v>
      </c>
      <c r="H21">
        <v>0</v>
      </c>
      <c r="I21" s="28">
        <v>3</v>
      </c>
      <c r="J21">
        <v>0</v>
      </c>
      <c r="K21">
        <v>0</v>
      </c>
      <c r="L21" s="28">
        <v>0</v>
      </c>
      <c r="M21">
        <v>0</v>
      </c>
      <c r="N21">
        <v>0</v>
      </c>
      <c r="O21" s="31">
        <v>6</v>
      </c>
      <c r="P21">
        <v>0</v>
      </c>
      <c r="Q21">
        <v>0</v>
      </c>
      <c r="R21" s="28">
        <v>0</v>
      </c>
      <c r="S21">
        <v>0</v>
      </c>
      <c r="T21">
        <v>0</v>
      </c>
      <c r="U21" s="28">
        <v>0</v>
      </c>
      <c r="V21">
        <v>0</v>
      </c>
      <c r="W21">
        <v>0</v>
      </c>
      <c r="X21" s="31">
        <v>7</v>
      </c>
      <c r="Y21">
        <v>0</v>
      </c>
      <c r="Z21">
        <v>0</v>
      </c>
      <c r="AA21" s="28">
        <v>15</v>
      </c>
      <c r="AB21">
        <v>0</v>
      </c>
      <c r="AC21">
        <v>0</v>
      </c>
      <c r="AD21" s="28">
        <v>3</v>
      </c>
      <c r="AE21">
        <v>2</v>
      </c>
      <c r="AF21">
        <v>0</v>
      </c>
      <c r="AG21" s="31">
        <v>2</v>
      </c>
      <c r="AH21">
        <v>0</v>
      </c>
      <c r="AI21">
        <v>0</v>
      </c>
      <c r="AJ21" s="28">
        <v>5</v>
      </c>
      <c r="AK21">
        <v>0</v>
      </c>
      <c r="AL21">
        <v>0</v>
      </c>
      <c r="AM21" s="28">
        <v>7</v>
      </c>
      <c r="AN21">
        <v>0</v>
      </c>
      <c r="AO21" s="34">
        <v>0</v>
      </c>
    </row>
    <row r="22" spans="1:41" x14ac:dyDescent="0.25">
      <c r="A22" s="2" t="s">
        <v>91</v>
      </c>
      <c r="B22" s="7">
        <v>0.61458333333333337</v>
      </c>
      <c r="C22" s="31">
        <v>0</v>
      </c>
      <c r="D22">
        <v>0</v>
      </c>
      <c r="E22">
        <v>0</v>
      </c>
      <c r="F22" s="28">
        <v>10</v>
      </c>
      <c r="G22">
        <v>0</v>
      </c>
      <c r="H22">
        <v>0</v>
      </c>
      <c r="I22" s="28">
        <v>4</v>
      </c>
      <c r="J22">
        <v>0</v>
      </c>
      <c r="K22">
        <v>0</v>
      </c>
      <c r="L22" s="28">
        <v>0</v>
      </c>
      <c r="M22">
        <v>0</v>
      </c>
      <c r="N22">
        <v>0</v>
      </c>
      <c r="O22" s="31">
        <v>7</v>
      </c>
      <c r="P22">
        <v>1</v>
      </c>
      <c r="Q22">
        <v>0</v>
      </c>
      <c r="R22" s="28">
        <v>6</v>
      </c>
      <c r="S22">
        <v>0</v>
      </c>
      <c r="T22">
        <v>0</v>
      </c>
      <c r="U22" s="28">
        <v>1</v>
      </c>
      <c r="V22">
        <v>0</v>
      </c>
      <c r="W22">
        <v>0</v>
      </c>
      <c r="X22" s="31">
        <v>6</v>
      </c>
      <c r="Y22">
        <v>0</v>
      </c>
      <c r="Z22">
        <v>0</v>
      </c>
      <c r="AA22" s="28">
        <v>14</v>
      </c>
      <c r="AB22">
        <v>0</v>
      </c>
      <c r="AC22">
        <v>0</v>
      </c>
      <c r="AD22" s="28">
        <v>7</v>
      </c>
      <c r="AE22">
        <v>0</v>
      </c>
      <c r="AF22">
        <v>0</v>
      </c>
      <c r="AG22" s="31">
        <v>5</v>
      </c>
      <c r="AH22">
        <v>0</v>
      </c>
      <c r="AI22">
        <v>0</v>
      </c>
      <c r="AJ22" s="28">
        <v>2</v>
      </c>
      <c r="AK22">
        <v>0</v>
      </c>
      <c r="AL22">
        <v>0</v>
      </c>
      <c r="AM22" s="28">
        <v>10</v>
      </c>
      <c r="AN22">
        <v>0</v>
      </c>
      <c r="AO22" s="34">
        <v>0</v>
      </c>
    </row>
    <row r="23" spans="1:41" x14ac:dyDescent="0.25">
      <c r="A23" s="2" t="s">
        <v>91</v>
      </c>
      <c r="B23" s="7">
        <v>0.625</v>
      </c>
      <c r="C23" s="31">
        <v>1</v>
      </c>
      <c r="D23">
        <v>0</v>
      </c>
      <c r="E23">
        <v>0</v>
      </c>
      <c r="F23" s="28">
        <v>12</v>
      </c>
      <c r="G23">
        <v>2</v>
      </c>
      <c r="H23">
        <v>0</v>
      </c>
      <c r="I23" s="28">
        <v>10</v>
      </c>
      <c r="J23">
        <v>0</v>
      </c>
      <c r="K23">
        <v>0</v>
      </c>
      <c r="L23" s="28">
        <v>0</v>
      </c>
      <c r="M23">
        <v>0</v>
      </c>
      <c r="N23">
        <v>0</v>
      </c>
      <c r="O23" s="31">
        <v>5</v>
      </c>
      <c r="P23">
        <v>1</v>
      </c>
      <c r="Q23">
        <v>0</v>
      </c>
      <c r="R23" s="28">
        <v>5</v>
      </c>
      <c r="S23">
        <v>0</v>
      </c>
      <c r="T23">
        <v>0</v>
      </c>
      <c r="U23" s="28">
        <v>0</v>
      </c>
      <c r="V23">
        <v>0</v>
      </c>
      <c r="W23">
        <v>0</v>
      </c>
      <c r="X23" s="31">
        <v>6</v>
      </c>
      <c r="Y23">
        <v>0</v>
      </c>
      <c r="Z23">
        <v>0</v>
      </c>
      <c r="AA23" s="28">
        <v>12</v>
      </c>
      <c r="AB23">
        <v>0</v>
      </c>
      <c r="AC23">
        <v>0</v>
      </c>
      <c r="AD23" s="28">
        <v>8</v>
      </c>
      <c r="AE23">
        <v>1</v>
      </c>
      <c r="AF23">
        <v>1</v>
      </c>
      <c r="AG23" s="31">
        <v>6</v>
      </c>
      <c r="AH23">
        <v>0</v>
      </c>
      <c r="AI23">
        <v>0</v>
      </c>
      <c r="AJ23" s="28">
        <v>5</v>
      </c>
      <c r="AK23">
        <v>0</v>
      </c>
      <c r="AL23">
        <v>0</v>
      </c>
      <c r="AM23" s="28">
        <v>7</v>
      </c>
      <c r="AN23">
        <v>0</v>
      </c>
      <c r="AO23" s="34">
        <v>0</v>
      </c>
    </row>
    <row r="24" spans="1:41" ht="15.75" thickBot="1" x14ac:dyDescent="0.3">
      <c r="A24" s="2" t="s">
        <v>91</v>
      </c>
      <c r="B24" s="7">
        <v>0.63541666666666663</v>
      </c>
      <c r="C24" s="31">
        <v>1</v>
      </c>
      <c r="D24">
        <v>0</v>
      </c>
      <c r="E24">
        <v>0</v>
      </c>
      <c r="F24" s="28">
        <v>13</v>
      </c>
      <c r="G24">
        <v>2</v>
      </c>
      <c r="H24">
        <v>0</v>
      </c>
      <c r="I24" s="28">
        <v>5</v>
      </c>
      <c r="J24">
        <v>0</v>
      </c>
      <c r="K24">
        <v>0</v>
      </c>
      <c r="L24" s="28">
        <v>0</v>
      </c>
      <c r="M24">
        <v>0</v>
      </c>
      <c r="N24">
        <v>0</v>
      </c>
      <c r="O24" s="31">
        <v>6</v>
      </c>
      <c r="P24">
        <v>0</v>
      </c>
      <c r="Q24">
        <v>0</v>
      </c>
      <c r="R24" s="28">
        <v>1</v>
      </c>
      <c r="S24">
        <v>0</v>
      </c>
      <c r="T24">
        <v>0</v>
      </c>
      <c r="U24" s="28">
        <v>1</v>
      </c>
      <c r="V24">
        <v>0</v>
      </c>
      <c r="W24">
        <v>0</v>
      </c>
      <c r="X24" s="31">
        <v>9</v>
      </c>
      <c r="Y24">
        <v>0</v>
      </c>
      <c r="Z24">
        <v>0</v>
      </c>
      <c r="AA24" s="28">
        <v>16</v>
      </c>
      <c r="AB24">
        <v>0</v>
      </c>
      <c r="AC24">
        <v>0</v>
      </c>
      <c r="AD24" s="28">
        <v>3</v>
      </c>
      <c r="AE24">
        <v>0</v>
      </c>
      <c r="AF24">
        <v>0</v>
      </c>
      <c r="AG24" s="31">
        <v>2</v>
      </c>
      <c r="AH24">
        <v>0</v>
      </c>
      <c r="AI24">
        <v>0</v>
      </c>
      <c r="AJ24" s="28">
        <v>4</v>
      </c>
      <c r="AK24">
        <v>1</v>
      </c>
      <c r="AL24">
        <v>0</v>
      </c>
      <c r="AM24" s="28">
        <v>6</v>
      </c>
      <c r="AN24">
        <v>0</v>
      </c>
      <c r="AO24" s="34">
        <v>0</v>
      </c>
    </row>
    <row r="25" spans="1:41" ht="15.75" thickBot="1" x14ac:dyDescent="0.3">
      <c r="A25" s="22"/>
      <c r="B25" s="22"/>
      <c r="C25" s="35"/>
      <c r="D25" s="20"/>
      <c r="E25" s="20"/>
      <c r="F25" s="36"/>
      <c r="G25" s="20"/>
      <c r="H25" s="20"/>
      <c r="I25" s="36"/>
      <c r="J25" s="20"/>
      <c r="K25" s="20"/>
      <c r="L25" s="36"/>
      <c r="M25" s="20"/>
      <c r="N25" s="20"/>
      <c r="O25" s="35"/>
      <c r="P25" s="20"/>
      <c r="Q25" s="20"/>
      <c r="R25" s="36"/>
      <c r="S25" s="20"/>
      <c r="T25" s="20"/>
      <c r="U25" s="36"/>
      <c r="V25" s="20"/>
      <c r="W25" s="20"/>
      <c r="X25" s="35"/>
      <c r="Y25" s="20"/>
      <c r="Z25" s="20"/>
      <c r="AA25" s="36"/>
      <c r="AB25" s="20"/>
      <c r="AC25" s="20"/>
      <c r="AD25" s="36"/>
      <c r="AE25" s="20"/>
      <c r="AF25" s="20"/>
      <c r="AG25" s="35"/>
      <c r="AH25" s="20"/>
      <c r="AI25" s="20"/>
      <c r="AJ25" s="36"/>
      <c r="AK25" s="20"/>
      <c r="AL25" s="20"/>
      <c r="AM25" s="36"/>
      <c r="AN25" s="20"/>
      <c r="AO25" s="37"/>
    </row>
    <row r="26" spans="1:41" x14ac:dyDescent="0.25">
      <c r="A26" s="2" t="s">
        <v>44</v>
      </c>
      <c r="B26" s="7">
        <v>0.66666666666666663</v>
      </c>
      <c r="C26" s="31">
        <v>0</v>
      </c>
      <c r="D26">
        <v>0</v>
      </c>
      <c r="E26">
        <v>0</v>
      </c>
      <c r="F26" s="28">
        <v>18</v>
      </c>
      <c r="G26">
        <v>0</v>
      </c>
      <c r="H26">
        <v>0</v>
      </c>
      <c r="I26" s="28">
        <v>8</v>
      </c>
      <c r="J26">
        <v>0</v>
      </c>
      <c r="K26">
        <v>0</v>
      </c>
      <c r="L26" s="28">
        <v>0</v>
      </c>
      <c r="M26">
        <v>0</v>
      </c>
      <c r="N26">
        <v>0</v>
      </c>
      <c r="O26" s="31">
        <v>5</v>
      </c>
      <c r="P26">
        <v>0</v>
      </c>
      <c r="Q26">
        <v>0</v>
      </c>
      <c r="R26" s="28">
        <v>5</v>
      </c>
      <c r="S26">
        <v>0</v>
      </c>
      <c r="T26">
        <v>0</v>
      </c>
      <c r="U26" s="28">
        <v>0</v>
      </c>
      <c r="V26">
        <v>0</v>
      </c>
      <c r="W26">
        <v>0</v>
      </c>
      <c r="X26" s="31">
        <v>12</v>
      </c>
      <c r="Y26">
        <v>0</v>
      </c>
      <c r="Z26">
        <v>0</v>
      </c>
      <c r="AA26" s="28">
        <v>10</v>
      </c>
      <c r="AB26">
        <v>0</v>
      </c>
      <c r="AC26">
        <v>0</v>
      </c>
      <c r="AD26" s="28">
        <v>9</v>
      </c>
      <c r="AE26">
        <v>1</v>
      </c>
      <c r="AF26">
        <v>1</v>
      </c>
      <c r="AG26" s="31">
        <v>3</v>
      </c>
      <c r="AH26">
        <v>0</v>
      </c>
      <c r="AI26">
        <v>0</v>
      </c>
      <c r="AJ26" s="28">
        <v>1</v>
      </c>
      <c r="AK26">
        <v>0</v>
      </c>
      <c r="AL26">
        <v>0</v>
      </c>
      <c r="AM26" s="28">
        <v>5</v>
      </c>
      <c r="AN26">
        <v>0</v>
      </c>
      <c r="AO26" s="34">
        <v>0</v>
      </c>
    </row>
    <row r="27" spans="1:41" x14ac:dyDescent="0.25">
      <c r="A27" s="2" t="s">
        <v>44</v>
      </c>
      <c r="B27" s="7">
        <v>0.67708333333333337</v>
      </c>
      <c r="C27" s="31">
        <v>2</v>
      </c>
      <c r="D27">
        <v>0</v>
      </c>
      <c r="E27">
        <v>0</v>
      </c>
      <c r="F27" s="28">
        <v>10</v>
      </c>
      <c r="G27">
        <v>2</v>
      </c>
      <c r="H27">
        <v>0</v>
      </c>
      <c r="I27" s="28">
        <v>1</v>
      </c>
      <c r="J27">
        <v>0</v>
      </c>
      <c r="K27">
        <v>0</v>
      </c>
      <c r="L27" s="28">
        <v>0</v>
      </c>
      <c r="M27">
        <v>0</v>
      </c>
      <c r="N27">
        <v>0</v>
      </c>
      <c r="O27" s="31">
        <v>7</v>
      </c>
      <c r="P27">
        <v>1</v>
      </c>
      <c r="Q27">
        <v>0</v>
      </c>
      <c r="R27" s="28">
        <v>3</v>
      </c>
      <c r="S27">
        <v>0</v>
      </c>
      <c r="T27">
        <v>0</v>
      </c>
      <c r="U27" s="28">
        <v>0</v>
      </c>
      <c r="V27">
        <v>0</v>
      </c>
      <c r="W27">
        <v>0</v>
      </c>
      <c r="X27" s="31">
        <v>12</v>
      </c>
      <c r="Y27">
        <v>0</v>
      </c>
      <c r="Z27">
        <v>0</v>
      </c>
      <c r="AA27" s="28">
        <v>12</v>
      </c>
      <c r="AB27">
        <v>0</v>
      </c>
      <c r="AC27">
        <v>0</v>
      </c>
      <c r="AD27" s="28">
        <v>10</v>
      </c>
      <c r="AE27">
        <v>0</v>
      </c>
      <c r="AF27">
        <v>0</v>
      </c>
      <c r="AG27" s="31">
        <v>7</v>
      </c>
      <c r="AH27">
        <v>0</v>
      </c>
      <c r="AI27">
        <v>0</v>
      </c>
      <c r="AJ27" s="28">
        <v>2</v>
      </c>
      <c r="AK27">
        <v>0</v>
      </c>
      <c r="AL27">
        <v>0</v>
      </c>
      <c r="AM27" s="28">
        <v>6</v>
      </c>
      <c r="AN27">
        <v>0</v>
      </c>
      <c r="AO27" s="34">
        <v>0</v>
      </c>
    </row>
    <row r="28" spans="1:41" x14ac:dyDescent="0.25">
      <c r="A28" s="2" t="s">
        <v>44</v>
      </c>
      <c r="B28" s="7">
        <v>0.6875</v>
      </c>
      <c r="C28" s="31">
        <v>1</v>
      </c>
      <c r="D28">
        <v>0</v>
      </c>
      <c r="E28">
        <v>0</v>
      </c>
      <c r="F28" s="28">
        <v>12</v>
      </c>
      <c r="G28">
        <v>2</v>
      </c>
      <c r="H28">
        <v>0</v>
      </c>
      <c r="I28" s="28">
        <v>3</v>
      </c>
      <c r="J28">
        <v>0</v>
      </c>
      <c r="K28">
        <v>0</v>
      </c>
      <c r="L28" s="28">
        <v>0</v>
      </c>
      <c r="M28">
        <v>0</v>
      </c>
      <c r="N28">
        <v>0</v>
      </c>
      <c r="O28" s="31">
        <v>5</v>
      </c>
      <c r="P28">
        <v>0</v>
      </c>
      <c r="Q28">
        <v>0</v>
      </c>
      <c r="R28" s="28">
        <v>2</v>
      </c>
      <c r="S28">
        <v>0</v>
      </c>
      <c r="T28">
        <v>0</v>
      </c>
      <c r="U28" s="28">
        <v>0</v>
      </c>
      <c r="V28">
        <v>0</v>
      </c>
      <c r="W28">
        <v>0</v>
      </c>
      <c r="X28" s="31">
        <v>6</v>
      </c>
      <c r="Y28">
        <v>0</v>
      </c>
      <c r="Z28">
        <v>0</v>
      </c>
      <c r="AA28" s="28">
        <v>14</v>
      </c>
      <c r="AB28">
        <v>0</v>
      </c>
      <c r="AC28">
        <v>0</v>
      </c>
      <c r="AD28" s="28">
        <v>6</v>
      </c>
      <c r="AE28">
        <v>1</v>
      </c>
      <c r="AF28">
        <v>0</v>
      </c>
      <c r="AG28" s="31">
        <v>2</v>
      </c>
      <c r="AH28">
        <v>0</v>
      </c>
      <c r="AI28">
        <v>0</v>
      </c>
      <c r="AJ28" s="28">
        <v>3</v>
      </c>
      <c r="AK28">
        <v>0</v>
      </c>
      <c r="AL28">
        <v>0</v>
      </c>
      <c r="AM28" s="28">
        <v>11</v>
      </c>
      <c r="AN28">
        <v>0</v>
      </c>
      <c r="AO28" s="34">
        <v>0</v>
      </c>
    </row>
    <row r="29" spans="1:41" x14ac:dyDescent="0.25">
      <c r="A29" s="2" t="s">
        <v>44</v>
      </c>
      <c r="B29" s="7">
        <v>0.69791666666666663</v>
      </c>
      <c r="C29" s="31">
        <v>0</v>
      </c>
      <c r="D29">
        <v>0</v>
      </c>
      <c r="E29">
        <v>0</v>
      </c>
      <c r="F29" s="28">
        <v>5</v>
      </c>
      <c r="G29">
        <v>1</v>
      </c>
      <c r="H29">
        <v>0</v>
      </c>
      <c r="I29" s="28">
        <v>4</v>
      </c>
      <c r="J29">
        <v>0</v>
      </c>
      <c r="K29">
        <v>0</v>
      </c>
      <c r="L29" s="28">
        <v>0</v>
      </c>
      <c r="M29">
        <v>0</v>
      </c>
      <c r="N29">
        <v>0</v>
      </c>
      <c r="O29" s="31">
        <v>3</v>
      </c>
      <c r="P29">
        <v>0</v>
      </c>
      <c r="Q29">
        <v>0</v>
      </c>
      <c r="R29" s="28">
        <v>2</v>
      </c>
      <c r="S29">
        <v>0</v>
      </c>
      <c r="T29">
        <v>0</v>
      </c>
      <c r="U29" s="28">
        <v>0</v>
      </c>
      <c r="V29">
        <v>0</v>
      </c>
      <c r="W29">
        <v>0</v>
      </c>
      <c r="X29" s="31">
        <v>8</v>
      </c>
      <c r="Y29">
        <v>0</v>
      </c>
      <c r="Z29">
        <v>0</v>
      </c>
      <c r="AA29" s="28">
        <v>14</v>
      </c>
      <c r="AB29">
        <v>0</v>
      </c>
      <c r="AC29">
        <v>0</v>
      </c>
      <c r="AD29" s="28">
        <v>9</v>
      </c>
      <c r="AE29">
        <v>0</v>
      </c>
      <c r="AF29">
        <v>2</v>
      </c>
      <c r="AG29" s="31">
        <v>3</v>
      </c>
      <c r="AH29">
        <v>0</v>
      </c>
      <c r="AI29">
        <v>0</v>
      </c>
      <c r="AJ29" s="28">
        <v>1</v>
      </c>
      <c r="AK29">
        <v>0</v>
      </c>
      <c r="AL29">
        <v>0</v>
      </c>
      <c r="AM29" s="28">
        <v>6</v>
      </c>
      <c r="AN29">
        <v>0</v>
      </c>
      <c r="AO29" s="34">
        <v>0</v>
      </c>
    </row>
    <row r="30" spans="1:41" x14ac:dyDescent="0.25">
      <c r="A30" s="2" t="s">
        <v>44</v>
      </c>
      <c r="B30" s="7">
        <v>0.70833333333333337</v>
      </c>
      <c r="C30" s="31">
        <v>0</v>
      </c>
      <c r="D30">
        <v>0</v>
      </c>
      <c r="E30">
        <v>0</v>
      </c>
      <c r="F30" s="28">
        <v>13</v>
      </c>
      <c r="G30">
        <v>1</v>
      </c>
      <c r="H30">
        <v>0</v>
      </c>
      <c r="I30" s="28">
        <v>6</v>
      </c>
      <c r="J30">
        <v>0</v>
      </c>
      <c r="K30">
        <v>0</v>
      </c>
      <c r="L30" s="28">
        <v>0</v>
      </c>
      <c r="M30">
        <v>0</v>
      </c>
      <c r="N30">
        <v>0</v>
      </c>
      <c r="O30" s="31">
        <v>6</v>
      </c>
      <c r="P30">
        <v>1</v>
      </c>
      <c r="Q30">
        <v>0</v>
      </c>
      <c r="R30" s="28">
        <v>3</v>
      </c>
      <c r="S30">
        <v>0</v>
      </c>
      <c r="T30">
        <v>0</v>
      </c>
      <c r="U30" s="28">
        <v>1</v>
      </c>
      <c r="V30">
        <v>0</v>
      </c>
      <c r="W30">
        <v>0</v>
      </c>
      <c r="X30" s="31">
        <v>14</v>
      </c>
      <c r="Y30">
        <v>0</v>
      </c>
      <c r="Z30">
        <v>0</v>
      </c>
      <c r="AA30" s="28">
        <v>20</v>
      </c>
      <c r="AB30">
        <v>0</v>
      </c>
      <c r="AC30">
        <v>0</v>
      </c>
      <c r="AD30" s="28">
        <v>6</v>
      </c>
      <c r="AE30">
        <v>1</v>
      </c>
      <c r="AF30">
        <v>2</v>
      </c>
      <c r="AG30" s="31">
        <v>6</v>
      </c>
      <c r="AH30">
        <v>0</v>
      </c>
      <c r="AI30">
        <v>0</v>
      </c>
      <c r="AJ30" s="28">
        <v>2</v>
      </c>
      <c r="AK30">
        <v>0</v>
      </c>
      <c r="AL30">
        <v>0</v>
      </c>
      <c r="AM30" s="28">
        <v>4</v>
      </c>
      <c r="AN30">
        <v>0</v>
      </c>
      <c r="AO30" s="34">
        <v>0</v>
      </c>
    </row>
    <row r="31" spans="1:41" x14ac:dyDescent="0.25">
      <c r="A31" s="2" t="s">
        <v>44</v>
      </c>
      <c r="B31" s="7">
        <v>0.71875</v>
      </c>
      <c r="C31" s="31">
        <v>2</v>
      </c>
      <c r="D31">
        <v>0</v>
      </c>
      <c r="E31">
        <v>0</v>
      </c>
      <c r="F31" s="28">
        <v>10</v>
      </c>
      <c r="G31">
        <v>1</v>
      </c>
      <c r="H31">
        <v>0</v>
      </c>
      <c r="I31" s="28">
        <v>7</v>
      </c>
      <c r="J31">
        <v>0</v>
      </c>
      <c r="K31">
        <v>0</v>
      </c>
      <c r="L31" s="28">
        <v>0</v>
      </c>
      <c r="M31">
        <v>0</v>
      </c>
      <c r="N31">
        <v>0</v>
      </c>
      <c r="O31" s="31">
        <v>8</v>
      </c>
      <c r="P31">
        <v>0</v>
      </c>
      <c r="Q31">
        <v>0</v>
      </c>
      <c r="R31" s="28">
        <v>5</v>
      </c>
      <c r="S31">
        <v>0</v>
      </c>
      <c r="T31">
        <v>0</v>
      </c>
      <c r="U31" s="28">
        <v>2</v>
      </c>
      <c r="V31">
        <v>0</v>
      </c>
      <c r="W31">
        <v>0</v>
      </c>
      <c r="X31" s="31">
        <v>9</v>
      </c>
      <c r="Y31">
        <v>0</v>
      </c>
      <c r="Z31">
        <v>0</v>
      </c>
      <c r="AA31" s="28">
        <v>18</v>
      </c>
      <c r="AB31">
        <v>0</v>
      </c>
      <c r="AC31">
        <v>0</v>
      </c>
      <c r="AD31" s="28">
        <v>6</v>
      </c>
      <c r="AE31">
        <v>0</v>
      </c>
      <c r="AF31">
        <v>0</v>
      </c>
      <c r="AG31" s="31">
        <v>7</v>
      </c>
      <c r="AH31">
        <v>0</v>
      </c>
      <c r="AI31">
        <v>0</v>
      </c>
      <c r="AJ31" s="28">
        <v>1</v>
      </c>
      <c r="AK31">
        <v>0</v>
      </c>
      <c r="AL31">
        <v>0</v>
      </c>
      <c r="AM31" s="28">
        <v>7</v>
      </c>
      <c r="AN31">
        <v>0</v>
      </c>
      <c r="AO31" s="34">
        <v>0</v>
      </c>
    </row>
    <row r="32" spans="1:41" x14ac:dyDescent="0.25">
      <c r="A32" s="2" t="s">
        <v>44</v>
      </c>
      <c r="B32" s="7">
        <v>0.72916666666666663</v>
      </c>
      <c r="C32" s="31">
        <v>1</v>
      </c>
      <c r="D32">
        <v>0</v>
      </c>
      <c r="E32">
        <v>0</v>
      </c>
      <c r="F32" s="28">
        <v>6</v>
      </c>
      <c r="G32">
        <v>2</v>
      </c>
      <c r="H32">
        <v>0</v>
      </c>
      <c r="I32" s="28">
        <v>5</v>
      </c>
      <c r="J32">
        <v>0</v>
      </c>
      <c r="K32">
        <v>0</v>
      </c>
      <c r="L32" s="28">
        <v>0</v>
      </c>
      <c r="M32">
        <v>0</v>
      </c>
      <c r="N32">
        <v>0</v>
      </c>
      <c r="O32" s="31">
        <v>6</v>
      </c>
      <c r="P32">
        <v>0</v>
      </c>
      <c r="Q32">
        <v>0</v>
      </c>
      <c r="R32" s="28">
        <v>3</v>
      </c>
      <c r="S32">
        <v>0</v>
      </c>
      <c r="T32">
        <v>0</v>
      </c>
      <c r="U32" s="28">
        <v>1</v>
      </c>
      <c r="V32">
        <v>0</v>
      </c>
      <c r="W32">
        <v>0</v>
      </c>
      <c r="X32" s="31">
        <v>4</v>
      </c>
      <c r="Y32">
        <v>0</v>
      </c>
      <c r="Z32">
        <v>0</v>
      </c>
      <c r="AA32" s="28">
        <v>16</v>
      </c>
      <c r="AB32">
        <v>0</v>
      </c>
      <c r="AC32">
        <v>0</v>
      </c>
      <c r="AD32" s="28">
        <v>8</v>
      </c>
      <c r="AE32">
        <v>1</v>
      </c>
      <c r="AF32">
        <v>0</v>
      </c>
      <c r="AG32" s="31">
        <v>8</v>
      </c>
      <c r="AH32">
        <v>0</v>
      </c>
      <c r="AI32">
        <v>0</v>
      </c>
      <c r="AJ32" s="28">
        <v>2</v>
      </c>
      <c r="AK32">
        <v>0</v>
      </c>
      <c r="AL32">
        <v>0</v>
      </c>
      <c r="AM32" s="28">
        <v>4</v>
      </c>
      <c r="AN32">
        <v>0</v>
      </c>
      <c r="AO32" s="34">
        <v>0</v>
      </c>
    </row>
    <row r="33" spans="1:41" ht="15.75" thickBot="1" x14ac:dyDescent="0.3">
      <c r="A33" s="21" t="s">
        <v>44</v>
      </c>
      <c r="B33" s="48">
        <v>0.73958333333333337</v>
      </c>
      <c r="C33" s="39">
        <v>1</v>
      </c>
      <c r="D33" s="38">
        <v>0</v>
      </c>
      <c r="E33" s="38">
        <v>0</v>
      </c>
      <c r="F33" s="40">
        <v>7</v>
      </c>
      <c r="G33" s="38">
        <v>1</v>
      </c>
      <c r="H33" s="38">
        <v>0</v>
      </c>
      <c r="I33" s="40">
        <v>0</v>
      </c>
      <c r="J33" s="38">
        <v>0</v>
      </c>
      <c r="K33" s="38">
        <v>0</v>
      </c>
      <c r="L33" s="40">
        <v>0</v>
      </c>
      <c r="M33" s="38">
        <v>0</v>
      </c>
      <c r="N33" s="38">
        <v>0</v>
      </c>
      <c r="O33" s="39">
        <v>3</v>
      </c>
      <c r="P33" s="38">
        <v>0</v>
      </c>
      <c r="Q33" s="38">
        <v>1</v>
      </c>
      <c r="R33" s="40">
        <v>3</v>
      </c>
      <c r="S33" s="38">
        <v>0</v>
      </c>
      <c r="T33" s="38">
        <v>1</v>
      </c>
      <c r="U33" s="40">
        <v>1</v>
      </c>
      <c r="V33" s="38">
        <v>0</v>
      </c>
      <c r="W33" s="38">
        <v>0</v>
      </c>
      <c r="X33" s="39">
        <v>5</v>
      </c>
      <c r="Y33" s="38">
        <v>0</v>
      </c>
      <c r="Z33" s="38">
        <v>0</v>
      </c>
      <c r="AA33" s="40">
        <v>13</v>
      </c>
      <c r="AB33" s="38">
        <v>0</v>
      </c>
      <c r="AC33" s="38">
        <v>0</v>
      </c>
      <c r="AD33" s="40">
        <v>10</v>
      </c>
      <c r="AE33" s="38">
        <v>1</v>
      </c>
      <c r="AF33" s="38">
        <v>1</v>
      </c>
      <c r="AG33" s="39">
        <v>2</v>
      </c>
      <c r="AH33" s="38">
        <v>0</v>
      </c>
      <c r="AI33" s="38">
        <v>0</v>
      </c>
      <c r="AJ33" s="40">
        <v>3</v>
      </c>
      <c r="AK33" s="38">
        <v>0</v>
      </c>
      <c r="AL33" s="38">
        <v>0</v>
      </c>
      <c r="AM33" s="40">
        <v>3</v>
      </c>
      <c r="AN33" s="38">
        <v>0</v>
      </c>
      <c r="AO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37"/>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0.5625</v>
      </c>
      <c r="G10">
        <v>2</v>
      </c>
      <c r="H10" s="6">
        <f>FLOOR(tblPivotData[[#This Row],[Time]],Summary!$B$6/1440)</f>
        <v>0.5625</v>
      </c>
      <c r="I10" s="49">
        <f>INDEX(PeakCalc!$L$10:$L$303,MATCH(tblPivotData[[#This Row],[Time]],PeakCalc!$G$10:$G$303,0))</f>
        <v>0</v>
      </c>
    </row>
    <row r="11" spans="1:9" x14ac:dyDescent="0.25">
      <c r="A11" t="s">
        <v>93</v>
      </c>
      <c r="B11" t="s">
        <v>97</v>
      </c>
      <c r="C11" t="s">
        <v>94</v>
      </c>
      <c r="D11" t="s">
        <v>79</v>
      </c>
      <c r="E11" t="s">
        <v>91</v>
      </c>
      <c r="F11" s="6">
        <v>0.57291666666666663</v>
      </c>
      <c r="G11">
        <v>4</v>
      </c>
      <c r="H11" s="6">
        <f>FLOOR(tblPivotData[[#This Row],[Time]],Summary!$B$6/1440)</f>
        <v>0.57291666666666663</v>
      </c>
      <c r="I11" s="49">
        <f>INDEX(PeakCalc!$L$10:$L$303,MATCH(tblPivotData[[#This Row],[Time]],PeakCalc!$G$10:$G$303,0))</f>
        <v>0</v>
      </c>
    </row>
    <row r="12" spans="1:9" x14ac:dyDescent="0.25">
      <c r="A12" t="s">
        <v>93</v>
      </c>
      <c r="B12" t="s">
        <v>97</v>
      </c>
      <c r="C12" t="s">
        <v>94</v>
      </c>
      <c r="D12" t="s">
        <v>79</v>
      </c>
      <c r="E12" t="s">
        <v>91</v>
      </c>
      <c r="F12" s="6">
        <v>0.58333333333333337</v>
      </c>
      <c r="G12">
        <v>0</v>
      </c>
      <c r="H12" s="6">
        <f>FLOOR(tblPivotData[[#This Row],[Time]],Summary!$B$6/1440)</f>
        <v>0.58333333333333326</v>
      </c>
      <c r="I12" s="49">
        <f>INDEX(PeakCalc!$L$10:$L$303,MATCH(tblPivotData[[#This Row],[Time]],PeakCalc!$G$10:$G$303,0))</f>
        <v>0</v>
      </c>
    </row>
    <row r="13" spans="1:9" x14ac:dyDescent="0.25">
      <c r="A13" t="s">
        <v>93</v>
      </c>
      <c r="B13" t="s">
        <v>97</v>
      </c>
      <c r="C13" t="s">
        <v>94</v>
      </c>
      <c r="D13" t="s">
        <v>79</v>
      </c>
      <c r="E13" t="s">
        <v>91</v>
      </c>
      <c r="F13" s="6">
        <v>0.59375</v>
      </c>
      <c r="G13">
        <v>2</v>
      </c>
      <c r="H13" s="6">
        <f>FLOOR(tblPivotData[[#This Row],[Time]],Summary!$B$6/1440)</f>
        <v>0.59375</v>
      </c>
      <c r="I13" s="49">
        <f>INDEX(PeakCalc!$L$10:$L$303,MATCH(tblPivotData[[#This Row],[Time]],PeakCalc!$G$10:$G$303,0))</f>
        <v>0</v>
      </c>
    </row>
    <row r="14" spans="1:9" x14ac:dyDescent="0.25">
      <c r="A14" t="s">
        <v>93</v>
      </c>
      <c r="B14" t="s">
        <v>97</v>
      </c>
      <c r="C14" t="s">
        <v>94</v>
      </c>
      <c r="D14" t="s">
        <v>79</v>
      </c>
      <c r="E14" t="s">
        <v>91</v>
      </c>
      <c r="F14" s="6">
        <v>0.60416666666666663</v>
      </c>
      <c r="G14">
        <v>0</v>
      </c>
      <c r="H14" s="6">
        <f>FLOOR(tblPivotData[[#This Row],[Time]],Summary!$B$6/1440)</f>
        <v>0.60416666666666663</v>
      </c>
      <c r="I14" s="49">
        <f>INDEX(PeakCalc!$L$10:$L$303,MATCH(tblPivotData[[#This Row],[Time]],PeakCalc!$G$10:$G$303,0))</f>
        <v>1</v>
      </c>
    </row>
    <row r="15" spans="1:9" x14ac:dyDescent="0.25">
      <c r="A15" t="s">
        <v>93</v>
      </c>
      <c r="B15" t="s">
        <v>97</v>
      </c>
      <c r="C15" t="s">
        <v>94</v>
      </c>
      <c r="D15" t="s">
        <v>79</v>
      </c>
      <c r="E15" t="s">
        <v>91</v>
      </c>
      <c r="F15" s="6">
        <v>0.61458333333333337</v>
      </c>
      <c r="G15">
        <v>0</v>
      </c>
      <c r="H15" s="6">
        <f>FLOOR(tblPivotData[[#This Row],[Time]],Summary!$B$6/1440)</f>
        <v>0.61458333333333326</v>
      </c>
      <c r="I15" s="49">
        <f>INDEX(PeakCalc!$L$10:$L$303,MATCH(tblPivotData[[#This Row],[Time]],PeakCalc!$G$10:$G$303,0))</f>
        <v>1</v>
      </c>
    </row>
    <row r="16" spans="1:9" x14ac:dyDescent="0.25">
      <c r="A16" t="s">
        <v>93</v>
      </c>
      <c r="B16" t="s">
        <v>97</v>
      </c>
      <c r="C16" t="s">
        <v>94</v>
      </c>
      <c r="D16" t="s">
        <v>79</v>
      </c>
      <c r="E16" t="s">
        <v>91</v>
      </c>
      <c r="F16" s="6">
        <v>0.625</v>
      </c>
      <c r="G16">
        <v>1</v>
      </c>
      <c r="H16" s="6">
        <f>FLOOR(tblPivotData[[#This Row],[Time]],Summary!$B$6/1440)</f>
        <v>0.625</v>
      </c>
      <c r="I16" s="49">
        <f>INDEX(PeakCalc!$L$10:$L$303,MATCH(tblPivotData[[#This Row],[Time]],PeakCalc!$G$10:$G$303,0))</f>
        <v>1</v>
      </c>
    </row>
    <row r="17" spans="1:9" x14ac:dyDescent="0.25">
      <c r="A17" t="s">
        <v>93</v>
      </c>
      <c r="B17" t="s">
        <v>97</v>
      </c>
      <c r="C17" t="s">
        <v>94</v>
      </c>
      <c r="D17" t="s">
        <v>79</v>
      </c>
      <c r="E17" t="s">
        <v>91</v>
      </c>
      <c r="F17" s="6">
        <v>0.63541666666666663</v>
      </c>
      <c r="G17">
        <v>1</v>
      </c>
      <c r="H17" s="6">
        <f>FLOOR(tblPivotData[[#This Row],[Time]],Summary!$B$6/1440)</f>
        <v>0.63541666666666663</v>
      </c>
      <c r="I17" s="49">
        <f>INDEX(PeakCalc!$L$10:$L$303,MATCH(tblPivotData[[#This Row],[Time]],PeakCalc!$G$10:$G$303,0))</f>
        <v>1</v>
      </c>
    </row>
    <row r="18" spans="1:9" x14ac:dyDescent="0.25">
      <c r="A18" t="s">
        <v>93</v>
      </c>
      <c r="B18" t="s">
        <v>97</v>
      </c>
      <c r="C18" t="s">
        <v>94</v>
      </c>
      <c r="D18" t="s">
        <v>79</v>
      </c>
      <c r="E18" t="s">
        <v>44</v>
      </c>
      <c r="F18" s="6">
        <v>0.66666666666666663</v>
      </c>
      <c r="G18">
        <v>0</v>
      </c>
      <c r="H18" s="6">
        <f>FLOOR(tblPivotData[[#This Row],[Time]],Summary!$B$6/1440)</f>
        <v>0.66666666666666663</v>
      </c>
      <c r="I18" s="49">
        <f>INDEX(PeakCalc!$L$10:$L$303,MATCH(tblPivotData[[#This Row],[Time]],PeakCalc!$G$10:$G$303,0))</f>
        <v>0</v>
      </c>
    </row>
    <row r="19" spans="1:9" x14ac:dyDescent="0.25">
      <c r="A19" t="s">
        <v>93</v>
      </c>
      <c r="B19" t="s">
        <v>97</v>
      </c>
      <c r="C19" t="s">
        <v>94</v>
      </c>
      <c r="D19" t="s">
        <v>79</v>
      </c>
      <c r="E19" t="s">
        <v>44</v>
      </c>
      <c r="F19" s="6">
        <v>0.67708333333333337</v>
      </c>
      <c r="G19">
        <v>2</v>
      </c>
      <c r="H19" s="6">
        <f>FLOOR(tblPivotData[[#This Row],[Time]],Summary!$B$6/1440)</f>
        <v>0.67708333333333326</v>
      </c>
      <c r="I19" s="49">
        <f>INDEX(PeakCalc!$L$10:$L$303,MATCH(tblPivotData[[#This Row],[Time]],PeakCalc!$G$10:$G$303,0))</f>
        <v>0</v>
      </c>
    </row>
    <row r="20" spans="1:9" x14ac:dyDescent="0.25">
      <c r="A20" t="s">
        <v>93</v>
      </c>
      <c r="B20" t="s">
        <v>97</v>
      </c>
      <c r="C20" t="s">
        <v>94</v>
      </c>
      <c r="D20" t="s">
        <v>79</v>
      </c>
      <c r="E20" t="s">
        <v>44</v>
      </c>
      <c r="F20" s="6">
        <v>0.6875</v>
      </c>
      <c r="G20">
        <v>1</v>
      </c>
      <c r="H20" s="6">
        <f>FLOOR(tblPivotData[[#This Row],[Time]],Summary!$B$6/1440)</f>
        <v>0.6875</v>
      </c>
      <c r="I20" s="49">
        <f>INDEX(PeakCalc!$L$10:$L$303,MATCH(tblPivotData[[#This Row],[Time]],PeakCalc!$G$10:$G$303,0))</f>
        <v>1</v>
      </c>
    </row>
    <row r="21" spans="1:9" x14ac:dyDescent="0.25">
      <c r="A21" t="s">
        <v>93</v>
      </c>
      <c r="B21" t="s">
        <v>97</v>
      </c>
      <c r="C21" t="s">
        <v>94</v>
      </c>
      <c r="D21" t="s">
        <v>79</v>
      </c>
      <c r="E21" t="s">
        <v>44</v>
      </c>
      <c r="F21" s="6">
        <v>0.69791666666666663</v>
      </c>
      <c r="G21">
        <v>0</v>
      </c>
      <c r="H21" s="6">
        <f>FLOOR(tblPivotData[[#This Row],[Time]],Summary!$B$6/1440)</f>
        <v>0.69791666666666663</v>
      </c>
      <c r="I21" s="49">
        <f>INDEX(PeakCalc!$L$10:$L$303,MATCH(tblPivotData[[#This Row],[Time]],PeakCalc!$G$10:$G$303,0))</f>
        <v>1</v>
      </c>
    </row>
    <row r="22" spans="1:9" x14ac:dyDescent="0.25">
      <c r="A22" t="s">
        <v>93</v>
      </c>
      <c r="B22" t="s">
        <v>97</v>
      </c>
      <c r="C22" t="s">
        <v>94</v>
      </c>
      <c r="D22" t="s">
        <v>79</v>
      </c>
      <c r="E22" t="s">
        <v>44</v>
      </c>
      <c r="F22" s="6">
        <v>0.70833333333333337</v>
      </c>
      <c r="G22">
        <v>0</v>
      </c>
      <c r="H22" s="6">
        <f>FLOOR(tblPivotData[[#This Row],[Time]],Summary!$B$6/1440)</f>
        <v>0.70833333333333326</v>
      </c>
      <c r="I22" s="49">
        <f>INDEX(PeakCalc!$L$10:$L$303,MATCH(tblPivotData[[#This Row],[Time]],PeakCalc!$G$10:$G$303,0))</f>
        <v>1</v>
      </c>
    </row>
    <row r="23" spans="1:9" x14ac:dyDescent="0.25">
      <c r="A23" t="s">
        <v>93</v>
      </c>
      <c r="B23" t="s">
        <v>97</v>
      </c>
      <c r="C23" t="s">
        <v>94</v>
      </c>
      <c r="D23" t="s">
        <v>79</v>
      </c>
      <c r="E23" t="s">
        <v>44</v>
      </c>
      <c r="F23" s="6">
        <v>0.71875</v>
      </c>
      <c r="G23">
        <v>2</v>
      </c>
      <c r="H23" s="6">
        <f>FLOOR(tblPivotData[[#This Row],[Time]],Summary!$B$6/1440)</f>
        <v>0.71875</v>
      </c>
      <c r="I23" s="49">
        <f>INDEX(PeakCalc!$L$10:$L$303,MATCH(tblPivotData[[#This Row],[Time]],PeakCalc!$G$10:$G$303,0))</f>
        <v>1</v>
      </c>
    </row>
    <row r="24" spans="1:9" x14ac:dyDescent="0.25">
      <c r="A24" t="s">
        <v>93</v>
      </c>
      <c r="B24" t="s">
        <v>97</v>
      </c>
      <c r="C24" t="s">
        <v>94</v>
      </c>
      <c r="D24" t="s">
        <v>79</v>
      </c>
      <c r="E24" t="s">
        <v>44</v>
      </c>
      <c r="F24" s="6">
        <v>0.72916666666666663</v>
      </c>
      <c r="G24">
        <v>1</v>
      </c>
      <c r="H24" s="6">
        <f>FLOOR(tblPivotData[[#This Row],[Time]],Summary!$B$6/1440)</f>
        <v>0.72916666666666663</v>
      </c>
      <c r="I24" s="49">
        <f>INDEX(PeakCalc!$L$10:$L$303,MATCH(tblPivotData[[#This Row],[Time]],PeakCalc!$G$10:$G$303,0))</f>
        <v>0</v>
      </c>
    </row>
    <row r="25" spans="1:9" x14ac:dyDescent="0.25">
      <c r="A25" t="s">
        <v>93</v>
      </c>
      <c r="B25" t="s">
        <v>97</v>
      </c>
      <c r="C25" t="s">
        <v>94</v>
      </c>
      <c r="D25" t="s">
        <v>79</v>
      </c>
      <c r="E25" t="s">
        <v>44</v>
      </c>
      <c r="F25" s="6">
        <v>0.73958333333333337</v>
      </c>
      <c r="G25">
        <v>1</v>
      </c>
      <c r="H25" s="6">
        <f>FLOOR(tblPivotData[[#This Row],[Time]],Summary!$B$6/1440)</f>
        <v>0.73958333333333326</v>
      </c>
      <c r="I25" s="49">
        <f>INDEX(PeakCalc!$L$10:$L$303,MATCH(tblPivotData[[#This Row],[Time]],PeakCalc!$G$10:$G$303,0))</f>
        <v>0</v>
      </c>
    </row>
    <row r="26" spans="1:9" x14ac:dyDescent="0.25">
      <c r="A26" t="s">
        <v>93</v>
      </c>
      <c r="B26" t="s">
        <v>97</v>
      </c>
      <c r="C26" t="s">
        <v>94</v>
      </c>
      <c r="D26" t="s">
        <v>89</v>
      </c>
      <c r="E26" t="s">
        <v>43</v>
      </c>
      <c r="F26" s="6">
        <v>0.29166666666666669</v>
      </c>
      <c r="G26">
        <v>0</v>
      </c>
      <c r="H26" s="6">
        <f>FLOOR(tblPivotData[[#This Row],[Time]],Summary!$B$6/1440)</f>
        <v>0.29166666666666663</v>
      </c>
      <c r="I26" s="49">
        <f>INDEX(PeakCalc!$L$10:$L$303,MATCH(tblPivotData[[#This Row],[Time]],PeakCalc!$G$10:$G$303,0))</f>
        <v>0</v>
      </c>
    </row>
    <row r="27" spans="1:9" x14ac:dyDescent="0.25">
      <c r="A27" t="s">
        <v>93</v>
      </c>
      <c r="B27" t="s">
        <v>97</v>
      </c>
      <c r="C27" t="s">
        <v>94</v>
      </c>
      <c r="D27" t="s">
        <v>89</v>
      </c>
      <c r="E27" t="s">
        <v>43</v>
      </c>
      <c r="F27" s="6">
        <v>0.30208333333333331</v>
      </c>
      <c r="G27">
        <v>0</v>
      </c>
      <c r="H27" s="6">
        <f>FLOOR(tblPivotData[[#This Row],[Time]],Summary!$B$6/1440)</f>
        <v>0.30208333333333331</v>
      </c>
      <c r="I27" s="49">
        <f>INDEX(PeakCalc!$L$10:$L$303,MATCH(tblPivotData[[#This Row],[Time]],PeakCalc!$G$10:$G$303,0))</f>
        <v>0</v>
      </c>
    </row>
    <row r="28" spans="1:9" x14ac:dyDescent="0.25">
      <c r="A28" t="s">
        <v>93</v>
      </c>
      <c r="B28" t="s">
        <v>97</v>
      </c>
      <c r="C28" t="s">
        <v>94</v>
      </c>
      <c r="D28" t="s">
        <v>89</v>
      </c>
      <c r="E28" t="s">
        <v>43</v>
      </c>
      <c r="F28" s="6">
        <v>0.3125</v>
      </c>
      <c r="G28">
        <v>0</v>
      </c>
      <c r="H28" s="6">
        <f>FLOOR(tblPivotData[[#This Row],[Time]],Summary!$B$6/1440)</f>
        <v>0.3125</v>
      </c>
      <c r="I28" s="49">
        <f>INDEX(PeakCalc!$L$10:$L$303,MATCH(tblPivotData[[#This Row],[Time]],PeakCalc!$G$10:$G$303,0))</f>
        <v>0</v>
      </c>
    </row>
    <row r="29" spans="1:9" x14ac:dyDescent="0.25">
      <c r="A29" t="s">
        <v>93</v>
      </c>
      <c r="B29" t="s">
        <v>97</v>
      </c>
      <c r="C29" t="s">
        <v>94</v>
      </c>
      <c r="D29" t="s">
        <v>89</v>
      </c>
      <c r="E29" t="s">
        <v>43</v>
      </c>
      <c r="F29" s="6">
        <v>0.32291666666666669</v>
      </c>
      <c r="G29">
        <v>0</v>
      </c>
      <c r="H29" s="6">
        <f>FLOOR(tblPivotData[[#This Row],[Time]],Summary!$B$6/1440)</f>
        <v>0.32291666666666663</v>
      </c>
      <c r="I29" s="49">
        <f>INDEX(PeakCalc!$L$10:$L$303,MATCH(tblPivotData[[#This Row],[Time]],PeakCalc!$G$10:$G$303,0))</f>
        <v>0</v>
      </c>
    </row>
    <row r="30" spans="1:9" x14ac:dyDescent="0.25">
      <c r="A30" t="s">
        <v>93</v>
      </c>
      <c r="B30" t="s">
        <v>97</v>
      </c>
      <c r="C30" t="s">
        <v>94</v>
      </c>
      <c r="D30" t="s">
        <v>89</v>
      </c>
      <c r="E30" t="s">
        <v>43</v>
      </c>
      <c r="F30" s="6">
        <v>0.33333333333333331</v>
      </c>
      <c r="G30">
        <v>0</v>
      </c>
      <c r="H30" s="6">
        <f>FLOOR(tblPivotData[[#This Row],[Time]],Summary!$B$6/1440)</f>
        <v>0.33333333333333331</v>
      </c>
      <c r="I30" s="49">
        <f>INDEX(PeakCalc!$L$10:$L$303,MATCH(tblPivotData[[#This Row],[Time]],PeakCalc!$G$10:$G$303,0))</f>
        <v>1</v>
      </c>
    </row>
    <row r="31" spans="1:9" x14ac:dyDescent="0.25">
      <c r="A31" t="s">
        <v>93</v>
      </c>
      <c r="B31" t="s">
        <v>97</v>
      </c>
      <c r="C31" t="s">
        <v>94</v>
      </c>
      <c r="D31" t="s">
        <v>89</v>
      </c>
      <c r="E31" t="s">
        <v>43</v>
      </c>
      <c r="F31" s="6">
        <v>0.34375</v>
      </c>
      <c r="G31">
        <v>0</v>
      </c>
      <c r="H31" s="6">
        <f>FLOOR(tblPivotData[[#This Row],[Time]],Summary!$B$6/1440)</f>
        <v>0.34375</v>
      </c>
      <c r="I31" s="49">
        <f>INDEX(PeakCalc!$L$10:$L$303,MATCH(tblPivotData[[#This Row],[Time]],PeakCalc!$G$10:$G$303,0))</f>
        <v>1</v>
      </c>
    </row>
    <row r="32" spans="1:9" x14ac:dyDescent="0.25">
      <c r="A32" t="s">
        <v>93</v>
      </c>
      <c r="B32" t="s">
        <v>97</v>
      </c>
      <c r="C32" t="s">
        <v>94</v>
      </c>
      <c r="D32" t="s">
        <v>89</v>
      </c>
      <c r="E32" t="s">
        <v>43</v>
      </c>
      <c r="F32" s="6">
        <v>0.35416666666666669</v>
      </c>
      <c r="G32">
        <v>0</v>
      </c>
      <c r="H32" s="6">
        <f>FLOOR(tblPivotData[[#This Row],[Time]],Summary!$B$6/1440)</f>
        <v>0.35416666666666663</v>
      </c>
      <c r="I32" s="49">
        <f>INDEX(PeakCalc!$L$10:$L$303,MATCH(tblPivotData[[#This Row],[Time]],PeakCalc!$G$10:$G$303,0))</f>
        <v>1</v>
      </c>
    </row>
    <row r="33" spans="1:9" x14ac:dyDescent="0.25">
      <c r="A33" t="s">
        <v>93</v>
      </c>
      <c r="B33" t="s">
        <v>97</v>
      </c>
      <c r="C33" t="s">
        <v>94</v>
      </c>
      <c r="D33" t="s">
        <v>89</v>
      </c>
      <c r="E33" t="s">
        <v>43</v>
      </c>
      <c r="F33" s="6">
        <v>0.36458333333333331</v>
      </c>
      <c r="G33">
        <v>0</v>
      </c>
      <c r="H33" s="6">
        <f>FLOOR(tblPivotData[[#This Row],[Time]],Summary!$B$6/1440)</f>
        <v>0.36458333333333331</v>
      </c>
      <c r="I33" s="49">
        <f>INDEX(PeakCalc!$L$10:$L$303,MATCH(tblPivotData[[#This Row],[Time]],PeakCalc!$G$10:$G$303,0))</f>
        <v>1</v>
      </c>
    </row>
    <row r="34" spans="1:9" x14ac:dyDescent="0.25">
      <c r="A34" t="s">
        <v>93</v>
      </c>
      <c r="B34" t="s">
        <v>97</v>
      </c>
      <c r="C34" t="s">
        <v>94</v>
      </c>
      <c r="D34" t="s">
        <v>89</v>
      </c>
      <c r="E34" t="s">
        <v>91</v>
      </c>
      <c r="F34" s="6">
        <v>0.5625</v>
      </c>
      <c r="G34">
        <v>0</v>
      </c>
      <c r="H34" s="6">
        <f>FLOOR(tblPivotData[[#This Row],[Time]],Summary!$B$6/1440)</f>
        <v>0.5625</v>
      </c>
      <c r="I34" s="49">
        <f>INDEX(PeakCalc!$L$10:$L$303,MATCH(tblPivotData[[#This Row],[Time]],PeakCalc!$G$10:$G$303,0))</f>
        <v>0</v>
      </c>
    </row>
    <row r="35" spans="1:9" x14ac:dyDescent="0.25">
      <c r="A35" t="s">
        <v>93</v>
      </c>
      <c r="B35" t="s">
        <v>97</v>
      </c>
      <c r="C35" t="s">
        <v>94</v>
      </c>
      <c r="D35" t="s">
        <v>89</v>
      </c>
      <c r="E35" t="s">
        <v>91</v>
      </c>
      <c r="F35" s="6">
        <v>0.57291666666666663</v>
      </c>
      <c r="G35">
        <v>0</v>
      </c>
      <c r="H35" s="6">
        <f>FLOOR(tblPivotData[[#This Row],[Time]],Summary!$B$6/1440)</f>
        <v>0.57291666666666663</v>
      </c>
      <c r="I35" s="49">
        <f>INDEX(PeakCalc!$L$10:$L$303,MATCH(tblPivotData[[#This Row],[Time]],PeakCalc!$G$10:$G$303,0))</f>
        <v>0</v>
      </c>
    </row>
    <row r="36" spans="1:9" x14ac:dyDescent="0.25">
      <c r="A36" t="s">
        <v>93</v>
      </c>
      <c r="B36" t="s">
        <v>97</v>
      </c>
      <c r="C36" t="s">
        <v>94</v>
      </c>
      <c r="D36" t="s">
        <v>89</v>
      </c>
      <c r="E36" t="s">
        <v>91</v>
      </c>
      <c r="F36" s="6">
        <v>0.58333333333333337</v>
      </c>
      <c r="G36">
        <v>0</v>
      </c>
      <c r="H36" s="6">
        <f>FLOOR(tblPivotData[[#This Row],[Time]],Summary!$B$6/1440)</f>
        <v>0.58333333333333326</v>
      </c>
      <c r="I36" s="49">
        <f>INDEX(PeakCalc!$L$10:$L$303,MATCH(tblPivotData[[#This Row],[Time]],PeakCalc!$G$10:$G$303,0))</f>
        <v>0</v>
      </c>
    </row>
    <row r="37" spans="1:9" x14ac:dyDescent="0.25">
      <c r="A37" t="s">
        <v>93</v>
      </c>
      <c r="B37" t="s">
        <v>97</v>
      </c>
      <c r="C37" t="s">
        <v>94</v>
      </c>
      <c r="D37" t="s">
        <v>89</v>
      </c>
      <c r="E37" t="s">
        <v>91</v>
      </c>
      <c r="F37" s="6">
        <v>0.59375</v>
      </c>
      <c r="G37">
        <v>0</v>
      </c>
      <c r="H37" s="6">
        <f>FLOOR(tblPivotData[[#This Row],[Time]],Summary!$B$6/1440)</f>
        <v>0.59375</v>
      </c>
      <c r="I37" s="49">
        <f>INDEX(PeakCalc!$L$10:$L$303,MATCH(tblPivotData[[#This Row],[Time]],PeakCalc!$G$10:$G$303,0))</f>
        <v>0</v>
      </c>
    </row>
    <row r="38" spans="1:9" x14ac:dyDescent="0.25">
      <c r="A38" t="s">
        <v>93</v>
      </c>
      <c r="B38" t="s">
        <v>97</v>
      </c>
      <c r="C38" t="s">
        <v>94</v>
      </c>
      <c r="D38" t="s">
        <v>89</v>
      </c>
      <c r="E38" t="s">
        <v>91</v>
      </c>
      <c r="F38" s="6">
        <v>0.60416666666666663</v>
      </c>
      <c r="G38">
        <v>0</v>
      </c>
      <c r="H38" s="6">
        <f>FLOOR(tblPivotData[[#This Row],[Time]],Summary!$B$6/1440)</f>
        <v>0.60416666666666663</v>
      </c>
      <c r="I38" s="49">
        <f>INDEX(PeakCalc!$L$10:$L$303,MATCH(tblPivotData[[#This Row],[Time]],PeakCalc!$G$10:$G$303,0))</f>
        <v>1</v>
      </c>
    </row>
    <row r="39" spans="1:9" x14ac:dyDescent="0.25">
      <c r="A39" t="s">
        <v>93</v>
      </c>
      <c r="B39" t="s">
        <v>97</v>
      </c>
      <c r="C39" t="s">
        <v>94</v>
      </c>
      <c r="D39" t="s">
        <v>89</v>
      </c>
      <c r="E39" t="s">
        <v>91</v>
      </c>
      <c r="F39" s="6">
        <v>0.61458333333333337</v>
      </c>
      <c r="G39">
        <v>0</v>
      </c>
      <c r="H39" s="6">
        <f>FLOOR(tblPivotData[[#This Row],[Time]],Summary!$B$6/1440)</f>
        <v>0.61458333333333326</v>
      </c>
      <c r="I39" s="49">
        <f>INDEX(PeakCalc!$L$10:$L$303,MATCH(tblPivotData[[#This Row],[Time]],PeakCalc!$G$10:$G$303,0))</f>
        <v>1</v>
      </c>
    </row>
    <row r="40" spans="1:9" x14ac:dyDescent="0.25">
      <c r="A40" t="s">
        <v>93</v>
      </c>
      <c r="B40" t="s">
        <v>97</v>
      </c>
      <c r="C40" t="s">
        <v>94</v>
      </c>
      <c r="D40" t="s">
        <v>89</v>
      </c>
      <c r="E40" t="s">
        <v>91</v>
      </c>
      <c r="F40" s="6">
        <v>0.625</v>
      </c>
      <c r="G40">
        <v>0</v>
      </c>
      <c r="H40" s="6">
        <f>FLOOR(tblPivotData[[#This Row],[Time]],Summary!$B$6/1440)</f>
        <v>0.625</v>
      </c>
      <c r="I40" s="49">
        <f>INDEX(PeakCalc!$L$10:$L$303,MATCH(tblPivotData[[#This Row],[Time]],PeakCalc!$G$10:$G$303,0))</f>
        <v>1</v>
      </c>
    </row>
    <row r="41" spans="1:9" x14ac:dyDescent="0.25">
      <c r="A41" t="s">
        <v>93</v>
      </c>
      <c r="B41" t="s">
        <v>97</v>
      </c>
      <c r="C41" t="s">
        <v>94</v>
      </c>
      <c r="D41" t="s">
        <v>89</v>
      </c>
      <c r="E41" t="s">
        <v>91</v>
      </c>
      <c r="F41" s="6">
        <v>0.63541666666666663</v>
      </c>
      <c r="G41">
        <v>0</v>
      </c>
      <c r="H41" s="6">
        <f>FLOOR(tblPivotData[[#This Row],[Time]],Summary!$B$6/1440)</f>
        <v>0.63541666666666663</v>
      </c>
      <c r="I41" s="49">
        <f>INDEX(PeakCalc!$L$10:$L$303,MATCH(tblPivotData[[#This Row],[Time]],PeakCalc!$G$10:$G$303,0))</f>
        <v>1</v>
      </c>
    </row>
    <row r="42" spans="1:9" x14ac:dyDescent="0.25">
      <c r="A42" t="s">
        <v>93</v>
      </c>
      <c r="B42" t="s">
        <v>97</v>
      </c>
      <c r="C42" t="s">
        <v>94</v>
      </c>
      <c r="D42" t="s">
        <v>89</v>
      </c>
      <c r="E42" t="s">
        <v>44</v>
      </c>
      <c r="F42" s="6">
        <v>0.66666666666666663</v>
      </c>
      <c r="G42">
        <v>0</v>
      </c>
      <c r="H42" s="6">
        <f>FLOOR(tblPivotData[[#This Row],[Time]],Summary!$B$6/1440)</f>
        <v>0.66666666666666663</v>
      </c>
      <c r="I42" s="49">
        <f>INDEX(PeakCalc!$L$10:$L$303,MATCH(tblPivotData[[#This Row],[Time]],PeakCalc!$G$10:$G$303,0))</f>
        <v>0</v>
      </c>
    </row>
    <row r="43" spans="1:9" x14ac:dyDescent="0.25">
      <c r="A43" t="s">
        <v>93</v>
      </c>
      <c r="B43" t="s">
        <v>97</v>
      </c>
      <c r="C43" t="s">
        <v>94</v>
      </c>
      <c r="D43" t="s">
        <v>89</v>
      </c>
      <c r="E43" t="s">
        <v>44</v>
      </c>
      <c r="F43" s="6">
        <v>0.67708333333333337</v>
      </c>
      <c r="G43">
        <v>0</v>
      </c>
      <c r="H43" s="6">
        <f>FLOOR(tblPivotData[[#This Row],[Time]],Summary!$B$6/1440)</f>
        <v>0.67708333333333326</v>
      </c>
      <c r="I43" s="49">
        <f>INDEX(PeakCalc!$L$10:$L$303,MATCH(tblPivotData[[#This Row],[Time]],PeakCalc!$G$10:$G$303,0))</f>
        <v>0</v>
      </c>
    </row>
    <row r="44" spans="1:9" x14ac:dyDescent="0.25">
      <c r="A44" t="s">
        <v>93</v>
      </c>
      <c r="B44" t="s">
        <v>97</v>
      </c>
      <c r="C44" t="s">
        <v>94</v>
      </c>
      <c r="D44" t="s">
        <v>89</v>
      </c>
      <c r="E44" t="s">
        <v>44</v>
      </c>
      <c r="F44" s="6">
        <v>0.6875</v>
      </c>
      <c r="G44">
        <v>0</v>
      </c>
      <c r="H44" s="6">
        <f>FLOOR(tblPivotData[[#This Row],[Time]],Summary!$B$6/1440)</f>
        <v>0.6875</v>
      </c>
      <c r="I44" s="49">
        <f>INDEX(PeakCalc!$L$10:$L$303,MATCH(tblPivotData[[#This Row],[Time]],PeakCalc!$G$10:$G$303,0))</f>
        <v>1</v>
      </c>
    </row>
    <row r="45" spans="1:9" x14ac:dyDescent="0.25">
      <c r="A45" t="s">
        <v>93</v>
      </c>
      <c r="B45" t="s">
        <v>97</v>
      </c>
      <c r="C45" t="s">
        <v>94</v>
      </c>
      <c r="D45" t="s">
        <v>89</v>
      </c>
      <c r="E45" t="s">
        <v>44</v>
      </c>
      <c r="F45" s="6">
        <v>0.69791666666666663</v>
      </c>
      <c r="G45">
        <v>0</v>
      </c>
      <c r="H45" s="6">
        <f>FLOOR(tblPivotData[[#This Row],[Time]],Summary!$B$6/1440)</f>
        <v>0.69791666666666663</v>
      </c>
      <c r="I45" s="49">
        <f>INDEX(PeakCalc!$L$10:$L$303,MATCH(tblPivotData[[#This Row],[Time]],PeakCalc!$G$10:$G$303,0))</f>
        <v>1</v>
      </c>
    </row>
    <row r="46" spans="1:9" x14ac:dyDescent="0.25">
      <c r="A46" t="s">
        <v>93</v>
      </c>
      <c r="B46" t="s">
        <v>97</v>
      </c>
      <c r="C46" t="s">
        <v>94</v>
      </c>
      <c r="D46" t="s">
        <v>89</v>
      </c>
      <c r="E46" t="s">
        <v>44</v>
      </c>
      <c r="F46" s="6">
        <v>0.70833333333333337</v>
      </c>
      <c r="G46">
        <v>0</v>
      </c>
      <c r="H46" s="6">
        <f>FLOOR(tblPivotData[[#This Row],[Time]],Summary!$B$6/1440)</f>
        <v>0.70833333333333326</v>
      </c>
      <c r="I46" s="49">
        <f>INDEX(PeakCalc!$L$10:$L$303,MATCH(tblPivotData[[#This Row],[Time]],PeakCalc!$G$10:$G$303,0))</f>
        <v>1</v>
      </c>
    </row>
    <row r="47" spans="1:9" x14ac:dyDescent="0.25">
      <c r="A47" t="s">
        <v>93</v>
      </c>
      <c r="B47" t="s">
        <v>97</v>
      </c>
      <c r="C47" t="s">
        <v>94</v>
      </c>
      <c r="D47" t="s">
        <v>89</v>
      </c>
      <c r="E47" t="s">
        <v>44</v>
      </c>
      <c r="F47" s="6">
        <v>0.71875</v>
      </c>
      <c r="G47">
        <v>0</v>
      </c>
      <c r="H47" s="6">
        <f>FLOOR(tblPivotData[[#This Row],[Time]],Summary!$B$6/1440)</f>
        <v>0.71875</v>
      </c>
      <c r="I47" s="49">
        <f>INDEX(PeakCalc!$L$10:$L$303,MATCH(tblPivotData[[#This Row],[Time]],PeakCalc!$G$10:$G$303,0))</f>
        <v>1</v>
      </c>
    </row>
    <row r="48" spans="1:9" x14ac:dyDescent="0.25">
      <c r="A48" t="s">
        <v>93</v>
      </c>
      <c r="B48" t="s">
        <v>97</v>
      </c>
      <c r="C48" t="s">
        <v>94</v>
      </c>
      <c r="D48" t="s">
        <v>89</v>
      </c>
      <c r="E48" t="s">
        <v>44</v>
      </c>
      <c r="F48" s="6">
        <v>0.72916666666666663</v>
      </c>
      <c r="G48">
        <v>0</v>
      </c>
      <c r="H48" s="6">
        <f>FLOOR(tblPivotData[[#This Row],[Time]],Summary!$B$6/1440)</f>
        <v>0.72916666666666663</v>
      </c>
      <c r="I48" s="49">
        <f>INDEX(PeakCalc!$L$10:$L$303,MATCH(tblPivotData[[#This Row],[Time]],PeakCalc!$G$10:$G$303,0))</f>
        <v>0</v>
      </c>
    </row>
    <row r="49" spans="1:9" x14ac:dyDescent="0.25">
      <c r="A49" t="s">
        <v>93</v>
      </c>
      <c r="B49" t="s">
        <v>97</v>
      </c>
      <c r="C49" t="s">
        <v>94</v>
      </c>
      <c r="D49" t="s">
        <v>89</v>
      </c>
      <c r="E49" t="s">
        <v>44</v>
      </c>
      <c r="F49" s="6">
        <v>0.73958333333333337</v>
      </c>
      <c r="G49">
        <v>0</v>
      </c>
      <c r="H49" s="6">
        <f>FLOOR(tblPivotData[[#This Row],[Time]],Summary!$B$6/1440)</f>
        <v>0.73958333333333326</v>
      </c>
      <c r="I49" s="49">
        <f>INDEX(PeakCalc!$L$10:$L$303,MATCH(tblPivotData[[#This Row],[Time]],PeakCalc!$G$10:$G$303,0))</f>
        <v>0</v>
      </c>
    </row>
    <row r="50" spans="1:9" x14ac:dyDescent="0.25">
      <c r="A50" t="s">
        <v>93</v>
      </c>
      <c r="B50" t="s">
        <v>97</v>
      </c>
      <c r="C50" t="s">
        <v>94</v>
      </c>
      <c r="D50" t="s">
        <v>90</v>
      </c>
      <c r="E50" t="s">
        <v>43</v>
      </c>
      <c r="F50" s="6">
        <v>0.29166666666666669</v>
      </c>
      <c r="G50">
        <v>0</v>
      </c>
      <c r="H50" s="6">
        <f>FLOOR(tblPivotData[[#This Row],[Time]],Summary!$B$6/1440)</f>
        <v>0.29166666666666663</v>
      </c>
      <c r="I50" s="49">
        <f>INDEX(PeakCalc!$L$10:$L$303,MATCH(tblPivotData[[#This Row],[Time]],PeakCalc!$G$10:$G$303,0))</f>
        <v>0</v>
      </c>
    </row>
    <row r="51" spans="1:9" x14ac:dyDescent="0.25">
      <c r="A51" t="s">
        <v>93</v>
      </c>
      <c r="B51" t="s">
        <v>97</v>
      </c>
      <c r="C51" t="s">
        <v>94</v>
      </c>
      <c r="D51" t="s">
        <v>90</v>
      </c>
      <c r="E51" t="s">
        <v>43</v>
      </c>
      <c r="F51" s="6">
        <v>0.30208333333333331</v>
      </c>
      <c r="G51">
        <v>0</v>
      </c>
      <c r="H51" s="6">
        <f>FLOOR(tblPivotData[[#This Row],[Time]],Summary!$B$6/1440)</f>
        <v>0.30208333333333331</v>
      </c>
      <c r="I51" s="49">
        <f>INDEX(PeakCalc!$L$10:$L$303,MATCH(tblPivotData[[#This Row],[Time]],PeakCalc!$G$10:$G$303,0))</f>
        <v>0</v>
      </c>
    </row>
    <row r="52" spans="1:9" x14ac:dyDescent="0.25">
      <c r="A52" t="s">
        <v>93</v>
      </c>
      <c r="B52" t="s">
        <v>97</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97</v>
      </c>
      <c r="C53" t="s">
        <v>94</v>
      </c>
      <c r="D53" t="s">
        <v>90</v>
      </c>
      <c r="E53" t="s">
        <v>43</v>
      </c>
      <c r="F53" s="6">
        <v>0.32291666666666669</v>
      </c>
      <c r="G53">
        <v>0</v>
      </c>
      <c r="H53" s="6">
        <f>FLOOR(tblPivotData[[#This Row],[Time]],Summary!$B$6/1440)</f>
        <v>0.32291666666666663</v>
      </c>
      <c r="I53" s="49">
        <f>INDEX(PeakCalc!$L$10:$L$303,MATCH(tblPivotData[[#This Row],[Time]],PeakCalc!$G$10:$G$303,0))</f>
        <v>0</v>
      </c>
    </row>
    <row r="54" spans="1:9" x14ac:dyDescent="0.25">
      <c r="A54" t="s">
        <v>93</v>
      </c>
      <c r="B54" t="s">
        <v>97</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97</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97</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97</v>
      </c>
      <c r="C57" t="s">
        <v>94</v>
      </c>
      <c r="D57" t="s">
        <v>90</v>
      </c>
      <c r="E57" t="s">
        <v>43</v>
      </c>
      <c r="F57" s="6">
        <v>0.36458333333333331</v>
      </c>
      <c r="G57">
        <v>0</v>
      </c>
      <c r="H57" s="6">
        <f>FLOOR(tblPivotData[[#This Row],[Time]],Summary!$B$6/1440)</f>
        <v>0.36458333333333331</v>
      </c>
      <c r="I57" s="49">
        <f>INDEX(PeakCalc!$L$10:$L$303,MATCH(tblPivotData[[#This Row],[Time]],PeakCalc!$G$10:$G$303,0))</f>
        <v>1</v>
      </c>
    </row>
    <row r="58" spans="1:9" x14ac:dyDescent="0.25">
      <c r="A58" t="s">
        <v>93</v>
      </c>
      <c r="B58" t="s">
        <v>97</v>
      </c>
      <c r="C58" t="s">
        <v>94</v>
      </c>
      <c r="D58" t="s">
        <v>90</v>
      </c>
      <c r="E58" t="s">
        <v>91</v>
      </c>
      <c r="F58" s="6">
        <v>0.5625</v>
      </c>
      <c r="G58">
        <v>0</v>
      </c>
      <c r="H58" s="6">
        <f>FLOOR(tblPivotData[[#This Row],[Time]],Summary!$B$6/1440)</f>
        <v>0.5625</v>
      </c>
      <c r="I58" s="49">
        <f>INDEX(PeakCalc!$L$10:$L$303,MATCH(tblPivotData[[#This Row],[Time]],PeakCalc!$G$10:$G$303,0))</f>
        <v>0</v>
      </c>
    </row>
    <row r="59" spans="1:9" x14ac:dyDescent="0.25">
      <c r="A59" t="s">
        <v>93</v>
      </c>
      <c r="B59" t="s">
        <v>97</v>
      </c>
      <c r="C59" t="s">
        <v>94</v>
      </c>
      <c r="D59" t="s">
        <v>90</v>
      </c>
      <c r="E59" t="s">
        <v>91</v>
      </c>
      <c r="F59" s="6">
        <v>0.57291666666666663</v>
      </c>
      <c r="G59">
        <v>0</v>
      </c>
      <c r="H59" s="6">
        <f>FLOOR(tblPivotData[[#This Row],[Time]],Summary!$B$6/1440)</f>
        <v>0.57291666666666663</v>
      </c>
      <c r="I59" s="49">
        <f>INDEX(PeakCalc!$L$10:$L$303,MATCH(tblPivotData[[#This Row],[Time]],PeakCalc!$G$10:$G$303,0))</f>
        <v>0</v>
      </c>
    </row>
    <row r="60" spans="1:9" x14ac:dyDescent="0.25">
      <c r="A60" t="s">
        <v>93</v>
      </c>
      <c r="B60" t="s">
        <v>97</v>
      </c>
      <c r="C60" t="s">
        <v>94</v>
      </c>
      <c r="D60" t="s">
        <v>90</v>
      </c>
      <c r="E60" t="s">
        <v>91</v>
      </c>
      <c r="F60" s="6">
        <v>0.58333333333333337</v>
      </c>
      <c r="G60">
        <v>0</v>
      </c>
      <c r="H60" s="6">
        <f>FLOOR(tblPivotData[[#This Row],[Time]],Summary!$B$6/1440)</f>
        <v>0.58333333333333326</v>
      </c>
      <c r="I60" s="49">
        <f>INDEX(PeakCalc!$L$10:$L$303,MATCH(tblPivotData[[#This Row],[Time]],PeakCalc!$G$10:$G$303,0))</f>
        <v>0</v>
      </c>
    </row>
    <row r="61" spans="1:9" x14ac:dyDescent="0.25">
      <c r="A61" t="s">
        <v>93</v>
      </c>
      <c r="B61" t="s">
        <v>97</v>
      </c>
      <c r="C61" t="s">
        <v>94</v>
      </c>
      <c r="D61" t="s">
        <v>90</v>
      </c>
      <c r="E61" t="s">
        <v>91</v>
      </c>
      <c r="F61" s="6">
        <v>0.59375</v>
      </c>
      <c r="G61">
        <v>0</v>
      </c>
      <c r="H61" s="6">
        <f>FLOOR(tblPivotData[[#This Row],[Time]],Summary!$B$6/1440)</f>
        <v>0.59375</v>
      </c>
      <c r="I61" s="49">
        <f>INDEX(PeakCalc!$L$10:$L$303,MATCH(tblPivotData[[#This Row],[Time]],PeakCalc!$G$10:$G$303,0))</f>
        <v>0</v>
      </c>
    </row>
    <row r="62" spans="1:9" x14ac:dyDescent="0.25">
      <c r="A62" t="s">
        <v>93</v>
      </c>
      <c r="B62" t="s">
        <v>97</v>
      </c>
      <c r="C62" t="s">
        <v>94</v>
      </c>
      <c r="D62" t="s">
        <v>90</v>
      </c>
      <c r="E62" t="s">
        <v>91</v>
      </c>
      <c r="F62" s="6">
        <v>0.60416666666666663</v>
      </c>
      <c r="G62">
        <v>0</v>
      </c>
      <c r="H62" s="6">
        <f>FLOOR(tblPivotData[[#This Row],[Time]],Summary!$B$6/1440)</f>
        <v>0.60416666666666663</v>
      </c>
      <c r="I62" s="49">
        <f>INDEX(PeakCalc!$L$10:$L$303,MATCH(tblPivotData[[#This Row],[Time]],PeakCalc!$G$10:$G$303,0))</f>
        <v>1</v>
      </c>
    </row>
    <row r="63" spans="1:9" x14ac:dyDescent="0.25">
      <c r="A63" t="s">
        <v>93</v>
      </c>
      <c r="B63" t="s">
        <v>97</v>
      </c>
      <c r="C63" t="s">
        <v>94</v>
      </c>
      <c r="D63" t="s">
        <v>90</v>
      </c>
      <c r="E63" t="s">
        <v>91</v>
      </c>
      <c r="F63" s="6">
        <v>0.61458333333333337</v>
      </c>
      <c r="G63">
        <v>0</v>
      </c>
      <c r="H63" s="6">
        <f>FLOOR(tblPivotData[[#This Row],[Time]],Summary!$B$6/1440)</f>
        <v>0.61458333333333326</v>
      </c>
      <c r="I63" s="49">
        <f>INDEX(PeakCalc!$L$10:$L$303,MATCH(tblPivotData[[#This Row],[Time]],PeakCalc!$G$10:$G$303,0))</f>
        <v>1</v>
      </c>
    </row>
    <row r="64" spans="1:9" x14ac:dyDescent="0.25">
      <c r="A64" t="s">
        <v>93</v>
      </c>
      <c r="B64" t="s">
        <v>97</v>
      </c>
      <c r="C64" t="s">
        <v>94</v>
      </c>
      <c r="D64" t="s">
        <v>90</v>
      </c>
      <c r="E64" t="s">
        <v>91</v>
      </c>
      <c r="F64" s="6">
        <v>0.625</v>
      </c>
      <c r="G64">
        <v>0</v>
      </c>
      <c r="H64" s="6">
        <f>FLOOR(tblPivotData[[#This Row],[Time]],Summary!$B$6/1440)</f>
        <v>0.625</v>
      </c>
      <c r="I64" s="49">
        <f>INDEX(PeakCalc!$L$10:$L$303,MATCH(tblPivotData[[#This Row],[Time]],PeakCalc!$G$10:$G$303,0))</f>
        <v>1</v>
      </c>
    </row>
    <row r="65" spans="1:9" x14ac:dyDescent="0.25">
      <c r="A65" t="s">
        <v>93</v>
      </c>
      <c r="B65" t="s">
        <v>97</v>
      </c>
      <c r="C65" t="s">
        <v>94</v>
      </c>
      <c r="D65" t="s">
        <v>90</v>
      </c>
      <c r="E65" t="s">
        <v>91</v>
      </c>
      <c r="F65" s="6">
        <v>0.63541666666666663</v>
      </c>
      <c r="G65">
        <v>0</v>
      </c>
      <c r="H65" s="6">
        <f>FLOOR(tblPivotData[[#This Row],[Time]],Summary!$B$6/1440)</f>
        <v>0.63541666666666663</v>
      </c>
      <c r="I65" s="49">
        <f>INDEX(PeakCalc!$L$10:$L$303,MATCH(tblPivotData[[#This Row],[Time]],PeakCalc!$G$10:$G$303,0))</f>
        <v>1</v>
      </c>
    </row>
    <row r="66" spans="1:9" x14ac:dyDescent="0.25">
      <c r="A66" t="s">
        <v>93</v>
      </c>
      <c r="B66" t="s">
        <v>97</v>
      </c>
      <c r="C66" t="s">
        <v>94</v>
      </c>
      <c r="D66" t="s">
        <v>90</v>
      </c>
      <c r="E66" t="s">
        <v>44</v>
      </c>
      <c r="F66" s="6">
        <v>0.66666666666666663</v>
      </c>
      <c r="G66">
        <v>0</v>
      </c>
      <c r="H66" s="6">
        <f>FLOOR(tblPivotData[[#This Row],[Time]],Summary!$B$6/1440)</f>
        <v>0.66666666666666663</v>
      </c>
      <c r="I66" s="49">
        <f>INDEX(PeakCalc!$L$10:$L$303,MATCH(tblPivotData[[#This Row],[Time]],PeakCalc!$G$10:$G$303,0))</f>
        <v>0</v>
      </c>
    </row>
    <row r="67" spans="1:9" x14ac:dyDescent="0.25">
      <c r="A67" t="s">
        <v>93</v>
      </c>
      <c r="B67" t="s">
        <v>97</v>
      </c>
      <c r="C67" t="s">
        <v>94</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93</v>
      </c>
      <c r="B68" t="s">
        <v>97</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93</v>
      </c>
      <c r="B69" t="s">
        <v>97</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97</v>
      </c>
      <c r="C70" t="s">
        <v>94</v>
      </c>
      <c r="D70" t="s">
        <v>90</v>
      </c>
      <c r="E70" t="s">
        <v>44</v>
      </c>
      <c r="F70" s="6">
        <v>0.70833333333333337</v>
      </c>
      <c r="G70">
        <v>0</v>
      </c>
      <c r="H70" s="6">
        <f>FLOOR(tblPivotData[[#This Row],[Time]],Summary!$B$6/1440)</f>
        <v>0.70833333333333326</v>
      </c>
      <c r="I70" s="49">
        <f>INDEX(PeakCalc!$L$10:$L$303,MATCH(tblPivotData[[#This Row],[Time]],PeakCalc!$G$10:$G$303,0))</f>
        <v>1</v>
      </c>
    </row>
    <row r="71" spans="1:9" x14ac:dyDescent="0.25">
      <c r="A71" t="s">
        <v>93</v>
      </c>
      <c r="B71" t="s">
        <v>97</v>
      </c>
      <c r="C71" t="s">
        <v>94</v>
      </c>
      <c r="D71" t="s">
        <v>90</v>
      </c>
      <c r="E71" t="s">
        <v>44</v>
      </c>
      <c r="F71" s="6">
        <v>0.71875</v>
      </c>
      <c r="G71">
        <v>0</v>
      </c>
      <c r="H71" s="6">
        <f>FLOOR(tblPivotData[[#This Row],[Time]],Summary!$B$6/1440)</f>
        <v>0.71875</v>
      </c>
      <c r="I71" s="49">
        <f>INDEX(PeakCalc!$L$10:$L$303,MATCH(tblPivotData[[#This Row],[Time]],PeakCalc!$G$10:$G$303,0))</f>
        <v>1</v>
      </c>
    </row>
    <row r="72" spans="1:9" x14ac:dyDescent="0.25">
      <c r="A72" t="s">
        <v>93</v>
      </c>
      <c r="B72" t="s">
        <v>97</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97</v>
      </c>
      <c r="C73" t="s">
        <v>94</v>
      </c>
      <c r="D73" t="s">
        <v>90</v>
      </c>
      <c r="E73" t="s">
        <v>44</v>
      </c>
      <c r="F73" s="6">
        <v>0.73958333333333337</v>
      </c>
      <c r="G73">
        <v>0</v>
      </c>
      <c r="H73" s="6">
        <f>FLOOR(tblPivotData[[#This Row],[Time]],Summary!$B$6/1440)</f>
        <v>0.73958333333333326</v>
      </c>
      <c r="I73" s="49">
        <f>INDEX(PeakCalc!$L$10:$L$303,MATCH(tblPivotData[[#This Row],[Time]],PeakCalc!$G$10:$G$303,0))</f>
        <v>0</v>
      </c>
    </row>
    <row r="74" spans="1:9" x14ac:dyDescent="0.25">
      <c r="A74" t="s">
        <v>93</v>
      </c>
      <c r="B74" t="s">
        <v>98</v>
      </c>
      <c r="C74" t="s">
        <v>95</v>
      </c>
      <c r="D74" t="s">
        <v>79</v>
      </c>
      <c r="E74" t="s">
        <v>43</v>
      </c>
      <c r="F74" s="6">
        <v>0.29166666666666669</v>
      </c>
      <c r="G74">
        <v>12</v>
      </c>
      <c r="H74" s="6">
        <f>FLOOR(tblPivotData[[#This Row],[Time]],Summary!$B$6/1440)</f>
        <v>0.29166666666666663</v>
      </c>
      <c r="I74" s="49">
        <f>INDEX(PeakCalc!$L$10:$L$303,MATCH(tblPivotData[[#This Row],[Time]],PeakCalc!$G$10:$G$303,0))</f>
        <v>0</v>
      </c>
    </row>
    <row r="75" spans="1:9" x14ac:dyDescent="0.25">
      <c r="A75" t="s">
        <v>93</v>
      </c>
      <c r="B75" t="s">
        <v>98</v>
      </c>
      <c r="C75" t="s">
        <v>95</v>
      </c>
      <c r="D75" t="s">
        <v>79</v>
      </c>
      <c r="E75" t="s">
        <v>43</v>
      </c>
      <c r="F75" s="6">
        <v>0.30208333333333331</v>
      </c>
      <c r="G75">
        <v>16</v>
      </c>
      <c r="H75" s="6">
        <f>FLOOR(tblPivotData[[#This Row],[Time]],Summary!$B$6/1440)</f>
        <v>0.30208333333333331</v>
      </c>
      <c r="I75" s="49">
        <f>INDEX(PeakCalc!$L$10:$L$303,MATCH(tblPivotData[[#This Row],[Time]],PeakCalc!$G$10:$G$303,0))</f>
        <v>0</v>
      </c>
    </row>
    <row r="76" spans="1:9" x14ac:dyDescent="0.25">
      <c r="A76" t="s">
        <v>93</v>
      </c>
      <c r="B76" t="s">
        <v>98</v>
      </c>
      <c r="C76" t="s">
        <v>95</v>
      </c>
      <c r="D76" t="s">
        <v>79</v>
      </c>
      <c r="E76" t="s">
        <v>43</v>
      </c>
      <c r="F76" s="6">
        <v>0.3125</v>
      </c>
      <c r="G76">
        <v>18</v>
      </c>
      <c r="H76" s="6">
        <f>FLOOR(tblPivotData[[#This Row],[Time]],Summary!$B$6/1440)</f>
        <v>0.3125</v>
      </c>
      <c r="I76" s="49">
        <f>INDEX(PeakCalc!$L$10:$L$303,MATCH(tblPivotData[[#This Row],[Time]],PeakCalc!$G$10:$G$303,0))</f>
        <v>0</v>
      </c>
    </row>
    <row r="77" spans="1:9" x14ac:dyDescent="0.25">
      <c r="A77" t="s">
        <v>93</v>
      </c>
      <c r="B77" t="s">
        <v>98</v>
      </c>
      <c r="C77" t="s">
        <v>95</v>
      </c>
      <c r="D77" t="s">
        <v>79</v>
      </c>
      <c r="E77" t="s">
        <v>43</v>
      </c>
      <c r="F77" s="6">
        <v>0.32291666666666669</v>
      </c>
      <c r="G77">
        <v>16</v>
      </c>
      <c r="H77" s="6">
        <f>FLOOR(tblPivotData[[#This Row],[Time]],Summary!$B$6/1440)</f>
        <v>0.32291666666666663</v>
      </c>
      <c r="I77" s="49">
        <f>INDEX(PeakCalc!$L$10:$L$303,MATCH(tblPivotData[[#This Row],[Time]],PeakCalc!$G$10:$G$303,0))</f>
        <v>0</v>
      </c>
    </row>
    <row r="78" spans="1:9" x14ac:dyDescent="0.25">
      <c r="A78" t="s">
        <v>93</v>
      </c>
      <c r="B78" t="s">
        <v>98</v>
      </c>
      <c r="C78" t="s">
        <v>95</v>
      </c>
      <c r="D78" t="s">
        <v>79</v>
      </c>
      <c r="E78" t="s">
        <v>43</v>
      </c>
      <c r="F78" s="6">
        <v>0.33333333333333331</v>
      </c>
      <c r="G78">
        <v>19</v>
      </c>
      <c r="H78" s="6">
        <f>FLOOR(tblPivotData[[#This Row],[Time]],Summary!$B$6/1440)</f>
        <v>0.33333333333333331</v>
      </c>
      <c r="I78" s="49">
        <f>INDEX(PeakCalc!$L$10:$L$303,MATCH(tblPivotData[[#This Row],[Time]],PeakCalc!$G$10:$G$303,0))</f>
        <v>1</v>
      </c>
    </row>
    <row r="79" spans="1:9" x14ac:dyDescent="0.25">
      <c r="A79" t="s">
        <v>93</v>
      </c>
      <c r="B79" t="s">
        <v>98</v>
      </c>
      <c r="C79" t="s">
        <v>95</v>
      </c>
      <c r="D79" t="s">
        <v>79</v>
      </c>
      <c r="E79" t="s">
        <v>43</v>
      </c>
      <c r="F79" s="6">
        <v>0.34375</v>
      </c>
      <c r="G79">
        <v>22</v>
      </c>
      <c r="H79" s="6">
        <f>FLOOR(tblPivotData[[#This Row],[Time]],Summary!$B$6/1440)</f>
        <v>0.34375</v>
      </c>
      <c r="I79" s="49">
        <f>INDEX(PeakCalc!$L$10:$L$303,MATCH(tblPivotData[[#This Row],[Time]],PeakCalc!$G$10:$G$303,0))</f>
        <v>1</v>
      </c>
    </row>
    <row r="80" spans="1:9" x14ac:dyDescent="0.25">
      <c r="A80" t="s">
        <v>93</v>
      </c>
      <c r="B80" t="s">
        <v>98</v>
      </c>
      <c r="C80" t="s">
        <v>95</v>
      </c>
      <c r="D80" t="s">
        <v>79</v>
      </c>
      <c r="E80" t="s">
        <v>43</v>
      </c>
      <c r="F80" s="6">
        <v>0.35416666666666669</v>
      </c>
      <c r="G80">
        <v>21</v>
      </c>
      <c r="H80" s="6">
        <f>FLOOR(tblPivotData[[#This Row],[Time]],Summary!$B$6/1440)</f>
        <v>0.35416666666666663</v>
      </c>
      <c r="I80" s="49">
        <f>INDEX(PeakCalc!$L$10:$L$303,MATCH(tblPivotData[[#This Row],[Time]],PeakCalc!$G$10:$G$303,0))</f>
        <v>1</v>
      </c>
    </row>
    <row r="81" spans="1:9" x14ac:dyDescent="0.25">
      <c r="A81" t="s">
        <v>93</v>
      </c>
      <c r="B81" t="s">
        <v>98</v>
      </c>
      <c r="C81" t="s">
        <v>95</v>
      </c>
      <c r="D81" t="s">
        <v>79</v>
      </c>
      <c r="E81" t="s">
        <v>43</v>
      </c>
      <c r="F81" s="6">
        <v>0.36458333333333331</v>
      </c>
      <c r="G81">
        <v>33</v>
      </c>
      <c r="H81" s="6">
        <f>FLOOR(tblPivotData[[#This Row],[Time]],Summary!$B$6/1440)</f>
        <v>0.36458333333333331</v>
      </c>
      <c r="I81" s="49">
        <f>INDEX(PeakCalc!$L$10:$L$303,MATCH(tblPivotData[[#This Row],[Time]],PeakCalc!$G$10:$G$303,0))</f>
        <v>1</v>
      </c>
    </row>
    <row r="82" spans="1:9" x14ac:dyDescent="0.25">
      <c r="A82" t="s">
        <v>93</v>
      </c>
      <c r="B82" t="s">
        <v>98</v>
      </c>
      <c r="C82" t="s">
        <v>95</v>
      </c>
      <c r="D82" t="s">
        <v>79</v>
      </c>
      <c r="E82" t="s">
        <v>91</v>
      </c>
      <c r="F82" s="6">
        <v>0.5625</v>
      </c>
      <c r="G82">
        <v>10</v>
      </c>
      <c r="H82" s="6">
        <f>FLOOR(tblPivotData[[#This Row],[Time]],Summary!$B$6/1440)</f>
        <v>0.5625</v>
      </c>
      <c r="I82" s="49">
        <f>INDEX(PeakCalc!$L$10:$L$303,MATCH(tblPivotData[[#This Row],[Time]],PeakCalc!$G$10:$G$303,0))</f>
        <v>0</v>
      </c>
    </row>
    <row r="83" spans="1:9" x14ac:dyDescent="0.25">
      <c r="A83" t="s">
        <v>93</v>
      </c>
      <c r="B83" t="s">
        <v>98</v>
      </c>
      <c r="C83" t="s">
        <v>95</v>
      </c>
      <c r="D83" t="s">
        <v>79</v>
      </c>
      <c r="E83" t="s">
        <v>91</v>
      </c>
      <c r="F83" s="6">
        <v>0.57291666666666663</v>
      </c>
      <c r="G83">
        <v>16</v>
      </c>
      <c r="H83" s="6">
        <f>FLOOR(tblPivotData[[#This Row],[Time]],Summary!$B$6/1440)</f>
        <v>0.57291666666666663</v>
      </c>
      <c r="I83" s="49">
        <f>INDEX(PeakCalc!$L$10:$L$303,MATCH(tblPivotData[[#This Row],[Time]],PeakCalc!$G$10:$G$303,0))</f>
        <v>0</v>
      </c>
    </row>
    <row r="84" spans="1:9" x14ac:dyDescent="0.25">
      <c r="A84" t="s">
        <v>93</v>
      </c>
      <c r="B84" t="s">
        <v>98</v>
      </c>
      <c r="C84" t="s">
        <v>95</v>
      </c>
      <c r="D84" t="s">
        <v>79</v>
      </c>
      <c r="E84" t="s">
        <v>91</v>
      </c>
      <c r="F84" s="6">
        <v>0.58333333333333337</v>
      </c>
      <c r="G84">
        <v>12</v>
      </c>
      <c r="H84" s="6">
        <f>FLOOR(tblPivotData[[#This Row],[Time]],Summary!$B$6/1440)</f>
        <v>0.58333333333333326</v>
      </c>
      <c r="I84" s="49">
        <f>INDEX(PeakCalc!$L$10:$L$303,MATCH(tblPivotData[[#This Row],[Time]],PeakCalc!$G$10:$G$303,0))</f>
        <v>0</v>
      </c>
    </row>
    <row r="85" spans="1:9" x14ac:dyDescent="0.25">
      <c r="A85" t="s">
        <v>93</v>
      </c>
      <c r="B85" t="s">
        <v>98</v>
      </c>
      <c r="C85" t="s">
        <v>95</v>
      </c>
      <c r="D85" t="s">
        <v>79</v>
      </c>
      <c r="E85" t="s">
        <v>91</v>
      </c>
      <c r="F85" s="6">
        <v>0.59375</v>
      </c>
      <c r="G85">
        <v>10</v>
      </c>
      <c r="H85" s="6">
        <f>FLOOR(tblPivotData[[#This Row],[Time]],Summary!$B$6/1440)</f>
        <v>0.59375</v>
      </c>
      <c r="I85" s="49">
        <f>INDEX(PeakCalc!$L$10:$L$303,MATCH(tblPivotData[[#This Row],[Time]],PeakCalc!$G$10:$G$303,0))</f>
        <v>0</v>
      </c>
    </row>
    <row r="86" spans="1:9" x14ac:dyDescent="0.25">
      <c r="A86" t="s">
        <v>93</v>
      </c>
      <c r="B86" t="s">
        <v>98</v>
      </c>
      <c r="C86" t="s">
        <v>95</v>
      </c>
      <c r="D86" t="s">
        <v>79</v>
      </c>
      <c r="E86" t="s">
        <v>91</v>
      </c>
      <c r="F86" s="6">
        <v>0.60416666666666663</v>
      </c>
      <c r="G86">
        <v>13</v>
      </c>
      <c r="H86" s="6">
        <f>FLOOR(tblPivotData[[#This Row],[Time]],Summary!$B$6/1440)</f>
        <v>0.60416666666666663</v>
      </c>
      <c r="I86" s="49">
        <f>INDEX(PeakCalc!$L$10:$L$303,MATCH(tblPivotData[[#This Row],[Time]],PeakCalc!$G$10:$G$303,0))</f>
        <v>1</v>
      </c>
    </row>
    <row r="87" spans="1:9" x14ac:dyDescent="0.25">
      <c r="A87" t="s">
        <v>93</v>
      </c>
      <c r="B87" t="s">
        <v>98</v>
      </c>
      <c r="C87" t="s">
        <v>95</v>
      </c>
      <c r="D87" t="s">
        <v>79</v>
      </c>
      <c r="E87" t="s">
        <v>91</v>
      </c>
      <c r="F87" s="6">
        <v>0.61458333333333337</v>
      </c>
      <c r="G87">
        <v>10</v>
      </c>
      <c r="H87" s="6">
        <f>FLOOR(tblPivotData[[#This Row],[Time]],Summary!$B$6/1440)</f>
        <v>0.61458333333333326</v>
      </c>
      <c r="I87" s="49">
        <f>INDEX(PeakCalc!$L$10:$L$303,MATCH(tblPivotData[[#This Row],[Time]],PeakCalc!$G$10:$G$303,0))</f>
        <v>1</v>
      </c>
    </row>
    <row r="88" spans="1:9" x14ac:dyDescent="0.25">
      <c r="A88" t="s">
        <v>93</v>
      </c>
      <c r="B88" t="s">
        <v>98</v>
      </c>
      <c r="C88" t="s">
        <v>95</v>
      </c>
      <c r="D88" t="s">
        <v>79</v>
      </c>
      <c r="E88" t="s">
        <v>91</v>
      </c>
      <c r="F88" s="6">
        <v>0.625</v>
      </c>
      <c r="G88">
        <v>12</v>
      </c>
      <c r="H88" s="6">
        <f>FLOOR(tblPivotData[[#This Row],[Time]],Summary!$B$6/1440)</f>
        <v>0.625</v>
      </c>
      <c r="I88" s="49">
        <f>INDEX(PeakCalc!$L$10:$L$303,MATCH(tblPivotData[[#This Row],[Time]],PeakCalc!$G$10:$G$303,0))</f>
        <v>1</v>
      </c>
    </row>
    <row r="89" spans="1:9" x14ac:dyDescent="0.25">
      <c r="A89" t="s">
        <v>93</v>
      </c>
      <c r="B89" t="s">
        <v>98</v>
      </c>
      <c r="C89" t="s">
        <v>95</v>
      </c>
      <c r="D89" t="s">
        <v>79</v>
      </c>
      <c r="E89" t="s">
        <v>91</v>
      </c>
      <c r="F89" s="6">
        <v>0.63541666666666663</v>
      </c>
      <c r="G89">
        <v>13</v>
      </c>
      <c r="H89" s="6">
        <f>FLOOR(tblPivotData[[#This Row],[Time]],Summary!$B$6/1440)</f>
        <v>0.63541666666666663</v>
      </c>
      <c r="I89" s="49">
        <f>INDEX(PeakCalc!$L$10:$L$303,MATCH(tblPivotData[[#This Row],[Time]],PeakCalc!$G$10:$G$303,0))</f>
        <v>1</v>
      </c>
    </row>
    <row r="90" spans="1:9" x14ac:dyDescent="0.25">
      <c r="A90" t="s">
        <v>93</v>
      </c>
      <c r="B90" t="s">
        <v>98</v>
      </c>
      <c r="C90" t="s">
        <v>95</v>
      </c>
      <c r="D90" t="s">
        <v>79</v>
      </c>
      <c r="E90" t="s">
        <v>44</v>
      </c>
      <c r="F90" s="6">
        <v>0.66666666666666663</v>
      </c>
      <c r="G90">
        <v>18</v>
      </c>
      <c r="H90" s="6">
        <f>FLOOR(tblPivotData[[#This Row],[Time]],Summary!$B$6/1440)</f>
        <v>0.66666666666666663</v>
      </c>
      <c r="I90" s="49">
        <f>INDEX(PeakCalc!$L$10:$L$303,MATCH(tblPivotData[[#This Row],[Time]],PeakCalc!$G$10:$G$303,0))</f>
        <v>0</v>
      </c>
    </row>
    <row r="91" spans="1:9" x14ac:dyDescent="0.25">
      <c r="A91" t="s">
        <v>93</v>
      </c>
      <c r="B91" t="s">
        <v>98</v>
      </c>
      <c r="C91" t="s">
        <v>95</v>
      </c>
      <c r="D91" t="s">
        <v>79</v>
      </c>
      <c r="E91" t="s">
        <v>44</v>
      </c>
      <c r="F91" s="6">
        <v>0.67708333333333337</v>
      </c>
      <c r="G91">
        <v>10</v>
      </c>
      <c r="H91" s="6">
        <f>FLOOR(tblPivotData[[#This Row],[Time]],Summary!$B$6/1440)</f>
        <v>0.67708333333333326</v>
      </c>
      <c r="I91" s="49">
        <f>INDEX(PeakCalc!$L$10:$L$303,MATCH(tblPivotData[[#This Row],[Time]],PeakCalc!$G$10:$G$303,0))</f>
        <v>0</v>
      </c>
    </row>
    <row r="92" spans="1:9" x14ac:dyDescent="0.25">
      <c r="A92" t="s">
        <v>93</v>
      </c>
      <c r="B92" t="s">
        <v>98</v>
      </c>
      <c r="C92" t="s">
        <v>95</v>
      </c>
      <c r="D92" t="s">
        <v>79</v>
      </c>
      <c r="E92" t="s">
        <v>44</v>
      </c>
      <c r="F92" s="6">
        <v>0.6875</v>
      </c>
      <c r="G92">
        <v>12</v>
      </c>
      <c r="H92" s="6">
        <f>FLOOR(tblPivotData[[#This Row],[Time]],Summary!$B$6/1440)</f>
        <v>0.6875</v>
      </c>
      <c r="I92" s="49">
        <f>INDEX(PeakCalc!$L$10:$L$303,MATCH(tblPivotData[[#This Row],[Time]],PeakCalc!$G$10:$G$303,0))</f>
        <v>1</v>
      </c>
    </row>
    <row r="93" spans="1:9" x14ac:dyDescent="0.25">
      <c r="A93" t="s">
        <v>93</v>
      </c>
      <c r="B93" t="s">
        <v>98</v>
      </c>
      <c r="C93" t="s">
        <v>95</v>
      </c>
      <c r="D93" t="s">
        <v>79</v>
      </c>
      <c r="E93" t="s">
        <v>44</v>
      </c>
      <c r="F93" s="6">
        <v>0.69791666666666663</v>
      </c>
      <c r="G93">
        <v>5</v>
      </c>
      <c r="H93" s="6">
        <f>FLOOR(tblPivotData[[#This Row],[Time]],Summary!$B$6/1440)</f>
        <v>0.69791666666666663</v>
      </c>
      <c r="I93" s="49">
        <f>INDEX(PeakCalc!$L$10:$L$303,MATCH(tblPivotData[[#This Row],[Time]],PeakCalc!$G$10:$G$303,0))</f>
        <v>1</v>
      </c>
    </row>
    <row r="94" spans="1:9" x14ac:dyDescent="0.25">
      <c r="A94" t="s">
        <v>93</v>
      </c>
      <c r="B94" t="s">
        <v>98</v>
      </c>
      <c r="C94" t="s">
        <v>95</v>
      </c>
      <c r="D94" t="s">
        <v>79</v>
      </c>
      <c r="E94" t="s">
        <v>44</v>
      </c>
      <c r="F94" s="6">
        <v>0.70833333333333337</v>
      </c>
      <c r="G94">
        <v>13</v>
      </c>
      <c r="H94" s="6">
        <f>FLOOR(tblPivotData[[#This Row],[Time]],Summary!$B$6/1440)</f>
        <v>0.70833333333333326</v>
      </c>
      <c r="I94" s="49">
        <f>INDEX(PeakCalc!$L$10:$L$303,MATCH(tblPivotData[[#This Row],[Time]],PeakCalc!$G$10:$G$303,0))</f>
        <v>1</v>
      </c>
    </row>
    <row r="95" spans="1:9" x14ac:dyDescent="0.25">
      <c r="A95" t="s">
        <v>93</v>
      </c>
      <c r="B95" t="s">
        <v>98</v>
      </c>
      <c r="C95" t="s">
        <v>95</v>
      </c>
      <c r="D95" t="s">
        <v>79</v>
      </c>
      <c r="E95" t="s">
        <v>44</v>
      </c>
      <c r="F95" s="6">
        <v>0.71875</v>
      </c>
      <c r="G95">
        <v>10</v>
      </c>
      <c r="H95" s="6">
        <f>FLOOR(tblPivotData[[#This Row],[Time]],Summary!$B$6/1440)</f>
        <v>0.71875</v>
      </c>
      <c r="I95" s="49">
        <f>INDEX(PeakCalc!$L$10:$L$303,MATCH(tblPivotData[[#This Row],[Time]],PeakCalc!$G$10:$G$303,0))</f>
        <v>1</v>
      </c>
    </row>
    <row r="96" spans="1:9" x14ac:dyDescent="0.25">
      <c r="A96" t="s">
        <v>93</v>
      </c>
      <c r="B96" t="s">
        <v>98</v>
      </c>
      <c r="C96" t="s">
        <v>95</v>
      </c>
      <c r="D96" t="s">
        <v>79</v>
      </c>
      <c r="E96" t="s">
        <v>44</v>
      </c>
      <c r="F96" s="6">
        <v>0.72916666666666663</v>
      </c>
      <c r="G96">
        <v>6</v>
      </c>
      <c r="H96" s="6">
        <f>FLOOR(tblPivotData[[#This Row],[Time]],Summary!$B$6/1440)</f>
        <v>0.72916666666666663</v>
      </c>
      <c r="I96" s="49">
        <f>INDEX(PeakCalc!$L$10:$L$303,MATCH(tblPivotData[[#This Row],[Time]],PeakCalc!$G$10:$G$303,0))</f>
        <v>0</v>
      </c>
    </row>
    <row r="97" spans="1:9" x14ac:dyDescent="0.25">
      <c r="A97" t="s">
        <v>93</v>
      </c>
      <c r="B97" t="s">
        <v>98</v>
      </c>
      <c r="C97" t="s">
        <v>95</v>
      </c>
      <c r="D97" t="s">
        <v>79</v>
      </c>
      <c r="E97" t="s">
        <v>44</v>
      </c>
      <c r="F97" s="6">
        <v>0.73958333333333337</v>
      </c>
      <c r="G97">
        <v>7</v>
      </c>
      <c r="H97" s="6">
        <f>FLOOR(tblPivotData[[#This Row],[Time]],Summary!$B$6/1440)</f>
        <v>0.73958333333333326</v>
      </c>
      <c r="I97" s="49">
        <f>INDEX(PeakCalc!$L$10:$L$303,MATCH(tblPivotData[[#This Row],[Time]],PeakCalc!$G$10:$G$303,0))</f>
        <v>0</v>
      </c>
    </row>
    <row r="98" spans="1:9" x14ac:dyDescent="0.25">
      <c r="A98" t="s">
        <v>93</v>
      </c>
      <c r="B98" t="s">
        <v>98</v>
      </c>
      <c r="C98" t="s">
        <v>95</v>
      </c>
      <c r="D98" t="s">
        <v>89</v>
      </c>
      <c r="E98" t="s">
        <v>43</v>
      </c>
      <c r="F98" s="6">
        <v>0.29166666666666669</v>
      </c>
      <c r="G98">
        <v>2</v>
      </c>
      <c r="H98" s="6">
        <f>FLOOR(tblPivotData[[#This Row],[Time]],Summary!$B$6/1440)</f>
        <v>0.29166666666666663</v>
      </c>
      <c r="I98" s="49">
        <f>INDEX(PeakCalc!$L$10:$L$303,MATCH(tblPivotData[[#This Row],[Time]],PeakCalc!$G$10:$G$303,0))</f>
        <v>0</v>
      </c>
    </row>
    <row r="99" spans="1:9" x14ac:dyDescent="0.25">
      <c r="A99" t="s">
        <v>93</v>
      </c>
      <c r="B99" t="s">
        <v>98</v>
      </c>
      <c r="C99" t="s">
        <v>95</v>
      </c>
      <c r="D99" t="s">
        <v>89</v>
      </c>
      <c r="E99" t="s">
        <v>43</v>
      </c>
      <c r="F99" s="6">
        <v>0.30208333333333331</v>
      </c>
      <c r="G99">
        <v>1</v>
      </c>
      <c r="H99" s="6">
        <f>FLOOR(tblPivotData[[#This Row],[Time]],Summary!$B$6/1440)</f>
        <v>0.30208333333333331</v>
      </c>
      <c r="I99" s="49">
        <f>INDEX(PeakCalc!$L$10:$L$303,MATCH(tblPivotData[[#This Row],[Time]],PeakCalc!$G$10:$G$303,0))</f>
        <v>0</v>
      </c>
    </row>
    <row r="100" spans="1:9" x14ac:dyDescent="0.25">
      <c r="A100" t="s">
        <v>93</v>
      </c>
      <c r="B100" t="s">
        <v>98</v>
      </c>
      <c r="C100" t="s">
        <v>95</v>
      </c>
      <c r="D100" t="s">
        <v>89</v>
      </c>
      <c r="E100" t="s">
        <v>43</v>
      </c>
      <c r="F100" s="6">
        <v>0.3125</v>
      </c>
      <c r="G100">
        <v>3</v>
      </c>
      <c r="H100" s="6">
        <f>FLOOR(tblPivotData[[#This Row],[Time]],Summary!$B$6/1440)</f>
        <v>0.3125</v>
      </c>
      <c r="I100" s="49">
        <f>INDEX(PeakCalc!$L$10:$L$303,MATCH(tblPivotData[[#This Row],[Time]],PeakCalc!$G$10:$G$303,0))</f>
        <v>0</v>
      </c>
    </row>
    <row r="101" spans="1:9" x14ac:dyDescent="0.25">
      <c r="A101" t="s">
        <v>93</v>
      </c>
      <c r="B101" t="s">
        <v>98</v>
      </c>
      <c r="C101" t="s">
        <v>95</v>
      </c>
      <c r="D101" t="s">
        <v>89</v>
      </c>
      <c r="E101" t="s">
        <v>43</v>
      </c>
      <c r="F101" s="6">
        <v>0.32291666666666669</v>
      </c>
      <c r="G101">
        <v>2</v>
      </c>
      <c r="H101" s="6">
        <f>FLOOR(tblPivotData[[#This Row],[Time]],Summary!$B$6/1440)</f>
        <v>0.32291666666666663</v>
      </c>
      <c r="I101" s="49">
        <f>INDEX(PeakCalc!$L$10:$L$303,MATCH(tblPivotData[[#This Row],[Time]],PeakCalc!$G$10:$G$303,0))</f>
        <v>0</v>
      </c>
    </row>
    <row r="102" spans="1:9" x14ac:dyDescent="0.25">
      <c r="A102" t="s">
        <v>93</v>
      </c>
      <c r="B102" t="s">
        <v>98</v>
      </c>
      <c r="C102" t="s">
        <v>95</v>
      </c>
      <c r="D102" t="s">
        <v>89</v>
      </c>
      <c r="E102" t="s">
        <v>43</v>
      </c>
      <c r="F102" s="6">
        <v>0.33333333333333331</v>
      </c>
      <c r="G102">
        <v>1</v>
      </c>
      <c r="H102" s="6">
        <f>FLOOR(tblPivotData[[#This Row],[Time]],Summary!$B$6/1440)</f>
        <v>0.33333333333333331</v>
      </c>
      <c r="I102" s="49">
        <f>INDEX(PeakCalc!$L$10:$L$303,MATCH(tblPivotData[[#This Row],[Time]],PeakCalc!$G$10:$G$303,0))</f>
        <v>1</v>
      </c>
    </row>
    <row r="103" spans="1:9" x14ac:dyDescent="0.25">
      <c r="A103" t="s">
        <v>93</v>
      </c>
      <c r="B103" t="s">
        <v>98</v>
      </c>
      <c r="C103" t="s">
        <v>95</v>
      </c>
      <c r="D103" t="s">
        <v>89</v>
      </c>
      <c r="E103" t="s">
        <v>43</v>
      </c>
      <c r="F103" s="6">
        <v>0.34375</v>
      </c>
      <c r="G103">
        <v>1</v>
      </c>
      <c r="H103" s="6">
        <f>FLOOR(tblPivotData[[#This Row],[Time]],Summary!$B$6/1440)</f>
        <v>0.34375</v>
      </c>
      <c r="I103" s="49">
        <f>INDEX(PeakCalc!$L$10:$L$303,MATCH(tblPivotData[[#This Row],[Time]],PeakCalc!$G$10:$G$303,0))</f>
        <v>1</v>
      </c>
    </row>
    <row r="104" spans="1:9" x14ac:dyDescent="0.25">
      <c r="A104" t="s">
        <v>93</v>
      </c>
      <c r="B104" t="s">
        <v>98</v>
      </c>
      <c r="C104" t="s">
        <v>95</v>
      </c>
      <c r="D104" t="s">
        <v>89</v>
      </c>
      <c r="E104" t="s">
        <v>43</v>
      </c>
      <c r="F104" s="6">
        <v>0.35416666666666669</v>
      </c>
      <c r="G104">
        <v>2</v>
      </c>
      <c r="H104" s="6">
        <f>FLOOR(tblPivotData[[#This Row],[Time]],Summary!$B$6/1440)</f>
        <v>0.35416666666666663</v>
      </c>
      <c r="I104" s="49">
        <f>INDEX(PeakCalc!$L$10:$L$303,MATCH(tblPivotData[[#This Row],[Time]],PeakCalc!$G$10:$G$303,0))</f>
        <v>1</v>
      </c>
    </row>
    <row r="105" spans="1:9" x14ac:dyDescent="0.25">
      <c r="A105" t="s">
        <v>93</v>
      </c>
      <c r="B105" t="s">
        <v>98</v>
      </c>
      <c r="C105" t="s">
        <v>95</v>
      </c>
      <c r="D105" t="s">
        <v>89</v>
      </c>
      <c r="E105" t="s">
        <v>43</v>
      </c>
      <c r="F105" s="6">
        <v>0.36458333333333331</v>
      </c>
      <c r="G105">
        <v>1</v>
      </c>
      <c r="H105" s="6">
        <f>FLOOR(tblPivotData[[#This Row],[Time]],Summary!$B$6/1440)</f>
        <v>0.36458333333333331</v>
      </c>
      <c r="I105" s="49">
        <f>INDEX(PeakCalc!$L$10:$L$303,MATCH(tblPivotData[[#This Row],[Time]],PeakCalc!$G$10:$G$303,0))</f>
        <v>1</v>
      </c>
    </row>
    <row r="106" spans="1:9" x14ac:dyDescent="0.25">
      <c r="A106" t="s">
        <v>93</v>
      </c>
      <c r="B106" t="s">
        <v>98</v>
      </c>
      <c r="C106" t="s">
        <v>95</v>
      </c>
      <c r="D106" t="s">
        <v>89</v>
      </c>
      <c r="E106" t="s">
        <v>91</v>
      </c>
      <c r="F106" s="6">
        <v>0.5625</v>
      </c>
      <c r="G106">
        <v>0</v>
      </c>
      <c r="H106" s="6">
        <f>FLOOR(tblPivotData[[#This Row],[Time]],Summary!$B$6/1440)</f>
        <v>0.5625</v>
      </c>
      <c r="I106" s="49">
        <f>INDEX(PeakCalc!$L$10:$L$303,MATCH(tblPivotData[[#This Row],[Time]],PeakCalc!$G$10:$G$303,0))</f>
        <v>0</v>
      </c>
    </row>
    <row r="107" spans="1:9" x14ac:dyDescent="0.25">
      <c r="A107" t="s">
        <v>93</v>
      </c>
      <c r="B107" t="s">
        <v>98</v>
      </c>
      <c r="C107" t="s">
        <v>95</v>
      </c>
      <c r="D107" t="s">
        <v>89</v>
      </c>
      <c r="E107" t="s">
        <v>91</v>
      </c>
      <c r="F107" s="6">
        <v>0.57291666666666663</v>
      </c>
      <c r="G107">
        <v>0</v>
      </c>
      <c r="H107" s="6">
        <f>FLOOR(tblPivotData[[#This Row],[Time]],Summary!$B$6/1440)</f>
        <v>0.57291666666666663</v>
      </c>
      <c r="I107" s="49">
        <f>INDEX(PeakCalc!$L$10:$L$303,MATCH(tblPivotData[[#This Row],[Time]],PeakCalc!$G$10:$G$303,0))</f>
        <v>0</v>
      </c>
    </row>
    <row r="108" spans="1:9" x14ac:dyDescent="0.25">
      <c r="A108" t="s">
        <v>93</v>
      </c>
      <c r="B108" t="s">
        <v>98</v>
      </c>
      <c r="C108" t="s">
        <v>95</v>
      </c>
      <c r="D108" t="s">
        <v>89</v>
      </c>
      <c r="E108" t="s">
        <v>91</v>
      </c>
      <c r="F108" s="6">
        <v>0.58333333333333337</v>
      </c>
      <c r="G108">
        <v>0</v>
      </c>
      <c r="H108" s="6">
        <f>FLOOR(tblPivotData[[#This Row],[Time]],Summary!$B$6/1440)</f>
        <v>0.58333333333333326</v>
      </c>
      <c r="I108" s="49">
        <f>INDEX(PeakCalc!$L$10:$L$303,MATCH(tblPivotData[[#This Row],[Time]],PeakCalc!$G$10:$G$303,0))</f>
        <v>0</v>
      </c>
    </row>
    <row r="109" spans="1:9" x14ac:dyDescent="0.25">
      <c r="A109" t="s">
        <v>93</v>
      </c>
      <c r="B109" t="s">
        <v>98</v>
      </c>
      <c r="C109" t="s">
        <v>95</v>
      </c>
      <c r="D109" t="s">
        <v>89</v>
      </c>
      <c r="E109" t="s">
        <v>91</v>
      </c>
      <c r="F109" s="6">
        <v>0.59375</v>
      </c>
      <c r="G109">
        <v>0</v>
      </c>
      <c r="H109" s="6">
        <f>FLOOR(tblPivotData[[#This Row],[Time]],Summary!$B$6/1440)</f>
        <v>0.59375</v>
      </c>
      <c r="I109" s="49">
        <f>INDEX(PeakCalc!$L$10:$L$303,MATCH(tblPivotData[[#This Row],[Time]],PeakCalc!$G$10:$G$303,0))</f>
        <v>0</v>
      </c>
    </row>
    <row r="110" spans="1:9" x14ac:dyDescent="0.25">
      <c r="A110" t="s">
        <v>93</v>
      </c>
      <c r="B110" t="s">
        <v>98</v>
      </c>
      <c r="C110" t="s">
        <v>95</v>
      </c>
      <c r="D110" t="s">
        <v>89</v>
      </c>
      <c r="E110" t="s">
        <v>91</v>
      </c>
      <c r="F110" s="6">
        <v>0.60416666666666663</v>
      </c>
      <c r="G110">
        <v>1</v>
      </c>
      <c r="H110" s="6">
        <f>FLOOR(tblPivotData[[#This Row],[Time]],Summary!$B$6/1440)</f>
        <v>0.60416666666666663</v>
      </c>
      <c r="I110" s="49">
        <f>INDEX(PeakCalc!$L$10:$L$303,MATCH(tblPivotData[[#This Row],[Time]],PeakCalc!$G$10:$G$303,0))</f>
        <v>1</v>
      </c>
    </row>
    <row r="111" spans="1:9" x14ac:dyDescent="0.25">
      <c r="A111" t="s">
        <v>93</v>
      </c>
      <c r="B111" t="s">
        <v>98</v>
      </c>
      <c r="C111" t="s">
        <v>95</v>
      </c>
      <c r="D111" t="s">
        <v>89</v>
      </c>
      <c r="E111" t="s">
        <v>91</v>
      </c>
      <c r="F111" s="6">
        <v>0.61458333333333337</v>
      </c>
      <c r="G111">
        <v>0</v>
      </c>
      <c r="H111" s="6">
        <f>FLOOR(tblPivotData[[#This Row],[Time]],Summary!$B$6/1440)</f>
        <v>0.61458333333333326</v>
      </c>
      <c r="I111" s="49">
        <f>INDEX(PeakCalc!$L$10:$L$303,MATCH(tblPivotData[[#This Row],[Time]],PeakCalc!$G$10:$G$303,0))</f>
        <v>1</v>
      </c>
    </row>
    <row r="112" spans="1:9" x14ac:dyDescent="0.25">
      <c r="A112" t="s">
        <v>93</v>
      </c>
      <c r="B112" t="s">
        <v>98</v>
      </c>
      <c r="C112" t="s">
        <v>95</v>
      </c>
      <c r="D112" t="s">
        <v>89</v>
      </c>
      <c r="E112" t="s">
        <v>91</v>
      </c>
      <c r="F112" s="6">
        <v>0.625</v>
      </c>
      <c r="G112">
        <v>2</v>
      </c>
      <c r="H112" s="6">
        <f>FLOOR(tblPivotData[[#This Row],[Time]],Summary!$B$6/1440)</f>
        <v>0.625</v>
      </c>
      <c r="I112" s="49">
        <f>INDEX(PeakCalc!$L$10:$L$303,MATCH(tblPivotData[[#This Row],[Time]],PeakCalc!$G$10:$G$303,0))</f>
        <v>1</v>
      </c>
    </row>
    <row r="113" spans="1:9" x14ac:dyDescent="0.25">
      <c r="A113" t="s">
        <v>93</v>
      </c>
      <c r="B113" t="s">
        <v>98</v>
      </c>
      <c r="C113" t="s">
        <v>95</v>
      </c>
      <c r="D113" t="s">
        <v>89</v>
      </c>
      <c r="E113" t="s">
        <v>91</v>
      </c>
      <c r="F113" s="6">
        <v>0.63541666666666663</v>
      </c>
      <c r="G113">
        <v>2</v>
      </c>
      <c r="H113" s="6">
        <f>FLOOR(tblPivotData[[#This Row],[Time]],Summary!$B$6/1440)</f>
        <v>0.63541666666666663</v>
      </c>
      <c r="I113" s="49">
        <f>INDEX(PeakCalc!$L$10:$L$303,MATCH(tblPivotData[[#This Row],[Time]],PeakCalc!$G$10:$G$303,0))</f>
        <v>1</v>
      </c>
    </row>
    <row r="114" spans="1:9" x14ac:dyDescent="0.25">
      <c r="A114" t="s">
        <v>93</v>
      </c>
      <c r="B114" t="s">
        <v>98</v>
      </c>
      <c r="C114" t="s">
        <v>95</v>
      </c>
      <c r="D114" t="s">
        <v>89</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89</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98</v>
      </c>
      <c r="C116" t="s">
        <v>95</v>
      </c>
      <c r="D116" t="s">
        <v>89</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89</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89</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89</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89</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89</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98</v>
      </c>
      <c r="C122" t="s">
        <v>95</v>
      </c>
      <c r="D122" t="s">
        <v>90</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95</v>
      </c>
      <c r="D123" t="s">
        <v>90</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95</v>
      </c>
      <c r="D124" t="s">
        <v>90</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95</v>
      </c>
      <c r="D125" t="s">
        <v>90</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98</v>
      </c>
      <c r="C126" t="s">
        <v>95</v>
      </c>
      <c r="D126" t="s">
        <v>90</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95</v>
      </c>
      <c r="D127" t="s">
        <v>90</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95</v>
      </c>
      <c r="D129" t="s">
        <v>90</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t="s">
        <v>95</v>
      </c>
      <c r="D130" t="s">
        <v>90</v>
      </c>
      <c r="E130" t="s">
        <v>91</v>
      </c>
      <c r="F130" s="6">
        <v>0.5625</v>
      </c>
      <c r="G130">
        <v>0</v>
      </c>
      <c r="H130" s="6">
        <f>FLOOR(tblPivotData[[#This Row],[Time]],Summary!$B$6/1440)</f>
        <v>0.5625</v>
      </c>
      <c r="I130" s="49">
        <f>INDEX(PeakCalc!$L$10:$L$303,MATCH(tblPivotData[[#This Row],[Time]],PeakCalc!$G$10:$G$303,0))</f>
        <v>0</v>
      </c>
    </row>
    <row r="131" spans="1:9" x14ac:dyDescent="0.25">
      <c r="A131" t="s">
        <v>93</v>
      </c>
      <c r="B131" t="s">
        <v>98</v>
      </c>
      <c r="C131" t="s">
        <v>95</v>
      </c>
      <c r="D131" t="s">
        <v>90</v>
      </c>
      <c r="E131" t="s">
        <v>91</v>
      </c>
      <c r="F131" s="6">
        <v>0.57291666666666663</v>
      </c>
      <c r="G131">
        <v>0</v>
      </c>
      <c r="H131" s="6">
        <f>FLOOR(tblPivotData[[#This Row],[Time]],Summary!$B$6/1440)</f>
        <v>0.57291666666666663</v>
      </c>
      <c r="I131" s="49">
        <f>INDEX(PeakCalc!$L$10:$L$303,MATCH(tblPivotData[[#This Row],[Time]],PeakCalc!$G$10:$G$303,0))</f>
        <v>0</v>
      </c>
    </row>
    <row r="132" spans="1:9" x14ac:dyDescent="0.25">
      <c r="A132" t="s">
        <v>93</v>
      </c>
      <c r="B132" t="s">
        <v>98</v>
      </c>
      <c r="C132" t="s">
        <v>95</v>
      </c>
      <c r="D132" t="s">
        <v>90</v>
      </c>
      <c r="E132" t="s">
        <v>91</v>
      </c>
      <c r="F132" s="6">
        <v>0.58333333333333337</v>
      </c>
      <c r="G132">
        <v>0</v>
      </c>
      <c r="H132" s="6">
        <f>FLOOR(tblPivotData[[#This Row],[Time]],Summary!$B$6/1440)</f>
        <v>0.58333333333333326</v>
      </c>
      <c r="I132" s="49">
        <f>INDEX(PeakCalc!$L$10:$L$303,MATCH(tblPivotData[[#This Row],[Time]],PeakCalc!$G$10:$G$303,0))</f>
        <v>0</v>
      </c>
    </row>
    <row r="133" spans="1:9" x14ac:dyDescent="0.25">
      <c r="A133" t="s">
        <v>93</v>
      </c>
      <c r="B133" t="s">
        <v>98</v>
      </c>
      <c r="C133" t="s">
        <v>95</v>
      </c>
      <c r="D133" t="s">
        <v>90</v>
      </c>
      <c r="E133" t="s">
        <v>91</v>
      </c>
      <c r="F133" s="6">
        <v>0.59375</v>
      </c>
      <c r="G133">
        <v>0</v>
      </c>
      <c r="H133" s="6">
        <f>FLOOR(tblPivotData[[#This Row],[Time]],Summary!$B$6/1440)</f>
        <v>0.59375</v>
      </c>
      <c r="I133" s="49">
        <f>INDEX(PeakCalc!$L$10:$L$303,MATCH(tblPivotData[[#This Row],[Time]],PeakCalc!$G$10:$G$303,0))</f>
        <v>0</v>
      </c>
    </row>
    <row r="134" spans="1:9" x14ac:dyDescent="0.25">
      <c r="A134" t="s">
        <v>93</v>
      </c>
      <c r="B134" t="s">
        <v>98</v>
      </c>
      <c r="C134" t="s">
        <v>95</v>
      </c>
      <c r="D134" t="s">
        <v>90</v>
      </c>
      <c r="E134" t="s">
        <v>91</v>
      </c>
      <c r="F134" s="6">
        <v>0.60416666666666663</v>
      </c>
      <c r="G134">
        <v>0</v>
      </c>
      <c r="H134" s="6">
        <f>FLOOR(tblPivotData[[#This Row],[Time]],Summary!$B$6/1440)</f>
        <v>0.60416666666666663</v>
      </c>
      <c r="I134" s="49">
        <f>INDEX(PeakCalc!$L$10:$L$303,MATCH(tblPivotData[[#This Row],[Time]],PeakCalc!$G$10:$G$303,0))</f>
        <v>1</v>
      </c>
    </row>
    <row r="135" spans="1:9" x14ac:dyDescent="0.25">
      <c r="A135" t="s">
        <v>93</v>
      </c>
      <c r="B135" t="s">
        <v>98</v>
      </c>
      <c r="C135" t="s">
        <v>95</v>
      </c>
      <c r="D135" t="s">
        <v>90</v>
      </c>
      <c r="E135" t="s">
        <v>91</v>
      </c>
      <c r="F135" s="6">
        <v>0.61458333333333337</v>
      </c>
      <c r="G135">
        <v>0</v>
      </c>
      <c r="H135" s="6">
        <f>FLOOR(tblPivotData[[#This Row],[Time]],Summary!$B$6/1440)</f>
        <v>0.61458333333333326</v>
      </c>
      <c r="I135" s="49">
        <f>INDEX(PeakCalc!$L$10:$L$303,MATCH(tblPivotData[[#This Row],[Time]],PeakCalc!$G$10:$G$303,0))</f>
        <v>1</v>
      </c>
    </row>
    <row r="136" spans="1:9" x14ac:dyDescent="0.25">
      <c r="A136" t="s">
        <v>93</v>
      </c>
      <c r="B136" t="s">
        <v>98</v>
      </c>
      <c r="C136" t="s">
        <v>95</v>
      </c>
      <c r="D136" t="s">
        <v>90</v>
      </c>
      <c r="E136" t="s">
        <v>91</v>
      </c>
      <c r="F136" s="6">
        <v>0.625</v>
      </c>
      <c r="G136">
        <v>0</v>
      </c>
      <c r="H136" s="6">
        <f>FLOOR(tblPivotData[[#This Row],[Time]],Summary!$B$6/1440)</f>
        <v>0.625</v>
      </c>
      <c r="I136" s="49">
        <f>INDEX(PeakCalc!$L$10:$L$303,MATCH(tblPivotData[[#This Row],[Time]],PeakCalc!$G$10:$G$303,0))</f>
        <v>1</v>
      </c>
    </row>
    <row r="137" spans="1:9" x14ac:dyDescent="0.25">
      <c r="A137" t="s">
        <v>93</v>
      </c>
      <c r="B137" t="s">
        <v>98</v>
      </c>
      <c r="C137" t="s">
        <v>95</v>
      </c>
      <c r="D137" t="s">
        <v>90</v>
      </c>
      <c r="E137" t="s">
        <v>91</v>
      </c>
      <c r="F137" s="6">
        <v>0.63541666666666663</v>
      </c>
      <c r="G137">
        <v>0</v>
      </c>
      <c r="H137" s="6">
        <f>FLOOR(tblPivotData[[#This Row],[Time]],Summary!$B$6/1440)</f>
        <v>0.63541666666666663</v>
      </c>
      <c r="I137" s="49">
        <f>INDEX(PeakCalc!$L$10:$L$303,MATCH(tblPivotData[[#This Row],[Time]],PeakCalc!$G$10:$G$303,0))</f>
        <v>1</v>
      </c>
    </row>
    <row r="138" spans="1:9" x14ac:dyDescent="0.25">
      <c r="A138" t="s">
        <v>93</v>
      </c>
      <c r="B138" t="s">
        <v>98</v>
      </c>
      <c r="C138" t="s">
        <v>95</v>
      </c>
      <c r="D138" t="s">
        <v>90</v>
      </c>
      <c r="E138" t="s">
        <v>44</v>
      </c>
      <c r="F138" s="6">
        <v>0.66666666666666663</v>
      </c>
      <c r="G138">
        <v>0</v>
      </c>
      <c r="H138" s="6">
        <f>FLOOR(tblPivotData[[#This Row],[Time]],Summary!$B$6/1440)</f>
        <v>0.66666666666666663</v>
      </c>
      <c r="I138" s="49">
        <f>INDEX(PeakCalc!$L$10:$L$303,MATCH(tblPivotData[[#This Row],[Time]],PeakCalc!$G$10:$G$303,0))</f>
        <v>0</v>
      </c>
    </row>
    <row r="139" spans="1:9" x14ac:dyDescent="0.25">
      <c r="A139" t="s">
        <v>93</v>
      </c>
      <c r="B139" t="s">
        <v>98</v>
      </c>
      <c r="C139" t="s">
        <v>95</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93</v>
      </c>
      <c r="B140" t="s">
        <v>98</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93</v>
      </c>
      <c r="B141" t="s">
        <v>98</v>
      </c>
      <c r="C141" t="s">
        <v>95</v>
      </c>
      <c r="D141" t="s">
        <v>90</v>
      </c>
      <c r="E141" t="s">
        <v>44</v>
      </c>
      <c r="F141" s="6">
        <v>0.69791666666666663</v>
      </c>
      <c r="G141">
        <v>0</v>
      </c>
      <c r="H141" s="6">
        <f>FLOOR(tblPivotData[[#This Row],[Time]],Summary!$B$6/1440)</f>
        <v>0.69791666666666663</v>
      </c>
      <c r="I141" s="49">
        <f>INDEX(PeakCalc!$L$10:$L$303,MATCH(tblPivotData[[#This Row],[Time]],PeakCalc!$G$10:$G$303,0))</f>
        <v>1</v>
      </c>
    </row>
    <row r="142" spans="1:9" x14ac:dyDescent="0.25">
      <c r="A142" t="s">
        <v>93</v>
      </c>
      <c r="B142" t="s">
        <v>98</v>
      </c>
      <c r="C142" t="s">
        <v>95</v>
      </c>
      <c r="D142" t="s">
        <v>90</v>
      </c>
      <c r="E142" t="s">
        <v>44</v>
      </c>
      <c r="F142" s="6">
        <v>0.70833333333333337</v>
      </c>
      <c r="G142">
        <v>0</v>
      </c>
      <c r="H142" s="6">
        <f>FLOOR(tblPivotData[[#This Row],[Time]],Summary!$B$6/1440)</f>
        <v>0.70833333333333326</v>
      </c>
      <c r="I142" s="49">
        <f>INDEX(PeakCalc!$L$10:$L$303,MATCH(tblPivotData[[#This Row],[Time]],PeakCalc!$G$10:$G$303,0))</f>
        <v>1</v>
      </c>
    </row>
    <row r="143" spans="1:9" x14ac:dyDescent="0.25">
      <c r="A143" t="s">
        <v>93</v>
      </c>
      <c r="B143" t="s">
        <v>98</v>
      </c>
      <c r="C143" t="s">
        <v>95</v>
      </c>
      <c r="D143" t="s">
        <v>90</v>
      </c>
      <c r="E143" t="s">
        <v>44</v>
      </c>
      <c r="F143" s="6">
        <v>0.71875</v>
      </c>
      <c r="G143">
        <v>0</v>
      </c>
      <c r="H143" s="6">
        <f>FLOOR(tblPivotData[[#This Row],[Time]],Summary!$B$6/1440)</f>
        <v>0.71875</v>
      </c>
      <c r="I143" s="49">
        <f>INDEX(PeakCalc!$L$10:$L$303,MATCH(tblPivotData[[#This Row],[Time]],PeakCalc!$G$10:$G$303,0))</f>
        <v>1</v>
      </c>
    </row>
    <row r="144" spans="1:9" x14ac:dyDescent="0.25">
      <c r="A144" t="s">
        <v>93</v>
      </c>
      <c r="B144" t="s">
        <v>98</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93</v>
      </c>
      <c r="B145" t="s">
        <v>98</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93</v>
      </c>
      <c r="B146" t="s">
        <v>99</v>
      </c>
      <c r="C146" t="s">
        <v>96</v>
      </c>
      <c r="D146" t="s">
        <v>79</v>
      </c>
      <c r="E146" t="s">
        <v>43</v>
      </c>
      <c r="F146" s="6">
        <v>0.29166666666666669</v>
      </c>
      <c r="G146">
        <v>1</v>
      </c>
      <c r="H146" s="6">
        <f>FLOOR(tblPivotData[[#This Row],[Time]],Summary!$B$6/1440)</f>
        <v>0.29166666666666663</v>
      </c>
      <c r="I146" s="49">
        <f>INDEX(PeakCalc!$L$10:$L$303,MATCH(tblPivotData[[#This Row],[Time]],PeakCalc!$G$10:$G$303,0))</f>
        <v>0</v>
      </c>
    </row>
    <row r="147" spans="1:9" x14ac:dyDescent="0.25">
      <c r="A147" t="s">
        <v>93</v>
      </c>
      <c r="B147" t="s">
        <v>99</v>
      </c>
      <c r="C147" t="s">
        <v>96</v>
      </c>
      <c r="D147" t="s">
        <v>79</v>
      </c>
      <c r="E147" t="s">
        <v>43</v>
      </c>
      <c r="F147" s="6">
        <v>0.30208333333333331</v>
      </c>
      <c r="G147">
        <v>2</v>
      </c>
      <c r="H147" s="6">
        <f>FLOOR(tblPivotData[[#This Row],[Time]],Summary!$B$6/1440)</f>
        <v>0.30208333333333331</v>
      </c>
      <c r="I147" s="49">
        <f>INDEX(PeakCalc!$L$10:$L$303,MATCH(tblPivotData[[#This Row],[Time]],PeakCalc!$G$10:$G$303,0))</f>
        <v>0</v>
      </c>
    </row>
    <row r="148" spans="1:9" x14ac:dyDescent="0.25">
      <c r="A148" t="s">
        <v>93</v>
      </c>
      <c r="B148" t="s">
        <v>99</v>
      </c>
      <c r="C148" t="s">
        <v>96</v>
      </c>
      <c r="D148" t="s">
        <v>79</v>
      </c>
      <c r="E148" t="s">
        <v>43</v>
      </c>
      <c r="F148" s="6">
        <v>0.3125</v>
      </c>
      <c r="G148">
        <v>5</v>
      </c>
      <c r="H148" s="6">
        <f>FLOOR(tblPivotData[[#This Row],[Time]],Summary!$B$6/1440)</f>
        <v>0.3125</v>
      </c>
      <c r="I148" s="49">
        <f>INDEX(PeakCalc!$L$10:$L$303,MATCH(tblPivotData[[#This Row],[Time]],PeakCalc!$G$10:$G$303,0))</f>
        <v>0</v>
      </c>
    </row>
    <row r="149" spans="1:9" x14ac:dyDescent="0.25">
      <c r="A149" t="s">
        <v>93</v>
      </c>
      <c r="B149" t="s">
        <v>99</v>
      </c>
      <c r="C149" t="s">
        <v>96</v>
      </c>
      <c r="D149" t="s">
        <v>79</v>
      </c>
      <c r="E149" t="s">
        <v>43</v>
      </c>
      <c r="F149" s="6">
        <v>0.32291666666666669</v>
      </c>
      <c r="G149">
        <v>4</v>
      </c>
      <c r="H149" s="6">
        <f>FLOOR(tblPivotData[[#This Row],[Time]],Summary!$B$6/1440)</f>
        <v>0.32291666666666663</v>
      </c>
      <c r="I149" s="49">
        <f>INDEX(PeakCalc!$L$10:$L$303,MATCH(tblPivotData[[#This Row],[Time]],PeakCalc!$G$10:$G$303,0))</f>
        <v>0</v>
      </c>
    </row>
    <row r="150" spans="1:9" x14ac:dyDescent="0.25">
      <c r="A150" t="s">
        <v>93</v>
      </c>
      <c r="B150" t="s">
        <v>99</v>
      </c>
      <c r="C150" t="s">
        <v>96</v>
      </c>
      <c r="D150" t="s">
        <v>79</v>
      </c>
      <c r="E150" t="s">
        <v>43</v>
      </c>
      <c r="F150" s="6">
        <v>0.33333333333333331</v>
      </c>
      <c r="G150">
        <v>3</v>
      </c>
      <c r="H150" s="6">
        <f>FLOOR(tblPivotData[[#This Row],[Time]],Summary!$B$6/1440)</f>
        <v>0.33333333333333331</v>
      </c>
      <c r="I150" s="49">
        <f>INDEX(PeakCalc!$L$10:$L$303,MATCH(tblPivotData[[#This Row],[Time]],PeakCalc!$G$10:$G$303,0))</f>
        <v>1</v>
      </c>
    </row>
    <row r="151" spans="1:9" x14ac:dyDescent="0.25">
      <c r="A151" t="s">
        <v>93</v>
      </c>
      <c r="B151" t="s">
        <v>99</v>
      </c>
      <c r="C151" t="s">
        <v>96</v>
      </c>
      <c r="D151" t="s">
        <v>79</v>
      </c>
      <c r="E151" t="s">
        <v>43</v>
      </c>
      <c r="F151" s="6">
        <v>0.34375</v>
      </c>
      <c r="G151">
        <v>1</v>
      </c>
      <c r="H151" s="6">
        <f>FLOOR(tblPivotData[[#This Row],[Time]],Summary!$B$6/1440)</f>
        <v>0.34375</v>
      </c>
      <c r="I151" s="49">
        <f>INDEX(PeakCalc!$L$10:$L$303,MATCH(tblPivotData[[#This Row],[Time]],PeakCalc!$G$10:$G$303,0))</f>
        <v>1</v>
      </c>
    </row>
    <row r="152" spans="1:9" x14ac:dyDescent="0.25">
      <c r="A152" t="s">
        <v>93</v>
      </c>
      <c r="B152" t="s">
        <v>99</v>
      </c>
      <c r="C152" t="s">
        <v>96</v>
      </c>
      <c r="D152" t="s">
        <v>79</v>
      </c>
      <c r="E152" t="s">
        <v>43</v>
      </c>
      <c r="F152" s="6">
        <v>0.35416666666666669</v>
      </c>
      <c r="G152">
        <v>8</v>
      </c>
      <c r="H152" s="6">
        <f>FLOOR(tblPivotData[[#This Row],[Time]],Summary!$B$6/1440)</f>
        <v>0.35416666666666663</v>
      </c>
      <c r="I152" s="49">
        <f>INDEX(PeakCalc!$L$10:$L$303,MATCH(tblPivotData[[#This Row],[Time]],PeakCalc!$G$10:$G$303,0))</f>
        <v>1</v>
      </c>
    </row>
    <row r="153" spans="1:9" x14ac:dyDescent="0.25">
      <c r="A153" t="s">
        <v>93</v>
      </c>
      <c r="B153" t="s">
        <v>99</v>
      </c>
      <c r="C153" t="s">
        <v>96</v>
      </c>
      <c r="D153" t="s">
        <v>79</v>
      </c>
      <c r="E153" t="s">
        <v>43</v>
      </c>
      <c r="F153" s="6">
        <v>0.36458333333333331</v>
      </c>
      <c r="G153">
        <v>6</v>
      </c>
      <c r="H153" s="6">
        <f>FLOOR(tblPivotData[[#This Row],[Time]],Summary!$B$6/1440)</f>
        <v>0.36458333333333331</v>
      </c>
      <c r="I153" s="49">
        <f>INDEX(PeakCalc!$L$10:$L$303,MATCH(tblPivotData[[#This Row],[Time]],PeakCalc!$G$10:$G$303,0))</f>
        <v>1</v>
      </c>
    </row>
    <row r="154" spans="1:9" x14ac:dyDescent="0.25">
      <c r="A154" t="s">
        <v>93</v>
      </c>
      <c r="B154" t="s">
        <v>99</v>
      </c>
      <c r="C154" t="s">
        <v>96</v>
      </c>
      <c r="D154" t="s">
        <v>79</v>
      </c>
      <c r="E154" t="s">
        <v>91</v>
      </c>
      <c r="F154" s="6">
        <v>0.5625</v>
      </c>
      <c r="G154">
        <v>4</v>
      </c>
      <c r="H154" s="6">
        <f>FLOOR(tblPivotData[[#This Row],[Time]],Summary!$B$6/1440)</f>
        <v>0.5625</v>
      </c>
      <c r="I154" s="49">
        <f>INDEX(PeakCalc!$L$10:$L$303,MATCH(tblPivotData[[#This Row],[Time]],PeakCalc!$G$10:$G$303,0))</f>
        <v>0</v>
      </c>
    </row>
    <row r="155" spans="1:9" x14ac:dyDescent="0.25">
      <c r="A155" t="s">
        <v>93</v>
      </c>
      <c r="B155" t="s">
        <v>99</v>
      </c>
      <c r="C155" t="s">
        <v>96</v>
      </c>
      <c r="D155" t="s">
        <v>79</v>
      </c>
      <c r="E155" t="s">
        <v>91</v>
      </c>
      <c r="F155" s="6">
        <v>0.57291666666666663</v>
      </c>
      <c r="G155">
        <v>3</v>
      </c>
      <c r="H155" s="6">
        <f>FLOOR(tblPivotData[[#This Row],[Time]],Summary!$B$6/1440)</f>
        <v>0.57291666666666663</v>
      </c>
      <c r="I155" s="49">
        <f>INDEX(PeakCalc!$L$10:$L$303,MATCH(tblPivotData[[#This Row],[Time]],PeakCalc!$G$10:$G$303,0))</f>
        <v>0</v>
      </c>
    </row>
    <row r="156" spans="1:9" x14ac:dyDescent="0.25">
      <c r="A156" t="s">
        <v>93</v>
      </c>
      <c r="B156" t="s">
        <v>99</v>
      </c>
      <c r="C156" t="s">
        <v>96</v>
      </c>
      <c r="D156" t="s">
        <v>79</v>
      </c>
      <c r="E156" t="s">
        <v>91</v>
      </c>
      <c r="F156" s="6">
        <v>0.58333333333333337</v>
      </c>
      <c r="G156">
        <v>4</v>
      </c>
      <c r="H156" s="6">
        <f>FLOOR(tblPivotData[[#This Row],[Time]],Summary!$B$6/1440)</f>
        <v>0.58333333333333326</v>
      </c>
      <c r="I156" s="49">
        <f>INDEX(PeakCalc!$L$10:$L$303,MATCH(tblPivotData[[#This Row],[Time]],PeakCalc!$G$10:$G$303,0))</f>
        <v>0</v>
      </c>
    </row>
    <row r="157" spans="1:9" x14ac:dyDescent="0.25">
      <c r="A157" t="s">
        <v>93</v>
      </c>
      <c r="B157" t="s">
        <v>99</v>
      </c>
      <c r="C157" t="s">
        <v>96</v>
      </c>
      <c r="D157" t="s">
        <v>79</v>
      </c>
      <c r="E157" t="s">
        <v>91</v>
      </c>
      <c r="F157" s="6">
        <v>0.59375</v>
      </c>
      <c r="G157">
        <v>4</v>
      </c>
      <c r="H157" s="6">
        <f>FLOOR(tblPivotData[[#This Row],[Time]],Summary!$B$6/1440)</f>
        <v>0.59375</v>
      </c>
      <c r="I157" s="49">
        <f>INDEX(PeakCalc!$L$10:$L$303,MATCH(tblPivotData[[#This Row],[Time]],PeakCalc!$G$10:$G$303,0))</f>
        <v>0</v>
      </c>
    </row>
    <row r="158" spans="1:9" x14ac:dyDescent="0.25">
      <c r="A158" t="s">
        <v>93</v>
      </c>
      <c r="B158" t="s">
        <v>99</v>
      </c>
      <c r="C158" t="s">
        <v>96</v>
      </c>
      <c r="D158" t="s">
        <v>79</v>
      </c>
      <c r="E158" t="s">
        <v>91</v>
      </c>
      <c r="F158" s="6">
        <v>0.60416666666666663</v>
      </c>
      <c r="G158">
        <v>3</v>
      </c>
      <c r="H158" s="6">
        <f>FLOOR(tblPivotData[[#This Row],[Time]],Summary!$B$6/1440)</f>
        <v>0.60416666666666663</v>
      </c>
      <c r="I158" s="49">
        <f>INDEX(PeakCalc!$L$10:$L$303,MATCH(tblPivotData[[#This Row],[Time]],PeakCalc!$G$10:$G$303,0))</f>
        <v>1</v>
      </c>
    </row>
    <row r="159" spans="1:9" x14ac:dyDescent="0.25">
      <c r="A159" t="s">
        <v>93</v>
      </c>
      <c r="B159" t="s">
        <v>99</v>
      </c>
      <c r="C159" t="s">
        <v>96</v>
      </c>
      <c r="D159" t="s">
        <v>79</v>
      </c>
      <c r="E159" t="s">
        <v>91</v>
      </c>
      <c r="F159" s="6">
        <v>0.61458333333333337</v>
      </c>
      <c r="G159">
        <v>4</v>
      </c>
      <c r="H159" s="6">
        <f>FLOOR(tblPivotData[[#This Row],[Time]],Summary!$B$6/1440)</f>
        <v>0.61458333333333326</v>
      </c>
      <c r="I159" s="49">
        <f>INDEX(PeakCalc!$L$10:$L$303,MATCH(tblPivotData[[#This Row],[Time]],PeakCalc!$G$10:$G$303,0))</f>
        <v>1</v>
      </c>
    </row>
    <row r="160" spans="1:9" x14ac:dyDescent="0.25">
      <c r="A160" t="s">
        <v>93</v>
      </c>
      <c r="B160" t="s">
        <v>99</v>
      </c>
      <c r="C160" t="s">
        <v>96</v>
      </c>
      <c r="D160" t="s">
        <v>79</v>
      </c>
      <c r="E160" t="s">
        <v>91</v>
      </c>
      <c r="F160" s="6">
        <v>0.625</v>
      </c>
      <c r="G160">
        <v>10</v>
      </c>
      <c r="H160" s="6">
        <f>FLOOR(tblPivotData[[#This Row],[Time]],Summary!$B$6/1440)</f>
        <v>0.625</v>
      </c>
      <c r="I160" s="49">
        <f>INDEX(PeakCalc!$L$10:$L$303,MATCH(tblPivotData[[#This Row],[Time]],PeakCalc!$G$10:$G$303,0))</f>
        <v>1</v>
      </c>
    </row>
    <row r="161" spans="1:9" x14ac:dyDescent="0.25">
      <c r="A161" t="s">
        <v>93</v>
      </c>
      <c r="B161" t="s">
        <v>99</v>
      </c>
      <c r="C161" t="s">
        <v>96</v>
      </c>
      <c r="D161" t="s">
        <v>79</v>
      </c>
      <c r="E161" t="s">
        <v>91</v>
      </c>
      <c r="F161" s="6">
        <v>0.63541666666666663</v>
      </c>
      <c r="G161">
        <v>5</v>
      </c>
      <c r="H161" s="6">
        <f>FLOOR(tblPivotData[[#This Row],[Time]],Summary!$B$6/1440)</f>
        <v>0.63541666666666663</v>
      </c>
      <c r="I161" s="49">
        <f>INDEX(PeakCalc!$L$10:$L$303,MATCH(tblPivotData[[#This Row],[Time]],PeakCalc!$G$10:$G$303,0))</f>
        <v>1</v>
      </c>
    </row>
    <row r="162" spans="1:9" x14ac:dyDescent="0.25">
      <c r="A162" t="s">
        <v>93</v>
      </c>
      <c r="B162" t="s">
        <v>99</v>
      </c>
      <c r="C162" t="s">
        <v>96</v>
      </c>
      <c r="D162" t="s">
        <v>79</v>
      </c>
      <c r="E162" t="s">
        <v>44</v>
      </c>
      <c r="F162" s="6">
        <v>0.66666666666666663</v>
      </c>
      <c r="G162">
        <v>8</v>
      </c>
      <c r="H162" s="6">
        <f>FLOOR(tblPivotData[[#This Row],[Time]],Summary!$B$6/1440)</f>
        <v>0.66666666666666663</v>
      </c>
      <c r="I162" s="49">
        <f>INDEX(PeakCalc!$L$10:$L$303,MATCH(tblPivotData[[#This Row],[Time]],PeakCalc!$G$10:$G$303,0))</f>
        <v>0</v>
      </c>
    </row>
    <row r="163" spans="1:9" x14ac:dyDescent="0.25">
      <c r="A163" t="s">
        <v>93</v>
      </c>
      <c r="B163" t="s">
        <v>99</v>
      </c>
      <c r="C163" t="s">
        <v>96</v>
      </c>
      <c r="D163" t="s">
        <v>79</v>
      </c>
      <c r="E163" t="s">
        <v>44</v>
      </c>
      <c r="F163" s="6">
        <v>0.67708333333333337</v>
      </c>
      <c r="G163">
        <v>1</v>
      </c>
      <c r="H163" s="6">
        <f>FLOOR(tblPivotData[[#This Row],[Time]],Summary!$B$6/1440)</f>
        <v>0.67708333333333326</v>
      </c>
      <c r="I163" s="49">
        <f>INDEX(PeakCalc!$L$10:$L$303,MATCH(tblPivotData[[#This Row],[Time]],PeakCalc!$G$10:$G$303,0))</f>
        <v>0</v>
      </c>
    </row>
    <row r="164" spans="1:9" x14ac:dyDescent="0.25">
      <c r="A164" t="s">
        <v>93</v>
      </c>
      <c r="B164" t="s">
        <v>99</v>
      </c>
      <c r="C164" t="s">
        <v>96</v>
      </c>
      <c r="D164" t="s">
        <v>79</v>
      </c>
      <c r="E164" t="s">
        <v>44</v>
      </c>
      <c r="F164" s="6">
        <v>0.6875</v>
      </c>
      <c r="G164">
        <v>3</v>
      </c>
      <c r="H164" s="6">
        <f>FLOOR(tblPivotData[[#This Row],[Time]],Summary!$B$6/1440)</f>
        <v>0.6875</v>
      </c>
      <c r="I164" s="49">
        <f>INDEX(PeakCalc!$L$10:$L$303,MATCH(tblPivotData[[#This Row],[Time]],PeakCalc!$G$10:$G$303,0))</f>
        <v>1</v>
      </c>
    </row>
    <row r="165" spans="1:9" x14ac:dyDescent="0.25">
      <c r="A165" t="s">
        <v>93</v>
      </c>
      <c r="B165" t="s">
        <v>99</v>
      </c>
      <c r="C165" t="s">
        <v>96</v>
      </c>
      <c r="D165" t="s">
        <v>79</v>
      </c>
      <c r="E165" t="s">
        <v>44</v>
      </c>
      <c r="F165" s="6">
        <v>0.69791666666666663</v>
      </c>
      <c r="G165">
        <v>4</v>
      </c>
      <c r="H165" s="6">
        <f>FLOOR(tblPivotData[[#This Row],[Time]],Summary!$B$6/1440)</f>
        <v>0.69791666666666663</v>
      </c>
      <c r="I165" s="49">
        <f>INDEX(PeakCalc!$L$10:$L$303,MATCH(tblPivotData[[#This Row],[Time]],PeakCalc!$G$10:$G$303,0))</f>
        <v>1</v>
      </c>
    </row>
    <row r="166" spans="1:9" x14ac:dyDescent="0.25">
      <c r="A166" t="s">
        <v>93</v>
      </c>
      <c r="B166" t="s">
        <v>99</v>
      </c>
      <c r="C166" t="s">
        <v>96</v>
      </c>
      <c r="D166" t="s">
        <v>79</v>
      </c>
      <c r="E166" t="s">
        <v>44</v>
      </c>
      <c r="F166" s="6">
        <v>0.70833333333333337</v>
      </c>
      <c r="G166">
        <v>6</v>
      </c>
      <c r="H166" s="6">
        <f>FLOOR(tblPivotData[[#This Row],[Time]],Summary!$B$6/1440)</f>
        <v>0.70833333333333326</v>
      </c>
      <c r="I166" s="49">
        <f>INDEX(PeakCalc!$L$10:$L$303,MATCH(tblPivotData[[#This Row],[Time]],PeakCalc!$G$10:$G$303,0))</f>
        <v>1</v>
      </c>
    </row>
    <row r="167" spans="1:9" x14ac:dyDescent="0.25">
      <c r="A167" t="s">
        <v>93</v>
      </c>
      <c r="B167" t="s">
        <v>99</v>
      </c>
      <c r="C167" t="s">
        <v>96</v>
      </c>
      <c r="D167" t="s">
        <v>79</v>
      </c>
      <c r="E167" t="s">
        <v>44</v>
      </c>
      <c r="F167" s="6">
        <v>0.71875</v>
      </c>
      <c r="G167">
        <v>7</v>
      </c>
      <c r="H167" s="6">
        <f>FLOOR(tblPivotData[[#This Row],[Time]],Summary!$B$6/1440)</f>
        <v>0.71875</v>
      </c>
      <c r="I167" s="49">
        <f>INDEX(PeakCalc!$L$10:$L$303,MATCH(tblPivotData[[#This Row],[Time]],PeakCalc!$G$10:$G$303,0))</f>
        <v>1</v>
      </c>
    </row>
    <row r="168" spans="1:9" x14ac:dyDescent="0.25">
      <c r="A168" t="s">
        <v>93</v>
      </c>
      <c r="B168" t="s">
        <v>99</v>
      </c>
      <c r="C168" t="s">
        <v>96</v>
      </c>
      <c r="D168" t="s">
        <v>79</v>
      </c>
      <c r="E168" t="s">
        <v>44</v>
      </c>
      <c r="F168" s="6">
        <v>0.72916666666666663</v>
      </c>
      <c r="G168">
        <v>5</v>
      </c>
      <c r="H168" s="6">
        <f>FLOOR(tblPivotData[[#This Row],[Time]],Summary!$B$6/1440)</f>
        <v>0.72916666666666663</v>
      </c>
      <c r="I168" s="49">
        <f>INDEX(PeakCalc!$L$10:$L$303,MATCH(tblPivotData[[#This Row],[Time]],PeakCalc!$G$10:$G$303,0))</f>
        <v>0</v>
      </c>
    </row>
    <row r="169" spans="1:9" x14ac:dyDescent="0.25">
      <c r="A169" t="s">
        <v>93</v>
      </c>
      <c r="B169" t="s">
        <v>99</v>
      </c>
      <c r="C169" t="s">
        <v>96</v>
      </c>
      <c r="D169" t="s">
        <v>79</v>
      </c>
      <c r="E169" t="s">
        <v>44</v>
      </c>
      <c r="F169" s="6">
        <v>0.73958333333333337</v>
      </c>
      <c r="G169">
        <v>0</v>
      </c>
      <c r="H169" s="6">
        <f>FLOOR(tblPivotData[[#This Row],[Time]],Summary!$B$6/1440)</f>
        <v>0.73958333333333326</v>
      </c>
      <c r="I169" s="49">
        <f>INDEX(PeakCalc!$L$10:$L$303,MATCH(tblPivotData[[#This Row],[Time]],PeakCalc!$G$10:$G$303,0))</f>
        <v>0</v>
      </c>
    </row>
    <row r="170" spans="1:9" x14ac:dyDescent="0.25">
      <c r="A170" t="s">
        <v>93</v>
      </c>
      <c r="B170" t="s">
        <v>99</v>
      </c>
      <c r="C170" t="s">
        <v>96</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93</v>
      </c>
      <c r="B171" t="s">
        <v>99</v>
      </c>
      <c r="C171" t="s">
        <v>96</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93</v>
      </c>
      <c r="B172" t="s">
        <v>99</v>
      </c>
      <c r="C172" t="s">
        <v>96</v>
      </c>
      <c r="D172" t="s">
        <v>89</v>
      </c>
      <c r="E172" t="s">
        <v>43</v>
      </c>
      <c r="F172" s="6">
        <v>0.3125</v>
      </c>
      <c r="G172">
        <v>0</v>
      </c>
      <c r="H172" s="6">
        <f>FLOOR(tblPivotData[[#This Row],[Time]],Summary!$B$6/1440)</f>
        <v>0.3125</v>
      </c>
      <c r="I172" s="49">
        <f>INDEX(PeakCalc!$L$10:$L$303,MATCH(tblPivotData[[#This Row],[Time]],PeakCalc!$G$10:$G$303,0))</f>
        <v>0</v>
      </c>
    </row>
    <row r="173" spans="1:9" x14ac:dyDescent="0.25">
      <c r="A173" t="s">
        <v>93</v>
      </c>
      <c r="B173" t="s">
        <v>99</v>
      </c>
      <c r="C173" t="s">
        <v>96</v>
      </c>
      <c r="D173" t="s">
        <v>89</v>
      </c>
      <c r="E173" t="s">
        <v>43</v>
      </c>
      <c r="F173" s="6">
        <v>0.32291666666666669</v>
      </c>
      <c r="G173">
        <v>0</v>
      </c>
      <c r="H173" s="6">
        <f>FLOOR(tblPivotData[[#This Row],[Time]],Summary!$B$6/1440)</f>
        <v>0.32291666666666663</v>
      </c>
      <c r="I173" s="49">
        <f>INDEX(PeakCalc!$L$10:$L$303,MATCH(tblPivotData[[#This Row],[Time]],PeakCalc!$G$10:$G$303,0))</f>
        <v>0</v>
      </c>
    </row>
    <row r="174" spans="1:9" x14ac:dyDescent="0.25">
      <c r="A174" t="s">
        <v>93</v>
      </c>
      <c r="B174" t="s">
        <v>99</v>
      </c>
      <c r="C174" t="s">
        <v>96</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93</v>
      </c>
      <c r="B175" t="s">
        <v>99</v>
      </c>
      <c r="C175" t="s">
        <v>96</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93</v>
      </c>
      <c r="B176" t="s">
        <v>99</v>
      </c>
      <c r="C176" t="s">
        <v>96</v>
      </c>
      <c r="D176" t="s">
        <v>89</v>
      </c>
      <c r="E176" t="s">
        <v>43</v>
      </c>
      <c r="F176" s="6">
        <v>0.35416666666666669</v>
      </c>
      <c r="G176">
        <v>0</v>
      </c>
      <c r="H176" s="6">
        <f>FLOOR(tblPivotData[[#This Row],[Time]],Summary!$B$6/1440)</f>
        <v>0.35416666666666663</v>
      </c>
      <c r="I176" s="49">
        <f>INDEX(PeakCalc!$L$10:$L$303,MATCH(tblPivotData[[#This Row],[Time]],PeakCalc!$G$10:$G$303,0))</f>
        <v>1</v>
      </c>
    </row>
    <row r="177" spans="1:9" x14ac:dyDescent="0.25">
      <c r="A177" t="s">
        <v>93</v>
      </c>
      <c r="B177" t="s">
        <v>99</v>
      </c>
      <c r="C177" t="s">
        <v>96</v>
      </c>
      <c r="D177" t="s">
        <v>89</v>
      </c>
      <c r="E177" t="s">
        <v>43</v>
      </c>
      <c r="F177" s="6">
        <v>0.36458333333333331</v>
      </c>
      <c r="G177">
        <v>0</v>
      </c>
      <c r="H177" s="6">
        <f>FLOOR(tblPivotData[[#This Row],[Time]],Summary!$B$6/1440)</f>
        <v>0.36458333333333331</v>
      </c>
      <c r="I177" s="49">
        <f>INDEX(PeakCalc!$L$10:$L$303,MATCH(tblPivotData[[#This Row],[Time]],PeakCalc!$G$10:$G$303,0))</f>
        <v>1</v>
      </c>
    </row>
    <row r="178" spans="1:9" x14ac:dyDescent="0.25">
      <c r="A178" t="s">
        <v>93</v>
      </c>
      <c r="B178" t="s">
        <v>99</v>
      </c>
      <c r="C178" t="s">
        <v>96</v>
      </c>
      <c r="D178" t="s">
        <v>89</v>
      </c>
      <c r="E178" t="s">
        <v>91</v>
      </c>
      <c r="F178" s="6">
        <v>0.5625</v>
      </c>
      <c r="G178">
        <v>0</v>
      </c>
      <c r="H178" s="6">
        <f>FLOOR(tblPivotData[[#This Row],[Time]],Summary!$B$6/1440)</f>
        <v>0.5625</v>
      </c>
      <c r="I178" s="49">
        <f>INDEX(PeakCalc!$L$10:$L$303,MATCH(tblPivotData[[#This Row],[Time]],PeakCalc!$G$10:$G$303,0))</f>
        <v>0</v>
      </c>
    </row>
    <row r="179" spans="1:9" x14ac:dyDescent="0.25">
      <c r="A179" t="s">
        <v>93</v>
      </c>
      <c r="B179" t="s">
        <v>99</v>
      </c>
      <c r="C179" t="s">
        <v>96</v>
      </c>
      <c r="D179" t="s">
        <v>89</v>
      </c>
      <c r="E179" t="s">
        <v>91</v>
      </c>
      <c r="F179" s="6">
        <v>0.57291666666666663</v>
      </c>
      <c r="G179">
        <v>0</v>
      </c>
      <c r="H179" s="6">
        <f>FLOOR(tblPivotData[[#This Row],[Time]],Summary!$B$6/1440)</f>
        <v>0.57291666666666663</v>
      </c>
      <c r="I179" s="49">
        <f>INDEX(PeakCalc!$L$10:$L$303,MATCH(tblPivotData[[#This Row],[Time]],PeakCalc!$G$10:$G$303,0))</f>
        <v>0</v>
      </c>
    </row>
    <row r="180" spans="1:9" x14ac:dyDescent="0.25">
      <c r="A180" t="s">
        <v>93</v>
      </c>
      <c r="B180" t="s">
        <v>99</v>
      </c>
      <c r="C180" t="s">
        <v>96</v>
      </c>
      <c r="D180" t="s">
        <v>89</v>
      </c>
      <c r="E180" t="s">
        <v>91</v>
      </c>
      <c r="F180" s="6">
        <v>0.58333333333333337</v>
      </c>
      <c r="G180">
        <v>0</v>
      </c>
      <c r="H180" s="6">
        <f>FLOOR(tblPivotData[[#This Row],[Time]],Summary!$B$6/1440)</f>
        <v>0.58333333333333326</v>
      </c>
      <c r="I180" s="49">
        <f>INDEX(PeakCalc!$L$10:$L$303,MATCH(tblPivotData[[#This Row],[Time]],PeakCalc!$G$10:$G$303,0))</f>
        <v>0</v>
      </c>
    </row>
    <row r="181" spans="1:9" x14ac:dyDescent="0.25">
      <c r="A181" t="s">
        <v>93</v>
      </c>
      <c r="B181" t="s">
        <v>99</v>
      </c>
      <c r="C181" t="s">
        <v>96</v>
      </c>
      <c r="D181" t="s">
        <v>89</v>
      </c>
      <c r="E181" t="s">
        <v>91</v>
      </c>
      <c r="F181" s="6">
        <v>0.59375</v>
      </c>
      <c r="G181">
        <v>0</v>
      </c>
      <c r="H181" s="6">
        <f>FLOOR(tblPivotData[[#This Row],[Time]],Summary!$B$6/1440)</f>
        <v>0.59375</v>
      </c>
      <c r="I181" s="49">
        <f>INDEX(PeakCalc!$L$10:$L$303,MATCH(tblPivotData[[#This Row],[Time]],PeakCalc!$G$10:$G$303,0))</f>
        <v>0</v>
      </c>
    </row>
    <row r="182" spans="1:9" x14ac:dyDescent="0.25">
      <c r="A182" t="s">
        <v>93</v>
      </c>
      <c r="B182" t="s">
        <v>99</v>
      </c>
      <c r="C182" t="s">
        <v>96</v>
      </c>
      <c r="D182" t="s">
        <v>89</v>
      </c>
      <c r="E182" t="s">
        <v>91</v>
      </c>
      <c r="F182" s="6">
        <v>0.60416666666666663</v>
      </c>
      <c r="G182">
        <v>0</v>
      </c>
      <c r="H182" s="6">
        <f>FLOOR(tblPivotData[[#This Row],[Time]],Summary!$B$6/1440)</f>
        <v>0.60416666666666663</v>
      </c>
      <c r="I182" s="49">
        <f>INDEX(PeakCalc!$L$10:$L$303,MATCH(tblPivotData[[#This Row],[Time]],PeakCalc!$G$10:$G$303,0))</f>
        <v>1</v>
      </c>
    </row>
    <row r="183" spans="1:9" x14ac:dyDescent="0.25">
      <c r="A183" t="s">
        <v>93</v>
      </c>
      <c r="B183" t="s">
        <v>99</v>
      </c>
      <c r="C183" t="s">
        <v>96</v>
      </c>
      <c r="D183" t="s">
        <v>89</v>
      </c>
      <c r="E183" t="s">
        <v>91</v>
      </c>
      <c r="F183" s="6">
        <v>0.61458333333333337</v>
      </c>
      <c r="G183">
        <v>0</v>
      </c>
      <c r="H183" s="6">
        <f>FLOOR(tblPivotData[[#This Row],[Time]],Summary!$B$6/1440)</f>
        <v>0.61458333333333326</v>
      </c>
      <c r="I183" s="49">
        <f>INDEX(PeakCalc!$L$10:$L$303,MATCH(tblPivotData[[#This Row],[Time]],PeakCalc!$G$10:$G$303,0))</f>
        <v>1</v>
      </c>
    </row>
    <row r="184" spans="1:9" x14ac:dyDescent="0.25">
      <c r="A184" t="s">
        <v>93</v>
      </c>
      <c r="B184" t="s">
        <v>99</v>
      </c>
      <c r="C184" t="s">
        <v>96</v>
      </c>
      <c r="D184" t="s">
        <v>89</v>
      </c>
      <c r="E184" t="s">
        <v>91</v>
      </c>
      <c r="F184" s="6">
        <v>0.625</v>
      </c>
      <c r="G184">
        <v>0</v>
      </c>
      <c r="H184" s="6">
        <f>FLOOR(tblPivotData[[#This Row],[Time]],Summary!$B$6/1440)</f>
        <v>0.625</v>
      </c>
      <c r="I184" s="49">
        <f>INDEX(PeakCalc!$L$10:$L$303,MATCH(tblPivotData[[#This Row],[Time]],PeakCalc!$G$10:$G$303,0))</f>
        <v>1</v>
      </c>
    </row>
    <row r="185" spans="1:9" x14ac:dyDescent="0.25">
      <c r="A185" t="s">
        <v>93</v>
      </c>
      <c r="B185" t="s">
        <v>99</v>
      </c>
      <c r="C185" t="s">
        <v>96</v>
      </c>
      <c r="D185" t="s">
        <v>89</v>
      </c>
      <c r="E185" t="s">
        <v>91</v>
      </c>
      <c r="F185" s="6">
        <v>0.63541666666666663</v>
      </c>
      <c r="G185">
        <v>0</v>
      </c>
      <c r="H185" s="6">
        <f>FLOOR(tblPivotData[[#This Row],[Time]],Summary!$B$6/1440)</f>
        <v>0.63541666666666663</v>
      </c>
      <c r="I185" s="49">
        <f>INDEX(PeakCalc!$L$10:$L$303,MATCH(tblPivotData[[#This Row],[Time]],PeakCalc!$G$10:$G$303,0))</f>
        <v>1</v>
      </c>
    </row>
    <row r="186" spans="1:9" x14ac:dyDescent="0.25">
      <c r="A186" t="s">
        <v>93</v>
      </c>
      <c r="B186" t="s">
        <v>99</v>
      </c>
      <c r="C186" t="s">
        <v>96</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93</v>
      </c>
      <c r="B187" t="s">
        <v>99</v>
      </c>
      <c r="C187" t="s">
        <v>96</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93</v>
      </c>
      <c r="B188" t="s">
        <v>99</v>
      </c>
      <c r="C188" t="s">
        <v>96</v>
      </c>
      <c r="D188" t="s">
        <v>89</v>
      </c>
      <c r="E188" t="s">
        <v>44</v>
      </c>
      <c r="F188" s="6">
        <v>0.6875</v>
      </c>
      <c r="G188">
        <v>0</v>
      </c>
      <c r="H188" s="6">
        <f>FLOOR(tblPivotData[[#This Row],[Time]],Summary!$B$6/1440)</f>
        <v>0.6875</v>
      </c>
      <c r="I188" s="49">
        <f>INDEX(PeakCalc!$L$10:$L$303,MATCH(tblPivotData[[#This Row],[Time]],PeakCalc!$G$10:$G$303,0))</f>
        <v>1</v>
      </c>
    </row>
    <row r="189" spans="1:9" x14ac:dyDescent="0.25">
      <c r="A189" t="s">
        <v>93</v>
      </c>
      <c r="B189" t="s">
        <v>99</v>
      </c>
      <c r="C189" t="s">
        <v>96</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93</v>
      </c>
      <c r="B190" t="s">
        <v>99</v>
      </c>
      <c r="C190" t="s">
        <v>96</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93</v>
      </c>
      <c r="B191" t="s">
        <v>99</v>
      </c>
      <c r="C191" t="s">
        <v>96</v>
      </c>
      <c r="D191" t="s">
        <v>89</v>
      </c>
      <c r="E191" t="s">
        <v>44</v>
      </c>
      <c r="F191" s="6">
        <v>0.71875</v>
      </c>
      <c r="G191">
        <v>0</v>
      </c>
      <c r="H191" s="6">
        <f>FLOOR(tblPivotData[[#This Row],[Time]],Summary!$B$6/1440)</f>
        <v>0.71875</v>
      </c>
      <c r="I191" s="49">
        <f>INDEX(PeakCalc!$L$10:$L$303,MATCH(tblPivotData[[#This Row],[Time]],PeakCalc!$G$10:$G$303,0))</f>
        <v>1</v>
      </c>
    </row>
    <row r="192" spans="1:9" x14ac:dyDescent="0.25">
      <c r="A192" t="s">
        <v>93</v>
      </c>
      <c r="B192" t="s">
        <v>99</v>
      </c>
      <c r="C192" t="s">
        <v>96</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93</v>
      </c>
      <c r="B193" t="s">
        <v>99</v>
      </c>
      <c r="C193" t="s">
        <v>96</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93</v>
      </c>
      <c r="B194" t="s">
        <v>99</v>
      </c>
      <c r="C194" t="s">
        <v>96</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93</v>
      </c>
      <c r="B195" t="s">
        <v>99</v>
      </c>
      <c r="C195" t="s">
        <v>96</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93</v>
      </c>
      <c r="B196" t="s">
        <v>99</v>
      </c>
      <c r="C196" t="s">
        <v>96</v>
      </c>
      <c r="D196" t="s">
        <v>90</v>
      </c>
      <c r="E196" t="s">
        <v>43</v>
      </c>
      <c r="F196" s="6">
        <v>0.3125</v>
      </c>
      <c r="G196">
        <v>0</v>
      </c>
      <c r="H196" s="6">
        <f>FLOOR(tblPivotData[[#This Row],[Time]],Summary!$B$6/1440)</f>
        <v>0.3125</v>
      </c>
      <c r="I196" s="49">
        <f>INDEX(PeakCalc!$L$10:$L$303,MATCH(tblPivotData[[#This Row],[Time]],PeakCalc!$G$10:$G$303,0))</f>
        <v>0</v>
      </c>
    </row>
    <row r="197" spans="1:9" x14ac:dyDescent="0.25">
      <c r="A197" t="s">
        <v>93</v>
      </c>
      <c r="B197" t="s">
        <v>99</v>
      </c>
      <c r="C197" t="s">
        <v>96</v>
      </c>
      <c r="D197" t="s">
        <v>90</v>
      </c>
      <c r="E197" t="s">
        <v>43</v>
      </c>
      <c r="F197" s="6">
        <v>0.32291666666666669</v>
      </c>
      <c r="G197">
        <v>0</v>
      </c>
      <c r="H197" s="6">
        <f>FLOOR(tblPivotData[[#This Row],[Time]],Summary!$B$6/1440)</f>
        <v>0.32291666666666663</v>
      </c>
      <c r="I197" s="49">
        <f>INDEX(PeakCalc!$L$10:$L$303,MATCH(tblPivotData[[#This Row],[Time]],PeakCalc!$G$10:$G$303,0))</f>
        <v>0</v>
      </c>
    </row>
    <row r="198" spans="1:9" x14ac:dyDescent="0.25">
      <c r="A198" t="s">
        <v>93</v>
      </c>
      <c r="B198" t="s">
        <v>99</v>
      </c>
      <c r="C198" t="s">
        <v>96</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93</v>
      </c>
      <c r="B199" t="s">
        <v>99</v>
      </c>
      <c r="C199" t="s">
        <v>96</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93</v>
      </c>
      <c r="B200" t="s">
        <v>99</v>
      </c>
      <c r="C200" t="s">
        <v>96</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93</v>
      </c>
      <c r="B201" t="s">
        <v>99</v>
      </c>
      <c r="C201" t="s">
        <v>96</v>
      </c>
      <c r="D201" t="s">
        <v>90</v>
      </c>
      <c r="E201" t="s">
        <v>43</v>
      </c>
      <c r="F201" s="6">
        <v>0.36458333333333331</v>
      </c>
      <c r="G201">
        <v>0</v>
      </c>
      <c r="H201" s="6">
        <f>FLOOR(tblPivotData[[#This Row],[Time]],Summary!$B$6/1440)</f>
        <v>0.36458333333333331</v>
      </c>
      <c r="I201" s="49">
        <f>INDEX(PeakCalc!$L$10:$L$303,MATCH(tblPivotData[[#This Row],[Time]],PeakCalc!$G$10:$G$303,0))</f>
        <v>1</v>
      </c>
    </row>
    <row r="202" spans="1:9" x14ac:dyDescent="0.25">
      <c r="A202" t="s">
        <v>93</v>
      </c>
      <c r="B202" t="s">
        <v>99</v>
      </c>
      <c r="C202" t="s">
        <v>96</v>
      </c>
      <c r="D202" t="s">
        <v>90</v>
      </c>
      <c r="E202" t="s">
        <v>91</v>
      </c>
      <c r="F202" s="6">
        <v>0.5625</v>
      </c>
      <c r="G202">
        <v>0</v>
      </c>
      <c r="H202" s="6">
        <f>FLOOR(tblPivotData[[#This Row],[Time]],Summary!$B$6/1440)</f>
        <v>0.5625</v>
      </c>
      <c r="I202" s="49">
        <f>INDEX(PeakCalc!$L$10:$L$303,MATCH(tblPivotData[[#This Row],[Time]],PeakCalc!$G$10:$G$303,0))</f>
        <v>0</v>
      </c>
    </row>
    <row r="203" spans="1:9" x14ac:dyDescent="0.25">
      <c r="A203" t="s">
        <v>93</v>
      </c>
      <c r="B203" t="s">
        <v>99</v>
      </c>
      <c r="C203" t="s">
        <v>96</v>
      </c>
      <c r="D203" t="s">
        <v>90</v>
      </c>
      <c r="E203" t="s">
        <v>91</v>
      </c>
      <c r="F203" s="6">
        <v>0.57291666666666663</v>
      </c>
      <c r="G203">
        <v>0</v>
      </c>
      <c r="H203" s="6">
        <f>FLOOR(tblPivotData[[#This Row],[Time]],Summary!$B$6/1440)</f>
        <v>0.57291666666666663</v>
      </c>
      <c r="I203" s="49">
        <f>INDEX(PeakCalc!$L$10:$L$303,MATCH(tblPivotData[[#This Row],[Time]],PeakCalc!$G$10:$G$303,0))</f>
        <v>0</v>
      </c>
    </row>
    <row r="204" spans="1:9" x14ac:dyDescent="0.25">
      <c r="A204" t="s">
        <v>93</v>
      </c>
      <c r="B204" t="s">
        <v>99</v>
      </c>
      <c r="C204" t="s">
        <v>96</v>
      </c>
      <c r="D204" t="s">
        <v>90</v>
      </c>
      <c r="E204" t="s">
        <v>91</v>
      </c>
      <c r="F204" s="6">
        <v>0.58333333333333337</v>
      </c>
      <c r="G204">
        <v>0</v>
      </c>
      <c r="H204" s="6">
        <f>FLOOR(tblPivotData[[#This Row],[Time]],Summary!$B$6/1440)</f>
        <v>0.58333333333333326</v>
      </c>
      <c r="I204" s="49">
        <f>INDEX(PeakCalc!$L$10:$L$303,MATCH(tblPivotData[[#This Row],[Time]],PeakCalc!$G$10:$G$303,0))</f>
        <v>0</v>
      </c>
    </row>
    <row r="205" spans="1:9" x14ac:dyDescent="0.25">
      <c r="A205" t="s">
        <v>93</v>
      </c>
      <c r="B205" t="s">
        <v>99</v>
      </c>
      <c r="C205" t="s">
        <v>96</v>
      </c>
      <c r="D205" t="s">
        <v>90</v>
      </c>
      <c r="E205" t="s">
        <v>91</v>
      </c>
      <c r="F205" s="6">
        <v>0.59375</v>
      </c>
      <c r="G205">
        <v>0</v>
      </c>
      <c r="H205" s="6">
        <f>FLOOR(tblPivotData[[#This Row],[Time]],Summary!$B$6/1440)</f>
        <v>0.59375</v>
      </c>
      <c r="I205" s="49">
        <f>INDEX(PeakCalc!$L$10:$L$303,MATCH(tblPivotData[[#This Row],[Time]],PeakCalc!$G$10:$G$303,0))</f>
        <v>0</v>
      </c>
    </row>
    <row r="206" spans="1:9" x14ac:dyDescent="0.25">
      <c r="A206" t="s">
        <v>93</v>
      </c>
      <c r="B206" t="s">
        <v>99</v>
      </c>
      <c r="C206" t="s">
        <v>96</v>
      </c>
      <c r="D206" t="s">
        <v>90</v>
      </c>
      <c r="E206" t="s">
        <v>91</v>
      </c>
      <c r="F206" s="6">
        <v>0.60416666666666663</v>
      </c>
      <c r="G206">
        <v>0</v>
      </c>
      <c r="H206" s="6">
        <f>FLOOR(tblPivotData[[#This Row],[Time]],Summary!$B$6/1440)</f>
        <v>0.60416666666666663</v>
      </c>
      <c r="I206" s="49">
        <f>INDEX(PeakCalc!$L$10:$L$303,MATCH(tblPivotData[[#This Row],[Time]],PeakCalc!$G$10:$G$303,0))</f>
        <v>1</v>
      </c>
    </row>
    <row r="207" spans="1:9" x14ac:dyDescent="0.25">
      <c r="A207" t="s">
        <v>93</v>
      </c>
      <c r="B207" t="s">
        <v>99</v>
      </c>
      <c r="C207" t="s">
        <v>96</v>
      </c>
      <c r="D207" t="s">
        <v>90</v>
      </c>
      <c r="E207" t="s">
        <v>91</v>
      </c>
      <c r="F207" s="6">
        <v>0.61458333333333337</v>
      </c>
      <c r="G207">
        <v>0</v>
      </c>
      <c r="H207" s="6">
        <f>FLOOR(tblPivotData[[#This Row],[Time]],Summary!$B$6/1440)</f>
        <v>0.61458333333333326</v>
      </c>
      <c r="I207" s="49">
        <f>INDEX(PeakCalc!$L$10:$L$303,MATCH(tblPivotData[[#This Row],[Time]],PeakCalc!$G$10:$G$303,0))</f>
        <v>1</v>
      </c>
    </row>
    <row r="208" spans="1:9" x14ac:dyDescent="0.25">
      <c r="A208" t="s">
        <v>93</v>
      </c>
      <c r="B208" t="s">
        <v>99</v>
      </c>
      <c r="C208" t="s">
        <v>96</v>
      </c>
      <c r="D208" t="s">
        <v>90</v>
      </c>
      <c r="E208" t="s">
        <v>91</v>
      </c>
      <c r="F208" s="6">
        <v>0.625</v>
      </c>
      <c r="G208">
        <v>0</v>
      </c>
      <c r="H208" s="6">
        <f>FLOOR(tblPivotData[[#This Row],[Time]],Summary!$B$6/1440)</f>
        <v>0.625</v>
      </c>
      <c r="I208" s="49">
        <f>INDEX(PeakCalc!$L$10:$L$303,MATCH(tblPivotData[[#This Row],[Time]],PeakCalc!$G$10:$G$303,0))</f>
        <v>1</v>
      </c>
    </row>
    <row r="209" spans="1:9" x14ac:dyDescent="0.25">
      <c r="A209" t="s">
        <v>93</v>
      </c>
      <c r="B209" t="s">
        <v>99</v>
      </c>
      <c r="C209" t="s">
        <v>96</v>
      </c>
      <c r="D209" t="s">
        <v>90</v>
      </c>
      <c r="E209" t="s">
        <v>91</v>
      </c>
      <c r="F209" s="6">
        <v>0.63541666666666663</v>
      </c>
      <c r="G209">
        <v>0</v>
      </c>
      <c r="H209" s="6">
        <f>FLOOR(tblPivotData[[#This Row],[Time]],Summary!$B$6/1440)</f>
        <v>0.63541666666666663</v>
      </c>
      <c r="I209" s="49">
        <f>INDEX(PeakCalc!$L$10:$L$303,MATCH(tblPivotData[[#This Row],[Time]],PeakCalc!$G$10:$G$303,0))</f>
        <v>1</v>
      </c>
    </row>
    <row r="210" spans="1:9" x14ac:dyDescent="0.25">
      <c r="A210" t="s">
        <v>93</v>
      </c>
      <c r="B210" t="s">
        <v>99</v>
      </c>
      <c r="C210" t="s">
        <v>96</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93</v>
      </c>
      <c r="B211" t="s">
        <v>99</v>
      </c>
      <c r="C211" t="s">
        <v>96</v>
      </c>
      <c r="D211" t="s">
        <v>90</v>
      </c>
      <c r="E211" t="s">
        <v>44</v>
      </c>
      <c r="F211" s="6">
        <v>0.67708333333333337</v>
      </c>
      <c r="G211">
        <v>0</v>
      </c>
      <c r="H211" s="6">
        <f>FLOOR(tblPivotData[[#This Row],[Time]],Summary!$B$6/1440)</f>
        <v>0.67708333333333326</v>
      </c>
      <c r="I211" s="49">
        <f>INDEX(PeakCalc!$L$10:$L$303,MATCH(tblPivotData[[#This Row],[Time]],PeakCalc!$G$10:$G$303,0))</f>
        <v>0</v>
      </c>
    </row>
    <row r="212" spans="1:9" x14ac:dyDescent="0.25">
      <c r="A212" t="s">
        <v>93</v>
      </c>
      <c r="B212" t="s">
        <v>99</v>
      </c>
      <c r="C212" t="s">
        <v>96</v>
      </c>
      <c r="D212" t="s">
        <v>90</v>
      </c>
      <c r="E212" t="s">
        <v>44</v>
      </c>
      <c r="F212" s="6">
        <v>0.6875</v>
      </c>
      <c r="G212">
        <v>0</v>
      </c>
      <c r="H212" s="6">
        <f>FLOOR(tblPivotData[[#This Row],[Time]],Summary!$B$6/1440)</f>
        <v>0.6875</v>
      </c>
      <c r="I212" s="49">
        <f>INDEX(PeakCalc!$L$10:$L$303,MATCH(tblPivotData[[#This Row],[Time]],PeakCalc!$G$10:$G$303,0))</f>
        <v>1</v>
      </c>
    </row>
    <row r="213" spans="1:9" x14ac:dyDescent="0.25">
      <c r="A213" t="s">
        <v>93</v>
      </c>
      <c r="B213" t="s">
        <v>99</v>
      </c>
      <c r="C213" t="s">
        <v>96</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93</v>
      </c>
      <c r="B214" t="s">
        <v>99</v>
      </c>
      <c r="C214" t="s">
        <v>96</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93</v>
      </c>
      <c r="B215" t="s">
        <v>99</v>
      </c>
      <c r="C215" t="s">
        <v>96</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93</v>
      </c>
      <c r="B216" t="s">
        <v>99</v>
      </c>
      <c r="C216" t="s">
        <v>96</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93</v>
      </c>
      <c r="B217" t="s">
        <v>99</v>
      </c>
      <c r="C217" t="s">
        <v>96</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93</v>
      </c>
      <c r="B218" t="s">
        <v>100</v>
      </c>
      <c r="C218" t="s">
        <v>93</v>
      </c>
      <c r="D218" t="s">
        <v>79</v>
      </c>
      <c r="E218" t="s">
        <v>43</v>
      </c>
      <c r="F218" s="6">
        <v>0.29166666666666669</v>
      </c>
      <c r="G218">
        <v>0</v>
      </c>
      <c r="H218" s="6">
        <f>FLOOR(tblPivotData[[#This Row],[Time]],Summary!$B$6/1440)</f>
        <v>0.29166666666666663</v>
      </c>
      <c r="I218" s="49">
        <f>INDEX(PeakCalc!$L$10:$L$303,MATCH(tblPivotData[[#This Row],[Time]],PeakCalc!$G$10:$G$303,0))</f>
        <v>0</v>
      </c>
    </row>
    <row r="219" spans="1:9" x14ac:dyDescent="0.25">
      <c r="A219" t="s">
        <v>93</v>
      </c>
      <c r="B219" t="s">
        <v>100</v>
      </c>
      <c r="C219" t="s">
        <v>93</v>
      </c>
      <c r="D219" t="s">
        <v>79</v>
      </c>
      <c r="E219" t="s">
        <v>43</v>
      </c>
      <c r="F219" s="6">
        <v>0.30208333333333331</v>
      </c>
      <c r="G219">
        <v>0</v>
      </c>
      <c r="H219" s="6">
        <f>FLOOR(tblPivotData[[#This Row],[Time]],Summary!$B$6/1440)</f>
        <v>0.30208333333333331</v>
      </c>
      <c r="I219" s="49">
        <f>INDEX(PeakCalc!$L$10:$L$303,MATCH(tblPivotData[[#This Row],[Time]],PeakCalc!$G$10:$G$303,0))</f>
        <v>0</v>
      </c>
    </row>
    <row r="220" spans="1:9" x14ac:dyDescent="0.25">
      <c r="A220" t="s">
        <v>93</v>
      </c>
      <c r="B220" t="s">
        <v>100</v>
      </c>
      <c r="C220" t="s">
        <v>93</v>
      </c>
      <c r="D220" t="s">
        <v>79</v>
      </c>
      <c r="E220" t="s">
        <v>43</v>
      </c>
      <c r="F220" s="6">
        <v>0.3125</v>
      </c>
      <c r="G220">
        <v>1</v>
      </c>
      <c r="H220" s="6">
        <f>FLOOR(tblPivotData[[#This Row],[Time]],Summary!$B$6/1440)</f>
        <v>0.3125</v>
      </c>
      <c r="I220" s="49">
        <f>INDEX(PeakCalc!$L$10:$L$303,MATCH(tblPivotData[[#This Row],[Time]],PeakCalc!$G$10:$G$303,0))</f>
        <v>0</v>
      </c>
    </row>
    <row r="221" spans="1:9" x14ac:dyDescent="0.25">
      <c r="A221" t="s">
        <v>93</v>
      </c>
      <c r="B221" t="s">
        <v>100</v>
      </c>
      <c r="C221" t="s">
        <v>93</v>
      </c>
      <c r="D221" t="s">
        <v>79</v>
      </c>
      <c r="E221" t="s">
        <v>43</v>
      </c>
      <c r="F221" s="6">
        <v>0.32291666666666669</v>
      </c>
      <c r="G221">
        <v>0</v>
      </c>
      <c r="H221" s="6">
        <f>FLOOR(tblPivotData[[#This Row],[Time]],Summary!$B$6/1440)</f>
        <v>0.32291666666666663</v>
      </c>
      <c r="I221" s="49">
        <f>INDEX(PeakCalc!$L$10:$L$303,MATCH(tblPivotData[[#This Row],[Time]],PeakCalc!$G$10:$G$303,0))</f>
        <v>0</v>
      </c>
    </row>
    <row r="222" spans="1:9" x14ac:dyDescent="0.25">
      <c r="A222" t="s">
        <v>93</v>
      </c>
      <c r="B222" t="s">
        <v>100</v>
      </c>
      <c r="C222" t="s">
        <v>93</v>
      </c>
      <c r="D222" t="s">
        <v>79</v>
      </c>
      <c r="E222" t="s">
        <v>43</v>
      </c>
      <c r="F222" s="6">
        <v>0.33333333333333331</v>
      </c>
      <c r="G222">
        <v>0</v>
      </c>
      <c r="H222" s="6">
        <f>FLOOR(tblPivotData[[#This Row],[Time]],Summary!$B$6/1440)</f>
        <v>0.33333333333333331</v>
      </c>
      <c r="I222" s="49">
        <f>INDEX(PeakCalc!$L$10:$L$303,MATCH(tblPivotData[[#This Row],[Time]],PeakCalc!$G$10:$G$303,0))</f>
        <v>1</v>
      </c>
    </row>
    <row r="223" spans="1:9" x14ac:dyDescent="0.25">
      <c r="A223" t="s">
        <v>93</v>
      </c>
      <c r="B223" t="s">
        <v>100</v>
      </c>
      <c r="C223" t="s">
        <v>93</v>
      </c>
      <c r="D223" t="s">
        <v>79</v>
      </c>
      <c r="E223" t="s">
        <v>43</v>
      </c>
      <c r="F223" s="6">
        <v>0.34375</v>
      </c>
      <c r="G223">
        <v>0</v>
      </c>
      <c r="H223" s="6">
        <f>FLOOR(tblPivotData[[#This Row],[Time]],Summary!$B$6/1440)</f>
        <v>0.34375</v>
      </c>
      <c r="I223" s="49">
        <f>INDEX(PeakCalc!$L$10:$L$303,MATCH(tblPivotData[[#This Row],[Time]],PeakCalc!$G$10:$G$303,0))</f>
        <v>1</v>
      </c>
    </row>
    <row r="224" spans="1:9" x14ac:dyDescent="0.25">
      <c r="A224" t="s">
        <v>93</v>
      </c>
      <c r="B224" t="s">
        <v>100</v>
      </c>
      <c r="C224" t="s">
        <v>93</v>
      </c>
      <c r="D224" t="s">
        <v>79</v>
      </c>
      <c r="E224" t="s">
        <v>43</v>
      </c>
      <c r="F224" s="6">
        <v>0.35416666666666669</v>
      </c>
      <c r="G224">
        <v>0</v>
      </c>
      <c r="H224" s="6">
        <f>FLOOR(tblPivotData[[#This Row],[Time]],Summary!$B$6/1440)</f>
        <v>0.35416666666666663</v>
      </c>
      <c r="I224" s="49">
        <f>INDEX(PeakCalc!$L$10:$L$303,MATCH(tblPivotData[[#This Row],[Time]],PeakCalc!$G$10:$G$303,0))</f>
        <v>1</v>
      </c>
    </row>
    <row r="225" spans="1:9" x14ac:dyDescent="0.25">
      <c r="A225" t="s">
        <v>93</v>
      </c>
      <c r="B225" t="s">
        <v>100</v>
      </c>
      <c r="C225" t="s">
        <v>93</v>
      </c>
      <c r="D225" t="s">
        <v>79</v>
      </c>
      <c r="E225" t="s">
        <v>43</v>
      </c>
      <c r="F225" s="6">
        <v>0.36458333333333331</v>
      </c>
      <c r="G225">
        <v>1</v>
      </c>
      <c r="H225" s="6">
        <f>FLOOR(tblPivotData[[#This Row],[Time]],Summary!$B$6/1440)</f>
        <v>0.36458333333333331</v>
      </c>
      <c r="I225" s="49">
        <f>INDEX(PeakCalc!$L$10:$L$303,MATCH(tblPivotData[[#This Row],[Time]],PeakCalc!$G$10:$G$303,0))</f>
        <v>1</v>
      </c>
    </row>
    <row r="226" spans="1:9" x14ac:dyDescent="0.25">
      <c r="A226" t="s">
        <v>93</v>
      </c>
      <c r="B226" t="s">
        <v>100</v>
      </c>
      <c r="C226" t="s">
        <v>93</v>
      </c>
      <c r="D226" t="s">
        <v>79</v>
      </c>
      <c r="E226" t="s">
        <v>91</v>
      </c>
      <c r="F226" s="6">
        <v>0.5625</v>
      </c>
      <c r="G226">
        <v>0</v>
      </c>
      <c r="H226" s="6">
        <f>FLOOR(tblPivotData[[#This Row],[Time]],Summary!$B$6/1440)</f>
        <v>0.5625</v>
      </c>
      <c r="I226" s="49">
        <f>INDEX(PeakCalc!$L$10:$L$303,MATCH(tblPivotData[[#This Row],[Time]],PeakCalc!$G$10:$G$303,0))</f>
        <v>0</v>
      </c>
    </row>
    <row r="227" spans="1:9" x14ac:dyDescent="0.25">
      <c r="A227" t="s">
        <v>93</v>
      </c>
      <c r="B227" t="s">
        <v>100</v>
      </c>
      <c r="C227" t="s">
        <v>93</v>
      </c>
      <c r="D227" t="s">
        <v>79</v>
      </c>
      <c r="E227" t="s">
        <v>91</v>
      </c>
      <c r="F227" s="6">
        <v>0.57291666666666663</v>
      </c>
      <c r="G227">
        <v>0</v>
      </c>
      <c r="H227" s="6">
        <f>FLOOR(tblPivotData[[#This Row],[Time]],Summary!$B$6/1440)</f>
        <v>0.57291666666666663</v>
      </c>
      <c r="I227" s="49">
        <f>INDEX(PeakCalc!$L$10:$L$303,MATCH(tblPivotData[[#This Row],[Time]],PeakCalc!$G$10:$G$303,0))</f>
        <v>0</v>
      </c>
    </row>
    <row r="228" spans="1:9" x14ac:dyDescent="0.25">
      <c r="A228" t="s">
        <v>93</v>
      </c>
      <c r="B228" t="s">
        <v>100</v>
      </c>
      <c r="C228" t="s">
        <v>93</v>
      </c>
      <c r="D228" t="s">
        <v>79</v>
      </c>
      <c r="E228" t="s">
        <v>91</v>
      </c>
      <c r="F228" s="6">
        <v>0.58333333333333337</v>
      </c>
      <c r="G228">
        <v>0</v>
      </c>
      <c r="H228" s="6">
        <f>FLOOR(tblPivotData[[#This Row],[Time]],Summary!$B$6/1440)</f>
        <v>0.58333333333333326</v>
      </c>
      <c r="I228" s="49">
        <f>INDEX(PeakCalc!$L$10:$L$303,MATCH(tblPivotData[[#This Row],[Time]],PeakCalc!$G$10:$G$303,0))</f>
        <v>0</v>
      </c>
    </row>
    <row r="229" spans="1:9" x14ac:dyDescent="0.25">
      <c r="A229" t="s">
        <v>93</v>
      </c>
      <c r="B229" t="s">
        <v>100</v>
      </c>
      <c r="C229" t="s">
        <v>93</v>
      </c>
      <c r="D229" t="s">
        <v>79</v>
      </c>
      <c r="E229" t="s">
        <v>91</v>
      </c>
      <c r="F229" s="6">
        <v>0.59375</v>
      </c>
      <c r="G229">
        <v>0</v>
      </c>
      <c r="H229" s="6">
        <f>FLOOR(tblPivotData[[#This Row],[Time]],Summary!$B$6/1440)</f>
        <v>0.59375</v>
      </c>
      <c r="I229" s="49">
        <f>INDEX(PeakCalc!$L$10:$L$303,MATCH(tblPivotData[[#This Row],[Time]],PeakCalc!$G$10:$G$303,0))</f>
        <v>0</v>
      </c>
    </row>
    <row r="230" spans="1:9" x14ac:dyDescent="0.25">
      <c r="A230" t="s">
        <v>93</v>
      </c>
      <c r="B230" t="s">
        <v>100</v>
      </c>
      <c r="C230" t="s">
        <v>93</v>
      </c>
      <c r="D230" t="s">
        <v>79</v>
      </c>
      <c r="E230" t="s">
        <v>91</v>
      </c>
      <c r="F230" s="6">
        <v>0.60416666666666663</v>
      </c>
      <c r="G230">
        <v>0</v>
      </c>
      <c r="H230" s="6">
        <f>FLOOR(tblPivotData[[#This Row],[Time]],Summary!$B$6/1440)</f>
        <v>0.60416666666666663</v>
      </c>
      <c r="I230" s="49">
        <f>INDEX(PeakCalc!$L$10:$L$303,MATCH(tblPivotData[[#This Row],[Time]],PeakCalc!$G$10:$G$303,0))</f>
        <v>1</v>
      </c>
    </row>
    <row r="231" spans="1:9" x14ac:dyDescent="0.25">
      <c r="A231" t="s">
        <v>93</v>
      </c>
      <c r="B231" t="s">
        <v>100</v>
      </c>
      <c r="C231" t="s">
        <v>93</v>
      </c>
      <c r="D231" t="s">
        <v>79</v>
      </c>
      <c r="E231" t="s">
        <v>91</v>
      </c>
      <c r="F231" s="6">
        <v>0.61458333333333337</v>
      </c>
      <c r="G231">
        <v>0</v>
      </c>
      <c r="H231" s="6">
        <f>FLOOR(tblPivotData[[#This Row],[Time]],Summary!$B$6/1440)</f>
        <v>0.61458333333333326</v>
      </c>
      <c r="I231" s="49">
        <f>INDEX(PeakCalc!$L$10:$L$303,MATCH(tblPivotData[[#This Row],[Time]],PeakCalc!$G$10:$G$303,0))</f>
        <v>1</v>
      </c>
    </row>
    <row r="232" spans="1:9" x14ac:dyDescent="0.25">
      <c r="A232" t="s">
        <v>93</v>
      </c>
      <c r="B232" t="s">
        <v>100</v>
      </c>
      <c r="C232" t="s">
        <v>93</v>
      </c>
      <c r="D232" t="s">
        <v>79</v>
      </c>
      <c r="E232" t="s">
        <v>91</v>
      </c>
      <c r="F232" s="6">
        <v>0.625</v>
      </c>
      <c r="G232">
        <v>0</v>
      </c>
      <c r="H232" s="6">
        <f>FLOOR(tblPivotData[[#This Row],[Time]],Summary!$B$6/1440)</f>
        <v>0.625</v>
      </c>
      <c r="I232" s="49">
        <f>INDEX(PeakCalc!$L$10:$L$303,MATCH(tblPivotData[[#This Row],[Time]],PeakCalc!$G$10:$G$303,0))</f>
        <v>1</v>
      </c>
    </row>
    <row r="233" spans="1:9" x14ac:dyDescent="0.25">
      <c r="A233" t="s">
        <v>93</v>
      </c>
      <c r="B233" t="s">
        <v>100</v>
      </c>
      <c r="C233" t="s">
        <v>93</v>
      </c>
      <c r="D233" t="s">
        <v>79</v>
      </c>
      <c r="E233" t="s">
        <v>91</v>
      </c>
      <c r="F233" s="6">
        <v>0.63541666666666663</v>
      </c>
      <c r="G233">
        <v>0</v>
      </c>
      <c r="H233" s="6">
        <f>FLOOR(tblPivotData[[#This Row],[Time]],Summary!$B$6/1440)</f>
        <v>0.63541666666666663</v>
      </c>
      <c r="I233" s="49">
        <f>INDEX(PeakCalc!$L$10:$L$303,MATCH(tblPivotData[[#This Row],[Time]],PeakCalc!$G$10:$G$303,0))</f>
        <v>1</v>
      </c>
    </row>
    <row r="234" spans="1:9" x14ac:dyDescent="0.25">
      <c r="A234" t="s">
        <v>93</v>
      </c>
      <c r="B234" t="s">
        <v>100</v>
      </c>
      <c r="C234" t="s">
        <v>93</v>
      </c>
      <c r="D234" t="s">
        <v>79</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79</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79</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79</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79</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79</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79</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79</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100</v>
      </c>
      <c r="C242" t="s">
        <v>93</v>
      </c>
      <c r="D242" t="s">
        <v>89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100</v>
      </c>
      <c r="C243" t="s">
        <v>93</v>
      </c>
      <c r="D243" t="s">
        <v>89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93</v>
      </c>
      <c r="B244" t="s">
        <v>100</v>
      </c>
      <c r="C244" t="s">
        <v>93</v>
      </c>
      <c r="D244" t="s">
        <v>89</v>
      </c>
      <c r="E244" t="s">
        <v>43</v>
      </c>
      <c r="F244" s="6">
        <v>0.3125</v>
      </c>
      <c r="G244">
        <v>0</v>
      </c>
      <c r="H244" s="6">
        <f>FLOOR(tblPivotData[[#This Row],[Time]],Summary!$B$6/1440)</f>
        <v>0.3125</v>
      </c>
      <c r="I244" s="49">
        <f>INDEX(PeakCalc!$L$10:$L$303,MATCH(tblPivotData[[#This Row],[Time]],PeakCalc!$G$10:$G$303,0))</f>
        <v>0</v>
      </c>
    </row>
    <row r="245" spans="1:9" x14ac:dyDescent="0.25">
      <c r="A245" t="s">
        <v>93</v>
      </c>
      <c r="B245" t="s">
        <v>100</v>
      </c>
      <c r="C245" t="s">
        <v>93</v>
      </c>
      <c r="D245" t="s">
        <v>89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93</v>
      </c>
      <c r="B246" t="s">
        <v>100</v>
      </c>
      <c r="C246" t="s">
        <v>93</v>
      </c>
      <c r="D246" t="s">
        <v>89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93</v>
      </c>
      <c r="B247" t="s">
        <v>100</v>
      </c>
      <c r="C247" t="s">
        <v>93</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93</v>
      </c>
      <c r="B248" t="s">
        <v>100</v>
      </c>
      <c r="C248" t="s">
        <v>93</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93</v>
      </c>
      <c r="B249" t="s">
        <v>100</v>
      </c>
      <c r="C249" t="s">
        <v>93</v>
      </c>
      <c r="D249" t="s">
        <v>89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93</v>
      </c>
      <c r="B250" t="s">
        <v>100</v>
      </c>
      <c r="C250" t="s">
        <v>93</v>
      </c>
      <c r="D250" t="s">
        <v>89</v>
      </c>
      <c r="E250" t="s">
        <v>91</v>
      </c>
      <c r="F250" s="6">
        <v>0.5625</v>
      </c>
      <c r="G250">
        <v>0</v>
      </c>
      <c r="H250" s="6">
        <f>FLOOR(tblPivotData[[#This Row],[Time]],Summary!$B$6/1440)</f>
        <v>0.5625</v>
      </c>
      <c r="I250" s="49">
        <f>INDEX(PeakCalc!$L$10:$L$303,MATCH(tblPivotData[[#This Row],[Time]],PeakCalc!$G$10:$G$303,0))</f>
        <v>0</v>
      </c>
    </row>
    <row r="251" spans="1:9" x14ac:dyDescent="0.25">
      <c r="A251" t="s">
        <v>93</v>
      </c>
      <c r="B251" t="s">
        <v>100</v>
      </c>
      <c r="C251" t="s">
        <v>93</v>
      </c>
      <c r="D251" t="s">
        <v>89</v>
      </c>
      <c r="E251" t="s">
        <v>91</v>
      </c>
      <c r="F251" s="6">
        <v>0.57291666666666663</v>
      </c>
      <c r="G251">
        <v>0</v>
      </c>
      <c r="H251" s="6">
        <f>FLOOR(tblPivotData[[#This Row],[Time]],Summary!$B$6/1440)</f>
        <v>0.57291666666666663</v>
      </c>
      <c r="I251" s="49">
        <f>INDEX(PeakCalc!$L$10:$L$303,MATCH(tblPivotData[[#This Row],[Time]],PeakCalc!$G$10:$G$303,0))</f>
        <v>0</v>
      </c>
    </row>
    <row r="252" spans="1:9" x14ac:dyDescent="0.25">
      <c r="A252" t="s">
        <v>93</v>
      </c>
      <c r="B252" t="s">
        <v>100</v>
      </c>
      <c r="C252" t="s">
        <v>93</v>
      </c>
      <c r="D252" t="s">
        <v>89</v>
      </c>
      <c r="E252" t="s">
        <v>91</v>
      </c>
      <c r="F252" s="6">
        <v>0.58333333333333337</v>
      </c>
      <c r="G252">
        <v>0</v>
      </c>
      <c r="H252" s="6">
        <f>FLOOR(tblPivotData[[#This Row],[Time]],Summary!$B$6/1440)</f>
        <v>0.58333333333333326</v>
      </c>
      <c r="I252" s="49">
        <f>INDEX(PeakCalc!$L$10:$L$303,MATCH(tblPivotData[[#This Row],[Time]],PeakCalc!$G$10:$G$303,0))</f>
        <v>0</v>
      </c>
    </row>
    <row r="253" spans="1:9" x14ac:dyDescent="0.25">
      <c r="A253" t="s">
        <v>93</v>
      </c>
      <c r="B253" t="s">
        <v>100</v>
      </c>
      <c r="C253" t="s">
        <v>93</v>
      </c>
      <c r="D253" t="s">
        <v>89</v>
      </c>
      <c r="E253" t="s">
        <v>91</v>
      </c>
      <c r="F253" s="6">
        <v>0.59375</v>
      </c>
      <c r="G253">
        <v>0</v>
      </c>
      <c r="H253" s="6">
        <f>FLOOR(tblPivotData[[#This Row],[Time]],Summary!$B$6/1440)</f>
        <v>0.59375</v>
      </c>
      <c r="I253" s="49">
        <f>INDEX(PeakCalc!$L$10:$L$303,MATCH(tblPivotData[[#This Row],[Time]],PeakCalc!$G$10:$G$303,0))</f>
        <v>0</v>
      </c>
    </row>
    <row r="254" spans="1:9" x14ac:dyDescent="0.25">
      <c r="A254" t="s">
        <v>93</v>
      </c>
      <c r="B254" t="s">
        <v>100</v>
      </c>
      <c r="C254" t="s">
        <v>93</v>
      </c>
      <c r="D254" t="s">
        <v>89</v>
      </c>
      <c r="E254" t="s">
        <v>91</v>
      </c>
      <c r="F254" s="6">
        <v>0.60416666666666663</v>
      </c>
      <c r="G254">
        <v>0</v>
      </c>
      <c r="H254" s="6">
        <f>FLOOR(tblPivotData[[#This Row],[Time]],Summary!$B$6/1440)</f>
        <v>0.60416666666666663</v>
      </c>
      <c r="I254" s="49">
        <f>INDEX(PeakCalc!$L$10:$L$303,MATCH(tblPivotData[[#This Row],[Time]],PeakCalc!$G$10:$G$303,0))</f>
        <v>1</v>
      </c>
    </row>
    <row r="255" spans="1:9" x14ac:dyDescent="0.25">
      <c r="A255" t="s">
        <v>93</v>
      </c>
      <c r="B255" t="s">
        <v>100</v>
      </c>
      <c r="C255" t="s">
        <v>93</v>
      </c>
      <c r="D255" t="s">
        <v>89</v>
      </c>
      <c r="E255" t="s">
        <v>91</v>
      </c>
      <c r="F255" s="6">
        <v>0.61458333333333337</v>
      </c>
      <c r="G255">
        <v>0</v>
      </c>
      <c r="H255" s="6">
        <f>FLOOR(tblPivotData[[#This Row],[Time]],Summary!$B$6/1440)</f>
        <v>0.61458333333333326</v>
      </c>
      <c r="I255" s="49">
        <f>INDEX(PeakCalc!$L$10:$L$303,MATCH(tblPivotData[[#This Row],[Time]],PeakCalc!$G$10:$G$303,0))</f>
        <v>1</v>
      </c>
    </row>
    <row r="256" spans="1:9" x14ac:dyDescent="0.25">
      <c r="A256" t="s">
        <v>93</v>
      </c>
      <c r="B256" t="s">
        <v>100</v>
      </c>
      <c r="C256" t="s">
        <v>93</v>
      </c>
      <c r="D256" t="s">
        <v>89</v>
      </c>
      <c r="E256" t="s">
        <v>91</v>
      </c>
      <c r="F256" s="6">
        <v>0.625</v>
      </c>
      <c r="G256">
        <v>0</v>
      </c>
      <c r="H256" s="6">
        <f>FLOOR(tblPivotData[[#This Row],[Time]],Summary!$B$6/1440)</f>
        <v>0.625</v>
      </c>
      <c r="I256" s="49">
        <f>INDEX(PeakCalc!$L$10:$L$303,MATCH(tblPivotData[[#This Row],[Time]],PeakCalc!$G$10:$G$303,0))</f>
        <v>1</v>
      </c>
    </row>
    <row r="257" spans="1:9" x14ac:dyDescent="0.25">
      <c r="A257" t="s">
        <v>93</v>
      </c>
      <c r="B257" t="s">
        <v>100</v>
      </c>
      <c r="C257" t="s">
        <v>93</v>
      </c>
      <c r="D257" t="s">
        <v>89</v>
      </c>
      <c r="E257" t="s">
        <v>91</v>
      </c>
      <c r="F257" s="6">
        <v>0.63541666666666663</v>
      </c>
      <c r="G257">
        <v>0</v>
      </c>
      <c r="H257" s="6">
        <f>FLOOR(tblPivotData[[#This Row],[Time]],Summary!$B$6/1440)</f>
        <v>0.63541666666666663</v>
      </c>
      <c r="I257" s="49">
        <f>INDEX(PeakCalc!$L$10:$L$303,MATCH(tblPivotData[[#This Row],[Time]],PeakCalc!$G$10:$G$303,0))</f>
        <v>1</v>
      </c>
    </row>
    <row r="258" spans="1:9" x14ac:dyDescent="0.25">
      <c r="A258" t="s">
        <v>93</v>
      </c>
      <c r="B258" t="s">
        <v>100</v>
      </c>
      <c r="C258" t="s">
        <v>93</v>
      </c>
      <c r="D258" t="s">
        <v>89</v>
      </c>
      <c r="E258" t="s">
        <v>44</v>
      </c>
      <c r="F258" s="6">
        <v>0.66666666666666663</v>
      </c>
      <c r="G258">
        <v>0</v>
      </c>
      <c r="H258" s="6">
        <f>FLOOR(tblPivotData[[#This Row],[Time]],Summary!$B$6/1440)</f>
        <v>0.66666666666666663</v>
      </c>
      <c r="I258" s="49">
        <f>INDEX(PeakCalc!$L$10:$L$303,MATCH(tblPivotData[[#This Row],[Time]],PeakCalc!$G$10:$G$303,0))</f>
        <v>0</v>
      </c>
    </row>
    <row r="259" spans="1:9" x14ac:dyDescent="0.25">
      <c r="A259" t="s">
        <v>93</v>
      </c>
      <c r="B259" t="s">
        <v>100</v>
      </c>
      <c r="C259" t="s">
        <v>93</v>
      </c>
      <c r="D259" t="s">
        <v>89</v>
      </c>
      <c r="E259" t="s">
        <v>44</v>
      </c>
      <c r="F259" s="6">
        <v>0.67708333333333337</v>
      </c>
      <c r="G259">
        <v>0</v>
      </c>
      <c r="H259" s="6">
        <f>FLOOR(tblPivotData[[#This Row],[Time]],Summary!$B$6/1440)</f>
        <v>0.67708333333333326</v>
      </c>
      <c r="I259" s="49">
        <f>INDEX(PeakCalc!$L$10:$L$303,MATCH(tblPivotData[[#This Row],[Time]],PeakCalc!$G$10:$G$303,0))</f>
        <v>0</v>
      </c>
    </row>
    <row r="260" spans="1:9" x14ac:dyDescent="0.25">
      <c r="A260" t="s">
        <v>93</v>
      </c>
      <c r="B260" t="s">
        <v>100</v>
      </c>
      <c r="C260" t="s">
        <v>93</v>
      </c>
      <c r="D260" t="s">
        <v>89</v>
      </c>
      <c r="E260" t="s">
        <v>44</v>
      </c>
      <c r="F260" s="6">
        <v>0.6875</v>
      </c>
      <c r="G260">
        <v>0</v>
      </c>
      <c r="H260" s="6">
        <f>FLOOR(tblPivotData[[#This Row],[Time]],Summary!$B$6/1440)</f>
        <v>0.6875</v>
      </c>
      <c r="I260" s="49">
        <f>INDEX(PeakCalc!$L$10:$L$303,MATCH(tblPivotData[[#This Row],[Time]],PeakCalc!$G$10:$G$303,0))</f>
        <v>1</v>
      </c>
    </row>
    <row r="261" spans="1:9" x14ac:dyDescent="0.25">
      <c r="A261" t="s">
        <v>93</v>
      </c>
      <c r="B261" t="s">
        <v>100</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93</v>
      </c>
      <c r="B262" t="s">
        <v>100</v>
      </c>
      <c r="C262" t="s">
        <v>93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93</v>
      </c>
      <c r="B263" t="s">
        <v>100</v>
      </c>
      <c r="C263" t="s">
        <v>93</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93</v>
      </c>
      <c r="B264" t="s">
        <v>100</v>
      </c>
      <c r="C264" t="s">
        <v>93</v>
      </c>
      <c r="D264" t="s">
        <v>89</v>
      </c>
      <c r="E264" t="s">
        <v>44</v>
      </c>
      <c r="F264" s="6">
        <v>0.72916666666666663</v>
      </c>
      <c r="G264">
        <v>0</v>
      </c>
      <c r="H264" s="6">
        <f>FLOOR(tblPivotData[[#This Row],[Time]],Summary!$B$6/1440)</f>
        <v>0.72916666666666663</v>
      </c>
      <c r="I264" s="49">
        <f>INDEX(PeakCalc!$L$10:$L$303,MATCH(tblPivotData[[#This Row],[Time]],PeakCalc!$G$10:$G$303,0))</f>
        <v>0</v>
      </c>
    </row>
    <row r="265" spans="1:9" x14ac:dyDescent="0.25">
      <c r="A265" t="s">
        <v>93</v>
      </c>
      <c r="B265" t="s">
        <v>100</v>
      </c>
      <c r="C265" t="s">
        <v>93</v>
      </c>
      <c r="D265" t="s">
        <v>89</v>
      </c>
      <c r="E265" t="s">
        <v>44</v>
      </c>
      <c r="F265" s="6">
        <v>0.73958333333333337</v>
      </c>
      <c r="G265">
        <v>0</v>
      </c>
      <c r="H265" s="6">
        <f>FLOOR(tblPivotData[[#This Row],[Time]],Summary!$B$6/1440)</f>
        <v>0.73958333333333326</v>
      </c>
      <c r="I265" s="49">
        <f>INDEX(PeakCalc!$L$10:$L$303,MATCH(tblPivotData[[#This Row],[Time]],PeakCalc!$G$10:$G$303,0))</f>
        <v>0</v>
      </c>
    </row>
    <row r="266" spans="1:9" x14ac:dyDescent="0.25">
      <c r="A266" t="s">
        <v>93</v>
      </c>
      <c r="B266" t="s">
        <v>100</v>
      </c>
      <c r="C266" t="s">
        <v>93</v>
      </c>
      <c r="D266" t="s">
        <v>90</v>
      </c>
      <c r="E266" t="s">
        <v>43</v>
      </c>
      <c r="F266" s="6">
        <v>0.29166666666666669</v>
      </c>
      <c r="G266">
        <v>0</v>
      </c>
      <c r="H266" s="6">
        <f>FLOOR(tblPivotData[[#This Row],[Time]],Summary!$B$6/1440)</f>
        <v>0.29166666666666663</v>
      </c>
      <c r="I266" s="49">
        <f>INDEX(PeakCalc!$L$10:$L$303,MATCH(tblPivotData[[#This Row],[Time]],PeakCalc!$G$10:$G$303,0))</f>
        <v>0</v>
      </c>
    </row>
    <row r="267" spans="1:9" x14ac:dyDescent="0.25">
      <c r="A267" t="s">
        <v>93</v>
      </c>
      <c r="B267" t="s">
        <v>100</v>
      </c>
      <c r="C267" t="s">
        <v>93</v>
      </c>
      <c r="D267" t="s">
        <v>90</v>
      </c>
      <c r="E267" t="s">
        <v>43</v>
      </c>
      <c r="F267" s="6">
        <v>0.30208333333333331</v>
      </c>
      <c r="G267">
        <v>0</v>
      </c>
      <c r="H267" s="6">
        <f>FLOOR(tblPivotData[[#This Row],[Time]],Summary!$B$6/1440)</f>
        <v>0.30208333333333331</v>
      </c>
      <c r="I267" s="49">
        <f>INDEX(PeakCalc!$L$10:$L$303,MATCH(tblPivotData[[#This Row],[Time]],PeakCalc!$G$10:$G$303,0))</f>
        <v>0</v>
      </c>
    </row>
    <row r="268" spans="1:9" x14ac:dyDescent="0.25">
      <c r="A268" t="s">
        <v>93</v>
      </c>
      <c r="B268" t="s">
        <v>100</v>
      </c>
      <c r="C268" t="s">
        <v>93</v>
      </c>
      <c r="D268" t="s">
        <v>90</v>
      </c>
      <c r="E268" t="s">
        <v>43</v>
      </c>
      <c r="F268" s="6">
        <v>0.3125</v>
      </c>
      <c r="G268">
        <v>0</v>
      </c>
      <c r="H268" s="6">
        <f>FLOOR(tblPivotData[[#This Row],[Time]],Summary!$B$6/1440)</f>
        <v>0.3125</v>
      </c>
      <c r="I268" s="49">
        <f>INDEX(PeakCalc!$L$10:$L$303,MATCH(tblPivotData[[#This Row],[Time]],PeakCalc!$G$10:$G$303,0))</f>
        <v>0</v>
      </c>
    </row>
    <row r="269" spans="1:9" x14ac:dyDescent="0.25">
      <c r="A269" t="s">
        <v>93</v>
      </c>
      <c r="B269" t="s">
        <v>100</v>
      </c>
      <c r="C269" t="s">
        <v>93</v>
      </c>
      <c r="D269" t="s">
        <v>90</v>
      </c>
      <c r="E269" t="s">
        <v>43</v>
      </c>
      <c r="F269" s="6">
        <v>0.32291666666666669</v>
      </c>
      <c r="G269">
        <v>0</v>
      </c>
      <c r="H269" s="6">
        <f>FLOOR(tblPivotData[[#This Row],[Time]],Summary!$B$6/1440)</f>
        <v>0.32291666666666663</v>
      </c>
      <c r="I269" s="49">
        <f>INDEX(PeakCalc!$L$10:$L$303,MATCH(tblPivotData[[#This Row],[Time]],PeakCalc!$G$10:$G$303,0))</f>
        <v>0</v>
      </c>
    </row>
    <row r="270" spans="1:9" x14ac:dyDescent="0.25">
      <c r="A270" t="s">
        <v>93</v>
      </c>
      <c r="B270" t="s">
        <v>100</v>
      </c>
      <c r="C270" t="s">
        <v>93</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93</v>
      </c>
      <c r="B271" t="s">
        <v>100</v>
      </c>
      <c r="C271" t="s">
        <v>93</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93</v>
      </c>
      <c r="B272" t="s">
        <v>100</v>
      </c>
      <c r="C272" t="s">
        <v>93</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93</v>
      </c>
      <c r="B273" t="s">
        <v>100</v>
      </c>
      <c r="C273" t="s">
        <v>93</v>
      </c>
      <c r="D273" t="s">
        <v>90</v>
      </c>
      <c r="E273" t="s">
        <v>43</v>
      </c>
      <c r="F273" s="6">
        <v>0.36458333333333331</v>
      </c>
      <c r="G273">
        <v>0</v>
      </c>
      <c r="H273" s="6">
        <f>FLOOR(tblPivotData[[#This Row],[Time]],Summary!$B$6/1440)</f>
        <v>0.36458333333333331</v>
      </c>
      <c r="I273" s="49">
        <f>INDEX(PeakCalc!$L$10:$L$303,MATCH(tblPivotData[[#This Row],[Time]],PeakCalc!$G$10:$G$303,0))</f>
        <v>1</v>
      </c>
    </row>
    <row r="274" spans="1:9" x14ac:dyDescent="0.25">
      <c r="A274" t="s">
        <v>93</v>
      </c>
      <c r="B274" t="s">
        <v>100</v>
      </c>
      <c r="C274" t="s">
        <v>93</v>
      </c>
      <c r="D274" t="s">
        <v>90</v>
      </c>
      <c r="E274" t="s">
        <v>91</v>
      </c>
      <c r="F274" s="6">
        <v>0.5625</v>
      </c>
      <c r="G274">
        <v>0</v>
      </c>
      <c r="H274" s="6">
        <f>FLOOR(tblPivotData[[#This Row],[Time]],Summary!$B$6/1440)</f>
        <v>0.5625</v>
      </c>
      <c r="I274" s="49">
        <f>INDEX(PeakCalc!$L$10:$L$303,MATCH(tblPivotData[[#This Row],[Time]],PeakCalc!$G$10:$G$303,0))</f>
        <v>0</v>
      </c>
    </row>
    <row r="275" spans="1:9" x14ac:dyDescent="0.25">
      <c r="A275" t="s">
        <v>93</v>
      </c>
      <c r="B275" t="s">
        <v>100</v>
      </c>
      <c r="C275" t="s">
        <v>93</v>
      </c>
      <c r="D275" t="s">
        <v>90</v>
      </c>
      <c r="E275" t="s">
        <v>91</v>
      </c>
      <c r="F275" s="6">
        <v>0.57291666666666663</v>
      </c>
      <c r="G275">
        <v>0</v>
      </c>
      <c r="H275" s="6">
        <f>FLOOR(tblPivotData[[#This Row],[Time]],Summary!$B$6/1440)</f>
        <v>0.57291666666666663</v>
      </c>
      <c r="I275" s="49">
        <f>INDEX(PeakCalc!$L$10:$L$303,MATCH(tblPivotData[[#This Row],[Time]],PeakCalc!$G$10:$G$303,0))</f>
        <v>0</v>
      </c>
    </row>
    <row r="276" spans="1:9" x14ac:dyDescent="0.25">
      <c r="A276" t="s">
        <v>93</v>
      </c>
      <c r="B276" t="s">
        <v>100</v>
      </c>
      <c r="C276" t="s">
        <v>93</v>
      </c>
      <c r="D276" t="s">
        <v>90</v>
      </c>
      <c r="E276" t="s">
        <v>91</v>
      </c>
      <c r="F276" s="6">
        <v>0.58333333333333337</v>
      </c>
      <c r="G276">
        <v>0</v>
      </c>
      <c r="H276" s="6">
        <f>FLOOR(tblPivotData[[#This Row],[Time]],Summary!$B$6/1440)</f>
        <v>0.58333333333333326</v>
      </c>
      <c r="I276" s="49">
        <f>INDEX(PeakCalc!$L$10:$L$303,MATCH(tblPivotData[[#This Row],[Time]],PeakCalc!$G$10:$G$303,0))</f>
        <v>0</v>
      </c>
    </row>
    <row r="277" spans="1:9" x14ac:dyDescent="0.25">
      <c r="A277" t="s">
        <v>93</v>
      </c>
      <c r="B277" t="s">
        <v>100</v>
      </c>
      <c r="C277" t="s">
        <v>93</v>
      </c>
      <c r="D277" t="s">
        <v>90</v>
      </c>
      <c r="E277" t="s">
        <v>91</v>
      </c>
      <c r="F277" s="6">
        <v>0.59375</v>
      </c>
      <c r="G277">
        <v>0</v>
      </c>
      <c r="H277" s="6">
        <f>FLOOR(tblPivotData[[#This Row],[Time]],Summary!$B$6/1440)</f>
        <v>0.59375</v>
      </c>
      <c r="I277" s="49">
        <f>INDEX(PeakCalc!$L$10:$L$303,MATCH(tblPivotData[[#This Row],[Time]],PeakCalc!$G$10:$G$303,0))</f>
        <v>0</v>
      </c>
    </row>
    <row r="278" spans="1:9" x14ac:dyDescent="0.25">
      <c r="A278" t="s">
        <v>93</v>
      </c>
      <c r="B278" t="s">
        <v>100</v>
      </c>
      <c r="C278" t="s">
        <v>93</v>
      </c>
      <c r="D278" t="s">
        <v>90</v>
      </c>
      <c r="E278" t="s">
        <v>91</v>
      </c>
      <c r="F278" s="6">
        <v>0.60416666666666663</v>
      </c>
      <c r="G278">
        <v>0</v>
      </c>
      <c r="H278" s="6">
        <f>FLOOR(tblPivotData[[#This Row],[Time]],Summary!$B$6/1440)</f>
        <v>0.60416666666666663</v>
      </c>
      <c r="I278" s="49">
        <f>INDEX(PeakCalc!$L$10:$L$303,MATCH(tblPivotData[[#This Row],[Time]],PeakCalc!$G$10:$G$303,0))</f>
        <v>1</v>
      </c>
    </row>
    <row r="279" spans="1:9" x14ac:dyDescent="0.25">
      <c r="A279" t="s">
        <v>93</v>
      </c>
      <c r="B279" t="s">
        <v>100</v>
      </c>
      <c r="C279" t="s">
        <v>93</v>
      </c>
      <c r="D279" t="s">
        <v>90</v>
      </c>
      <c r="E279" t="s">
        <v>91</v>
      </c>
      <c r="F279" s="6">
        <v>0.61458333333333337</v>
      </c>
      <c r="G279">
        <v>0</v>
      </c>
      <c r="H279" s="6">
        <f>FLOOR(tblPivotData[[#This Row],[Time]],Summary!$B$6/1440)</f>
        <v>0.61458333333333326</v>
      </c>
      <c r="I279" s="49">
        <f>INDEX(PeakCalc!$L$10:$L$303,MATCH(tblPivotData[[#This Row],[Time]],PeakCalc!$G$10:$G$303,0))</f>
        <v>1</v>
      </c>
    </row>
    <row r="280" spans="1:9" x14ac:dyDescent="0.25">
      <c r="A280" t="s">
        <v>93</v>
      </c>
      <c r="B280" t="s">
        <v>100</v>
      </c>
      <c r="C280" t="s">
        <v>93</v>
      </c>
      <c r="D280" t="s">
        <v>90</v>
      </c>
      <c r="E280" t="s">
        <v>91</v>
      </c>
      <c r="F280" s="6">
        <v>0.625</v>
      </c>
      <c r="G280">
        <v>0</v>
      </c>
      <c r="H280" s="6">
        <f>FLOOR(tblPivotData[[#This Row],[Time]],Summary!$B$6/1440)</f>
        <v>0.625</v>
      </c>
      <c r="I280" s="49">
        <f>INDEX(PeakCalc!$L$10:$L$303,MATCH(tblPivotData[[#This Row],[Time]],PeakCalc!$G$10:$G$303,0))</f>
        <v>1</v>
      </c>
    </row>
    <row r="281" spans="1:9" x14ac:dyDescent="0.25">
      <c r="A281" t="s">
        <v>93</v>
      </c>
      <c r="B281" t="s">
        <v>100</v>
      </c>
      <c r="C281" t="s">
        <v>93</v>
      </c>
      <c r="D281" t="s">
        <v>90</v>
      </c>
      <c r="E281" t="s">
        <v>91</v>
      </c>
      <c r="F281" s="6">
        <v>0.63541666666666663</v>
      </c>
      <c r="G281">
        <v>0</v>
      </c>
      <c r="H281" s="6">
        <f>FLOOR(tblPivotData[[#This Row],[Time]],Summary!$B$6/1440)</f>
        <v>0.63541666666666663</v>
      </c>
      <c r="I281" s="49">
        <f>INDEX(PeakCalc!$L$10:$L$303,MATCH(tblPivotData[[#This Row],[Time]],PeakCalc!$G$10:$G$303,0))</f>
        <v>1</v>
      </c>
    </row>
    <row r="282" spans="1:9" x14ac:dyDescent="0.25">
      <c r="A282" t="s">
        <v>93</v>
      </c>
      <c r="B282" t="s">
        <v>100</v>
      </c>
      <c r="C282" t="s">
        <v>93</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93</v>
      </c>
      <c r="B283" t="s">
        <v>100</v>
      </c>
      <c r="C283" t="s">
        <v>93</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93</v>
      </c>
      <c r="B284" t="s">
        <v>100</v>
      </c>
      <c r="C284" t="s">
        <v>93</v>
      </c>
      <c r="D284" t="s">
        <v>90</v>
      </c>
      <c r="E284" t="s">
        <v>44</v>
      </c>
      <c r="F284" s="6">
        <v>0.6875</v>
      </c>
      <c r="G284">
        <v>0</v>
      </c>
      <c r="H284" s="6">
        <f>FLOOR(tblPivotData[[#This Row],[Time]],Summary!$B$6/1440)</f>
        <v>0.6875</v>
      </c>
      <c r="I284" s="49">
        <f>INDEX(PeakCalc!$L$10:$L$303,MATCH(tblPivotData[[#This Row],[Time]],PeakCalc!$G$10:$G$303,0))</f>
        <v>1</v>
      </c>
    </row>
    <row r="285" spans="1:9" x14ac:dyDescent="0.25">
      <c r="A285" t="s">
        <v>93</v>
      </c>
      <c r="B285" t="s">
        <v>100</v>
      </c>
      <c r="C285" t="s">
        <v>93</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93</v>
      </c>
      <c r="B286" t="s">
        <v>100</v>
      </c>
      <c r="C286" t="s">
        <v>93</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93</v>
      </c>
      <c r="B287" t="s">
        <v>100</v>
      </c>
      <c r="C287" t="s">
        <v>93</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93</v>
      </c>
      <c r="B288" t="s">
        <v>100</v>
      </c>
      <c r="C288" t="s">
        <v>93</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93</v>
      </c>
      <c r="B289" t="s">
        <v>100</v>
      </c>
      <c r="C289" t="s">
        <v>93</v>
      </c>
      <c r="D289" t="s">
        <v>90</v>
      </c>
      <c r="E289" t="s">
        <v>44</v>
      </c>
      <c r="F289" s="6">
        <v>0.73958333333333337</v>
      </c>
      <c r="G289">
        <v>0</v>
      </c>
      <c r="H289" s="6">
        <f>FLOOR(tblPivotData[[#This Row],[Time]],Summary!$B$6/1440)</f>
        <v>0.73958333333333326</v>
      </c>
      <c r="I289" s="49">
        <f>INDEX(PeakCalc!$L$10:$L$303,MATCH(tblPivotData[[#This Row],[Time]],PeakCalc!$G$10:$G$303,0))</f>
        <v>0</v>
      </c>
    </row>
    <row r="290" spans="1:9" x14ac:dyDescent="0.25">
      <c r="A290" t="s">
        <v>94</v>
      </c>
      <c r="B290" t="s">
        <v>101</v>
      </c>
      <c r="C290" t="s">
        <v>95</v>
      </c>
      <c r="D290" t="s">
        <v>79</v>
      </c>
      <c r="E290" t="s">
        <v>43</v>
      </c>
      <c r="F290" s="6">
        <v>0.29166666666666669</v>
      </c>
      <c r="G290">
        <v>5</v>
      </c>
      <c r="H290" s="6">
        <f>FLOOR(tblPivotData[[#This Row],[Time]],Summary!$B$6/1440)</f>
        <v>0.29166666666666663</v>
      </c>
      <c r="I290" s="49">
        <f>INDEX(PeakCalc!$L$10:$L$303,MATCH(tblPivotData[[#This Row],[Time]],PeakCalc!$G$10:$G$303,0))</f>
        <v>0</v>
      </c>
    </row>
    <row r="291" spans="1:9" x14ac:dyDescent="0.25">
      <c r="A291" t="s">
        <v>94</v>
      </c>
      <c r="B291" t="s">
        <v>101</v>
      </c>
      <c r="C291" t="s">
        <v>95</v>
      </c>
      <c r="D291" t="s">
        <v>79</v>
      </c>
      <c r="E291" t="s">
        <v>43</v>
      </c>
      <c r="F291" s="6">
        <v>0.30208333333333331</v>
      </c>
      <c r="G291">
        <v>7</v>
      </c>
      <c r="H291" s="6">
        <f>FLOOR(tblPivotData[[#This Row],[Time]],Summary!$B$6/1440)</f>
        <v>0.30208333333333331</v>
      </c>
      <c r="I291" s="49">
        <f>INDEX(PeakCalc!$L$10:$L$303,MATCH(tblPivotData[[#This Row],[Time]],PeakCalc!$G$10:$G$303,0))</f>
        <v>0</v>
      </c>
    </row>
    <row r="292" spans="1:9" x14ac:dyDescent="0.25">
      <c r="A292" t="s">
        <v>94</v>
      </c>
      <c r="B292" t="s">
        <v>101</v>
      </c>
      <c r="C292" t="s">
        <v>95</v>
      </c>
      <c r="D292" t="s">
        <v>79</v>
      </c>
      <c r="E292" t="s">
        <v>43</v>
      </c>
      <c r="F292" s="6">
        <v>0.3125</v>
      </c>
      <c r="G292">
        <v>5</v>
      </c>
      <c r="H292" s="6">
        <f>FLOOR(tblPivotData[[#This Row],[Time]],Summary!$B$6/1440)</f>
        <v>0.3125</v>
      </c>
      <c r="I292" s="49">
        <f>INDEX(PeakCalc!$L$10:$L$303,MATCH(tblPivotData[[#This Row],[Time]],PeakCalc!$G$10:$G$303,0))</f>
        <v>0</v>
      </c>
    </row>
    <row r="293" spans="1:9" x14ac:dyDescent="0.25">
      <c r="A293" t="s">
        <v>94</v>
      </c>
      <c r="B293" t="s">
        <v>101</v>
      </c>
      <c r="C293" t="s">
        <v>95</v>
      </c>
      <c r="D293" t="s">
        <v>79</v>
      </c>
      <c r="E293" t="s">
        <v>43</v>
      </c>
      <c r="F293" s="6">
        <v>0.32291666666666669</v>
      </c>
      <c r="G293">
        <v>6</v>
      </c>
      <c r="H293" s="6">
        <f>FLOOR(tblPivotData[[#This Row],[Time]],Summary!$B$6/1440)</f>
        <v>0.32291666666666663</v>
      </c>
      <c r="I293" s="49">
        <f>INDEX(PeakCalc!$L$10:$L$303,MATCH(tblPivotData[[#This Row],[Time]],PeakCalc!$G$10:$G$303,0))</f>
        <v>0</v>
      </c>
    </row>
    <row r="294" spans="1:9" x14ac:dyDescent="0.25">
      <c r="A294" t="s">
        <v>94</v>
      </c>
      <c r="B294" t="s">
        <v>101</v>
      </c>
      <c r="C294" t="s">
        <v>95</v>
      </c>
      <c r="D294" t="s">
        <v>79</v>
      </c>
      <c r="E294" t="s">
        <v>43</v>
      </c>
      <c r="F294" s="6">
        <v>0.33333333333333331</v>
      </c>
      <c r="G294">
        <v>10</v>
      </c>
      <c r="H294" s="6">
        <f>FLOOR(tblPivotData[[#This Row],[Time]],Summary!$B$6/1440)</f>
        <v>0.33333333333333331</v>
      </c>
      <c r="I294" s="49">
        <f>INDEX(PeakCalc!$L$10:$L$303,MATCH(tblPivotData[[#This Row],[Time]],PeakCalc!$G$10:$G$303,0))</f>
        <v>1</v>
      </c>
    </row>
    <row r="295" spans="1:9" x14ac:dyDescent="0.25">
      <c r="A295" t="s">
        <v>94</v>
      </c>
      <c r="B295" t="s">
        <v>101</v>
      </c>
      <c r="C295" t="s">
        <v>95</v>
      </c>
      <c r="D295" t="s">
        <v>79</v>
      </c>
      <c r="E295" t="s">
        <v>43</v>
      </c>
      <c r="F295" s="6">
        <v>0.34375</v>
      </c>
      <c r="G295">
        <v>7</v>
      </c>
      <c r="H295" s="6">
        <f>FLOOR(tblPivotData[[#This Row],[Time]],Summary!$B$6/1440)</f>
        <v>0.34375</v>
      </c>
      <c r="I295" s="49">
        <f>INDEX(PeakCalc!$L$10:$L$303,MATCH(tblPivotData[[#This Row],[Time]],PeakCalc!$G$10:$G$303,0))</f>
        <v>1</v>
      </c>
    </row>
    <row r="296" spans="1:9" x14ac:dyDescent="0.25">
      <c r="A296" t="s">
        <v>94</v>
      </c>
      <c r="B296" t="s">
        <v>101</v>
      </c>
      <c r="C296" t="s">
        <v>95</v>
      </c>
      <c r="D296" t="s">
        <v>79</v>
      </c>
      <c r="E296" t="s">
        <v>43</v>
      </c>
      <c r="F296" s="6">
        <v>0.35416666666666669</v>
      </c>
      <c r="G296">
        <v>10</v>
      </c>
      <c r="H296" s="6">
        <f>FLOOR(tblPivotData[[#This Row],[Time]],Summary!$B$6/1440)</f>
        <v>0.35416666666666663</v>
      </c>
      <c r="I296" s="49">
        <f>INDEX(PeakCalc!$L$10:$L$303,MATCH(tblPivotData[[#This Row],[Time]],PeakCalc!$G$10:$G$303,0))</f>
        <v>1</v>
      </c>
    </row>
    <row r="297" spans="1:9" x14ac:dyDescent="0.25">
      <c r="A297" t="s">
        <v>94</v>
      </c>
      <c r="B297" t="s">
        <v>101</v>
      </c>
      <c r="C297" t="s">
        <v>95</v>
      </c>
      <c r="D297" t="s">
        <v>79</v>
      </c>
      <c r="E297" t="s">
        <v>43</v>
      </c>
      <c r="F297" s="6">
        <v>0.36458333333333331</v>
      </c>
      <c r="G297">
        <v>9</v>
      </c>
      <c r="H297" s="6">
        <f>FLOOR(tblPivotData[[#This Row],[Time]],Summary!$B$6/1440)</f>
        <v>0.36458333333333331</v>
      </c>
      <c r="I297" s="49">
        <f>INDEX(PeakCalc!$L$10:$L$303,MATCH(tblPivotData[[#This Row],[Time]],PeakCalc!$G$10:$G$303,0))</f>
        <v>1</v>
      </c>
    </row>
    <row r="298" spans="1:9" x14ac:dyDescent="0.25">
      <c r="A298" t="s">
        <v>94</v>
      </c>
      <c r="B298" t="s">
        <v>101</v>
      </c>
      <c r="C298" t="s">
        <v>95</v>
      </c>
      <c r="D298" t="s">
        <v>79</v>
      </c>
      <c r="E298" t="s">
        <v>91</v>
      </c>
      <c r="F298" s="6">
        <v>0.5625</v>
      </c>
      <c r="G298">
        <v>3</v>
      </c>
      <c r="H298" s="6">
        <f>FLOOR(tblPivotData[[#This Row],[Time]],Summary!$B$6/1440)</f>
        <v>0.5625</v>
      </c>
      <c r="I298" s="49">
        <f>INDEX(PeakCalc!$L$10:$L$303,MATCH(tblPivotData[[#This Row],[Time]],PeakCalc!$G$10:$G$303,0))</f>
        <v>0</v>
      </c>
    </row>
    <row r="299" spans="1:9" x14ac:dyDescent="0.25">
      <c r="A299" t="s">
        <v>94</v>
      </c>
      <c r="B299" t="s">
        <v>101</v>
      </c>
      <c r="C299" t="s">
        <v>95</v>
      </c>
      <c r="D299" t="s">
        <v>79</v>
      </c>
      <c r="E299" t="s">
        <v>91</v>
      </c>
      <c r="F299" s="6">
        <v>0.57291666666666663</v>
      </c>
      <c r="G299">
        <v>7</v>
      </c>
      <c r="H299" s="6">
        <f>FLOOR(tblPivotData[[#This Row],[Time]],Summary!$B$6/1440)</f>
        <v>0.57291666666666663</v>
      </c>
      <c r="I299" s="49">
        <f>INDEX(PeakCalc!$L$10:$L$303,MATCH(tblPivotData[[#This Row],[Time]],PeakCalc!$G$10:$G$303,0))</f>
        <v>0</v>
      </c>
    </row>
    <row r="300" spans="1:9" x14ac:dyDescent="0.25">
      <c r="A300" t="s">
        <v>94</v>
      </c>
      <c r="B300" t="s">
        <v>101</v>
      </c>
      <c r="C300" t="s">
        <v>95</v>
      </c>
      <c r="D300" t="s">
        <v>79</v>
      </c>
      <c r="E300" t="s">
        <v>91</v>
      </c>
      <c r="F300" s="6">
        <v>0.58333333333333337</v>
      </c>
      <c r="G300">
        <v>5</v>
      </c>
      <c r="H300" s="6">
        <f>FLOOR(tblPivotData[[#This Row],[Time]],Summary!$B$6/1440)</f>
        <v>0.58333333333333326</v>
      </c>
      <c r="I300" s="49">
        <f>INDEX(PeakCalc!$L$10:$L$303,MATCH(tblPivotData[[#This Row],[Time]],PeakCalc!$G$10:$G$303,0))</f>
        <v>0</v>
      </c>
    </row>
    <row r="301" spans="1:9" x14ac:dyDescent="0.25">
      <c r="A301" t="s">
        <v>94</v>
      </c>
      <c r="B301" t="s">
        <v>101</v>
      </c>
      <c r="C301" t="s">
        <v>95</v>
      </c>
      <c r="D301" t="s">
        <v>79</v>
      </c>
      <c r="E301" t="s">
        <v>91</v>
      </c>
      <c r="F301" s="6">
        <v>0.59375</v>
      </c>
      <c r="G301">
        <v>6</v>
      </c>
      <c r="H301" s="6">
        <f>FLOOR(tblPivotData[[#This Row],[Time]],Summary!$B$6/1440)</f>
        <v>0.59375</v>
      </c>
      <c r="I301" s="49">
        <f>INDEX(PeakCalc!$L$10:$L$303,MATCH(tblPivotData[[#This Row],[Time]],PeakCalc!$G$10:$G$303,0))</f>
        <v>0</v>
      </c>
    </row>
    <row r="302" spans="1:9" x14ac:dyDescent="0.25">
      <c r="A302" t="s">
        <v>94</v>
      </c>
      <c r="B302" t="s">
        <v>101</v>
      </c>
      <c r="C302" t="s">
        <v>95</v>
      </c>
      <c r="D302" t="s">
        <v>79</v>
      </c>
      <c r="E302" t="s">
        <v>91</v>
      </c>
      <c r="F302" s="6">
        <v>0.60416666666666663</v>
      </c>
      <c r="G302">
        <v>6</v>
      </c>
      <c r="H302" s="6">
        <f>FLOOR(tblPivotData[[#This Row],[Time]],Summary!$B$6/1440)</f>
        <v>0.60416666666666663</v>
      </c>
      <c r="I302" s="49">
        <f>INDEX(PeakCalc!$L$10:$L$303,MATCH(tblPivotData[[#This Row],[Time]],PeakCalc!$G$10:$G$303,0))</f>
        <v>1</v>
      </c>
    </row>
    <row r="303" spans="1:9" x14ac:dyDescent="0.25">
      <c r="A303" t="s">
        <v>94</v>
      </c>
      <c r="B303" t="s">
        <v>101</v>
      </c>
      <c r="C303" t="s">
        <v>95</v>
      </c>
      <c r="D303" t="s">
        <v>79</v>
      </c>
      <c r="E303" t="s">
        <v>91</v>
      </c>
      <c r="F303" s="6">
        <v>0.61458333333333337</v>
      </c>
      <c r="G303">
        <v>7</v>
      </c>
      <c r="H303" s="6">
        <f>FLOOR(tblPivotData[[#This Row],[Time]],Summary!$B$6/1440)</f>
        <v>0.61458333333333326</v>
      </c>
      <c r="I303" s="49">
        <f>INDEX(PeakCalc!$L$10:$L$303,MATCH(tblPivotData[[#This Row],[Time]],PeakCalc!$G$10:$G$303,0))</f>
        <v>1</v>
      </c>
    </row>
    <row r="304" spans="1:9" x14ac:dyDescent="0.25">
      <c r="A304" t="s">
        <v>94</v>
      </c>
      <c r="B304" t="s">
        <v>101</v>
      </c>
      <c r="C304" t="s">
        <v>95</v>
      </c>
      <c r="D304" t="s">
        <v>79</v>
      </c>
      <c r="E304" t="s">
        <v>91</v>
      </c>
      <c r="F304" s="6">
        <v>0.625</v>
      </c>
      <c r="G304">
        <v>5</v>
      </c>
      <c r="H304" s="6">
        <f>FLOOR(tblPivotData[[#This Row],[Time]],Summary!$B$6/1440)</f>
        <v>0.625</v>
      </c>
      <c r="I304" s="49">
        <f>INDEX(PeakCalc!$L$10:$L$303,MATCH(tblPivotData[[#This Row],[Time]],PeakCalc!$G$10:$G$303,0))</f>
        <v>1</v>
      </c>
    </row>
    <row r="305" spans="1:9" x14ac:dyDescent="0.25">
      <c r="A305" t="s">
        <v>94</v>
      </c>
      <c r="B305" t="s">
        <v>101</v>
      </c>
      <c r="C305" t="s">
        <v>95</v>
      </c>
      <c r="D305" t="s">
        <v>79</v>
      </c>
      <c r="E305" t="s">
        <v>91</v>
      </c>
      <c r="F305" s="6">
        <v>0.63541666666666663</v>
      </c>
      <c r="G305">
        <v>6</v>
      </c>
      <c r="H305" s="6">
        <f>FLOOR(tblPivotData[[#This Row],[Time]],Summary!$B$6/1440)</f>
        <v>0.63541666666666663</v>
      </c>
      <c r="I305" s="49">
        <f>INDEX(PeakCalc!$L$10:$L$303,MATCH(tblPivotData[[#This Row],[Time]],PeakCalc!$G$10:$G$303,0))</f>
        <v>1</v>
      </c>
    </row>
    <row r="306" spans="1:9" x14ac:dyDescent="0.25">
      <c r="A306" t="s">
        <v>94</v>
      </c>
      <c r="B306" t="s">
        <v>101</v>
      </c>
      <c r="C306" t="s">
        <v>95</v>
      </c>
      <c r="D306" t="s">
        <v>79</v>
      </c>
      <c r="E306" t="s">
        <v>44</v>
      </c>
      <c r="F306" s="6">
        <v>0.66666666666666663</v>
      </c>
      <c r="G306">
        <v>5</v>
      </c>
      <c r="H306" s="6">
        <f>FLOOR(tblPivotData[[#This Row],[Time]],Summary!$B$6/1440)</f>
        <v>0.66666666666666663</v>
      </c>
      <c r="I306" s="49">
        <f>INDEX(PeakCalc!$L$10:$L$303,MATCH(tblPivotData[[#This Row],[Time]],PeakCalc!$G$10:$G$303,0))</f>
        <v>0</v>
      </c>
    </row>
    <row r="307" spans="1:9" x14ac:dyDescent="0.25">
      <c r="A307" t="s">
        <v>94</v>
      </c>
      <c r="B307" t="s">
        <v>101</v>
      </c>
      <c r="C307" t="s">
        <v>95</v>
      </c>
      <c r="D307" t="s">
        <v>79</v>
      </c>
      <c r="E307" t="s">
        <v>44</v>
      </c>
      <c r="F307" s="6">
        <v>0.67708333333333337</v>
      </c>
      <c r="G307">
        <v>7</v>
      </c>
      <c r="H307" s="6">
        <f>FLOOR(tblPivotData[[#This Row],[Time]],Summary!$B$6/1440)</f>
        <v>0.67708333333333326</v>
      </c>
      <c r="I307" s="49">
        <f>INDEX(PeakCalc!$L$10:$L$303,MATCH(tblPivotData[[#This Row],[Time]],PeakCalc!$G$10:$G$303,0))</f>
        <v>0</v>
      </c>
    </row>
    <row r="308" spans="1:9" x14ac:dyDescent="0.25">
      <c r="A308" t="s">
        <v>94</v>
      </c>
      <c r="B308" t="s">
        <v>101</v>
      </c>
      <c r="C308" t="s">
        <v>95</v>
      </c>
      <c r="D308" t="s">
        <v>79</v>
      </c>
      <c r="E308" t="s">
        <v>44</v>
      </c>
      <c r="F308" s="6">
        <v>0.6875</v>
      </c>
      <c r="G308">
        <v>5</v>
      </c>
      <c r="H308" s="6">
        <f>FLOOR(tblPivotData[[#This Row],[Time]],Summary!$B$6/1440)</f>
        <v>0.6875</v>
      </c>
      <c r="I308" s="49">
        <f>INDEX(PeakCalc!$L$10:$L$303,MATCH(tblPivotData[[#This Row],[Time]],PeakCalc!$G$10:$G$303,0))</f>
        <v>1</v>
      </c>
    </row>
    <row r="309" spans="1:9" x14ac:dyDescent="0.25">
      <c r="A309" t="s">
        <v>94</v>
      </c>
      <c r="B309" t="s">
        <v>101</v>
      </c>
      <c r="C309" t="s">
        <v>95</v>
      </c>
      <c r="D309" t="s">
        <v>79</v>
      </c>
      <c r="E309" t="s">
        <v>44</v>
      </c>
      <c r="F309" s="6">
        <v>0.69791666666666663</v>
      </c>
      <c r="G309">
        <v>3</v>
      </c>
      <c r="H309" s="6">
        <f>FLOOR(tblPivotData[[#This Row],[Time]],Summary!$B$6/1440)</f>
        <v>0.69791666666666663</v>
      </c>
      <c r="I309" s="49">
        <f>INDEX(PeakCalc!$L$10:$L$303,MATCH(tblPivotData[[#This Row],[Time]],PeakCalc!$G$10:$G$303,0))</f>
        <v>1</v>
      </c>
    </row>
    <row r="310" spans="1:9" x14ac:dyDescent="0.25">
      <c r="A310" t="s">
        <v>94</v>
      </c>
      <c r="B310" t="s">
        <v>101</v>
      </c>
      <c r="C310" t="s">
        <v>95</v>
      </c>
      <c r="D310" t="s">
        <v>79</v>
      </c>
      <c r="E310" t="s">
        <v>44</v>
      </c>
      <c r="F310" s="6">
        <v>0.70833333333333337</v>
      </c>
      <c r="G310">
        <v>6</v>
      </c>
      <c r="H310" s="6">
        <f>FLOOR(tblPivotData[[#This Row],[Time]],Summary!$B$6/1440)</f>
        <v>0.70833333333333326</v>
      </c>
      <c r="I310" s="49">
        <f>INDEX(PeakCalc!$L$10:$L$303,MATCH(tblPivotData[[#This Row],[Time]],PeakCalc!$G$10:$G$303,0))</f>
        <v>1</v>
      </c>
    </row>
    <row r="311" spans="1:9" x14ac:dyDescent="0.25">
      <c r="A311" t="s">
        <v>94</v>
      </c>
      <c r="B311" t="s">
        <v>101</v>
      </c>
      <c r="C311" t="s">
        <v>95</v>
      </c>
      <c r="D311" t="s">
        <v>79</v>
      </c>
      <c r="E311" t="s">
        <v>44</v>
      </c>
      <c r="F311" s="6">
        <v>0.71875</v>
      </c>
      <c r="G311">
        <v>8</v>
      </c>
      <c r="H311" s="6">
        <f>FLOOR(tblPivotData[[#This Row],[Time]],Summary!$B$6/1440)</f>
        <v>0.71875</v>
      </c>
      <c r="I311" s="49">
        <f>INDEX(PeakCalc!$L$10:$L$303,MATCH(tblPivotData[[#This Row],[Time]],PeakCalc!$G$10:$G$303,0))</f>
        <v>1</v>
      </c>
    </row>
    <row r="312" spans="1:9" x14ac:dyDescent="0.25">
      <c r="A312" t="s">
        <v>94</v>
      </c>
      <c r="B312" t="s">
        <v>101</v>
      </c>
      <c r="C312" t="s">
        <v>95</v>
      </c>
      <c r="D312" t="s">
        <v>79</v>
      </c>
      <c r="E312" t="s">
        <v>44</v>
      </c>
      <c r="F312" s="6">
        <v>0.72916666666666663</v>
      </c>
      <c r="G312">
        <v>6</v>
      </c>
      <c r="H312" s="6">
        <f>FLOOR(tblPivotData[[#This Row],[Time]],Summary!$B$6/1440)</f>
        <v>0.72916666666666663</v>
      </c>
      <c r="I312" s="49">
        <f>INDEX(PeakCalc!$L$10:$L$303,MATCH(tblPivotData[[#This Row],[Time]],PeakCalc!$G$10:$G$303,0))</f>
        <v>0</v>
      </c>
    </row>
    <row r="313" spans="1:9" x14ac:dyDescent="0.25">
      <c r="A313" t="s">
        <v>94</v>
      </c>
      <c r="B313" t="s">
        <v>101</v>
      </c>
      <c r="C313" t="s">
        <v>95</v>
      </c>
      <c r="D313" t="s">
        <v>79</v>
      </c>
      <c r="E313" t="s">
        <v>44</v>
      </c>
      <c r="F313" s="6">
        <v>0.73958333333333337</v>
      </c>
      <c r="G313">
        <v>3</v>
      </c>
      <c r="H313" s="6">
        <f>FLOOR(tblPivotData[[#This Row],[Time]],Summary!$B$6/1440)</f>
        <v>0.73958333333333326</v>
      </c>
      <c r="I313" s="49">
        <f>INDEX(PeakCalc!$L$10:$L$303,MATCH(tblPivotData[[#This Row],[Time]],PeakCalc!$G$10:$G$303,0))</f>
        <v>0</v>
      </c>
    </row>
    <row r="314" spans="1:9" x14ac:dyDescent="0.25">
      <c r="A314" t="s">
        <v>94</v>
      </c>
      <c r="B314" t="s">
        <v>101</v>
      </c>
      <c r="C314" t="s">
        <v>95</v>
      </c>
      <c r="D314" t="s">
        <v>89</v>
      </c>
      <c r="E314" t="s">
        <v>43</v>
      </c>
      <c r="F314" s="6">
        <v>0.29166666666666669</v>
      </c>
      <c r="G314">
        <v>1</v>
      </c>
      <c r="H314" s="6">
        <f>FLOOR(tblPivotData[[#This Row],[Time]],Summary!$B$6/1440)</f>
        <v>0.29166666666666663</v>
      </c>
      <c r="I314" s="49">
        <f>INDEX(PeakCalc!$L$10:$L$303,MATCH(tblPivotData[[#This Row],[Time]],PeakCalc!$G$10:$G$303,0))</f>
        <v>0</v>
      </c>
    </row>
    <row r="315" spans="1:9" x14ac:dyDescent="0.25">
      <c r="A315" t="s">
        <v>94</v>
      </c>
      <c r="B315" t="s">
        <v>101</v>
      </c>
      <c r="C315" t="s">
        <v>95</v>
      </c>
      <c r="D315" t="s">
        <v>89</v>
      </c>
      <c r="E315" t="s">
        <v>43</v>
      </c>
      <c r="F315" s="6">
        <v>0.30208333333333331</v>
      </c>
      <c r="G315">
        <v>0</v>
      </c>
      <c r="H315" s="6">
        <f>FLOOR(tblPivotData[[#This Row],[Time]],Summary!$B$6/1440)</f>
        <v>0.30208333333333331</v>
      </c>
      <c r="I315" s="49">
        <f>INDEX(PeakCalc!$L$10:$L$303,MATCH(tblPivotData[[#This Row],[Time]],PeakCalc!$G$10:$G$303,0))</f>
        <v>0</v>
      </c>
    </row>
    <row r="316" spans="1:9" x14ac:dyDescent="0.25">
      <c r="A316" t="s">
        <v>94</v>
      </c>
      <c r="B316" t="s">
        <v>101</v>
      </c>
      <c r="C316" t="s">
        <v>95</v>
      </c>
      <c r="D316" t="s">
        <v>89</v>
      </c>
      <c r="E316" t="s">
        <v>43</v>
      </c>
      <c r="F316" s="6">
        <v>0.3125</v>
      </c>
      <c r="G316">
        <v>0</v>
      </c>
      <c r="H316" s="6">
        <f>FLOOR(tblPivotData[[#This Row],[Time]],Summary!$B$6/1440)</f>
        <v>0.3125</v>
      </c>
      <c r="I316" s="49">
        <f>INDEX(PeakCalc!$L$10:$L$303,MATCH(tblPivotData[[#This Row],[Time]],PeakCalc!$G$10:$G$303,0))</f>
        <v>0</v>
      </c>
    </row>
    <row r="317" spans="1:9" x14ac:dyDescent="0.25">
      <c r="A317" t="s">
        <v>94</v>
      </c>
      <c r="B317" t="s">
        <v>101</v>
      </c>
      <c r="C317" t="s">
        <v>95</v>
      </c>
      <c r="D317" t="s">
        <v>89</v>
      </c>
      <c r="E317" t="s">
        <v>43</v>
      </c>
      <c r="F317" s="6">
        <v>0.32291666666666669</v>
      </c>
      <c r="G317">
        <v>1</v>
      </c>
      <c r="H317" s="6">
        <f>FLOOR(tblPivotData[[#This Row],[Time]],Summary!$B$6/1440)</f>
        <v>0.32291666666666663</v>
      </c>
      <c r="I317" s="49">
        <f>INDEX(PeakCalc!$L$10:$L$303,MATCH(tblPivotData[[#This Row],[Time]],PeakCalc!$G$10:$G$303,0))</f>
        <v>0</v>
      </c>
    </row>
    <row r="318" spans="1:9" x14ac:dyDescent="0.25">
      <c r="A318" t="s">
        <v>94</v>
      </c>
      <c r="B318" t="s">
        <v>101</v>
      </c>
      <c r="C318" t="s">
        <v>95</v>
      </c>
      <c r="D318" t="s">
        <v>89</v>
      </c>
      <c r="E318" t="s">
        <v>43</v>
      </c>
      <c r="F318" s="6">
        <v>0.33333333333333331</v>
      </c>
      <c r="G318">
        <v>0</v>
      </c>
      <c r="H318" s="6">
        <f>FLOOR(tblPivotData[[#This Row],[Time]],Summary!$B$6/1440)</f>
        <v>0.33333333333333331</v>
      </c>
      <c r="I318" s="49">
        <f>INDEX(PeakCalc!$L$10:$L$303,MATCH(tblPivotData[[#This Row],[Time]],PeakCalc!$G$10:$G$303,0))</f>
        <v>1</v>
      </c>
    </row>
    <row r="319" spans="1:9" x14ac:dyDescent="0.25">
      <c r="A319" t="s">
        <v>94</v>
      </c>
      <c r="B319" t="s">
        <v>101</v>
      </c>
      <c r="C319" t="s">
        <v>95</v>
      </c>
      <c r="D319" t="s">
        <v>89</v>
      </c>
      <c r="E319" t="s">
        <v>43</v>
      </c>
      <c r="F319" s="6">
        <v>0.34375</v>
      </c>
      <c r="G319">
        <v>1</v>
      </c>
      <c r="H319" s="6">
        <f>FLOOR(tblPivotData[[#This Row],[Time]],Summary!$B$6/1440)</f>
        <v>0.34375</v>
      </c>
      <c r="I319" s="49">
        <f>INDEX(PeakCalc!$L$10:$L$303,MATCH(tblPivotData[[#This Row],[Time]],PeakCalc!$G$10:$G$303,0))</f>
        <v>1</v>
      </c>
    </row>
    <row r="320" spans="1:9" x14ac:dyDescent="0.25">
      <c r="A320" t="s">
        <v>94</v>
      </c>
      <c r="B320" t="s">
        <v>101</v>
      </c>
      <c r="C320" t="s">
        <v>95</v>
      </c>
      <c r="D320" t="s">
        <v>89</v>
      </c>
      <c r="E320" t="s">
        <v>43</v>
      </c>
      <c r="F320" s="6">
        <v>0.35416666666666669</v>
      </c>
      <c r="G320">
        <v>1</v>
      </c>
      <c r="H320" s="6">
        <f>FLOOR(tblPivotData[[#This Row],[Time]],Summary!$B$6/1440)</f>
        <v>0.35416666666666663</v>
      </c>
      <c r="I320" s="49">
        <f>INDEX(PeakCalc!$L$10:$L$303,MATCH(tblPivotData[[#This Row],[Time]],PeakCalc!$G$10:$G$303,0))</f>
        <v>1</v>
      </c>
    </row>
    <row r="321" spans="1:9" x14ac:dyDescent="0.25">
      <c r="A321" t="s">
        <v>94</v>
      </c>
      <c r="B321" t="s">
        <v>101</v>
      </c>
      <c r="C321" t="s">
        <v>95</v>
      </c>
      <c r="D321" t="s">
        <v>89</v>
      </c>
      <c r="E321" t="s">
        <v>43</v>
      </c>
      <c r="F321" s="6">
        <v>0.36458333333333331</v>
      </c>
      <c r="G321">
        <v>0</v>
      </c>
      <c r="H321" s="6">
        <f>FLOOR(tblPivotData[[#This Row],[Time]],Summary!$B$6/1440)</f>
        <v>0.36458333333333331</v>
      </c>
      <c r="I321" s="49">
        <f>INDEX(PeakCalc!$L$10:$L$303,MATCH(tblPivotData[[#This Row],[Time]],PeakCalc!$G$10:$G$303,0))</f>
        <v>1</v>
      </c>
    </row>
    <row r="322" spans="1:9" x14ac:dyDescent="0.25">
      <c r="A322" t="s">
        <v>94</v>
      </c>
      <c r="B322" t="s">
        <v>101</v>
      </c>
      <c r="C322" t="s">
        <v>95</v>
      </c>
      <c r="D322" t="s">
        <v>89</v>
      </c>
      <c r="E322" t="s">
        <v>91</v>
      </c>
      <c r="F322" s="6">
        <v>0.5625</v>
      </c>
      <c r="G322">
        <v>0</v>
      </c>
      <c r="H322" s="6">
        <f>FLOOR(tblPivotData[[#This Row],[Time]],Summary!$B$6/1440)</f>
        <v>0.5625</v>
      </c>
      <c r="I322" s="49">
        <f>INDEX(PeakCalc!$L$10:$L$303,MATCH(tblPivotData[[#This Row],[Time]],PeakCalc!$G$10:$G$303,0))</f>
        <v>0</v>
      </c>
    </row>
    <row r="323" spans="1:9" x14ac:dyDescent="0.25">
      <c r="A323" t="s">
        <v>94</v>
      </c>
      <c r="B323" t="s">
        <v>101</v>
      </c>
      <c r="C323" t="s">
        <v>95</v>
      </c>
      <c r="D323" t="s">
        <v>89</v>
      </c>
      <c r="E323" t="s">
        <v>91</v>
      </c>
      <c r="F323" s="6">
        <v>0.57291666666666663</v>
      </c>
      <c r="G323">
        <v>2</v>
      </c>
      <c r="H323" s="6">
        <f>FLOOR(tblPivotData[[#This Row],[Time]],Summary!$B$6/1440)</f>
        <v>0.57291666666666663</v>
      </c>
      <c r="I323" s="49">
        <f>INDEX(PeakCalc!$L$10:$L$303,MATCH(tblPivotData[[#This Row],[Time]],PeakCalc!$G$10:$G$303,0))</f>
        <v>0</v>
      </c>
    </row>
    <row r="324" spans="1:9" x14ac:dyDescent="0.25">
      <c r="A324" t="s">
        <v>94</v>
      </c>
      <c r="B324" t="s">
        <v>101</v>
      </c>
      <c r="C324" t="s">
        <v>95</v>
      </c>
      <c r="D324" t="s">
        <v>89</v>
      </c>
      <c r="E324" t="s">
        <v>91</v>
      </c>
      <c r="F324" s="6">
        <v>0.58333333333333337</v>
      </c>
      <c r="G324">
        <v>0</v>
      </c>
      <c r="H324" s="6">
        <f>FLOOR(tblPivotData[[#This Row],[Time]],Summary!$B$6/1440)</f>
        <v>0.58333333333333326</v>
      </c>
      <c r="I324" s="49">
        <f>INDEX(PeakCalc!$L$10:$L$303,MATCH(tblPivotData[[#This Row],[Time]],PeakCalc!$G$10:$G$303,0))</f>
        <v>0</v>
      </c>
    </row>
    <row r="325" spans="1:9" x14ac:dyDescent="0.25">
      <c r="A325" t="s">
        <v>94</v>
      </c>
      <c r="B325" t="s">
        <v>101</v>
      </c>
      <c r="C325" t="s">
        <v>95</v>
      </c>
      <c r="D325" t="s">
        <v>89</v>
      </c>
      <c r="E325" t="s">
        <v>91</v>
      </c>
      <c r="F325" s="6">
        <v>0.59375</v>
      </c>
      <c r="G325">
        <v>0</v>
      </c>
      <c r="H325" s="6">
        <f>FLOOR(tblPivotData[[#This Row],[Time]],Summary!$B$6/1440)</f>
        <v>0.59375</v>
      </c>
      <c r="I325" s="49">
        <f>INDEX(PeakCalc!$L$10:$L$303,MATCH(tblPivotData[[#This Row],[Time]],PeakCalc!$G$10:$G$303,0))</f>
        <v>0</v>
      </c>
    </row>
    <row r="326" spans="1:9" x14ac:dyDescent="0.25">
      <c r="A326" t="s">
        <v>94</v>
      </c>
      <c r="B326" t="s">
        <v>101</v>
      </c>
      <c r="C326" t="s">
        <v>95</v>
      </c>
      <c r="D326" t="s">
        <v>89</v>
      </c>
      <c r="E326" t="s">
        <v>91</v>
      </c>
      <c r="F326" s="6">
        <v>0.60416666666666663</v>
      </c>
      <c r="G326">
        <v>0</v>
      </c>
      <c r="H326" s="6">
        <f>FLOOR(tblPivotData[[#This Row],[Time]],Summary!$B$6/1440)</f>
        <v>0.60416666666666663</v>
      </c>
      <c r="I326" s="49">
        <f>INDEX(PeakCalc!$L$10:$L$303,MATCH(tblPivotData[[#This Row],[Time]],PeakCalc!$G$10:$G$303,0))</f>
        <v>1</v>
      </c>
    </row>
    <row r="327" spans="1:9" x14ac:dyDescent="0.25">
      <c r="A327" t="s">
        <v>94</v>
      </c>
      <c r="B327" t="s">
        <v>101</v>
      </c>
      <c r="C327" t="s">
        <v>95</v>
      </c>
      <c r="D327" t="s">
        <v>89</v>
      </c>
      <c r="E327" t="s">
        <v>91</v>
      </c>
      <c r="F327" s="6">
        <v>0.61458333333333337</v>
      </c>
      <c r="G327">
        <v>1</v>
      </c>
      <c r="H327" s="6">
        <f>FLOOR(tblPivotData[[#This Row],[Time]],Summary!$B$6/1440)</f>
        <v>0.61458333333333326</v>
      </c>
      <c r="I327" s="49">
        <f>INDEX(PeakCalc!$L$10:$L$303,MATCH(tblPivotData[[#This Row],[Time]],PeakCalc!$G$10:$G$303,0))</f>
        <v>1</v>
      </c>
    </row>
    <row r="328" spans="1:9" x14ac:dyDescent="0.25">
      <c r="A328" t="s">
        <v>94</v>
      </c>
      <c r="B328" t="s">
        <v>101</v>
      </c>
      <c r="C328" t="s">
        <v>95</v>
      </c>
      <c r="D328" t="s">
        <v>89</v>
      </c>
      <c r="E328" t="s">
        <v>91</v>
      </c>
      <c r="F328" s="6">
        <v>0.625</v>
      </c>
      <c r="G328">
        <v>1</v>
      </c>
      <c r="H328" s="6">
        <f>FLOOR(tblPivotData[[#This Row],[Time]],Summary!$B$6/1440)</f>
        <v>0.625</v>
      </c>
      <c r="I328" s="49">
        <f>INDEX(PeakCalc!$L$10:$L$303,MATCH(tblPivotData[[#This Row],[Time]],PeakCalc!$G$10:$G$303,0))</f>
        <v>1</v>
      </c>
    </row>
    <row r="329" spans="1:9" x14ac:dyDescent="0.25">
      <c r="A329" t="s">
        <v>94</v>
      </c>
      <c r="B329" t="s">
        <v>101</v>
      </c>
      <c r="C329" t="s">
        <v>95</v>
      </c>
      <c r="D329" t="s">
        <v>89</v>
      </c>
      <c r="E329" t="s">
        <v>91</v>
      </c>
      <c r="F329" s="6">
        <v>0.63541666666666663</v>
      </c>
      <c r="G329">
        <v>0</v>
      </c>
      <c r="H329" s="6">
        <f>FLOOR(tblPivotData[[#This Row],[Time]],Summary!$B$6/1440)</f>
        <v>0.63541666666666663</v>
      </c>
      <c r="I329" s="49">
        <f>INDEX(PeakCalc!$L$10:$L$303,MATCH(tblPivotData[[#This Row],[Time]],PeakCalc!$G$10:$G$303,0))</f>
        <v>1</v>
      </c>
    </row>
    <row r="330" spans="1:9" x14ac:dyDescent="0.25">
      <c r="A330" t="s">
        <v>94</v>
      </c>
      <c r="B330" t="s">
        <v>101</v>
      </c>
      <c r="C330" t="s">
        <v>95</v>
      </c>
      <c r="D330" t="s">
        <v>89</v>
      </c>
      <c r="E330" t="s">
        <v>44</v>
      </c>
      <c r="F330" s="6">
        <v>0.66666666666666663</v>
      </c>
      <c r="G330">
        <v>0</v>
      </c>
      <c r="H330" s="6">
        <f>FLOOR(tblPivotData[[#This Row],[Time]],Summary!$B$6/1440)</f>
        <v>0.66666666666666663</v>
      </c>
      <c r="I330" s="49">
        <f>INDEX(PeakCalc!$L$10:$L$303,MATCH(tblPivotData[[#This Row],[Time]],PeakCalc!$G$10:$G$303,0))</f>
        <v>0</v>
      </c>
    </row>
    <row r="331" spans="1:9" x14ac:dyDescent="0.25">
      <c r="A331" t="s">
        <v>94</v>
      </c>
      <c r="B331" t="s">
        <v>101</v>
      </c>
      <c r="C331" t="s">
        <v>95</v>
      </c>
      <c r="D331" t="s">
        <v>89</v>
      </c>
      <c r="E331" t="s">
        <v>44</v>
      </c>
      <c r="F331" s="6">
        <v>0.67708333333333337</v>
      </c>
      <c r="G331">
        <v>1</v>
      </c>
      <c r="H331" s="6">
        <f>FLOOR(tblPivotData[[#This Row],[Time]],Summary!$B$6/1440)</f>
        <v>0.67708333333333326</v>
      </c>
      <c r="I331" s="49">
        <f>INDEX(PeakCalc!$L$10:$L$303,MATCH(tblPivotData[[#This Row],[Time]],PeakCalc!$G$10:$G$303,0))</f>
        <v>0</v>
      </c>
    </row>
    <row r="332" spans="1:9" x14ac:dyDescent="0.25">
      <c r="A332" t="s">
        <v>94</v>
      </c>
      <c r="B332" t="s">
        <v>101</v>
      </c>
      <c r="C332" t="s">
        <v>95</v>
      </c>
      <c r="D332" t="s">
        <v>89</v>
      </c>
      <c r="E332" t="s">
        <v>44</v>
      </c>
      <c r="F332" s="6">
        <v>0.6875</v>
      </c>
      <c r="G332">
        <v>0</v>
      </c>
      <c r="H332" s="6">
        <f>FLOOR(tblPivotData[[#This Row],[Time]],Summary!$B$6/1440)</f>
        <v>0.6875</v>
      </c>
      <c r="I332" s="49">
        <f>INDEX(PeakCalc!$L$10:$L$303,MATCH(tblPivotData[[#This Row],[Time]],PeakCalc!$G$10:$G$303,0))</f>
        <v>1</v>
      </c>
    </row>
    <row r="333" spans="1:9" x14ac:dyDescent="0.25">
      <c r="A333" t="s">
        <v>94</v>
      </c>
      <c r="B333" t="s">
        <v>101</v>
      </c>
      <c r="C333" t="s">
        <v>95</v>
      </c>
      <c r="D333" t="s">
        <v>89</v>
      </c>
      <c r="E333" t="s">
        <v>44</v>
      </c>
      <c r="F333" s="6">
        <v>0.69791666666666663</v>
      </c>
      <c r="G333">
        <v>0</v>
      </c>
      <c r="H333" s="6">
        <f>FLOOR(tblPivotData[[#This Row],[Time]],Summary!$B$6/1440)</f>
        <v>0.69791666666666663</v>
      </c>
      <c r="I333" s="49">
        <f>INDEX(PeakCalc!$L$10:$L$303,MATCH(tblPivotData[[#This Row],[Time]],PeakCalc!$G$10:$G$303,0))</f>
        <v>1</v>
      </c>
    </row>
    <row r="334" spans="1:9" x14ac:dyDescent="0.25">
      <c r="A334" t="s">
        <v>94</v>
      </c>
      <c r="B334" t="s">
        <v>101</v>
      </c>
      <c r="C334" t="s">
        <v>95</v>
      </c>
      <c r="D334" t="s">
        <v>89</v>
      </c>
      <c r="E334" t="s">
        <v>44</v>
      </c>
      <c r="F334" s="6">
        <v>0.70833333333333337</v>
      </c>
      <c r="G334">
        <v>1</v>
      </c>
      <c r="H334" s="6">
        <f>FLOOR(tblPivotData[[#This Row],[Time]],Summary!$B$6/1440)</f>
        <v>0.70833333333333326</v>
      </c>
      <c r="I334" s="49">
        <f>INDEX(PeakCalc!$L$10:$L$303,MATCH(tblPivotData[[#This Row],[Time]],PeakCalc!$G$10:$G$303,0))</f>
        <v>1</v>
      </c>
    </row>
    <row r="335" spans="1:9" x14ac:dyDescent="0.25">
      <c r="A335" t="s">
        <v>94</v>
      </c>
      <c r="B335" t="s">
        <v>101</v>
      </c>
      <c r="C335" t="s">
        <v>95</v>
      </c>
      <c r="D335" t="s">
        <v>89</v>
      </c>
      <c r="E335" t="s">
        <v>44</v>
      </c>
      <c r="F335" s="6">
        <v>0.71875</v>
      </c>
      <c r="G335">
        <v>0</v>
      </c>
      <c r="H335" s="6">
        <f>FLOOR(tblPivotData[[#This Row],[Time]],Summary!$B$6/1440)</f>
        <v>0.71875</v>
      </c>
      <c r="I335" s="49">
        <f>INDEX(PeakCalc!$L$10:$L$303,MATCH(tblPivotData[[#This Row],[Time]],PeakCalc!$G$10:$G$303,0))</f>
        <v>1</v>
      </c>
    </row>
    <row r="336" spans="1:9" x14ac:dyDescent="0.25">
      <c r="A336" t="s">
        <v>94</v>
      </c>
      <c r="B336" t="s">
        <v>101</v>
      </c>
      <c r="C336" t="s">
        <v>95</v>
      </c>
      <c r="D336" t="s">
        <v>89</v>
      </c>
      <c r="E336" t="s">
        <v>44</v>
      </c>
      <c r="F336" s="6">
        <v>0.72916666666666663</v>
      </c>
      <c r="G336">
        <v>0</v>
      </c>
      <c r="H336" s="6">
        <f>FLOOR(tblPivotData[[#This Row],[Time]],Summary!$B$6/1440)</f>
        <v>0.72916666666666663</v>
      </c>
      <c r="I336" s="49">
        <f>INDEX(PeakCalc!$L$10:$L$303,MATCH(tblPivotData[[#This Row],[Time]],PeakCalc!$G$10:$G$303,0))</f>
        <v>0</v>
      </c>
    </row>
    <row r="337" spans="1:9" x14ac:dyDescent="0.25">
      <c r="A337" t="s">
        <v>94</v>
      </c>
      <c r="B337" t="s">
        <v>101</v>
      </c>
      <c r="C337" t="s">
        <v>95</v>
      </c>
      <c r="D337" t="s">
        <v>89</v>
      </c>
      <c r="E337" t="s">
        <v>44</v>
      </c>
      <c r="F337" s="6">
        <v>0.73958333333333337</v>
      </c>
      <c r="G337">
        <v>0</v>
      </c>
      <c r="H337" s="6">
        <f>FLOOR(tblPivotData[[#This Row],[Time]],Summary!$B$6/1440)</f>
        <v>0.73958333333333326</v>
      </c>
      <c r="I337" s="49">
        <f>INDEX(PeakCalc!$L$10:$L$303,MATCH(tblPivotData[[#This Row],[Time]],PeakCalc!$G$10:$G$303,0))</f>
        <v>0</v>
      </c>
    </row>
    <row r="338" spans="1:9" x14ac:dyDescent="0.25">
      <c r="A338" t="s">
        <v>94</v>
      </c>
      <c r="B338" t="s">
        <v>101</v>
      </c>
      <c r="C338" t="s">
        <v>95</v>
      </c>
      <c r="D338" t="s">
        <v>90</v>
      </c>
      <c r="E338" t="s">
        <v>43</v>
      </c>
      <c r="F338" s="6">
        <v>0.29166666666666669</v>
      </c>
      <c r="G338">
        <v>0</v>
      </c>
      <c r="H338" s="6">
        <f>FLOOR(tblPivotData[[#This Row],[Time]],Summary!$B$6/1440)</f>
        <v>0.29166666666666663</v>
      </c>
      <c r="I338" s="49">
        <f>INDEX(PeakCalc!$L$10:$L$303,MATCH(tblPivotData[[#This Row],[Time]],PeakCalc!$G$10:$G$303,0))</f>
        <v>0</v>
      </c>
    </row>
    <row r="339" spans="1:9" x14ac:dyDescent="0.25">
      <c r="A339" t="s">
        <v>94</v>
      </c>
      <c r="B339" t="s">
        <v>101</v>
      </c>
      <c r="C339" t="s">
        <v>95</v>
      </c>
      <c r="D339" t="s">
        <v>90</v>
      </c>
      <c r="E339" t="s">
        <v>43</v>
      </c>
      <c r="F339" s="6">
        <v>0.30208333333333331</v>
      </c>
      <c r="G339">
        <v>0</v>
      </c>
      <c r="H339" s="6">
        <f>FLOOR(tblPivotData[[#This Row],[Time]],Summary!$B$6/1440)</f>
        <v>0.30208333333333331</v>
      </c>
      <c r="I339" s="49">
        <f>INDEX(PeakCalc!$L$10:$L$303,MATCH(tblPivotData[[#This Row],[Time]],PeakCalc!$G$10:$G$303,0))</f>
        <v>0</v>
      </c>
    </row>
    <row r="340" spans="1:9" x14ac:dyDescent="0.25">
      <c r="A340" t="s">
        <v>94</v>
      </c>
      <c r="B340" t="s">
        <v>101</v>
      </c>
      <c r="C340" t="s">
        <v>95</v>
      </c>
      <c r="D340" t="s">
        <v>90</v>
      </c>
      <c r="E340" t="s">
        <v>43</v>
      </c>
      <c r="F340" s="6">
        <v>0.3125</v>
      </c>
      <c r="G340">
        <v>0</v>
      </c>
      <c r="H340" s="6">
        <f>FLOOR(tblPivotData[[#This Row],[Time]],Summary!$B$6/1440)</f>
        <v>0.3125</v>
      </c>
      <c r="I340" s="49">
        <f>INDEX(PeakCalc!$L$10:$L$303,MATCH(tblPivotData[[#This Row],[Time]],PeakCalc!$G$10:$G$303,0))</f>
        <v>0</v>
      </c>
    </row>
    <row r="341" spans="1:9" x14ac:dyDescent="0.25">
      <c r="A341" t="s">
        <v>94</v>
      </c>
      <c r="B341" t="s">
        <v>101</v>
      </c>
      <c r="C341" t="s">
        <v>95</v>
      </c>
      <c r="D341" t="s">
        <v>90</v>
      </c>
      <c r="E341" t="s">
        <v>43</v>
      </c>
      <c r="F341" s="6">
        <v>0.32291666666666669</v>
      </c>
      <c r="G341">
        <v>1</v>
      </c>
      <c r="H341" s="6">
        <f>FLOOR(tblPivotData[[#This Row],[Time]],Summary!$B$6/1440)</f>
        <v>0.32291666666666663</v>
      </c>
      <c r="I341" s="49">
        <f>INDEX(PeakCalc!$L$10:$L$303,MATCH(tblPivotData[[#This Row],[Time]],PeakCalc!$G$10:$G$303,0))</f>
        <v>0</v>
      </c>
    </row>
    <row r="342" spans="1:9" x14ac:dyDescent="0.25">
      <c r="A342" t="s">
        <v>94</v>
      </c>
      <c r="B342" t="s">
        <v>101</v>
      </c>
      <c r="C342" t="s">
        <v>95</v>
      </c>
      <c r="D342" t="s">
        <v>90</v>
      </c>
      <c r="E342" t="s">
        <v>43</v>
      </c>
      <c r="F342" s="6">
        <v>0.33333333333333331</v>
      </c>
      <c r="G342">
        <v>0</v>
      </c>
      <c r="H342" s="6">
        <f>FLOOR(tblPivotData[[#This Row],[Time]],Summary!$B$6/1440)</f>
        <v>0.33333333333333331</v>
      </c>
      <c r="I342" s="49">
        <f>INDEX(PeakCalc!$L$10:$L$303,MATCH(tblPivotData[[#This Row],[Time]],PeakCalc!$G$10:$G$303,0))</f>
        <v>1</v>
      </c>
    </row>
    <row r="343" spans="1:9" x14ac:dyDescent="0.25">
      <c r="A343" t="s">
        <v>94</v>
      </c>
      <c r="B343" t="s">
        <v>101</v>
      </c>
      <c r="C343" t="s">
        <v>95</v>
      </c>
      <c r="D343" t="s">
        <v>90</v>
      </c>
      <c r="E343" t="s">
        <v>43</v>
      </c>
      <c r="F343" s="6">
        <v>0.34375</v>
      </c>
      <c r="G343">
        <v>0</v>
      </c>
      <c r="H343" s="6">
        <f>FLOOR(tblPivotData[[#This Row],[Time]],Summary!$B$6/1440)</f>
        <v>0.34375</v>
      </c>
      <c r="I343" s="49">
        <f>INDEX(PeakCalc!$L$10:$L$303,MATCH(tblPivotData[[#This Row],[Time]],PeakCalc!$G$10:$G$303,0))</f>
        <v>1</v>
      </c>
    </row>
    <row r="344" spans="1:9" x14ac:dyDescent="0.25">
      <c r="A344" t="s">
        <v>94</v>
      </c>
      <c r="B344" t="s">
        <v>101</v>
      </c>
      <c r="C344" t="s">
        <v>95</v>
      </c>
      <c r="D344" t="s">
        <v>90</v>
      </c>
      <c r="E344" t="s">
        <v>43</v>
      </c>
      <c r="F344" s="6">
        <v>0.35416666666666669</v>
      </c>
      <c r="G344">
        <v>0</v>
      </c>
      <c r="H344" s="6">
        <f>FLOOR(tblPivotData[[#This Row],[Time]],Summary!$B$6/1440)</f>
        <v>0.35416666666666663</v>
      </c>
      <c r="I344" s="49">
        <f>INDEX(PeakCalc!$L$10:$L$303,MATCH(tblPivotData[[#This Row],[Time]],PeakCalc!$G$10:$G$303,0))</f>
        <v>1</v>
      </c>
    </row>
    <row r="345" spans="1:9" x14ac:dyDescent="0.25">
      <c r="A345" t="s">
        <v>94</v>
      </c>
      <c r="B345" t="s">
        <v>101</v>
      </c>
      <c r="C345" t="s">
        <v>95</v>
      </c>
      <c r="D345" t="s">
        <v>90</v>
      </c>
      <c r="E345" t="s">
        <v>43</v>
      </c>
      <c r="F345" s="6">
        <v>0.36458333333333331</v>
      </c>
      <c r="G345">
        <v>0</v>
      </c>
      <c r="H345" s="6">
        <f>FLOOR(tblPivotData[[#This Row],[Time]],Summary!$B$6/1440)</f>
        <v>0.36458333333333331</v>
      </c>
      <c r="I345" s="49">
        <f>INDEX(PeakCalc!$L$10:$L$303,MATCH(tblPivotData[[#This Row],[Time]],PeakCalc!$G$10:$G$303,0))</f>
        <v>1</v>
      </c>
    </row>
    <row r="346" spans="1:9" x14ac:dyDescent="0.25">
      <c r="A346" t="s">
        <v>94</v>
      </c>
      <c r="B346" t="s">
        <v>101</v>
      </c>
      <c r="C346" t="s">
        <v>95</v>
      </c>
      <c r="D346" t="s">
        <v>90</v>
      </c>
      <c r="E346" t="s">
        <v>91</v>
      </c>
      <c r="F346" s="6">
        <v>0.5625</v>
      </c>
      <c r="G346">
        <v>0</v>
      </c>
      <c r="H346" s="6">
        <f>FLOOR(tblPivotData[[#This Row],[Time]],Summary!$B$6/1440)</f>
        <v>0.5625</v>
      </c>
      <c r="I346" s="49">
        <f>INDEX(PeakCalc!$L$10:$L$303,MATCH(tblPivotData[[#This Row],[Time]],PeakCalc!$G$10:$G$303,0))</f>
        <v>0</v>
      </c>
    </row>
    <row r="347" spans="1:9" x14ac:dyDescent="0.25">
      <c r="A347" t="s">
        <v>94</v>
      </c>
      <c r="B347" t="s">
        <v>101</v>
      </c>
      <c r="C347" t="s">
        <v>95</v>
      </c>
      <c r="D347" t="s">
        <v>90</v>
      </c>
      <c r="E347" t="s">
        <v>91</v>
      </c>
      <c r="F347" s="6">
        <v>0.57291666666666663</v>
      </c>
      <c r="G347">
        <v>0</v>
      </c>
      <c r="H347" s="6">
        <f>FLOOR(tblPivotData[[#This Row],[Time]],Summary!$B$6/1440)</f>
        <v>0.57291666666666663</v>
      </c>
      <c r="I347" s="49">
        <f>INDEX(PeakCalc!$L$10:$L$303,MATCH(tblPivotData[[#This Row],[Time]],PeakCalc!$G$10:$G$303,0))</f>
        <v>0</v>
      </c>
    </row>
    <row r="348" spans="1:9" x14ac:dyDescent="0.25">
      <c r="A348" t="s">
        <v>94</v>
      </c>
      <c r="B348" t="s">
        <v>101</v>
      </c>
      <c r="C348" t="s">
        <v>95</v>
      </c>
      <c r="D348" t="s">
        <v>90</v>
      </c>
      <c r="E348" t="s">
        <v>91</v>
      </c>
      <c r="F348" s="6">
        <v>0.58333333333333337</v>
      </c>
      <c r="G348">
        <v>0</v>
      </c>
      <c r="H348" s="6">
        <f>FLOOR(tblPivotData[[#This Row],[Time]],Summary!$B$6/1440)</f>
        <v>0.58333333333333326</v>
      </c>
      <c r="I348" s="49">
        <f>INDEX(PeakCalc!$L$10:$L$303,MATCH(tblPivotData[[#This Row],[Time]],PeakCalc!$G$10:$G$303,0))</f>
        <v>0</v>
      </c>
    </row>
    <row r="349" spans="1:9" x14ac:dyDescent="0.25">
      <c r="A349" t="s">
        <v>94</v>
      </c>
      <c r="B349" t="s">
        <v>101</v>
      </c>
      <c r="C349" t="s">
        <v>95</v>
      </c>
      <c r="D349" t="s">
        <v>90</v>
      </c>
      <c r="E349" t="s">
        <v>91</v>
      </c>
      <c r="F349" s="6">
        <v>0.59375</v>
      </c>
      <c r="G349">
        <v>0</v>
      </c>
      <c r="H349" s="6">
        <f>FLOOR(tblPivotData[[#This Row],[Time]],Summary!$B$6/1440)</f>
        <v>0.59375</v>
      </c>
      <c r="I349" s="49">
        <f>INDEX(PeakCalc!$L$10:$L$303,MATCH(tblPivotData[[#This Row],[Time]],PeakCalc!$G$10:$G$303,0))</f>
        <v>0</v>
      </c>
    </row>
    <row r="350" spans="1:9" x14ac:dyDescent="0.25">
      <c r="A350" t="s">
        <v>94</v>
      </c>
      <c r="B350" t="s">
        <v>101</v>
      </c>
      <c r="C350" t="s">
        <v>95</v>
      </c>
      <c r="D350" t="s">
        <v>90</v>
      </c>
      <c r="E350" t="s">
        <v>91</v>
      </c>
      <c r="F350" s="6">
        <v>0.60416666666666663</v>
      </c>
      <c r="G350">
        <v>0</v>
      </c>
      <c r="H350" s="6">
        <f>FLOOR(tblPivotData[[#This Row],[Time]],Summary!$B$6/1440)</f>
        <v>0.60416666666666663</v>
      </c>
      <c r="I350" s="49">
        <f>INDEX(PeakCalc!$L$10:$L$303,MATCH(tblPivotData[[#This Row],[Time]],PeakCalc!$G$10:$G$303,0))</f>
        <v>1</v>
      </c>
    </row>
    <row r="351" spans="1:9" x14ac:dyDescent="0.25">
      <c r="A351" t="s">
        <v>94</v>
      </c>
      <c r="B351" t="s">
        <v>101</v>
      </c>
      <c r="C351" t="s">
        <v>95</v>
      </c>
      <c r="D351" t="s">
        <v>90</v>
      </c>
      <c r="E351" t="s">
        <v>91</v>
      </c>
      <c r="F351" s="6">
        <v>0.61458333333333337</v>
      </c>
      <c r="G351">
        <v>0</v>
      </c>
      <c r="H351" s="6">
        <f>FLOOR(tblPivotData[[#This Row],[Time]],Summary!$B$6/1440)</f>
        <v>0.61458333333333326</v>
      </c>
      <c r="I351" s="49">
        <f>INDEX(PeakCalc!$L$10:$L$303,MATCH(tblPivotData[[#This Row],[Time]],PeakCalc!$G$10:$G$303,0))</f>
        <v>1</v>
      </c>
    </row>
    <row r="352" spans="1:9" x14ac:dyDescent="0.25">
      <c r="A352" t="s">
        <v>94</v>
      </c>
      <c r="B352" t="s">
        <v>101</v>
      </c>
      <c r="C352" t="s">
        <v>95</v>
      </c>
      <c r="D352" t="s">
        <v>90</v>
      </c>
      <c r="E352" t="s">
        <v>91</v>
      </c>
      <c r="F352" s="6">
        <v>0.625</v>
      </c>
      <c r="G352">
        <v>0</v>
      </c>
      <c r="H352" s="6">
        <f>FLOOR(tblPivotData[[#This Row],[Time]],Summary!$B$6/1440)</f>
        <v>0.625</v>
      </c>
      <c r="I352" s="49">
        <f>INDEX(PeakCalc!$L$10:$L$303,MATCH(tblPivotData[[#This Row],[Time]],PeakCalc!$G$10:$G$303,0))</f>
        <v>1</v>
      </c>
    </row>
    <row r="353" spans="1:9" x14ac:dyDescent="0.25">
      <c r="A353" t="s">
        <v>94</v>
      </c>
      <c r="B353" t="s">
        <v>101</v>
      </c>
      <c r="C353" t="s">
        <v>95</v>
      </c>
      <c r="D353" t="s">
        <v>90</v>
      </c>
      <c r="E353" t="s">
        <v>91</v>
      </c>
      <c r="F353" s="6">
        <v>0.63541666666666663</v>
      </c>
      <c r="G353">
        <v>0</v>
      </c>
      <c r="H353" s="6">
        <f>FLOOR(tblPivotData[[#This Row],[Time]],Summary!$B$6/1440)</f>
        <v>0.63541666666666663</v>
      </c>
      <c r="I353" s="49">
        <f>INDEX(PeakCalc!$L$10:$L$303,MATCH(tblPivotData[[#This Row],[Time]],PeakCalc!$G$10:$G$303,0))</f>
        <v>1</v>
      </c>
    </row>
    <row r="354" spans="1:9" x14ac:dyDescent="0.25">
      <c r="A354" t="s">
        <v>94</v>
      </c>
      <c r="B354" t="s">
        <v>101</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101</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95</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101</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95</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94</v>
      </c>
      <c r="B362" t="s">
        <v>102</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94</v>
      </c>
      <c r="B363" t="s">
        <v>102</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102</v>
      </c>
      <c r="C364" t="s">
        <v>96</v>
      </c>
      <c r="D364" t="s">
        <v>79</v>
      </c>
      <c r="E364" t="s">
        <v>43</v>
      </c>
      <c r="F364" s="6">
        <v>0.3125</v>
      </c>
      <c r="G364">
        <v>2</v>
      </c>
      <c r="H364" s="6">
        <f>FLOOR(tblPivotData[[#This Row],[Time]],Summary!$B$6/1440)</f>
        <v>0.3125</v>
      </c>
      <c r="I364" s="49">
        <f>INDEX(PeakCalc!$L$10:$L$303,MATCH(tblPivotData[[#This Row],[Time]],PeakCalc!$G$10:$G$303,0))</f>
        <v>0</v>
      </c>
    </row>
    <row r="365" spans="1:9" x14ac:dyDescent="0.25">
      <c r="A365" t="s">
        <v>94</v>
      </c>
      <c r="B365" t="s">
        <v>102</v>
      </c>
      <c r="C365" t="s">
        <v>96</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94</v>
      </c>
      <c r="B366" t="s">
        <v>102</v>
      </c>
      <c r="C366" t="s">
        <v>96</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94</v>
      </c>
      <c r="B367" t="s">
        <v>102</v>
      </c>
      <c r="C367" t="s">
        <v>96</v>
      </c>
      <c r="D367" t="s">
        <v>79</v>
      </c>
      <c r="E367" t="s">
        <v>43</v>
      </c>
      <c r="F367" s="6">
        <v>0.34375</v>
      </c>
      <c r="G367">
        <v>2</v>
      </c>
      <c r="H367" s="6">
        <f>FLOOR(tblPivotData[[#This Row],[Time]],Summary!$B$6/1440)</f>
        <v>0.34375</v>
      </c>
      <c r="I367" s="49">
        <f>INDEX(PeakCalc!$L$10:$L$303,MATCH(tblPivotData[[#This Row],[Time]],PeakCalc!$G$10:$G$303,0))</f>
        <v>1</v>
      </c>
    </row>
    <row r="368" spans="1:9" x14ac:dyDescent="0.25">
      <c r="A368" t="s">
        <v>94</v>
      </c>
      <c r="B368" t="s">
        <v>102</v>
      </c>
      <c r="C368" t="s">
        <v>96</v>
      </c>
      <c r="D368" t="s">
        <v>79</v>
      </c>
      <c r="E368" t="s">
        <v>43</v>
      </c>
      <c r="F368" s="6">
        <v>0.35416666666666669</v>
      </c>
      <c r="G368">
        <v>5</v>
      </c>
      <c r="H368" s="6">
        <f>FLOOR(tblPivotData[[#This Row],[Time]],Summary!$B$6/1440)</f>
        <v>0.35416666666666663</v>
      </c>
      <c r="I368" s="49">
        <f>INDEX(PeakCalc!$L$10:$L$303,MATCH(tblPivotData[[#This Row],[Time]],PeakCalc!$G$10:$G$303,0))</f>
        <v>1</v>
      </c>
    </row>
    <row r="369" spans="1:9" x14ac:dyDescent="0.25">
      <c r="A369" t="s">
        <v>94</v>
      </c>
      <c r="B369" t="s">
        <v>102</v>
      </c>
      <c r="C369" t="s">
        <v>96</v>
      </c>
      <c r="D369" t="s">
        <v>79</v>
      </c>
      <c r="E369" t="s">
        <v>43</v>
      </c>
      <c r="F369" s="6">
        <v>0.36458333333333331</v>
      </c>
      <c r="G369">
        <v>2</v>
      </c>
      <c r="H369" s="6">
        <f>FLOOR(tblPivotData[[#This Row],[Time]],Summary!$B$6/1440)</f>
        <v>0.36458333333333331</v>
      </c>
      <c r="I369" s="49">
        <f>INDEX(PeakCalc!$L$10:$L$303,MATCH(tblPivotData[[#This Row],[Time]],PeakCalc!$G$10:$G$303,0))</f>
        <v>1</v>
      </c>
    </row>
    <row r="370" spans="1:9" x14ac:dyDescent="0.25">
      <c r="A370" t="s">
        <v>94</v>
      </c>
      <c r="B370" t="s">
        <v>102</v>
      </c>
      <c r="C370" t="s">
        <v>96</v>
      </c>
      <c r="D370" t="s">
        <v>79</v>
      </c>
      <c r="E370" t="s">
        <v>91</v>
      </c>
      <c r="F370" s="6">
        <v>0.5625</v>
      </c>
      <c r="G370">
        <v>2</v>
      </c>
      <c r="H370" s="6">
        <f>FLOOR(tblPivotData[[#This Row],[Time]],Summary!$B$6/1440)</f>
        <v>0.5625</v>
      </c>
      <c r="I370" s="49">
        <f>INDEX(PeakCalc!$L$10:$L$303,MATCH(tblPivotData[[#This Row],[Time]],PeakCalc!$G$10:$G$303,0))</f>
        <v>0</v>
      </c>
    </row>
    <row r="371" spans="1:9" x14ac:dyDescent="0.25">
      <c r="A371" t="s">
        <v>94</v>
      </c>
      <c r="B371" t="s">
        <v>102</v>
      </c>
      <c r="C371" t="s">
        <v>96</v>
      </c>
      <c r="D371" t="s">
        <v>79</v>
      </c>
      <c r="E371" t="s">
        <v>91</v>
      </c>
      <c r="F371" s="6">
        <v>0.57291666666666663</v>
      </c>
      <c r="G371">
        <v>4</v>
      </c>
      <c r="H371" s="6">
        <f>FLOOR(tblPivotData[[#This Row],[Time]],Summary!$B$6/1440)</f>
        <v>0.57291666666666663</v>
      </c>
      <c r="I371" s="49">
        <f>INDEX(PeakCalc!$L$10:$L$303,MATCH(tblPivotData[[#This Row],[Time]],PeakCalc!$G$10:$G$303,0))</f>
        <v>0</v>
      </c>
    </row>
    <row r="372" spans="1:9" x14ac:dyDescent="0.25">
      <c r="A372" t="s">
        <v>94</v>
      </c>
      <c r="B372" t="s">
        <v>102</v>
      </c>
      <c r="C372" t="s">
        <v>96</v>
      </c>
      <c r="D372" t="s">
        <v>79</v>
      </c>
      <c r="E372" t="s">
        <v>91</v>
      </c>
      <c r="F372" s="6">
        <v>0.58333333333333337</v>
      </c>
      <c r="G372">
        <v>1</v>
      </c>
      <c r="H372" s="6">
        <f>FLOOR(tblPivotData[[#This Row],[Time]],Summary!$B$6/1440)</f>
        <v>0.58333333333333326</v>
      </c>
      <c r="I372" s="49">
        <f>INDEX(PeakCalc!$L$10:$L$303,MATCH(tblPivotData[[#This Row],[Time]],PeakCalc!$G$10:$G$303,0))</f>
        <v>0</v>
      </c>
    </row>
    <row r="373" spans="1:9" x14ac:dyDescent="0.25">
      <c r="A373" t="s">
        <v>94</v>
      </c>
      <c r="B373" t="s">
        <v>102</v>
      </c>
      <c r="C373" t="s">
        <v>96</v>
      </c>
      <c r="D373" t="s">
        <v>79</v>
      </c>
      <c r="E373" t="s">
        <v>91</v>
      </c>
      <c r="F373" s="6">
        <v>0.59375</v>
      </c>
      <c r="G373">
        <v>6</v>
      </c>
      <c r="H373" s="6">
        <f>FLOOR(tblPivotData[[#This Row],[Time]],Summary!$B$6/1440)</f>
        <v>0.59375</v>
      </c>
      <c r="I373" s="49">
        <f>INDEX(PeakCalc!$L$10:$L$303,MATCH(tblPivotData[[#This Row],[Time]],PeakCalc!$G$10:$G$303,0))</f>
        <v>0</v>
      </c>
    </row>
    <row r="374" spans="1:9" x14ac:dyDescent="0.25">
      <c r="A374" t="s">
        <v>94</v>
      </c>
      <c r="B374" t="s">
        <v>102</v>
      </c>
      <c r="C374" t="s">
        <v>96</v>
      </c>
      <c r="D374" t="s">
        <v>79</v>
      </c>
      <c r="E374" t="s">
        <v>91</v>
      </c>
      <c r="F374" s="6">
        <v>0.60416666666666663</v>
      </c>
      <c r="G374">
        <v>0</v>
      </c>
      <c r="H374" s="6">
        <f>FLOOR(tblPivotData[[#This Row],[Time]],Summary!$B$6/1440)</f>
        <v>0.60416666666666663</v>
      </c>
      <c r="I374" s="49">
        <f>INDEX(PeakCalc!$L$10:$L$303,MATCH(tblPivotData[[#This Row],[Time]],PeakCalc!$G$10:$G$303,0))</f>
        <v>1</v>
      </c>
    </row>
    <row r="375" spans="1:9" x14ac:dyDescent="0.25">
      <c r="A375" t="s">
        <v>94</v>
      </c>
      <c r="B375" t="s">
        <v>102</v>
      </c>
      <c r="C375" t="s">
        <v>96</v>
      </c>
      <c r="D375" t="s">
        <v>79</v>
      </c>
      <c r="E375" t="s">
        <v>91</v>
      </c>
      <c r="F375" s="6">
        <v>0.61458333333333337</v>
      </c>
      <c r="G375">
        <v>6</v>
      </c>
      <c r="H375" s="6">
        <f>FLOOR(tblPivotData[[#This Row],[Time]],Summary!$B$6/1440)</f>
        <v>0.61458333333333326</v>
      </c>
      <c r="I375" s="49">
        <f>INDEX(PeakCalc!$L$10:$L$303,MATCH(tblPivotData[[#This Row],[Time]],PeakCalc!$G$10:$G$303,0))</f>
        <v>1</v>
      </c>
    </row>
    <row r="376" spans="1:9" x14ac:dyDescent="0.25">
      <c r="A376" t="s">
        <v>94</v>
      </c>
      <c r="B376" t="s">
        <v>102</v>
      </c>
      <c r="C376" t="s">
        <v>96</v>
      </c>
      <c r="D376" t="s">
        <v>79</v>
      </c>
      <c r="E376" t="s">
        <v>91</v>
      </c>
      <c r="F376" s="6">
        <v>0.625</v>
      </c>
      <c r="G376">
        <v>5</v>
      </c>
      <c r="H376" s="6">
        <f>FLOOR(tblPivotData[[#This Row],[Time]],Summary!$B$6/1440)</f>
        <v>0.625</v>
      </c>
      <c r="I376" s="49">
        <f>INDEX(PeakCalc!$L$10:$L$303,MATCH(tblPivotData[[#This Row],[Time]],PeakCalc!$G$10:$G$303,0))</f>
        <v>1</v>
      </c>
    </row>
    <row r="377" spans="1:9" x14ac:dyDescent="0.25">
      <c r="A377" t="s">
        <v>94</v>
      </c>
      <c r="B377" t="s">
        <v>102</v>
      </c>
      <c r="C377" t="s">
        <v>96</v>
      </c>
      <c r="D377" t="s">
        <v>79</v>
      </c>
      <c r="E377" t="s">
        <v>91</v>
      </c>
      <c r="F377" s="6">
        <v>0.63541666666666663</v>
      </c>
      <c r="G377">
        <v>1</v>
      </c>
      <c r="H377" s="6">
        <f>FLOOR(tblPivotData[[#This Row],[Time]],Summary!$B$6/1440)</f>
        <v>0.63541666666666663</v>
      </c>
      <c r="I377" s="49">
        <f>INDEX(PeakCalc!$L$10:$L$303,MATCH(tblPivotData[[#This Row],[Time]],PeakCalc!$G$10:$G$303,0))</f>
        <v>1</v>
      </c>
    </row>
    <row r="378" spans="1:9" x14ac:dyDescent="0.25">
      <c r="A378" t="s">
        <v>94</v>
      </c>
      <c r="B378" t="s">
        <v>102</v>
      </c>
      <c r="C378" t="s">
        <v>96</v>
      </c>
      <c r="D378" t="s">
        <v>79</v>
      </c>
      <c r="E378" t="s">
        <v>44</v>
      </c>
      <c r="F378" s="6">
        <v>0.66666666666666663</v>
      </c>
      <c r="G378">
        <v>5</v>
      </c>
      <c r="H378" s="6">
        <f>FLOOR(tblPivotData[[#This Row],[Time]],Summary!$B$6/1440)</f>
        <v>0.66666666666666663</v>
      </c>
      <c r="I378" s="49">
        <f>INDEX(PeakCalc!$L$10:$L$303,MATCH(tblPivotData[[#This Row],[Time]],PeakCalc!$G$10:$G$303,0))</f>
        <v>0</v>
      </c>
    </row>
    <row r="379" spans="1:9" x14ac:dyDescent="0.25">
      <c r="A379" t="s">
        <v>94</v>
      </c>
      <c r="B379" t="s">
        <v>102</v>
      </c>
      <c r="C379" t="s">
        <v>96</v>
      </c>
      <c r="D379" t="s">
        <v>79</v>
      </c>
      <c r="E379" t="s">
        <v>44</v>
      </c>
      <c r="F379" s="6">
        <v>0.67708333333333337</v>
      </c>
      <c r="G379">
        <v>3</v>
      </c>
      <c r="H379" s="6">
        <f>FLOOR(tblPivotData[[#This Row],[Time]],Summary!$B$6/1440)</f>
        <v>0.67708333333333326</v>
      </c>
      <c r="I379" s="49">
        <f>INDEX(PeakCalc!$L$10:$L$303,MATCH(tblPivotData[[#This Row],[Time]],PeakCalc!$G$10:$G$303,0))</f>
        <v>0</v>
      </c>
    </row>
    <row r="380" spans="1:9" x14ac:dyDescent="0.25">
      <c r="A380" t="s">
        <v>94</v>
      </c>
      <c r="B380" t="s">
        <v>102</v>
      </c>
      <c r="C380" t="s">
        <v>96</v>
      </c>
      <c r="D380" t="s">
        <v>79</v>
      </c>
      <c r="E380" t="s">
        <v>44</v>
      </c>
      <c r="F380" s="6">
        <v>0.6875</v>
      </c>
      <c r="G380">
        <v>2</v>
      </c>
      <c r="H380" s="6">
        <f>FLOOR(tblPivotData[[#This Row],[Time]],Summary!$B$6/1440)</f>
        <v>0.6875</v>
      </c>
      <c r="I380" s="49">
        <f>INDEX(PeakCalc!$L$10:$L$303,MATCH(tblPivotData[[#This Row],[Time]],PeakCalc!$G$10:$G$303,0))</f>
        <v>1</v>
      </c>
    </row>
    <row r="381" spans="1:9" x14ac:dyDescent="0.25">
      <c r="A381" t="s">
        <v>94</v>
      </c>
      <c r="B381" t="s">
        <v>102</v>
      </c>
      <c r="C381" t="s">
        <v>96</v>
      </c>
      <c r="D381" t="s">
        <v>79</v>
      </c>
      <c r="E381" t="s">
        <v>44</v>
      </c>
      <c r="F381" s="6">
        <v>0.69791666666666663</v>
      </c>
      <c r="G381">
        <v>2</v>
      </c>
      <c r="H381" s="6">
        <f>FLOOR(tblPivotData[[#This Row],[Time]],Summary!$B$6/1440)</f>
        <v>0.69791666666666663</v>
      </c>
      <c r="I381" s="49">
        <f>INDEX(PeakCalc!$L$10:$L$303,MATCH(tblPivotData[[#This Row],[Time]],PeakCalc!$G$10:$G$303,0))</f>
        <v>1</v>
      </c>
    </row>
    <row r="382" spans="1:9" x14ac:dyDescent="0.25">
      <c r="A382" t="s">
        <v>94</v>
      </c>
      <c r="B382" t="s">
        <v>102</v>
      </c>
      <c r="C382" t="s">
        <v>96</v>
      </c>
      <c r="D382" t="s">
        <v>79</v>
      </c>
      <c r="E382" t="s">
        <v>44</v>
      </c>
      <c r="F382" s="6">
        <v>0.70833333333333337</v>
      </c>
      <c r="G382">
        <v>3</v>
      </c>
      <c r="H382" s="6">
        <f>FLOOR(tblPivotData[[#This Row],[Time]],Summary!$B$6/1440)</f>
        <v>0.70833333333333326</v>
      </c>
      <c r="I382" s="49">
        <f>INDEX(PeakCalc!$L$10:$L$303,MATCH(tblPivotData[[#This Row],[Time]],PeakCalc!$G$10:$G$303,0))</f>
        <v>1</v>
      </c>
    </row>
    <row r="383" spans="1:9" x14ac:dyDescent="0.25">
      <c r="A383" t="s">
        <v>94</v>
      </c>
      <c r="B383" t="s">
        <v>102</v>
      </c>
      <c r="C383" t="s">
        <v>96</v>
      </c>
      <c r="D383" t="s">
        <v>79</v>
      </c>
      <c r="E383" t="s">
        <v>44</v>
      </c>
      <c r="F383" s="6">
        <v>0.71875</v>
      </c>
      <c r="G383">
        <v>5</v>
      </c>
      <c r="H383" s="6">
        <f>FLOOR(tblPivotData[[#This Row],[Time]],Summary!$B$6/1440)</f>
        <v>0.71875</v>
      </c>
      <c r="I383" s="49">
        <f>INDEX(PeakCalc!$L$10:$L$303,MATCH(tblPivotData[[#This Row],[Time]],PeakCalc!$G$10:$G$303,0))</f>
        <v>1</v>
      </c>
    </row>
    <row r="384" spans="1:9" x14ac:dyDescent="0.25">
      <c r="A384" t="s">
        <v>94</v>
      </c>
      <c r="B384" t="s">
        <v>102</v>
      </c>
      <c r="C384" t="s">
        <v>96</v>
      </c>
      <c r="D384" t="s">
        <v>79</v>
      </c>
      <c r="E384" t="s">
        <v>44</v>
      </c>
      <c r="F384" s="6">
        <v>0.72916666666666663</v>
      </c>
      <c r="G384">
        <v>3</v>
      </c>
      <c r="H384" s="6">
        <f>FLOOR(tblPivotData[[#This Row],[Time]],Summary!$B$6/1440)</f>
        <v>0.72916666666666663</v>
      </c>
      <c r="I384" s="49">
        <f>INDEX(PeakCalc!$L$10:$L$303,MATCH(tblPivotData[[#This Row],[Time]],PeakCalc!$G$10:$G$303,0))</f>
        <v>0</v>
      </c>
    </row>
    <row r="385" spans="1:9" x14ac:dyDescent="0.25">
      <c r="A385" t="s">
        <v>94</v>
      </c>
      <c r="B385" t="s">
        <v>102</v>
      </c>
      <c r="C385" t="s">
        <v>96</v>
      </c>
      <c r="D385" t="s">
        <v>79</v>
      </c>
      <c r="E385" t="s">
        <v>44</v>
      </c>
      <c r="F385" s="6">
        <v>0.73958333333333337</v>
      </c>
      <c r="G385">
        <v>3</v>
      </c>
      <c r="H385" s="6">
        <f>FLOOR(tblPivotData[[#This Row],[Time]],Summary!$B$6/1440)</f>
        <v>0.73958333333333326</v>
      </c>
      <c r="I385" s="49">
        <f>INDEX(PeakCalc!$L$10:$L$303,MATCH(tblPivotData[[#This Row],[Time]],PeakCalc!$G$10:$G$303,0))</f>
        <v>0</v>
      </c>
    </row>
    <row r="386" spans="1:9" x14ac:dyDescent="0.25">
      <c r="A386" t="s">
        <v>94</v>
      </c>
      <c r="B386" t="s">
        <v>102</v>
      </c>
      <c r="C386" t="s">
        <v>96</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94</v>
      </c>
      <c r="B387" t="s">
        <v>102</v>
      </c>
      <c r="C387" t="s">
        <v>96</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94</v>
      </c>
      <c r="B388" t="s">
        <v>102</v>
      </c>
      <c r="C388" t="s">
        <v>96</v>
      </c>
      <c r="D388" t="s">
        <v>89</v>
      </c>
      <c r="E388" t="s">
        <v>43</v>
      </c>
      <c r="F388" s="6">
        <v>0.3125</v>
      </c>
      <c r="G388">
        <v>1</v>
      </c>
      <c r="H388" s="6">
        <f>FLOOR(tblPivotData[[#This Row],[Time]],Summary!$B$6/1440)</f>
        <v>0.3125</v>
      </c>
      <c r="I388" s="49">
        <f>INDEX(PeakCalc!$L$10:$L$303,MATCH(tblPivotData[[#This Row],[Time]],PeakCalc!$G$10:$G$303,0))</f>
        <v>0</v>
      </c>
    </row>
    <row r="389" spans="1:9" x14ac:dyDescent="0.25">
      <c r="A389" t="s">
        <v>94</v>
      </c>
      <c r="B389" t="s">
        <v>102</v>
      </c>
      <c r="C389" t="s">
        <v>96</v>
      </c>
      <c r="D389" t="s">
        <v>89</v>
      </c>
      <c r="E389" t="s">
        <v>43</v>
      </c>
      <c r="F389" s="6">
        <v>0.32291666666666669</v>
      </c>
      <c r="G389">
        <v>1</v>
      </c>
      <c r="H389" s="6">
        <f>FLOOR(tblPivotData[[#This Row],[Time]],Summary!$B$6/1440)</f>
        <v>0.32291666666666663</v>
      </c>
      <c r="I389" s="49">
        <f>INDEX(PeakCalc!$L$10:$L$303,MATCH(tblPivotData[[#This Row],[Time]],PeakCalc!$G$10:$G$303,0))</f>
        <v>0</v>
      </c>
    </row>
    <row r="390" spans="1:9" x14ac:dyDescent="0.25">
      <c r="A390" t="s">
        <v>94</v>
      </c>
      <c r="B390" t="s">
        <v>102</v>
      </c>
      <c r="C390" t="s">
        <v>96</v>
      </c>
      <c r="D390" t="s">
        <v>89</v>
      </c>
      <c r="E390" t="s">
        <v>43</v>
      </c>
      <c r="F390" s="6">
        <v>0.33333333333333331</v>
      </c>
      <c r="G390">
        <v>1</v>
      </c>
      <c r="H390" s="6">
        <f>FLOOR(tblPivotData[[#This Row],[Time]],Summary!$B$6/1440)</f>
        <v>0.33333333333333331</v>
      </c>
      <c r="I390" s="49">
        <f>INDEX(PeakCalc!$L$10:$L$303,MATCH(tblPivotData[[#This Row],[Time]],PeakCalc!$G$10:$G$303,0))</f>
        <v>1</v>
      </c>
    </row>
    <row r="391" spans="1:9" x14ac:dyDescent="0.25">
      <c r="A391" t="s">
        <v>94</v>
      </c>
      <c r="B391" t="s">
        <v>102</v>
      </c>
      <c r="C391" t="s">
        <v>96</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94</v>
      </c>
      <c r="B392" t="s">
        <v>102</v>
      </c>
      <c r="C392" t="s">
        <v>96</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94</v>
      </c>
      <c r="B393" t="s">
        <v>102</v>
      </c>
      <c r="C393" t="s">
        <v>96</v>
      </c>
      <c r="D393" t="s">
        <v>89</v>
      </c>
      <c r="E393" t="s">
        <v>43</v>
      </c>
      <c r="F393" s="6">
        <v>0.36458333333333331</v>
      </c>
      <c r="G393">
        <v>0</v>
      </c>
      <c r="H393" s="6">
        <f>FLOOR(tblPivotData[[#This Row],[Time]],Summary!$B$6/1440)</f>
        <v>0.36458333333333331</v>
      </c>
      <c r="I393" s="49">
        <f>INDEX(PeakCalc!$L$10:$L$303,MATCH(tblPivotData[[#This Row],[Time]],PeakCalc!$G$10:$G$303,0))</f>
        <v>1</v>
      </c>
    </row>
    <row r="394" spans="1:9" x14ac:dyDescent="0.25">
      <c r="A394" t="s">
        <v>94</v>
      </c>
      <c r="B394" t="s">
        <v>102</v>
      </c>
      <c r="C394" t="s">
        <v>96</v>
      </c>
      <c r="D394" t="s">
        <v>89</v>
      </c>
      <c r="E394" t="s">
        <v>91</v>
      </c>
      <c r="F394" s="6">
        <v>0.5625</v>
      </c>
      <c r="G394">
        <v>0</v>
      </c>
      <c r="H394" s="6">
        <f>FLOOR(tblPivotData[[#This Row],[Time]],Summary!$B$6/1440)</f>
        <v>0.5625</v>
      </c>
      <c r="I394" s="49">
        <f>INDEX(PeakCalc!$L$10:$L$303,MATCH(tblPivotData[[#This Row],[Time]],PeakCalc!$G$10:$G$303,0))</f>
        <v>0</v>
      </c>
    </row>
    <row r="395" spans="1:9" x14ac:dyDescent="0.25">
      <c r="A395" t="s">
        <v>94</v>
      </c>
      <c r="B395" t="s">
        <v>102</v>
      </c>
      <c r="C395" t="s">
        <v>96</v>
      </c>
      <c r="D395" t="s">
        <v>89</v>
      </c>
      <c r="E395" t="s">
        <v>91</v>
      </c>
      <c r="F395" s="6">
        <v>0.57291666666666663</v>
      </c>
      <c r="G395">
        <v>0</v>
      </c>
      <c r="H395" s="6">
        <f>FLOOR(tblPivotData[[#This Row],[Time]],Summary!$B$6/1440)</f>
        <v>0.57291666666666663</v>
      </c>
      <c r="I395" s="49">
        <f>INDEX(PeakCalc!$L$10:$L$303,MATCH(tblPivotData[[#This Row],[Time]],PeakCalc!$G$10:$G$303,0))</f>
        <v>0</v>
      </c>
    </row>
    <row r="396" spans="1:9" x14ac:dyDescent="0.25">
      <c r="A396" t="s">
        <v>94</v>
      </c>
      <c r="B396" t="s">
        <v>102</v>
      </c>
      <c r="C396" t="s">
        <v>96</v>
      </c>
      <c r="D396" t="s">
        <v>89</v>
      </c>
      <c r="E396" t="s">
        <v>91</v>
      </c>
      <c r="F396" s="6">
        <v>0.58333333333333337</v>
      </c>
      <c r="G396">
        <v>0</v>
      </c>
      <c r="H396" s="6">
        <f>FLOOR(tblPivotData[[#This Row],[Time]],Summary!$B$6/1440)</f>
        <v>0.58333333333333326</v>
      </c>
      <c r="I396" s="49">
        <f>INDEX(PeakCalc!$L$10:$L$303,MATCH(tblPivotData[[#This Row],[Time]],PeakCalc!$G$10:$G$303,0))</f>
        <v>0</v>
      </c>
    </row>
    <row r="397" spans="1:9" x14ac:dyDescent="0.25">
      <c r="A397" t="s">
        <v>94</v>
      </c>
      <c r="B397" t="s">
        <v>102</v>
      </c>
      <c r="C397" t="s">
        <v>96</v>
      </c>
      <c r="D397" t="s">
        <v>89</v>
      </c>
      <c r="E397" t="s">
        <v>91</v>
      </c>
      <c r="F397" s="6">
        <v>0.59375</v>
      </c>
      <c r="G397">
        <v>0</v>
      </c>
      <c r="H397" s="6">
        <f>FLOOR(tblPivotData[[#This Row],[Time]],Summary!$B$6/1440)</f>
        <v>0.59375</v>
      </c>
      <c r="I397" s="49">
        <f>INDEX(PeakCalc!$L$10:$L$303,MATCH(tblPivotData[[#This Row],[Time]],PeakCalc!$G$10:$G$303,0))</f>
        <v>0</v>
      </c>
    </row>
    <row r="398" spans="1:9" x14ac:dyDescent="0.25">
      <c r="A398" t="s">
        <v>94</v>
      </c>
      <c r="B398" t="s">
        <v>102</v>
      </c>
      <c r="C398" t="s">
        <v>96</v>
      </c>
      <c r="D398" t="s">
        <v>89</v>
      </c>
      <c r="E398" t="s">
        <v>91</v>
      </c>
      <c r="F398" s="6">
        <v>0.60416666666666663</v>
      </c>
      <c r="G398">
        <v>0</v>
      </c>
      <c r="H398" s="6">
        <f>FLOOR(tblPivotData[[#This Row],[Time]],Summary!$B$6/1440)</f>
        <v>0.60416666666666663</v>
      </c>
      <c r="I398" s="49">
        <f>INDEX(PeakCalc!$L$10:$L$303,MATCH(tblPivotData[[#This Row],[Time]],PeakCalc!$G$10:$G$303,0))</f>
        <v>1</v>
      </c>
    </row>
    <row r="399" spans="1:9" x14ac:dyDescent="0.25">
      <c r="A399" t="s">
        <v>94</v>
      </c>
      <c r="B399" t="s">
        <v>102</v>
      </c>
      <c r="C399" t="s">
        <v>96</v>
      </c>
      <c r="D399" t="s">
        <v>89</v>
      </c>
      <c r="E399" t="s">
        <v>91</v>
      </c>
      <c r="F399" s="6">
        <v>0.61458333333333337</v>
      </c>
      <c r="G399">
        <v>0</v>
      </c>
      <c r="H399" s="6">
        <f>FLOOR(tblPivotData[[#This Row],[Time]],Summary!$B$6/1440)</f>
        <v>0.61458333333333326</v>
      </c>
      <c r="I399" s="49">
        <f>INDEX(PeakCalc!$L$10:$L$303,MATCH(tblPivotData[[#This Row],[Time]],PeakCalc!$G$10:$G$303,0))</f>
        <v>1</v>
      </c>
    </row>
    <row r="400" spans="1:9" x14ac:dyDescent="0.25">
      <c r="A400" t="s">
        <v>94</v>
      </c>
      <c r="B400" t="s">
        <v>102</v>
      </c>
      <c r="C400" t="s">
        <v>96</v>
      </c>
      <c r="D400" t="s">
        <v>89</v>
      </c>
      <c r="E400" t="s">
        <v>91</v>
      </c>
      <c r="F400" s="6">
        <v>0.625</v>
      </c>
      <c r="G400">
        <v>0</v>
      </c>
      <c r="H400" s="6">
        <f>FLOOR(tblPivotData[[#This Row],[Time]],Summary!$B$6/1440)</f>
        <v>0.625</v>
      </c>
      <c r="I400" s="49">
        <f>INDEX(PeakCalc!$L$10:$L$303,MATCH(tblPivotData[[#This Row],[Time]],PeakCalc!$G$10:$G$303,0))</f>
        <v>1</v>
      </c>
    </row>
    <row r="401" spans="1:9" x14ac:dyDescent="0.25">
      <c r="A401" t="s">
        <v>94</v>
      </c>
      <c r="B401" t="s">
        <v>102</v>
      </c>
      <c r="C401" t="s">
        <v>96</v>
      </c>
      <c r="D401" t="s">
        <v>89</v>
      </c>
      <c r="E401" t="s">
        <v>91</v>
      </c>
      <c r="F401" s="6">
        <v>0.63541666666666663</v>
      </c>
      <c r="G401">
        <v>0</v>
      </c>
      <c r="H401" s="6">
        <f>FLOOR(tblPivotData[[#This Row],[Time]],Summary!$B$6/1440)</f>
        <v>0.63541666666666663</v>
      </c>
      <c r="I401" s="49">
        <f>INDEX(PeakCalc!$L$10:$L$303,MATCH(tblPivotData[[#This Row],[Time]],PeakCalc!$G$10:$G$303,0))</f>
        <v>1</v>
      </c>
    </row>
    <row r="402" spans="1:9" x14ac:dyDescent="0.25">
      <c r="A402" t="s">
        <v>94</v>
      </c>
      <c r="B402" t="s">
        <v>102</v>
      </c>
      <c r="C402" t="s">
        <v>96</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94</v>
      </c>
      <c r="B403" t="s">
        <v>102</v>
      </c>
      <c r="C403" t="s">
        <v>96</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94</v>
      </c>
      <c r="B404" t="s">
        <v>102</v>
      </c>
      <c r="C404" t="s">
        <v>96</v>
      </c>
      <c r="D404" t="s">
        <v>89</v>
      </c>
      <c r="E404" t="s">
        <v>44</v>
      </c>
      <c r="F404" s="6">
        <v>0.6875</v>
      </c>
      <c r="G404">
        <v>0</v>
      </c>
      <c r="H404" s="6">
        <f>FLOOR(tblPivotData[[#This Row],[Time]],Summary!$B$6/1440)</f>
        <v>0.6875</v>
      </c>
      <c r="I404" s="49">
        <f>INDEX(PeakCalc!$L$10:$L$303,MATCH(tblPivotData[[#This Row],[Time]],PeakCalc!$G$10:$G$303,0))</f>
        <v>1</v>
      </c>
    </row>
    <row r="405" spans="1:9" x14ac:dyDescent="0.25">
      <c r="A405" t="s">
        <v>94</v>
      </c>
      <c r="B405" t="s">
        <v>102</v>
      </c>
      <c r="C405" t="s">
        <v>96</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94</v>
      </c>
      <c r="B406" t="s">
        <v>102</v>
      </c>
      <c r="C406" t="s">
        <v>96</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94</v>
      </c>
      <c r="B407" t="s">
        <v>102</v>
      </c>
      <c r="C407" t="s">
        <v>96</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94</v>
      </c>
      <c r="B408" t="s">
        <v>102</v>
      </c>
      <c r="C408" t="s">
        <v>96</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94</v>
      </c>
      <c r="B409" t="s">
        <v>102</v>
      </c>
      <c r="C409" t="s">
        <v>96</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94</v>
      </c>
      <c r="B410" t="s">
        <v>102</v>
      </c>
      <c r="C410" t="s">
        <v>96</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94</v>
      </c>
      <c r="B411" t="s">
        <v>102</v>
      </c>
      <c r="C411" t="s">
        <v>96</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94</v>
      </c>
      <c r="B412" t="s">
        <v>102</v>
      </c>
      <c r="C412" t="s">
        <v>96</v>
      </c>
      <c r="D412" t="s">
        <v>90</v>
      </c>
      <c r="E412" t="s">
        <v>43</v>
      </c>
      <c r="F412" s="6">
        <v>0.3125</v>
      </c>
      <c r="G412">
        <v>0</v>
      </c>
      <c r="H412" s="6">
        <f>FLOOR(tblPivotData[[#This Row],[Time]],Summary!$B$6/1440)</f>
        <v>0.3125</v>
      </c>
      <c r="I412" s="49">
        <f>INDEX(PeakCalc!$L$10:$L$303,MATCH(tblPivotData[[#This Row],[Time]],PeakCalc!$G$10:$G$303,0))</f>
        <v>0</v>
      </c>
    </row>
    <row r="413" spans="1:9" x14ac:dyDescent="0.25">
      <c r="A413" t="s">
        <v>94</v>
      </c>
      <c r="B413" t="s">
        <v>102</v>
      </c>
      <c r="C413" t="s">
        <v>96</v>
      </c>
      <c r="D413" t="s">
        <v>90</v>
      </c>
      <c r="E413" t="s">
        <v>43</v>
      </c>
      <c r="F413" s="6">
        <v>0.32291666666666669</v>
      </c>
      <c r="G413">
        <v>0</v>
      </c>
      <c r="H413" s="6">
        <f>FLOOR(tblPivotData[[#This Row],[Time]],Summary!$B$6/1440)</f>
        <v>0.32291666666666663</v>
      </c>
      <c r="I413" s="49">
        <f>INDEX(PeakCalc!$L$10:$L$303,MATCH(tblPivotData[[#This Row],[Time]],PeakCalc!$G$10:$G$303,0))</f>
        <v>0</v>
      </c>
    </row>
    <row r="414" spans="1:9" x14ac:dyDescent="0.25">
      <c r="A414" t="s">
        <v>94</v>
      </c>
      <c r="B414" t="s">
        <v>102</v>
      </c>
      <c r="C414" t="s">
        <v>96</v>
      </c>
      <c r="D414" t="s">
        <v>90</v>
      </c>
      <c r="E414" t="s">
        <v>43</v>
      </c>
      <c r="F414" s="6">
        <v>0.33333333333333331</v>
      </c>
      <c r="G414">
        <v>1</v>
      </c>
      <c r="H414" s="6">
        <f>FLOOR(tblPivotData[[#This Row],[Time]],Summary!$B$6/1440)</f>
        <v>0.33333333333333331</v>
      </c>
      <c r="I414" s="49">
        <f>INDEX(PeakCalc!$L$10:$L$303,MATCH(tblPivotData[[#This Row],[Time]],PeakCalc!$G$10:$G$303,0))</f>
        <v>1</v>
      </c>
    </row>
    <row r="415" spans="1:9" x14ac:dyDescent="0.25">
      <c r="A415" t="s">
        <v>94</v>
      </c>
      <c r="B415" t="s">
        <v>102</v>
      </c>
      <c r="C415" t="s">
        <v>96</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94</v>
      </c>
      <c r="B416" t="s">
        <v>102</v>
      </c>
      <c r="C416" t="s">
        <v>96</v>
      </c>
      <c r="D416" t="s">
        <v>90</v>
      </c>
      <c r="E416" t="s">
        <v>43</v>
      </c>
      <c r="F416" s="6">
        <v>0.35416666666666669</v>
      </c>
      <c r="G416">
        <v>1</v>
      </c>
      <c r="H416" s="6">
        <f>FLOOR(tblPivotData[[#This Row],[Time]],Summary!$B$6/1440)</f>
        <v>0.35416666666666663</v>
      </c>
      <c r="I416" s="49">
        <f>INDEX(PeakCalc!$L$10:$L$303,MATCH(tblPivotData[[#This Row],[Time]],PeakCalc!$G$10:$G$303,0))</f>
        <v>1</v>
      </c>
    </row>
    <row r="417" spans="1:9" x14ac:dyDescent="0.25">
      <c r="A417" t="s">
        <v>94</v>
      </c>
      <c r="B417" t="s">
        <v>102</v>
      </c>
      <c r="C417" t="s">
        <v>96</v>
      </c>
      <c r="D417" t="s">
        <v>90</v>
      </c>
      <c r="E417" t="s">
        <v>43</v>
      </c>
      <c r="F417" s="6">
        <v>0.36458333333333331</v>
      </c>
      <c r="G417">
        <v>0</v>
      </c>
      <c r="H417" s="6">
        <f>FLOOR(tblPivotData[[#This Row],[Time]],Summary!$B$6/1440)</f>
        <v>0.36458333333333331</v>
      </c>
      <c r="I417" s="49">
        <f>INDEX(PeakCalc!$L$10:$L$303,MATCH(tblPivotData[[#This Row],[Time]],PeakCalc!$G$10:$G$303,0))</f>
        <v>1</v>
      </c>
    </row>
    <row r="418" spans="1:9" x14ac:dyDescent="0.25">
      <c r="A418" t="s">
        <v>94</v>
      </c>
      <c r="B418" t="s">
        <v>102</v>
      </c>
      <c r="C418" t="s">
        <v>96</v>
      </c>
      <c r="D418" t="s">
        <v>90</v>
      </c>
      <c r="E418" t="s">
        <v>91</v>
      </c>
      <c r="F418" s="6">
        <v>0.5625</v>
      </c>
      <c r="G418">
        <v>0</v>
      </c>
      <c r="H418" s="6">
        <f>FLOOR(tblPivotData[[#This Row],[Time]],Summary!$B$6/1440)</f>
        <v>0.5625</v>
      </c>
      <c r="I418" s="49">
        <f>INDEX(PeakCalc!$L$10:$L$303,MATCH(tblPivotData[[#This Row],[Time]],PeakCalc!$G$10:$G$303,0))</f>
        <v>0</v>
      </c>
    </row>
    <row r="419" spans="1:9" x14ac:dyDescent="0.25">
      <c r="A419" t="s">
        <v>94</v>
      </c>
      <c r="B419" t="s">
        <v>102</v>
      </c>
      <c r="C419" t="s">
        <v>96</v>
      </c>
      <c r="D419" t="s">
        <v>90</v>
      </c>
      <c r="E419" t="s">
        <v>91</v>
      </c>
      <c r="F419" s="6">
        <v>0.57291666666666663</v>
      </c>
      <c r="G419">
        <v>0</v>
      </c>
      <c r="H419" s="6">
        <f>FLOOR(tblPivotData[[#This Row],[Time]],Summary!$B$6/1440)</f>
        <v>0.57291666666666663</v>
      </c>
      <c r="I419" s="49">
        <f>INDEX(PeakCalc!$L$10:$L$303,MATCH(tblPivotData[[#This Row],[Time]],PeakCalc!$G$10:$G$303,0))</f>
        <v>0</v>
      </c>
    </row>
    <row r="420" spans="1:9" x14ac:dyDescent="0.25">
      <c r="A420" t="s">
        <v>94</v>
      </c>
      <c r="B420" t="s">
        <v>102</v>
      </c>
      <c r="C420" t="s">
        <v>96</v>
      </c>
      <c r="D420" t="s">
        <v>90</v>
      </c>
      <c r="E420" t="s">
        <v>91</v>
      </c>
      <c r="F420" s="6">
        <v>0.58333333333333337</v>
      </c>
      <c r="G420">
        <v>0</v>
      </c>
      <c r="H420" s="6">
        <f>FLOOR(tblPivotData[[#This Row],[Time]],Summary!$B$6/1440)</f>
        <v>0.58333333333333326</v>
      </c>
      <c r="I420" s="49">
        <f>INDEX(PeakCalc!$L$10:$L$303,MATCH(tblPivotData[[#This Row],[Time]],PeakCalc!$G$10:$G$303,0))</f>
        <v>0</v>
      </c>
    </row>
    <row r="421" spans="1:9" x14ac:dyDescent="0.25">
      <c r="A421" t="s">
        <v>94</v>
      </c>
      <c r="B421" t="s">
        <v>102</v>
      </c>
      <c r="C421" t="s">
        <v>96</v>
      </c>
      <c r="D421" t="s">
        <v>90</v>
      </c>
      <c r="E421" t="s">
        <v>91</v>
      </c>
      <c r="F421" s="6">
        <v>0.59375</v>
      </c>
      <c r="G421">
        <v>0</v>
      </c>
      <c r="H421" s="6">
        <f>FLOOR(tblPivotData[[#This Row],[Time]],Summary!$B$6/1440)</f>
        <v>0.59375</v>
      </c>
      <c r="I421" s="49">
        <f>INDEX(PeakCalc!$L$10:$L$303,MATCH(tblPivotData[[#This Row],[Time]],PeakCalc!$G$10:$G$303,0))</f>
        <v>0</v>
      </c>
    </row>
    <row r="422" spans="1:9" x14ac:dyDescent="0.25">
      <c r="A422" t="s">
        <v>94</v>
      </c>
      <c r="B422" t="s">
        <v>102</v>
      </c>
      <c r="C422" t="s">
        <v>96</v>
      </c>
      <c r="D422" t="s">
        <v>90</v>
      </c>
      <c r="E422" t="s">
        <v>91</v>
      </c>
      <c r="F422" s="6">
        <v>0.60416666666666663</v>
      </c>
      <c r="G422">
        <v>0</v>
      </c>
      <c r="H422" s="6">
        <f>FLOOR(tblPivotData[[#This Row],[Time]],Summary!$B$6/1440)</f>
        <v>0.60416666666666663</v>
      </c>
      <c r="I422" s="49">
        <f>INDEX(PeakCalc!$L$10:$L$303,MATCH(tblPivotData[[#This Row],[Time]],PeakCalc!$G$10:$G$303,0))</f>
        <v>1</v>
      </c>
    </row>
    <row r="423" spans="1:9" x14ac:dyDescent="0.25">
      <c r="A423" t="s">
        <v>94</v>
      </c>
      <c r="B423" t="s">
        <v>102</v>
      </c>
      <c r="C423" t="s">
        <v>96</v>
      </c>
      <c r="D423" t="s">
        <v>90</v>
      </c>
      <c r="E423" t="s">
        <v>91</v>
      </c>
      <c r="F423" s="6">
        <v>0.61458333333333337</v>
      </c>
      <c r="G423">
        <v>0</v>
      </c>
      <c r="H423" s="6">
        <f>FLOOR(tblPivotData[[#This Row],[Time]],Summary!$B$6/1440)</f>
        <v>0.61458333333333326</v>
      </c>
      <c r="I423" s="49">
        <f>INDEX(PeakCalc!$L$10:$L$303,MATCH(tblPivotData[[#This Row],[Time]],PeakCalc!$G$10:$G$303,0))</f>
        <v>1</v>
      </c>
    </row>
    <row r="424" spans="1:9" x14ac:dyDescent="0.25">
      <c r="A424" t="s">
        <v>94</v>
      </c>
      <c r="B424" t="s">
        <v>102</v>
      </c>
      <c r="C424" t="s">
        <v>96</v>
      </c>
      <c r="D424" t="s">
        <v>90</v>
      </c>
      <c r="E424" t="s">
        <v>91</v>
      </c>
      <c r="F424" s="6">
        <v>0.625</v>
      </c>
      <c r="G424">
        <v>0</v>
      </c>
      <c r="H424" s="6">
        <f>FLOOR(tblPivotData[[#This Row],[Time]],Summary!$B$6/1440)</f>
        <v>0.625</v>
      </c>
      <c r="I424" s="49">
        <f>INDEX(PeakCalc!$L$10:$L$303,MATCH(tblPivotData[[#This Row],[Time]],PeakCalc!$G$10:$G$303,0))</f>
        <v>1</v>
      </c>
    </row>
    <row r="425" spans="1:9" x14ac:dyDescent="0.25">
      <c r="A425" t="s">
        <v>94</v>
      </c>
      <c r="B425" t="s">
        <v>102</v>
      </c>
      <c r="C425" t="s">
        <v>96</v>
      </c>
      <c r="D425" t="s">
        <v>90</v>
      </c>
      <c r="E425" t="s">
        <v>91</v>
      </c>
      <c r="F425" s="6">
        <v>0.63541666666666663</v>
      </c>
      <c r="G425">
        <v>0</v>
      </c>
      <c r="H425" s="6">
        <f>FLOOR(tblPivotData[[#This Row],[Time]],Summary!$B$6/1440)</f>
        <v>0.63541666666666663</v>
      </c>
      <c r="I425" s="49">
        <f>INDEX(PeakCalc!$L$10:$L$303,MATCH(tblPivotData[[#This Row],[Time]],PeakCalc!$G$10:$G$303,0))</f>
        <v>1</v>
      </c>
    </row>
    <row r="426" spans="1:9" x14ac:dyDescent="0.25">
      <c r="A426" t="s">
        <v>94</v>
      </c>
      <c r="B426" t="s">
        <v>102</v>
      </c>
      <c r="C426" t="s">
        <v>96</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94</v>
      </c>
      <c r="B427" t="s">
        <v>102</v>
      </c>
      <c r="C427" t="s">
        <v>96</v>
      </c>
      <c r="D427" t="s">
        <v>90</v>
      </c>
      <c r="E427" t="s">
        <v>44</v>
      </c>
      <c r="F427" s="6">
        <v>0.67708333333333337</v>
      </c>
      <c r="G427">
        <v>0</v>
      </c>
      <c r="H427" s="6">
        <f>FLOOR(tblPivotData[[#This Row],[Time]],Summary!$B$6/1440)</f>
        <v>0.67708333333333326</v>
      </c>
      <c r="I427" s="49">
        <f>INDEX(PeakCalc!$L$10:$L$303,MATCH(tblPivotData[[#This Row],[Time]],PeakCalc!$G$10:$G$303,0))</f>
        <v>0</v>
      </c>
    </row>
    <row r="428" spans="1:9" x14ac:dyDescent="0.25">
      <c r="A428" t="s">
        <v>94</v>
      </c>
      <c r="B428" t="s">
        <v>102</v>
      </c>
      <c r="C428" t="s">
        <v>96</v>
      </c>
      <c r="D428" t="s">
        <v>90</v>
      </c>
      <c r="E428" t="s">
        <v>44</v>
      </c>
      <c r="F428" s="6">
        <v>0.6875</v>
      </c>
      <c r="G428">
        <v>0</v>
      </c>
      <c r="H428" s="6">
        <f>FLOOR(tblPivotData[[#This Row],[Time]],Summary!$B$6/1440)</f>
        <v>0.6875</v>
      </c>
      <c r="I428" s="49">
        <f>INDEX(PeakCalc!$L$10:$L$303,MATCH(tblPivotData[[#This Row],[Time]],PeakCalc!$G$10:$G$303,0))</f>
        <v>1</v>
      </c>
    </row>
    <row r="429" spans="1:9" x14ac:dyDescent="0.25">
      <c r="A429" t="s">
        <v>94</v>
      </c>
      <c r="B429" t="s">
        <v>102</v>
      </c>
      <c r="C429" t="s">
        <v>96</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94</v>
      </c>
      <c r="B430" t="s">
        <v>102</v>
      </c>
      <c r="C430" t="s">
        <v>96</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94</v>
      </c>
      <c r="B431" t="s">
        <v>102</v>
      </c>
      <c r="C431" t="s">
        <v>96</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94</v>
      </c>
      <c r="B432" t="s">
        <v>102</v>
      </c>
      <c r="C432" t="s">
        <v>96</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94</v>
      </c>
      <c r="B433" t="s">
        <v>102</v>
      </c>
      <c r="C433" t="s">
        <v>96</v>
      </c>
      <c r="D433" t="s">
        <v>90</v>
      </c>
      <c r="E433" t="s">
        <v>44</v>
      </c>
      <c r="F433" s="6">
        <v>0.73958333333333337</v>
      </c>
      <c r="G433">
        <v>1</v>
      </c>
      <c r="H433" s="6">
        <f>FLOOR(tblPivotData[[#This Row],[Time]],Summary!$B$6/1440)</f>
        <v>0.73958333333333326</v>
      </c>
      <c r="I433" s="49">
        <f>INDEX(PeakCalc!$L$10:$L$303,MATCH(tblPivotData[[#This Row],[Time]],PeakCalc!$G$10:$G$303,0))</f>
        <v>0</v>
      </c>
    </row>
    <row r="434" spans="1:9" x14ac:dyDescent="0.25">
      <c r="A434" t="s">
        <v>94</v>
      </c>
      <c r="B434" t="s">
        <v>103</v>
      </c>
      <c r="C434" t="s">
        <v>93</v>
      </c>
      <c r="D434" t="s">
        <v>79</v>
      </c>
      <c r="E434" t="s">
        <v>43</v>
      </c>
      <c r="F434" s="6">
        <v>0.29166666666666669</v>
      </c>
      <c r="G434">
        <v>0</v>
      </c>
      <c r="H434" s="6">
        <f>FLOOR(tblPivotData[[#This Row],[Time]],Summary!$B$6/1440)</f>
        <v>0.29166666666666663</v>
      </c>
      <c r="I434" s="49">
        <f>INDEX(PeakCalc!$L$10:$L$303,MATCH(tblPivotData[[#This Row],[Time]],PeakCalc!$G$10:$G$303,0))</f>
        <v>0</v>
      </c>
    </row>
    <row r="435" spans="1:9" x14ac:dyDescent="0.25">
      <c r="A435" t="s">
        <v>94</v>
      </c>
      <c r="B435" t="s">
        <v>103</v>
      </c>
      <c r="C435" t="s">
        <v>93</v>
      </c>
      <c r="D435" t="s">
        <v>79</v>
      </c>
      <c r="E435" t="s">
        <v>43</v>
      </c>
      <c r="F435" s="6">
        <v>0.30208333333333331</v>
      </c>
      <c r="G435">
        <v>0</v>
      </c>
      <c r="H435" s="6">
        <f>FLOOR(tblPivotData[[#This Row],[Time]],Summary!$B$6/1440)</f>
        <v>0.30208333333333331</v>
      </c>
      <c r="I435" s="49">
        <f>INDEX(PeakCalc!$L$10:$L$303,MATCH(tblPivotData[[#This Row],[Time]],PeakCalc!$G$10:$G$303,0))</f>
        <v>0</v>
      </c>
    </row>
    <row r="436" spans="1:9" x14ac:dyDescent="0.25">
      <c r="A436" t="s">
        <v>94</v>
      </c>
      <c r="B436" t="s">
        <v>103</v>
      </c>
      <c r="C436" t="s">
        <v>93</v>
      </c>
      <c r="D436" t="s">
        <v>79</v>
      </c>
      <c r="E436" t="s">
        <v>43</v>
      </c>
      <c r="F436" s="6">
        <v>0.3125</v>
      </c>
      <c r="G436">
        <v>1</v>
      </c>
      <c r="H436" s="6">
        <f>FLOOR(tblPivotData[[#This Row],[Time]],Summary!$B$6/1440)</f>
        <v>0.3125</v>
      </c>
      <c r="I436" s="49">
        <f>INDEX(PeakCalc!$L$10:$L$303,MATCH(tblPivotData[[#This Row],[Time]],PeakCalc!$G$10:$G$303,0))</f>
        <v>0</v>
      </c>
    </row>
    <row r="437" spans="1:9" x14ac:dyDescent="0.25">
      <c r="A437" t="s">
        <v>94</v>
      </c>
      <c r="B437" t="s">
        <v>103</v>
      </c>
      <c r="C437" t="s">
        <v>93</v>
      </c>
      <c r="D437" t="s">
        <v>79</v>
      </c>
      <c r="E437" t="s">
        <v>43</v>
      </c>
      <c r="F437" s="6">
        <v>0.32291666666666669</v>
      </c>
      <c r="G437">
        <v>0</v>
      </c>
      <c r="H437" s="6">
        <f>FLOOR(tblPivotData[[#This Row],[Time]],Summary!$B$6/1440)</f>
        <v>0.32291666666666663</v>
      </c>
      <c r="I437" s="49">
        <f>INDEX(PeakCalc!$L$10:$L$303,MATCH(tblPivotData[[#This Row],[Time]],PeakCalc!$G$10:$G$303,0))</f>
        <v>0</v>
      </c>
    </row>
    <row r="438" spans="1:9" x14ac:dyDescent="0.25">
      <c r="A438" t="s">
        <v>94</v>
      </c>
      <c r="B438" t="s">
        <v>103</v>
      </c>
      <c r="C438" t="s">
        <v>93</v>
      </c>
      <c r="D438" t="s">
        <v>79</v>
      </c>
      <c r="E438" t="s">
        <v>43</v>
      </c>
      <c r="F438" s="6">
        <v>0.33333333333333331</v>
      </c>
      <c r="G438">
        <v>0</v>
      </c>
      <c r="H438" s="6">
        <f>FLOOR(tblPivotData[[#This Row],[Time]],Summary!$B$6/1440)</f>
        <v>0.33333333333333331</v>
      </c>
      <c r="I438" s="49">
        <f>INDEX(PeakCalc!$L$10:$L$303,MATCH(tblPivotData[[#This Row],[Time]],PeakCalc!$G$10:$G$303,0))</f>
        <v>1</v>
      </c>
    </row>
    <row r="439" spans="1:9" x14ac:dyDescent="0.25">
      <c r="A439" t="s">
        <v>94</v>
      </c>
      <c r="B439" t="s">
        <v>103</v>
      </c>
      <c r="C439" t="s">
        <v>93</v>
      </c>
      <c r="D439" t="s">
        <v>79</v>
      </c>
      <c r="E439" t="s">
        <v>43</v>
      </c>
      <c r="F439" s="6">
        <v>0.34375</v>
      </c>
      <c r="G439">
        <v>0</v>
      </c>
      <c r="H439" s="6">
        <f>FLOOR(tblPivotData[[#This Row],[Time]],Summary!$B$6/1440)</f>
        <v>0.34375</v>
      </c>
      <c r="I439" s="49">
        <f>INDEX(PeakCalc!$L$10:$L$303,MATCH(tblPivotData[[#This Row],[Time]],PeakCalc!$G$10:$G$303,0))</f>
        <v>1</v>
      </c>
    </row>
    <row r="440" spans="1:9" x14ac:dyDescent="0.25">
      <c r="A440" t="s">
        <v>94</v>
      </c>
      <c r="B440" t="s">
        <v>103</v>
      </c>
      <c r="C440" t="s">
        <v>93</v>
      </c>
      <c r="D440" t="s">
        <v>79</v>
      </c>
      <c r="E440" t="s">
        <v>43</v>
      </c>
      <c r="F440" s="6">
        <v>0.35416666666666669</v>
      </c>
      <c r="G440">
        <v>0</v>
      </c>
      <c r="H440" s="6">
        <f>FLOOR(tblPivotData[[#This Row],[Time]],Summary!$B$6/1440)</f>
        <v>0.35416666666666663</v>
      </c>
      <c r="I440" s="49">
        <f>INDEX(PeakCalc!$L$10:$L$303,MATCH(tblPivotData[[#This Row],[Time]],PeakCalc!$G$10:$G$303,0))</f>
        <v>1</v>
      </c>
    </row>
    <row r="441" spans="1:9" x14ac:dyDescent="0.25">
      <c r="A441" t="s">
        <v>94</v>
      </c>
      <c r="B441" t="s">
        <v>103</v>
      </c>
      <c r="C441" t="s">
        <v>93</v>
      </c>
      <c r="D441" t="s">
        <v>79</v>
      </c>
      <c r="E441" t="s">
        <v>43</v>
      </c>
      <c r="F441" s="6">
        <v>0.36458333333333331</v>
      </c>
      <c r="G441">
        <v>1</v>
      </c>
      <c r="H441" s="6">
        <f>FLOOR(tblPivotData[[#This Row],[Time]],Summary!$B$6/1440)</f>
        <v>0.36458333333333331</v>
      </c>
      <c r="I441" s="49">
        <f>INDEX(PeakCalc!$L$10:$L$303,MATCH(tblPivotData[[#This Row],[Time]],PeakCalc!$G$10:$G$303,0))</f>
        <v>1</v>
      </c>
    </row>
    <row r="442" spans="1:9" x14ac:dyDescent="0.25">
      <c r="A442" t="s">
        <v>94</v>
      </c>
      <c r="B442" t="s">
        <v>103</v>
      </c>
      <c r="C442" t="s">
        <v>93</v>
      </c>
      <c r="D442" t="s">
        <v>79</v>
      </c>
      <c r="E442" t="s">
        <v>91</v>
      </c>
      <c r="F442" s="6">
        <v>0.5625</v>
      </c>
      <c r="G442">
        <v>1</v>
      </c>
      <c r="H442" s="6">
        <f>FLOOR(tblPivotData[[#This Row],[Time]],Summary!$B$6/1440)</f>
        <v>0.5625</v>
      </c>
      <c r="I442" s="49">
        <f>INDEX(PeakCalc!$L$10:$L$303,MATCH(tblPivotData[[#This Row],[Time]],PeakCalc!$G$10:$G$303,0))</f>
        <v>0</v>
      </c>
    </row>
    <row r="443" spans="1:9" x14ac:dyDescent="0.25">
      <c r="A443" t="s">
        <v>94</v>
      </c>
      <c r="B443" t="s">
        <v>103</v>
      </c>
      <c r="C443" t="s">
        <v>93</v>
      </c>
      <c r="D443" t="s">
        <v>79</v>
      </c>
      <c r="E443" t="s">
        <v>91</v>
      </c>
      <c r="F443" s="6">
        <v>0.57291666666666663</v>
      </c>
      <c r="G443">
        <v>3</v>
      </c>
      <c r="H443" s="6">
        <f>FLOOR(tblPivotData[[#This Row],[Time]],Summary!$B$6/1440)</f>
        <v>0.57291666666666663</v>
      </c>
      <c r="I443" s="49">
        <f>INDEX(PeakCalc!$L$10:$L$303,MATCH(tblPivotData[[#This Row],[Time]],PeakCalc!$G$10:$G$303,0))</f>
        <v>0</v>
      </c>
    </row>
    <row r="444" spans="1:9" x14ac:dyDescent="0.25">
      <c r="A444" t="s">
        <v>94</v>
      </c>
      <c r="B444" t="s">
        <v>103</v>
      </c>
      <c r="C444" t="s">
        <v>93</v>
      </c>
      <c r="D444" t="s">
        <v>79</v>
      </c>
      <c r="E444" t="s">
        <v>91</v>
      </c>
      <c r="F444" s="6">
        <v>0.58333333333333337</v>
      </c>
      <c r="G444">
        <v>1</v>
      </c>
      <c r="H444" s="6">
        <f>FLOOR(tblPivotData[[#This Row],[Time]],Summary!$B$6/1440)</f>
        <v>0.58333333333333326</v>
      </c>
      <c r="I444" s="49">
        <f>INDEX(PeakCalc!$L$10:$L$303,MATCH(tblPivotData[[#This Row],[Time]],PeakCalc!$G$10:$G$303,0))</f>
        <v>0</v>
      </c>
    </row>
    <row r="445" spans="1:9" x14ac:dyDescent="0.25">
      <c r="A445" t="s">
        <v>94</v>
      </c>
      <c r="B445" t="s">
        <v>103</v>
      </c>
      <c r="C445" t="s">
        <v>93</v>
      </c>
      <c r="D445" t="s">
        <v>79</v>
      </c>
      <c r="E445" t="s">
        <v>91</v>
      </c>
      <c r="F445" s="6">
        <v>0.59375</v>
      </c>
      <c r="G445">
        <v>1</v>
      </c>
      <c r="H445" s="6">
        <f>FLOOR(tblPivotData[[#This Row],[Time]],Summary!$B$6/1440)</f>
        <v>0.59375</v>
      </c>
      <c r="I445" s="49">
        <f>INDEX(PeakCalc!$L$10:$L$303,MATCH(tblPivotData[[#This Row],[Time]],PeakCalc!$G$10:$G$303,0))</f>
        <v>0</v>
      </c>
    </row>
    <row r="446" spans="1:9" x14ac:dyDescent="0.25">
      <c r="A446" t="s">
        <v>94</v>
      </c>
      <c r="B446" t="s">
        <v>103</v>
      </c>
      <c r="C446" t="s">
        <v>93</v>
      </c>
      <c r="D446" t="s">
        <v>79</v>
      </c>
      <c r="E446" t="s">
        <v>91</v>
      </c>
      <c r="F446" s="6">
        <v>0.60416666666666663</v>
      </c>
      <c r="G446">
        <v>0</v>
      </c>
      <c r="H446" s="6">
        <f>FLOOR(tblPivotData[[#This Row],[Time]],Summary!$B$6/1440)</f>
        <v>0.60416666666666663</v>
      </c>
      <c r="I446" s="49">
        <f>INDEX(PeakCalc!$L$10:$L$303,MATCH(tblPivotData[[#This Row],[Time]],PeakCalc!$G$10:$G$303,0))</f>
        <v>1</v>
      </c>
    </row>
    <row r="447" spans="1:9" x14ac:dyDescent="0.25">
      <c r="A447" t="s">
        <v>94</v>
      </c>
      <c r="B447" t="s">
        <v>103</v>
      </c>
      <c r="C447" t="s">
        <v>93</v>
      </c>
      <c r="D447" t="s">
        <v>79</v>
      </c>
      <c r="E447" t="s">
        <v>91</v>
      </c>
      <c r="F447" s="6">
        <v>0.61458333333333337</v>
      </c>
      <c r="G447">
        <v>1</v>
      </c>
      <c r="H447" s="6">
        <f>FLOOR(tblPivotData[[#This Row],[Time]],Summary!$B$6/1440)</f>
        <v>0.61458333333333326</v>
      </c>
      <c r="I447" s="49">
        <f>INDEX(PeakCalc!$L$10:$L$303,MATCH(tblPivotData[[#This Row],[Time]],PeakCalc!$G$10:$G$303,0))</f>
        <v>1</v>
      </c>
    </row>
    <row r="448" spans="1:9" x14ac:dyDescent="0.25">
      <c r="A448" t="s">
        <v>94</v>
      </c>
      <c r="B448" t="s">
        <v>103</v>
      </c>
      <c r="C448" t="s">
        <v>93</v>
      </c>
      <c r="D448" t="s">
        <v>79</v>
      </c>
      <c r="E448" t="s">
        <v>91</v>
      </c>
      <c r="F448" s="6">
        <v>0.625</v>
      </c>
      <c r="G448">
        <v>0</v>
      </c>
      <c r="H448" s="6">
        <f>FLOOR(tblPivotData[[#This Row],[Time]],Summary!$B$6/1440)</f>
        <v>0.625</v>
      </c>
      <c r="I448" s="49">
        <f>INDEX(PeakCalc!$L$10:$L$303,MATCH(tblPivotData[[#This Row],[Time]],PeakCalc!$G$10:$G$303,0))</f>
        <v>1</v>
      </c>
    </row>
    <row r="449" spans="1:9" x14ac:dyDescent="0.25">
      <c r="A449" t="s">
        <v>94</v>
      </c>
      <c r="B449" t="s">
        <v>103</v>
      </c>
      <c r="C449" t="s">
        <v>93</v>
      </c>
      <c r="D449" t="s">
        <v>79</v>
      </c>
      <c r="E449" t="s">
        <v>91</v>
      </c>
      <c r="F449" s="6">
        <v>0.63541666666666663</v>
      </c>
      <c r="G449">
        <v>1</v>
      </c>
      <c r="H449" s="6">
        <f>FLOOR(tblPivotData[[#This Row],[Time]],Summary!$B$6/1440)</f>
        <v>0.63541666666666663</v>
      </c>
      <c r="I449" s="49">
        <f>INDEX(PeakCalc!$L$10:$L$303,MATCH(tblPivotData[[#This Row],[Time]],PeakCalc!$G$10:$G$303,0))</f>
        <v>1</v>
      </c>
    </row>
    <row r="450" spans="1:9" x14ac:dyDescent="0.25">
      <c r="A450" t="s">
        <v>94</v>
      </c>
      <c r="B450" t="s">
        <v>103</v>
      </c>
      <c r="C450" t="s">
        <v>93</v>
      </c>
      <c r="D450" t="s">
        <v>79</v>
      </c>
      <c r="E450" t="s">
        <v>44</v>
      </c>
      <c r="F450" s="6">
        <v>0.66666666666666663</v>
      </c>
      <c r="G450">
        <v>0</v>
      </c>
      <c r="H450" s="6">
        <f>FLOOR(tblPivotData[[#This Row],[Time]],Summary!$B$6/1440)</f>
        <v>0.66666666666666663</v>
      </c>
      <c r="I450" s="49">
        <f>INDEX(PeakCalc!$L$10:$L$303,MATCH(tblPivotData[[#This Row],[Time]],PeakCalc!$G$10:$G$303,0))</f>
        <v>0</v>
      </c>
    </row>
    <row r="451" spans="1:9" x14ac:dyDescent="0.25">
      <c r="A451" t="s">
        <v>94</v>
      </c>
      <c r="B451" t="s">
        <v>103</v>
      </c>
      <c r="C451" t="s">
        <v>93</v>
      </c>
      <c r="D451" t="s">
        <v>79</v>
      </c>
      <c r="E451" t="s">
        <v>44</v>
      </c>
      <c r="F451" s="6">
        <v>0.67708333333333337</v>
      </c>
      <c r="G451">
        <v>0</v>
      </c>
      <c r="H451" s="6">
        <f>FLOOR(tblPivotData[[#This Row],[Time]],Summary!$B$6/1440)</f>
        <v>0.67708333333333326</v>
      </c>
      <c r="I451" s="49">
        <f>INDEX(PeakCalc!$L$10:$L$303,MATCH(tblPivotData[[#This Row],[Time]],PeakCalc!$G$10:$G$303,0))</f>
        <v>0</v>
      </c>
    </row>
    <row r="452" spans="1:9" x14ac:dyDescent="0.25">
      <c r="A452" t="s">
        <v>94</v>
      </c>
      <c r="B452" t="s">
        <v>103</v>
      </c>
      <c r="C452" t="s">
        <v>93</v>
      </c>
      <c r="D452" t="s">
        <v>79</v>
      </c>
      <c r="E452" t="s">
        <v>44</v>
      </c>
      <c r="F452" s="6">
        <v>0.6875</v>
      </c>
      <c r="G452">
        <v>0</v>
      </c>
      <c r="H452" s="6">
        <f>FLOOR(tblPivotData[[#This Row],[Time]],Summary!$B$6/1440)</f>
        <v>0.6875</v>
      </c>
      <c r="I452" s="49">
        <f>INDEX(PeakCalc!$L$10:$L$303,MATCH(tblPivotData[[#This Row],[Time]],PeakCalc!$G$10:$G$303,0))</f>
        <v>1</v>
      </c>
    </row>
    <row r="453" spans="1:9" x14ac:dyDescent="0.25">
      <c r="A453" t="s">
        <v>94</v>
      </c>
      <c r="B453" t="s">
        <v>103</v>
      </c>
      <c r="C453" t="s">
        <v>93</v>
      </c>
      <c r="D453" t="s">
        <v>79</v>
      </c>
      <c r="E453" t="s">
        <v>44</v>
      </c>
      <c r="F453" s="6">
        <v>0.69791666666666663</v>
      </c>
      <c r="G453">
        <v>0</v>
      </c>
      <c r="H453" s="6">
        <f>FLOOR(tblPivotData[[#This Row],[Time]],Summary!$B$6/1440)</f>
        <v>0.69791666666666663</v>
      </c>
      <c r="I453" s="49">
        <f>INDEX(PeakCalc!$L$10:$L$303,MATCH(tblPivotData[[#This Row],[Time]],PeakCalc!$G$10:$G$303,0))</f>
        <v>1</v>
      </c>
    </row>
    <row r="454" spans="1:9" x14ac:dyDescent="0.25">
      <c r="A454" t="s">
        <v>94</v>
      </c>
      <c r="B454" t="s">
        <v>103</v>
      </c>
      <c r="C454" t="s">
        <v>93</v>
      </c>
      <c r="D454" t="s">
        <v>79</v>
      </c>
      <c r="E454" t="s">
        <v>44</v>
      </c>
      <c r="F454" s="6">
        <v>0.70833333333333337</v>
      </c>
      <c r="G454">
        <v>1</v>
      </c>
      <c r="H454" s="6">
        <f>FLOOR(tblPivotData[[#This Row],[Time]],Summary!$B$6/1440)</f>
        <v>0.70833333333333326</v>
      </c>
      <c r="I454" s="49">
        <f>INDEX(PeakCalc!$L$10:$L$303,MATCH(tblPivotData[[#This Row],[Time]],PeakCalc!$G$10:$G$303,0))</f>
        <v>1</v>
      </c>
    </row>
    <row r="455" spans="1:9" x14ac:dyDescent="0.25">
      <c r="A455" t="s">
        <v>94</v>
      </c>
      <c r="B455" t="s">
        <v>103</v>
      </c>
      <c r="C455" t="s">
        <v>93</v>
      </c>
      <c r="D455" t="s">
        <v>79</v>
      </c>
      <c r="E455" t="s">
        <v>44</v>
      </c>
      <c r="F455" s="6">
        <v>0.71875</v>
      </c>
      <c r="G455">
        <v>2</v>
      </c>
      <c r="H455" s="6">
        <f>FLOOR(tblPivotData[[#This Row],[Time]],Summary!$B$6/1440)</f>
        <v>0.71875</v>
      </c>
      <c r="I455" s="49">
        <f>INDEX(PeakCalc!$L$10:$L$303,MATCH(tblPivotData[[#This Row],[Time]],PeakCalc!$G$10:$G$303,0))</f>
        <v>1</v>
      </c>
    </row>
    <row r="456" spans="1:9" x14ac:dyDescent="0.25">
      <c r="A456" t="s">
        <v>94</v>
      </c>
      <c r="B456" t="s">
        <v>103</v>
      </c>
      <c r="C456" t="s">
        <v>93</v>
      </c>
      <c r="D456" t="s">
        <v>79</v>
      </c>
      <c r="E456" t="s">
        <v>44</v>
      </c>
      <c r="F456" s="6">
        <v>0.72916666666666663</v>
      </c>
      <c r="G456">
        <v>1</v>
      </c>
      <c r="H456" s="6">
        <f>FLOOR(tblPivotData[[#This Row],[Time]],Summary!$B$6/1440)</f>
        <v>0.72916666666666663</v>
      </c>
      <c r="I456" s="49">
        <f>INDEX(PeakCalc!$L$10:$L$303,MATCH(tblPivotData[[#This Row],[Time]],PeakCalc!$G$10:$G$303,0))</f>
        <v>0</v>
      </c>
    </row>
    <row r="457" spans="1:9" x14ac:dyDescent="0.25">
      <c r="A457" t="s">
        <v>94</v>
      </c>
      <c r="B457" t="s">
        <v>103</v>
      </c>
      <c r="C457" t="s">
        <v>93</v>
      </c>
      <c r="D457" t="s">
        <v>79</v>
      </c>
      <c r="E457" t="s">
        <v>44</v>
      </c>
      <c r="F457" s="6">
        <v>0.73958333333333337</v>
      </c>
      <c r="G457">
        <v>1</v>
      </c>
      <c r="H457" s="6">
        <f>FLOOR(tblPivotData[[#This Row],[Time]],Summary!$B$6/1440)</f>
        <v>0.73958333333333326</v>
      </c>
      <c r="I457" s="49">
        <f>INDEX(PeakCalc!$L$10:$L$303,MATCH(tblPivotData[[#This Row],[Time]],PeakCalc!$G$10:$G$303,0))</f>
        <v>0</v>
      </c>
    </row>
    <row r="458" spans="1:9" x14ac:dyDescent="0.25">
      <c r="A458" t="s">
        <v>94</v>
      </c>
      <c r="B458" t="s">
        <v>103</v>
      </c>
      <c r="C458" t="s">
        <v>93</v>
      </c>
      <c r="D458" t="s">
        <v>89</v>
      </c>
      <c r="E458" t="s">
        <v>43</v>
      </c>
      <c r="F458" s="6">
        <v>0.29166666666666669</v>
      </c>
      <c r="G458">
        <v>0</v>
      </c>
      <c r="H458" s="6">
        <f>FLOOR(tblPivotData[[#This Row],[Time]],Summary!$B$6/1440)</f>
        <v>0.29166666666666663</v>
      </c>
      <c r="I458" s="49">
        <f>INDEX(PeakCalc!$L$10:$L$303,MATCH(tblPivotData[[#This Row],[Time]],PeakCalc!$G$10:$G$303,0))</f>
        <v>0</v>
      </c>
    </row>
    <row r="459" spans="1:9" x14ac:dyDescent="0.25">
      <c r="A459" t="s">
        <v>94</v>
      </c>
      <c r="B459" t="s">
        <v>103</v>
      </c>
      <c r="C459" t="s">
        <v>93</v>
      </c>
      <c r="D459" t="s">
        <v>89</v>
      </c>
      <c r="E459" t="s">
        <v>43</v>
      </c>
      <c r="F459" s="6">
        <v>0.30208333333333331</v>
      </c>
      <c r="G459">
        <v>0</v>
      </c>
      <c r="H459" s="6">
        <f>FLOOR(tblPivotData[[#This Row],[Time]],Summary!$B$6/1440)</f>
        <v>0.30208333333333331</v>
      </c>
      <c r="I459" s="49">
        <f>INDEX(PeakCalc!$L$10:$L$303,MATCH(tblPivotData[[#This Row],[Time]],PeakCalc!$G$10:$G$303,0))</f>
        <v>0</v>
      </c>
    </row>
    <row r="460" spans="1:9" x14ac:dyDescent="0.25">
      <c r="A460" t="s">
        <v>94</v>
      </c>
      <c r="B460" t="s">
        <v>103</v>
      </c>
      <c r="C460" t="s">
        <v>93</v>
      </c>
      <c r="D460" t="s">
        <v>89</v>
      </c>
      <c r="E460" t="s">
        <v>43</v>
      </c>
      <c r="F460" s="6">
        <v>0.3125</v>
      </c>
      <c r="G460">
        <v>0</v>
      </c>
      <c r="H460" s="6">
        <f>FLOOR(tblPivotData[[#This Row],[Time]],Summary!$B$6/1440)</f>
        <v>0.3125</v>
      </c>
      <c r="I460" s="49">
        <f>INDEX(PeakCalc!$L$10:$L$303,MATCH(tblPivotData[[#This Row],[Time]],PeakCalc!$G$10:$G$303,0))</f>
        <v>0</v>
      </c>
    </row>
    <row r="461" spans="1:9" x14ac:dyDescent="0.25">
      <c r="A461" t="s">
        <v>94</v>
      </c>
      <c r="B461" t="s">
        <v>103</v>
      </c>
      <c r="C461" t="s">
        <v>93</v>
      </c>
      <c r="D461" t="s">
        <v>89</v>
      </c>
      <c r="E461" t="s">
        <v>43</v>
      </c>
      <c r="F461" s="6">
        <v>0.32291666666666669</v>
      </c>
      <c r="G461">
        <v>0</v>
      </c>
      <c r="H461" s="6">
        <f>FLOOR(tblPivotData[[#This Row],[Time]],Summary!$B$6/1440)</f>
        <v>0.32291666666666663</v>
      </c>
      <c r="I461" s="49">
        <f>INDEX(PeakCalc!$L$10:$L$303,MATCH(tblPivotData[[#This Row],[Time]],PeakCalc!$G$10:$G$303,0))</f>
        <v>0</v>
      </c>
    </row>
    <row r="462" spans="1:9" x14ac:dyDescent="0.25">
      <c r="A462" t="s">
        <v>94</v>
      </c>
      <c r="B462" t="s">
        <v>103</v>
      </c>
      <c r="C462" t="s">
        <v>93</v>
      </c>
      <c r="D462" t="s">
        <v>89</v>
      </c>
      <c r="E462" t="s">
        <v>43</v>
      </c>
      <c r="F462" s="6">
        <v>0.33333333333333331</v>
      </c>
      <c r="G462">
        <v>0</v>
      </c>
      <c r="H462" s="6">
        <f>FLOOR(tblPivotData[[#This Row],[Time]],Summary!$B$6/1440)</f>
        <v>0.33333333333333331</v>
      </c>
      <c r="I462" s="49">
        <f>INDEX(PeakCalc!$L$10:$L$303,MATCH(tblPivotData[[#This Row],[Time]],PeakCalc!$G$10:$G$303,0))</f>
        <v>1</v>
      </c>
    </row>
    <row r="463" spans="1:9" x14ac:dyDescent="0.25">
      <c r="A463" t="s">
        <v>94</v>
      </c>
      <c r="B463" t="s">
        <v>103</v>
      </c>
      <c r="C463" t="s">
        <v>93</v>
      </c>
      <c r="D463" t="s">
        <v>89</v>
      </c>
      <c r="E463" t="s">
        <v>43</v>
      </c>
      <c r="F463" s="6">
        <v>0.34375</v>
      </c>
      <c r="G463">
        <v>0</v>
      </c>
      <c r="H463" s="6">
        <f>FLOOR(tblPivotData[[#This Row],[Time]],Summary!$B$6/1440)</f>
        <v>0.34375</v>
      </c>
      <c r="I463" s="49">
        <f>INDEX(PeakCalc!$L$10:$L$303,MATCH(tblPivotData[[#This Row],[Time]],PeakCalc!$G$10:$G$303,0))</f>
        <v>1</v>
      </c>
    </row>
    <row r="464" spans="1:9" x14ac:dyDescent="0.25">
      <c r="A464" t="s">
        <v>94</v>
      </c>
      <c r="B464" t="s">
        <v>103</v>
      </c>
      <c r="C464" t="s">
        <v>93</v>
      </c>
      <c r="D464" t="s">
        <v>89</v>
      </c>
      <c r="E464" t="s">
        <v>43</v>
      </c>
      <c r="F464" s="6">
        <v>0.35416666666666669</v>
      </c>
      <c r="G464">
        <v>0</v>
      </c>
      <c r="H464" s="6">
        <f>FLOOR(tblPivotData[[#This Row],[Time]],Summary!$B$6/1440)</f>
        <v>0.35416666666666663</v>
      </c>
      <c r="I464" s="49">
        <f>INDEX(PeakCalc!$L$10:$L$303,MATCH(tblPivotData[[#This Row],[Time]],PeakCalc!$G$10:$G$303,0))</f>
        <v>1</v>
      </c>
    </row>
    <row r="465" spans="1:9" x14ac:dyDescent="0.25">
      <c r="A465" t="s">
        <v>94</v>
      </c>
      <c r="B465" t="s">
        <v>103</v>
      </c>
      <c r="C465" t="s">
        <v>93</v>
      </c>
      <c r="D465" t="s">
        <v>89</v>
      </c>
      <c r="E465" t="s">
        <v>43</v>
      </c>
      <c r="F465" s="6">
        <v>0.36458333333333331</v>
      </c>
      <c r="G465">
        <v>0</v>
      </c>
      <c r="H465" s="6">
        <f>FLOOR(tblPivotData[[#This Row],[Time]],Summary!$B$6/1440)</f>
        <v>0.36458333333333331</v>
      </c>
      <c r="I465" s="49">
        <f>INDEX(PeakCalc!$L$10:$L$303,MATCH(tblPivotData[[#This Row],[Time]],PeakCalc!$G$10:$G$303,0))</f>
        <v>1</v>
      </c>
    </row>
    <row r="466" spans="1:9" x14ac:dyDescent="0.25">
      <c r="A466" t="s">
        <v>94</v>
      </c>
      <c r="B466" t="s">
        <v>103</v>
      </c>
      <c r="C466" t="s">
        <v>93</v>
      </c>
      <c r="D466" t="s">
        <v>89</v>
      </c>
      <c r="E466" t="s">
        <v>91</v>
      </c>
      <c r="F466" s="6">
        <v>0.5625</v>
      </c>
      <c r="G466">
        <v>0</v>
      </c>
      <c r="H466" s="6">
        <f>FLOOR(tblPivotData[[#This Row],[Time]],Summary!$B$6/1440)</f>
        <v>0.5625</v>
      </c>
      <c r="I466" s="49">
        <f>INDEX(PeakCalc!$L$10:$L$303,MATCH(tblPivotData[[#This Row],[Time]],PeakCalc!$G$10:$G$303,0))</f>
        <v>0</v>
      </c>
    </row>
    <row r="467" spans="1:9" x14ac:dyDescent="0.25">
      <c r="A467" t="s">
        <v>94</v>
      </c>
      <c r="B467" t="s">
        <v>103</v>
      </c>
      <c r="C467" t="s">
        <v>93</v>
      </c>
      <c r="D467" t="s">
        <v>89</v>
      </c>
      <c r="E467" t="s">
        <v>91</v>
      </c>
      <c r="F467" s="6">
        <v>0.57291666666666663</v>
      </c>
      <c r="G467">
        <v>0</v>
      </c>
      <c r="H467" s="6">
        <f>FLOOR(tblPivotData[[#This Row],[Time]],Summary!$B$6/1440)</f>
        <v>0.57291666666666663</v>
      </c>
      <c r="I467" s="49">
        <f>INDEX(PeakCalc!$L$10:$L$303,MATCH(tblPivotData[[#This Row],[Time]],PeakCalc!$G$10:$G$303,0))</f>
        <v>0</v>
      </c>
    </row>
    <row r="468" spans="1:9" x14ac:dyDescent="0.25">
      <c r="A468" t="s">
        <v>94</v>
      </c>
      <c r="B468" t="s">
        <v>103</v>
      </c>
      <c r="C468" t="s">
        <v>93</v>
      </c>
      <c r="D468" t="s">
        <v>89</v>
      </c>
      <c r="E468" t="s">
        <v>91</v>
      </c>
      <c r="F468" s="6">
        <v>0.58333333333333337</v>
      </c>
      <c r="G468">
        <v>0</v>
      </c>
      <c r="H468" s="6">
        <f>FLOOR(tblPivotData[[#This Row],[Time]],Summary!$B$6/1440)</f>
        <v>0.58333333333333326</v>
      </c>
      <c r="I468" s="49">
        <f>INDEX(PeakCalc!$L$10:$L$303,MATCH(tblPivotData[[#This Row],[Time]],PeakCalc!$G$10:$G$303,0))</f>
        <v>0</v>
      </c>
    </row>
    <row r="469" spans="1:9" x14ac:dyDescent="0.25">
      <c r="A469" t="s">
        <v>94</v>
      </c>
      <c r="B469" t="s">
        <v>103</v>
      </c>
      <c r="C469" t="s">
        <v>93</v>
      </c>
      <c r="D469" t="s">
        <v>89</v>
      </c>
      <c r="E469" t="s">
        <v>91</v>
      </c>
      <c r="F469" s="6">
        <v>0.59375</v>
      </c>
      <c r="G469">
        <v>0</v>
      </c>
      <c r="H469" s="6">
        <f>FLOOR(tblPivotData[[#This Row],[Time]],Summary!$B$6/1440)</f>
        <v>0.59375</v>
      </c>
      <c r="I469" s="49">
        <f>INDEX(PeakCalc!$L$10:$L$303,MATCH(tblPivotData[[#This Row],[Time]],PeakCalc!$G$10:$G$303,0))</f>
        <v>0</v>
      </c>
    </row>
    <row r="470" spans="1:9" x14ac:dyDescent="0.25">
      <c r="A470" t="s">
        <v>94</v>
      </c>
      <c r="B470" t="s">
        <v>103</v>
      </c>
      <c r="C470" t="s">
        <v>93</v>
      </c>
      <c r="D470" t="s">
        <v>89</v>
      </c>
      <c r="E470" t="s">
        <v>91</v>
      </c>
      <c r="F470" s="6">
        <v>0.60416666666666663</v>
      </c>
      <c r="G470">
        <v>0</v>
      </c>
      <c r="H470" s="6">
        <f>FLOOR(tblPivotData[[#This Row],[Time]],Summary!$B$6/1440)</f>
        <v>0.60416666666666663</v>
      </c>
      <c r="I470" s="49">
        <f>INDEX(PeakCalc!$L$10:$L$303,MATCH(tblPivotData[[#This Row],[Time]],PeakCalc!$G$10:$G$303,0))</f>
        <v>1</v>
      </c>
    </row>
    <row r="471" spans="1:9" x14ac:dyDescent="0.25">
      <c r="A471" t="s">
        <v>94</v>
      </c>
      <c r="B471" t="s">
        <v>103</v>
      </c>
      <c r="C471" t="s">
        <v>93</v>
      </c>
      <c r="D471" t="s">
        <v>89</v>
      </c>
      <c r="E471" t="s">
        <v>91</v>
      </c>
      <c r="F471" s="6">
        <v>0.61458333333333337</v>
      </c>
      <c r="G471">
        <v>0</v>
      </c>
      <c r="H471" s="6">
        <f>FLOOR(tblPivotData[[#This Row],[Time]],Summary!$B$6/1440)</f>
        <v>0.61458333333333326</v>
      </c>
      <c r="I471" s="49">
        <f>INDEX(PeakCalc!$L$10:$L$303,MATCH(tblPivotData[[#This Row],[Time]],PeakCalc!$G$10:$G$303,0))</f>
        <v>1</v>
      </c>
    </row>
    <row r="472" spans="1:9" x14ac:dyDescent="0.25">
      <c r="A472" t="s">
        <v>94</v>
      </c>
      <c r="B472" t="s">
        <v>103</v>
      </c>
      <c r="C472" t="s">
        <v>93</v>
      </c>
      <c r="D472" t="s">
        <v>89</v>
      </c>
      <c r="E472" t="s">
        <v>91</v>
      </c>
      <c r="F472" s="6">
        <v>0.625</v>
      </c>
      <c r="G472">
        <v>0</v>
      </c>
      <c r="H472" s="6">
        <f>FLOOR(tblPivotData[[#This Row],[Time]],Summary!$B$6/1440)</f>
        <v>0.625</v>
      </c>
      <c r="I472" s="49">
        <f>INDEX(PeakCalc!$L$10:$L$303,MATCH(tblPivotData[[#This Row],[Time]],PeakCalc!$G$10:$G$303,0))</f>
        <v>1</v>
      </c>
    </row>
    <row r="473" spans="1:9" x14ac:dyDescent="0.25">
      <c r="A473" t="s">
        <v>94</v>
      </c>
      <c r="B473" t="s">
        <v>103</v>
      </c>
      <c r="C473" t="s">
        <v>93</v>
      </c>
      <c r="D473" t="s">
        <v>89</v>
      </c>
      <c r="E473" t="s">
        <v>91</v>
      </c>
      <c r="F473" s="6">
        <v>0.63541666666666663</v>
      </c>
      <c r="G473">
        <v>0</v>
      </c>
      <c r="H473" s="6">
        <f>FLOOR(tblPivotData[[#This Row],[Time]],Summary!$B$6/1440)</f>
        <v>0.63541666666666663</v>
      </c>
      <c r="I473" s="49">
        <f>INDEX(PeakCalc!$L$10:$L$303,MATCH(tblPivotData[[#This Row],[Time]],PeakCalc!$G$10:$G$303,0))</f>
        <v>1</v>
      </c>
    </row>
    <row r="474" spans="1:9" x14ac:dyDescent="0.25">
      <c r="A474" t="s">
        <v>94</v>
      </c>
      <c r="B474" t="s">
        <v>103</v>
      </c>
      <c r="C474" t="s">
        <v>93</v>
      </c>
      <c r="D474" t="s">
        <v>89</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103</v>
      </c>
      <c r="C475" t="s">
        <v>93</v>
      </c>
      <c r="D475" t="s">
        <v>89</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103</v>
      </c>
      <c r="C476" t="s">
        <v>93</v>
      </c>
      <c r="D476" t="s">
        <v>89</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103</v>
      </c>
      <c r="C477" t="s">
        <v>93</v>
      </c>
      <c r="D477" t="s">
        <v>89</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103</v>
      </c>
      <c r="C478" t="s">
        <v>93</v>
      </c>
      <c r="D478" t="s">
        <v>89</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103</v>
      </c>
      <c r="C479" t="s">
        <v>93</v>
      </c>
      <c r="D479" t="s">
        <v>89</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103</v>
      </c>
      <c r="C480" t="s">
        <v>93</v>
      </c>
      <c r="D480" t="s">
        <v>89</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103</v>
      </c>
      <c r="C481" t="s">
        <v>93</v>
      </c>
      <c r="D481" t="s">
        <v>89</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94</v>
      </c>
      <c r="B482" t="s">
        <v>103</v>
      </c>
      <c r="C482" t="s">
        <v>93</v>
      </c>
      <c r="D482" t="s">
        <v>90</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94</v>
      </c>
      <c r="B483" t="s">
        <v>103</v>
      </c>
      <c r="C483" t="s">
        <v>93</v>
      </c>
      <c r="D483" t="s">
        <v>90</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94</v>
      </c>
      <c r="B484" t="s">
        <v>103</v>
      </c>
      <c r="C484" t="s">
        <v>93</v>
      </c>
      <c r="D484" t="s">
        <v>90</v>
      </c>
      <c r="E484" t="s">
        <v>43</v>
      </c>
      <c r="F484" s="6">
        <v>0.3125</v>
      </c>
      <c r="G484">
        <v>0</v>
      </c>
      <c r="H484" s="6">
        <f>FLOOR(tblPivotData[[#This Row],[Time]],Summary!$B$6/1440)</f>
        <v>0.3125</v>
      </c>
      <c r="I484" s="49">
        <f>INDEX(PeakCalc!$L$10:$L$303,MATCH(tblPivotData[[#This Row],[Time]],PeakCalc!$G$10:$G$303,0))</f>
        <v>0</v>
      </c>
    </row>
    <row r="485" spans="1:9" x14ac:dyDescent="0.25">
      <c r="A485" t="s">
        <v>94</v>
      </c>
      <c r="B485" t="s">
        <v>103</v>
      </c>
      <c r="C485" t="s">
        <v>93</v>
      </c>
      <c r="D485" t="s">
        <v>90</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94</v>
      </c>
      <c r="B486" t="s">
        <v>103</v>
      </c>
      <c r="C486" t="s">
        <v>93</v>
      </c>
      <c r="D486" t="s">
        <v>90</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94</v>
      </c>
      <c r="B487" t="s">
        <v>103</v>
      </c>
      <c r="C487" t="s">
        <v>93</v>
      </c>
      <c r="D487" t="s">
        <v>90</v>
      </c>
      <c r="E487" t="s">
        <v>43</v>
      </c>
      <c r="F487" s="6">
        <v>0.34375</v>
      </c>
      <c r="G487">
        <v>0</v>
      </c>
      <c r="H487" s="6">
        <f>FLOOR(tblPivotData[[#This Row],[Time]],Summary!$B$6/1440)</f>
        <v>0.34375</v>
      </c>
      <c r="I487" s="49">
        <f>INDEX(PeakCalc!$L$10:$L$303,MATCH(tblPivotData[[#This Row],[Time]],PeakCalc!$G$10:$G$303,0))</f>
        <v>1</v>
      </c>
    </row>
    <row r="488" spans="1:9" x14ac:dyDescent="0.25">
      <c r="A488" t="s">
        <v>94</v>
      </c>
      <c r="B488" t="s">
        <v>103</v>
      </c>
      <c r="C488" t="s">
        <v>93</v>
      </c>
      <c r="D488" t="s">
        <v>90</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94</v>
      </c>
      <c r="B489" t="s">
        <v>103</v>
      </c>
      <c r="C489" t="s">
        <v>93</v>
      </c>
      <c r="D489" t="s">
        <v>90</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94</v>
      </c>
      <c r="B490" t="s">
        <v>103</v>
      </c>
      <c r="C490" t="s">
        <v>93</v>
      </c>
      <c r="D490" t="s">
        <v>90</v>
      </c>
      <c r="E490" t="s">
        <v>91</v>
      </c>
      <c r="F490" s="6">
        <v>0.5625</v>
      </c>
      <c r="G490">
        <v>0</v>
      </c>
      <c r="H490" s="6">
        <f>FLOOR(tblPivotData[[#This Row],[Time]],Summary!$B$6/1440)</f>
        <v>0.5625</v>
      </c>
      <c r="I490" s="49">
        <f>INDEX(PeakCalc!$L$10:$L$303,MATCH(tblPivotData[[#This Row],[Time]],PeakCalc!$G$10:$G$303,0))</f>
        <v>0</v>
      </c>
    </row>
    <row r="491" spans="1:9" x14ac:dyDescent="0.25">
      <c r="A491" t="s">
        <v>94</v>
      </c>
      <c r="B491" t="s">
        <v>103</v>
      </c>
      <c r="C491" t="s">
        <v>93</v>
      </c>
      <c r="D491" t="s">
        <v>90</v>
      </c>
      <c r="E491" t="s">
        <v>91</v>
      </c>
      <c r="F491" s="6">
        <v>0.57291666666666663</v>
      </c>
      <c r="G491">
        <v>0</v>
      </c>
      <c r="H491" s="6">
        <f>FLOOR(tblPivotData[[#This Row],[Time]],Summary!$B$6/1440)</f>
        <v>0.57291666666666663</v>
      </c>
      <c r="I491" s="49">
        <f>INDEX(PeakCalc!$L$10:$L$303,MATCH(tblPivotData[[#This Row],[Time]],PeakCalc!$G$10:$G$303,0))</f>
        <v>0</v>
      </c>
    </row>
    <row r="492" spans="1:9" x14ac:dyDescent="0.25">
      <c r="A492" t="s">
        <v>94</v>
      </c>
      <c r="B492" t="s">
        <v>103</v>
      </c>
      <c r="C492" t="s">
        <v>93</v>
      </c>
      <c r="D492" t="s">
        <v>90</v>
      </c>
      <c r="E492" t="s">
        <v>91</v>
      </c>
      <c r="F492" s="6">
        <v>0.58333333333333337</v>
      </c>
      <c r="G492">
        <v>0</v>
      </c>
      <c r="H492" s="6">
        <f>FLOOR(tblPivotData[[#This Row],[Time]],Summary!$B$6/1440)</f>
        <v>0.58333333333333326</v>
      </c>
      <c r="I492" s="49">
        <f>INDEX(PeakCalc!$L$10:$L$303,MATCH(tblPivotData[[#This Row],[Time]],PeakCalc!$G$10:$G$303,0))</f>
        <v>0</v>
      </c>
    </row>
    <row r="493" spans="1:9" x14ac:dyDescent="0.25">
      <c r="A493" t="s">
        <v>94</v>
      </c>
      <c r="B493" t="s">
        <v>103</v>
      </c>
      <c r="C493" t="s">
        <v>93</v>
      </c>
      <c r="D493" t="s">
        <v>90</v>
      </c>
      <c r="E493" t="s">
        <v>91</v>
      </c>
      <c r="F493" s="6">
        <v>0.59375</v>
      </c>
      <c r="G493">
        <v>0</v>
      </c>
      <c r="H493" s="6">
        <f>FLOOR(tblPivotData[[#This Row],[Time]],Summary!$B$6/1440)</f>
        <v>0.59375</v>
      </c>
      <c r="I493" s="49">
        <f>INDEX(PeakCalc!$L$10:$L$303,MATCH(tblPivotData[[#This Row],[Time]],PeakCalc!$G$10:$G$303,0))</f>
        <v>0</v>
      </c>
    </row>
    <row r="494" spans="1:9" x14ac:dyDescent="0.25">
      <c r="A494" t="s">
        <v>94</v>
      </c>
      <c r="B494" t="s">
        <v>103</v>
      </c>
      <c r="C494" t="s">
        <v>93</v>
      </c>
      <c r="D494" t="s">
        <v>90</v>
      </c>
      <c r="E494" t="s">
        <v>91</v>
      </c>
      <c r="F494" s="6">
        <v>0.60416666666666663</v>
      </c>
      <c r="G494">
        <v>0</v>
      </c>
      <c r="H494" s="6">
        <f>FLOOR(tblPivotData[[#This Row],[Time]],Summary!$B$6/1440)</f>
        <v>0.60416666666666663</v>
      </c>
      <c r="I494" s="49">
        <f>INDEX(PeakCalc!$L$10:$L$303,MATCH(tblPivotData[[#This Row],[Time]],PeakCalc!$G$10:$G$303,0))</f>
        <v>1</v>
      </c>
    </row>
    <row r="495" spans="1:9" x14ac:dyDescent="0.25">
      <c r="A495" t="s">
        <v>94</v>
      </c>
      <c r="B495" t="s">
        <v>103</v>
      </c>
      <c r="C495" t="s">
        <v>93</v>
      </c>
      <c r="D495" t="s">
        <v>90</v>
      </c>
      <c r="E495" t="s">
        <v>91</v>
      </c>
      <c r="F495" s="6">
        <v>0.61458333333333337</v>
      </c>
      <c r="G495">
        <v>0</v>
      </c>
      <c r="H495" s="6">
        <f>FLOOR(tblPivotData[[#This Row],[Time]],Summary!$B$6/1440)</f>
        <v>0.61458333333333326</v>
      </c>
      <c r="I495" s="49">
        <f>INDEX(PeakCalc!$L$10:$L$303,MATCH(tblPivotData[[#This Row],[Time]],PeakCalc!$G$10:$G$303,0))</f>
        <v>1</v>
      </c>
    </row>
    <row r="496" spans="1:9" x14ac:dyDescent="0.25">
      <c r="A496" t="s">
        <v>94</v>
      </c>
      <c r="B496" t="s">
        <v>103</v>
      </c>
      <c r="C496" t="s">
        <v>93</v>
      </c>
      <c r="D496" t="s">
        <v>90</v>
      </c>
      <c r="E496" t="s">
        <v>91</v>
      </c>
      <c r="F496" s="6">
        <v>0.625</v>
      </c>
      <c r="G496">
        <v>0</v>
      </c>
      <c r="H496" s="6">
        <f>FLOOR(tblPivotData[[#This Row],[Time]],Summary!$B$6/1440)</f>
        <v>0.625</v>
      </c>
      <c r="I496" s="49">
        <f>INDEX(PeakCalc!$L$10:$L$303,MATCH(tblPivotData[[#This Row],[Time]],PeakCalc!$G$10:$G$303,0))</f>
        <v>1</v>
      </c>
    </row>
    <row r="497" spans="1:9" x14ac:dyDescent="0.25">
      <c r="A497" t="s">
        <v>94</v>
      </c>
      <c r="B497" t="s">
        <v>103</v>
      </c>
      <c r="C497" t="s">
        <v>93</v>
      </c>
      <c r="D497" t="s">
        <v>90</v>
      </c>
      <c r="E497" t="s">
        <v>91</v>
      </c>
      <c r="F497" s="6">
        <v>0.63541666666666663</v>
      </c>
      <c r="G497">
        <v>0</v>
      </c>
      <c r="H497" s="6">
        <f>FLOOR(tblPivotData[[#This Row],[Time]],Summary!$B$6/1440)</f>
        <v>0.63541666666666663</v>
      </c>
      <c r="I497" s="49">
        <f>INDEX(PeakCalc!$L$10:$L$303,MATCH(tblPivotData[[#This Row],[Time]],PeakCalc!$G$10:$G$303,0))</f>
        <v>1</v>
      </c>
    </row>
    <row r="498" spans="1:9" x14ac:dyDescent="0.25">
      <c r="A498" t="s">
        <v>94</v>
      </c>
      <c r="B498" t="s">
        <v>103</v>
      </c>
      <c r="C498" t="s">
        <v>93</v>
      </c>
      <c r="D498" t="s">
        <v>90</v>
      </c>
      <c r="E498" t="s">
        <v>44</v>
      </c>
      <c r="F498" s="6">
        <v>0.66666666666666663</v>
      </c>
      <c r="G498">
        <v>0</v>
      </c>
      <c r="H498" s="6">
        <f>FLOOR(tblPivotData[[#This Row],[Time]],Summary!$B$6/1440)</f>
        <v>0.66666666666666663</v>
      </c>
      <c r="I498" s="49">
        <f>INDEX(PeakCalc!$L$10:$L$303,MATCH(tblPivotData[[#This Row],[Time]],PeakCalc!$G$10:$G$303,0))</f>
        <v>0</v>
      </c>
    </row>
    <row r="499" spans="1:9" x14ac:dyDescent="0.25">
      <c r="A499" t="s">
        <v>94</v>
      </c>
      <c r="B499" t="s">
        <v>103</v>
      </c>
      <c r="C499" t="s">
        <v>93</v>
      </c>
      <c r="D499" t="s">
        <v>90</v>
      </c>
      <c r="E499" t="s">
        <v>44</v>
      </c>
      <c r="F499" s="6">
        <v>0.67708333333333337</v>
      </c>
      <c r="G499">
        <v>0</v>
      </c>
      <c r="H499" s="6">
        <f>FLOOR(tblPivotData[[#This Row],[Time]],Summary!$B$6/1440)</f>
        <v>0.67708333333333326</v>
      </c>
      <c r="I499" s="49">
        <f>INDEX(PeakCalc!$L$10:$L$303,MATCH(tblPivotData[[#This Row],[Time]],PeakCalc!$G$10:$G$303,0))</f>
        <v>0</v>
      </c>
    </row>
    <row r="500" spans="1:9" x14ac:dyDescent="0.25">
      <c r="A500" t="s">
        <v>94</v>
      </c>
      <c r="B500" t="s">
        <v>103</v>
      </c>
      <c r="C500" t="s">
        <v>93</v>
      </c>
      <c r="D500" t="s">
        <v>90</v>
      </c>
      <c r="E500" t="s">
        <v>44</v>
      </c>
      <c r="F500" s="6">
        <v>0.6875</v>
      </c>
      <c r="G500">
        <v>0</v>
      </c>
      <c r="H500" s="6">
        <f>FLOOR(tblPivotData[[#This Row],[Time]],Summary!$B$6/1440)</f>
        <v>0.6875</v>
      </c>
      <c r="I500" s="49">
        <f>INDEX(PeakCalc!$L$10:$L$303,MATCH(tblPivotData[[#This Row],[Time]],PeakCalc!$G$10:$G$303,0))</f>
        <v>1</v>
      </c>
    </row>
    <row r="501" spans="1:9" x14ac:dyDescent="0.25">
      <c r="A501" t="s">
        <v>94</v>
      </c>
      <c r="B501" t="s">
        <v>103</v>
      </c>
      <c r="C501" t="s">
        <v>93</v>
      </c>
      <c r="D501" t="s">
        <v>90</v>
      </c>
      <c r="E501" t="s">
        <v>44</v>
      </c>
      <c r="F501" s="6">
        <v>0.69791666666666663</v>
      </c>
      <c r="G501">
        <v>0</v>
      </c>
      <c r="H501" s="6">
        <f>FLOOR(tblPivotData[[#This Row],[Time]],Summary!$B$6/1440)</f>
        <v>0.69791666666666663</v>
      </c>
      <c r="I501" s="49">
        <f>INDEX(PeakCalc!$L$10:$L$303,MATCH(tblPivotData[[#This Row],[Time]],PeakCalc!$G$10:$G$303,0))</f>
        <v>1</v>
      </c>
    </row>
    <row r="502" spans="1:9" x14ac:dyDescent="0.25">
      <c r="A502" t="s">
        <v>94</v>
      </c>
      <c r="B502" t="s">
        <v>103</v>
      </c>
      <c r="C502" t="s">
        <v>93</v>
      </c>
      <c r="D502" t="s">
        <v>90</v>
      </c>
      <c r="E502" t="s">
        <v>44</v>
      </c>
      <c r="F502" s="6">
        <v>0.70833333333333337</v>
      </c>
      <c r="G502">
        <v>0</v>
      </c>
      <c r="H502" s="6">
        <f>FLOOR(tblPivotData[[#This Row],[Time]],Summary!$B$6/1440)</f>
        <v>0.70833333333333326</v>
      </c>
      <c r="I502" s="49">
        <f>INDEX(PeakCalc!$L$10:$L$303,MATCH(tblPivotData[[#This Row],[Time]],PeakCalc!$G$10:$G$303,0))</f>
        <v>1</v>
      </c>
    </row>
    <row r="503" spans="1:9" x14ac:dyDescent="0.25">
      <c r="A503" t="s">
        <v>94</v>
      </c>
      <c r="B503" t="s">
        <v>103</v>
      </c>
      <c r="C503" t="s">
        <v>93</v>
      </c>
      <c r="D503" t="s">
        <v>90</v>
      </c>
      <c r="E503" t="s">
        <v>44</v>
      </c>
      <c r="F503" s="6">
        <v>0.71875</v>
      </c>
      <c r="G503">
        <v>0</v>
      </c>
      <c r="H503" s="6">
        <f>FLOOR(tblPivotData[[#This Row],[Time]],Summary!$B$6/1440)</f>
        <v>0.71875</v>
      </c>
      <c r="I503" s="49">
        <f>INDEX(PeakCalc!$L$10:$L$303,MATCH(tblPivotData[[#This Row],[Time]],PeakCalc!$G$10:$G$303,0))</f>
        <v>1</v>
      </c>
    </row>
    <row r="504" spans="1:9" x14ac:dyDescent="0.25">
      <c r="A504" t="s">
        <v>94</v>
      </c>
      <c r="B504" t="s">
        <v>103</v>
      </c>
      <c r="C504" t="s">
        <v>93</v>
      </c>
      <c r="D504" t="s">
        <v>90</v>
      </c>
      <c r="E504" t="s">
        <v>44</v>
      </c>
      <c r="F504" s="6">
        <v>0.72916666666666663</v>
      </c>
      <c r="G504">
        <v>0</v>
      </c>
      <c r="H504" s="6">
        <f>FLOOR(tblPivotData[[#This Row],[Time]],Summary!$B$6/1440)</f>
        <v>0.72916666666666663</v>
      </c>
      <c r="I504" s="49">
        <f>INDEX(PeakCalc!$L$10:$L$303,MATCH(tblPivotData[[#This Row],[Time]],PeakCalc!$G$10:$G$303,0))</f>
        <v>0</v>
      </c>
    </row>
    <row r="505" spans="1:9" x14ac:dyDescent="0.25">
      <c r="A505" t="s">
        <v>94</v>
      </c>
      <c r="B505" t="s">
        <v>103</v>
      </c>
      <c r="C505" t="s">
        <v>93</v>
      </c>
      <c r="D505" t="s">
        <v>90</v>
      </c>
      <c r="E505" t="s">
        <v>44</v>
      </c>
      <c r="F505" s="6">
        <v>0.73958333333333337</v>
      </c>
      <c r="G505">
        <v>0</v>
      </c>
      <c r="H505" s="6">
        <f>FLOOR(tblPivotData[[#This Row],[Time]],Summary!$B$6/1440)</f>
        <v>0.73958333333333326</v>
      </c>
      <c r="I505" s="49">
        <f>INDEX(PeakCalc!$L$10:$L$303,MATCH(tblPivotData[[#This Row],[Time]],PeakCalc!$G$10:$G$303,0))</f>
        <v>0</v>
      </c>
    </row>
    <row r="506" spans="1:9" x14ac:dyDescent="0.25">
      <c r="A506" t="s">
        <v>95</v>
      </c>
      <c r="B506" t="s">
        <v>104</v>
      </c>
      <c r="C506" t="s">
        <v>96</v>
      </c>
      <c r="D506" t="s">
        <v>79</v>
      </c>
      <c r="E506" t="s">
        <v>43</v>
      </c>
      <c r="F506" s="6">
        <v>0.29166666666666669</v>
      </c>
      <c r="G506">
        <v>3</v>
      </c>
      <c r="H506" s="6">
        <f>FLOOR(tblPivotData[[#This Row],[Time]],Summary!$B$6/1440)</f>
        <v>0.29166666666666663</v>
      </c>
      <c r="I506" s="49">
        <f>INDEX(PeakCalc!$L$10:$L$303,MATCH(tblPivotData[[#This Row],[Time]],PeakCalc!$G$10:$G$303,0))</f>
        <v>0</v>
      </c>
    </row>
    <row r="507" spans="1:9" x14ac:dyDescent="0.25">
      <c r="A507" t="s">
        <v>95</v>
      </c>
      <c r="B507" t="s">
        <v>104</v>
      </c>
      <c r="C507" t="s">
        <v>96</v>
      </c>
      <c r="D507" t="s">
        <v>79</v>
      </c>
      <c r="E507" t="s">
        <v>43</v>
      </c>
      <c r="F507" s="6">
        <v>0.30208333333333331</v>
      </c>
      <c r="G507">
        <v>2</v>
      </c>
      <c r="H507" s="6">
        <f>FLOOR(tblPivotData[[#This Row],[Time]],Summary!$B$6/1440)</f>
        <v>0.30208333333333331</v>
      </c>
      <c r="I507" s="49">
        <f>INDEX(PeakCalc!$L$10:$L$303,MATCH(tblPivotData[[#This Row],[Time]],PeakCalc!$G$10:$G$303,0))</f>
        <v>0</v>
      </c>
    </row>
    <row r="508" spans="1:9" x14ac:dyDescent="0.25">
      <c r="A508" t="s">
        <v>95</v>
      </c>
      <c r="B508" t="s">
        <v>104</v>
      </c>
      <c r="C508" t="s">
        <v>96</v>
      </c>
      <c r="D508" t="s">
        <v>79</v>
      </c>
      <c r="E508" t="s">
        <v>43</v>
      </c>
      <c r="F508" s="6">
        <v>0.3125</v>
      </c>
      <c r="G508">
        <v>2</v>
      </c>
      <c r="H508" s="6">
        <f>FLOOR(tblPivotData[[#This Row],[Time]],Summary!$B$6/1440)</f>
        <v>0.3125</v>
      </c>
      <c r="I508" s="49">
        <f>INDEX(PeakCalc!$L$10:$L$303,MATCH(tblPivotData[[#This Row],[Time]],PeakCalc!$G$10:$G$303,0))</f>
        <v>0</v>
      </c>
    </row>
    <row r="509" spans="1:9" x14ac:dyDescent="0.25">
      <c r="A509" t="s">
        <v>95</v>
      </c>
      <c r="B509" t="s">
        <v>104</v>
      </c>
      <c r="C509" t="s">
        <v>96</v>
      </c>
      <c r="D509" t="s">
        <v>79</v>
      </c>
      <c r="E509" t="s">
        <v>43</v>
      </c>
      <c r="F509" s="6">
        <v>0.32291666666666669</v>
      </c>
      <c r="G509">
        <v>3</v>
      </c>
      <c r="H509" s="6">
        <f>FLOOR(tblPivotData[[#This Row],[Time]],Summary!$B$6/1440)</f>
        <v>0.32291666666666663</v>
      </c>
      <c r="I509" s="49">
        <f>INDEX(PeakCalc!$L$10:$L$303,MATCH(tblPivotData[[#This Row],[Time]],PeakCalc!$G$10:$G$303,0))</f>
        <v>0</v>
      </c>
    </row>
    <row r="510" spans="1:9" x14ac:dyDescent="0.25">
      <c r="A510" t="s">
        <v>95</v>
      </c>
      <c r="B510" t="s">
        <v>104</v>
      </c>
      <c r="C510" t="s">
        <v>96</v>
      </c>
      <c r="D510" t="s">
        <v>79</v>
      </c>
      <c r="E510" t="s">
        <v>43</v>
      </c>
      <c r="F510" s="6">
        <v>0.33333333333333331</v>
      </c>
      <c r="G510">
        <v>4</v>
      </c>
      <c r="H510" s="6">
        <f>FLOOR(tblPivotData[[#This Row],[Time]],Summary!$B$6/1440)</f>
        <v>0.33333333333333331</v>
      </c>
      <c r="I510" s="49">
        <f>INDEX(PeakCalc!$L$10:$L$303,MATCH(tblPivotData[[#This Row],[Time]],PeakCalc!$G$10:$G$303,0))</f>
        <v>1</v>
      </c>
    </row>
    <row r="511" spans="1:9" x14ac:dyDescent="0.25">
      <c r="A511" t="s">
        <v>95</v>
      </c>
      <c r="B511" t="s">
        <v>104</v>
      </c>
      <c r="C511" t="s">
        <v>96</v>
      </c>
      <c r="D511" t="s">
        <v>79</v>
      </c>
      <c r="E511" t="s">
        <v>43</v>
      </c>
      <c r="F511" s="6">
        <v>0.34375</v>
      </c>
      <c r="G511">
        <v>8</v>
      </c>
      <c r="H511" s="6">
        <f>FLOOR(tblPivotData[[#This Row],[Time]],Summary!$B$6/1440)</f>
        <v>0.34375</v>
      </c>
      <c r="I511" s="49">
        <f>INDEX(PeakCalc!$L$10:$L$303,MATCH(tblPivotData[[#This Row],[Time]],PeakCalc!$G$10:$G$303,0))</f>
        <v>1</v>
      </c>
    </row>
    <row r="512" spans="1:9" x14ac:dyDescent="0.25">
      <c r="A512" t="s">
        <v>95</v>
      </c>
      <c r="B512" t="s">
        <v>104</v>
      </c>
      <c r="C512" t="s">
        <v>96</v>
      </c>
      <c r="D512" t="s">
        <v>79</v>
      </c>
      <c r="E512" t="s">
        <v>43</v>
      </c>
      <c r="F512" s="6">
        <v>0.35416666666666669</v>
      </c>
      <c r="G512">
        <v>0</v>
      </c>
      <c r="H512" s="6">
        <f>FLOOR(tblPivotData[[#This Row],[Time]],Summary!$B$6/1440)</f>
        <v>0.35416666666666663</v>
      </c>
      <c r="I512" s="49">
        <f>INDEX(PeakCalc!$L$10:$L$303,MATCH(tblPivotData[[#This Row],[Time]],PeakCalc!$G$10:$G$303,0))</f>
        <v>1</v>
      </c>
    </row>
    <row r="513" spans="1:9" x14ac:dyDescent="0.25">
      <c r="A513" t="s">
        <v>95</v>
      </c>
      <c r="B513" t="s">
        <v>104</v>
      </c>
      <c r="C513" t="s">
        <v>96</v>
      </c>
      <c r="D513" t="s">
        <v>79</v>
      </c>
      <c r="E513" t="s">
        <v>43</v>
      </c>
      <c r="F513" s="6">
        <v>0.36458333333333331</v>
      </c>
      <c r="G513">
        <v>4</v>
      </c>
      <c r="H513" s="6">
        <f>FLOOR(tblPivotData[[#This Row],[Time]],Summary!$B$6/1440)</f>
        <v>0.36458333333333331</v>
      </c>
      <c r="I513" s="49">
        <f>INDEX(PeakCalc!$L$10:$L$303,MATCH(tblPivotData[[#This Row],[Time]],PeakCalc!$G$10:$G$303,0))</f>
        <v>1</v>
      </c>
    </row>
    <row r="514" spans="1:9" x14ac:dyDescent="0.25">
      <c r="A514" t="s">
        <v>95</v>
      </c>
      <c r="B514" t="s">
        <v>104</v>
      </c>
      <c r="C514" t="s">
        <v>96</v>
      </c>
      <c r="D514" t="s">
        <v>79</v>
      </c>
      <c r="E514" t="s">
        <v>91</v>
      </c>
      <c r="F514" s="6">
        <v>0.5625</v>
      </c>
      <c r="G514">
        <v>5</v>
      </c>
      <c r="H514" s="6">
        <f>FLOOR(tblPivotData[[#This Row],[Time]],Summary!$B$6/1440)</f>
        <v>0.5625</v>
      </c>
      <c r="I514" s="49">
        <f>INDEX(PeakCalc!$L$10:$L$303,MATCH(tblPivotData[[#This Row],[Time]],PeakCalc!$G$10:$G$303,0))</f>
        <v>0</v>
      </c>
    </row>
    <row r="515" spans="1:9" x14ac:dyDescent="0.25">
      <c r="A515" t="s">
        <v>95</v>
      </c>
      <c r="B515" t="s">
        <v>104</v>
      </c>
      <c r="C515" t="s">
        <v>96</v>
      </c>
      <c r="D515" t="s">
        <v>79</v>
      </c>
      <c r="E515" t="s">
        <v>91</v>
      </c>
      <c r="F515" s="6">
        <v>0.57291666666666663</v>
      </c>
      <c r="G515">
        <v>10</v>
      </c>
      <c r="H515" s="6">
        <f>FLOOR(tblPivotData[[#This Row],[Time]],Summary!$B$6/1440)</f>
        <v>0.57291666666666663</v>
      </c>
      <c r="I515" s="49">
        <f>INDEX(PeakCalc!$L$10:$L$303,MATCH(tblPivotData[[#This Row],[Time]],PeakCalc!$G$10:$G$303,0))</f>
        <v>0</v>
      </c>
    </row>
    <row r="516" spans="1:9" x14ac:dyDescent="0.25">
      <c r="A516" t="s">
        <v>95</v>
      </c>
      <c r="B516" t="s">
        <v>104</v>
      </c>
      <c r="C516" t="s">
        <v>96</v>
      </c>
      <c r="D516" t="s">
        <v>79</v>
      </c>
      <c r="E516" t="s">
        <v>91</v>
      </c>
      <c r="F516" s="6">
        <v>0.58333333333333337</v>
      </c>
      <c r="G516">
        <v>11</v>
      </c>
      <c r="H516" s="6">
        <f>FLOOR(tblPivotData[[#This Row],[Time]],Summary!$B$6/1440)</f>
        <v>0.58333333333333326</v>
      </c>
      <c r="I516" s="49">
        <f>INDEX(PeakCalc!$L$10:$L$303,MATCH(tblPivotData[[#This Row],[Time]],PeakCalc!$G$10:$G$303,0))</f>
        <v>0</v>
      </c>
    </row>
    <row r="517" spans="1:9" x14ac:dyDescent="0.25">
      <c r="A517" t="s">
        <v>95</v>
      </c>
      <c r="B517" t="s">
        <v>104</v>
      </c>
      <c r="C517" t="s">
        <v>96</v>
      </c>
      <c r="D517" t="s">
        <v>79</v>
      </c>
      <c r="E517" t="s">
        <v>91</v>
      </c>
      <c r="F517" s="6">
        <v>0.59375</v>
      </c>
      <c r="G517">
        <v>9</v>
      </c>
      <c r="H517" s="6">
        <f>FLOOR(tblPivotData[[#This Row],[Time]],Summary!$B$6/1440)</f>
        <v>0.59375</v>
      </c>
      <c r="I517" s="49">
        <f>INDEX(PeakCalc!$L$10:$L$303,MATCH(tblPivotData[[#This Row],[Time]],PeakCalc!$G$10:$G$303,0))</f>
        <v>0</v>
      </c>
    </row>
    <row r="518" spans="1:9" x14ac:dyDescent="0.25">
      <c r="A518" t="s">
        <v>95</v>
      </c>
      <c r="B518" t="s">
        <v>104</v>
      </c>
      <c r="C518" t="s">
        <v>96</v>
      </c>
      <c r="D518" t="s">
        <v>79</v>
      </c>
      <c r="E518" t="s">
        <v>91</v>
      </c>
      <c r="F518" s="6">
        <v>0.60416666666666663</v>
      </c>
      <c r="G518">
        <v>7</v>
      </c>
      <c r="H518" s="6">
        <f>FLOOR(tblPivotData[[#This Row],[Time]],Summary!$B$6/1440)</f>
        <v>0.60416666666666663</v>
      </c>
      <c r="I518" s="49">
        <f>INDEX(PeakCalc!$L$10:$L$303,MATCH(tblPivotData[[#This Row],[Time]],PeakCalc!$G$10:$G$303,0))</f>
        <v>1</v>
      </c>
    </row>
    <row r="519" spans="1:9" x14ac:dyDescent="0.25">
      <c r="A519" t="s">
        <v>95</v>
      </c>
      <c r="B519" t="s">
        <v>104</v>
      </c>
      <c r="C519" t="s">
        <v>96</v>
      </c>
      <c r="D519" t="s">
        <v>79</v>
      </c>
      <c r="E519" t="s">
        <v>91</v>
      </c>
      <c r="F519" s="6">
        <v>0.61458333333333337</v>
      </c>
      <c r="G519">
        <v>6</v>
      </c>
      <c r="H519" s="6">
        <f>FLOOR(tblPivotData[[#This Row],[Time]],Summary!$B$6/1440)</f>
        <v>0.61458333333333326</v>
      </c>
      <c r="I519" s="49">
        <f>INDEX(PeakCalc!$L$10:$L$303,MATCH(tblPivotData[[#This Row],[Time]],PeakCalc!$G$10:$G$303,0))</f>
        <v>1</v>
      </c>
    </row>
    <row r="520" spans="1:9" x14ac:dyDescent="0.25">
      <c r="A520" t="s">
        <v>95</v>
      </c>
      <c r="B520" t="s">
        <v>104</v>
      </c>
      <c r="C520" t="s">
        <v>96</v>
      </c>
      <c r="D520" t="s">
        <v>79</v>
      </c>
      <c r="E520" t="s">
        <v>91</v>
      </c>
      <c r="F520" s="6">
        <v>0.625</v>
      </c>
      <c r="G520">
        <v>6</v>
      </c>
      <c r="H520" s="6">
        <f>FLOOR(tblPivotData[[#This Row],[Time]],Summary!$B$6/1440)</f>
        <v>0.625</v>
      </c>
      <c r="I520" s="49">
        <f>INDEX(PeakCalc!$L$10:$L$303,MATCH(tblPivotData[[#This Row],[Time]],PeakCalc!$G$10:$G$303,0))</f>
        <v>1</v>
      </c>
    </row>
    <row r="521" spans="1:9" x14ac:dyDescent="0.25">
      <c r="A521" t="s">
        <v>95</v>
      </c>
      <c r="B521" t="s">
        <v>104</v>
      </c>
      <c r="C521" t="s">
        <v>96</v>
      </c>
      <c r="D521" t="s">
        <v>79</v>
      </c>
      <c r="E521" t="s">
        <v>91</v>
      </c>
      <c r="F521" s="6">
        <v>0.63541666666666663</v>
      </c>
      <c r="G521">
        <v>9</v>
      </c>
      <c r="H521" s="6">
        <f>FLOOR(tblPivotData[[#This Row],[Time]],Summary!$B$6/1440)</f>
        <v>0.63541666666666663</v>
      </c>
      <c r="I521" s="49">
        <f>INDEX(PeakCalc!$L$10:$L$303,MATCH(tblPivotData[[#This Row],[Time]],PeakCalc!$G$10:$G$303,0))</f>
        <v>1</v>
      </c>
    </row>
    <row r="522" spans="1:9" x14ac:dyDescent="0.25">
      <c r="A522" t="s">
        <v>95</v>
      </c>
      <c r="B522" t="s">
        <v>104</v>
      </c>
      <c r="C522" t="s">
        <v>96</v>
      </c>
      <c r="D522" t="s">
        <v>79</v>
      </c>
      <c r="E522" t="s">
        <v>44</v>
      </c>
      <c r="F522" s="6">
        <v>0.66666666666666663</v>
      </c>
      <c r="G522">
        <v>12</v>
      </c>
      <c r="H522" s="6">
        <f>FLOOR(tblPivotData[[#This Row],[Time]],Summary!$B$6/1440)</f>
        <v>0.66666666666666663</v>
      </c>
      <c r="I522" s="49">
        <f>INDEX(PeakCalc!$L$10:$L$303,MATCH(tblPivotData[[#This Row],[Time]],PeakCalc!$G$10:$G$303,0))</f>
        <v>0</v>
      </c>
    </row>
    <row r="523" spans="1:9" x14ac:dyDescent="0.25">
      <c r="A523" t="s">
        <v>95</v>
      </c>
      <c r="B523" t="s">
        <v>104</v>
      </c>
      <c r="C523" t="s">
        <v>96</v>
      </c>
      <c r="D523" t="s">
        <v>79</v>
      </c>
      <c r="E523" t="s">
        <v>44</v>
      </c>
      <c r="F523" s="6">
        <v>0.67708333333333337</v>
      </c>
      <c r="G523">
        <v>12</v>
      </c>
      <c r="H523" s="6">
        <f>FLOOR(tblPivotData[[#This Row],[Time]],Summary!$B$6/1440)</f>
        <v>0.67708333333333326</v>
      </c>
      <c r="I523" s="49">
        <f>INDEX(PeakCalc!$L$10:$L$303,MATCH(tblPivotData[[#This Row],[Time]],PeakCalc!$G$10:$G$303,0))</f>
        <v>0</v>
      </c>
    </row>
    <row r="524" spans="1:9" x14ac:dyDescent="0.25">
      <c r="A524" t="s">
        <v>95</v>
      </c>
      <c r="B524" t="s">
        <v>104</v>
      </c>
      <c r="C524" t="s">
        <v>96</v>
      </c>
      <c r="D524" t="s">
        <v>79</v>
      </c>
      <c r="E524" t="s">
        <v>44</v>
      </c>
      <c r="F524" s="6">
        <v>0.6875</v>
      </c>
      <c r="G524">
        <v>6</v>
      </c>
      <c r="H524" s="6">
        <f>FLOOR(tblPivotData[[#This Row],[Time]],Summary!$B$6/1440)</f>
        <v>0.6875</v>
      </c>
      <c r="I524" s="49">
        <f>INDEX(PeakCalc!$L$10:$L$303,MATCH(tblPivotData[[#This Row],[Time]],PeakCalc!$G$10:$G$303,0))</f>
        <v>1</v>
      </c>
    </row>
    <row r="525" spans="1:9" x14ac:dyDescent="0.25">
      <c r="A525" t="s">
        <v>95</v>
      </c>
      <c r="B525" t="s">
        <v>104</v>
      </c>
      <c r="C525" t="s">
        <v>96</v>
      </c>
      <c r="D525" t="s">
        <v>79</v>
      </c>
      <c r="E525" t="s">
        <v>44</v>
      </c>
      <c r="F525" s="6">
        <v>0.69791666666666663</v>
      </c>
      <c r="G525">
        <v>8</v>
      </c>
      <c r="H525" s="6">
        <f>FLOOR(tblPivotData[[#This Row],[Time]],Summary!$B$6/1440)</f>
        <v>0.69791666666666663</v>
      </c>
      <c r="I525" s="49">
        <f>INDEX(PeakCalc!$L$10:$L$303,MATCH(tblPivotData[[#This Row],[Time]],PeakCalc!$G$10:$G$303,0))</f>
        <v>1</v>
      </c>
    </row>
    <row r="526" spans="1:9" x14ac:dyDescent="0.25">
      <c r="A526" t="s">
        <v>95</v>
      </c>
      <c r="B526" t="s">
        <v>104</v>
      </c>
      <c r="C526" t="s">
        <v>96</v>
      </c>
      <c r="D526" t="s">
        <v>79</v>
      </c>
      <c r="E526" t="s">
        <v>44</v>
      </c>
      <c r="F526" s="6">
        <v>0.70833333333333337</v>
      </c>
      <c r="G526">
        <v>14</v>
      </c>
      <c r="H526" s="6">
        <f>FLOOR(tblPivotData[[#This Row],[Time]],Summary!$B$6/1440)</f>
        <v>0.70833333333333326</v>
      </c>
      <c r="I526" s="49">
        <f>INDEX(PeakCalc!$L$10:$L$303,MATCH(tblPivotData[[#This Row],[Time]],PeakCalc!$G$10:$G$303,0))</f>
        <v>1</v>
      </c>
    </row>
    <row r="527" spans="1:9" x14ac:dyDescent="0.25">
      <c r="A527" t="s">
        <v>95</v>
      </c>
      <c r="B527" t="s">
        <v>104</v>
      </c>
      <c r="C527" t="s">
        <v>96</v>
      </c>
      <c r="D527" t="s">
        <v>79</v>
      </c>
      <c r="E527" t="s">
        <v>44</v>
      </c>
      <c r="F527" s="6">
        <v>0.71875</v>
      </c>
      <c r="G527">
        <v>9</v>
      </c>
      <c r="H527" s="6">
        <f>FLOOR(tblPivotData[[#This Row],[Time]],Summary!$B$6/1440)</f>
        <v>0.71875</v>
      </c>
      <c r="I527" s="49">
        <f>INDEX(PeakCalc!$L$10:$L$303,MATCH(tblPivotData[[#This Row],[Time]],PeakCalc!$G$10:$G$303,0))</f>
        <v>1</v>
      </c>
    </row>
    <row r="528" spans="1:9" x14ac:dyDescent="0.25">
      <c r="A528" t="s">
        <v>95</v>
      </c>
      <c r="B528" t="s">
        <v>104</v>
      </c>
      <c r="C528" t="s">
        <v>96</v>
      </c>
      <c r="D528" t="s">
        <v>79</v>
      </c>
      <c r="E528" t="s">
        <v>44</v>
      </c>
      <c r="F528" s="6">
        <v>0.72916666666666663</v>
      </c>
      <c r="G528">
        <v>4</v>
      </c>
      <c r="H528" s="6">
        <f>FLOOR(tblPivotData[[#This Row],[Time]],Summary!$B$6/1440)</f>
        <v>0.72916666666666663</v>
      </c>
      <c r="I528" s="49">
        <f>INDEX(PeakCalc!$L$10:$L$303,MATCH(tblPivotData[[#This Row],[Time]],PeakCalc!$G$10:$G$303,0))</f>
        <v>0</v>
      </c>
    </row>
    <row r="529" spans="1:9" x14ac:dyDescent="0.25">
      <c r="A529" t="s">
        <v>95</v>
      </c>
      <c r="B529" t="s">
        <v>104</v>
      </c>
      <c r="C529" t="s">
        <v>96</v>
      </c>
      <c r="D529" t="s">
        <v>79</v>
      </c>
      <c r="E529" t="s">
        <v>44</v>
      </c>
      <c r="F529" s="6">
        <v>0.73958333333333337</v>
      </c>
      <c r="G529">
        <v>5</v>
      </c>
      <c r="H529" s="6">
        <f>FLOOR(tblPivotData[[#This Row],[Time]],Summary!$B$6/1440)</f>
        <v>0.73958333333333326</v>
      </c>
      <c r="I529" s="49">
        <f>INDEX(PeakCalc!$L$10:$L$303,MATCH(tblPivotData[[#This Row],[Time]],PeakCalc!$G$10:$G$303,0))</f>
        <v>0</v>
      </c>
    </row>
    <row r="530" spans="1:9" x14ac:dyDescent="0.25">
      <c r="A530" t="s">
        <v>95</v>
      </c>
      <c r="B530" t="s">
        <v>104</v>
      </c>
      <c r="C530" t="s">
        <v>96</v>
      </c>
      <c r="D530" t="s">
        <v>89</v>
      </c>
      <c r="E530" t="s">
        <v>43</v>
      </c>
      <c r="F530" s="6">
        <v>0.29166666666666669</v>
      </c>
      <c r="G530">
        <v>0</v>
      </c>
      <c r="H530" s="6">
        <f>FLOOR(tblPivotData[[#This Row],[Time]],Summary!$B$6/1440)</f>
        <v>0.29166666666666663</v>
      </c>
      <c r="I530" s="49">
        <f>INDEX(PeakCalc!$L$10:$L$303,MATCH(tblPivotData[[#This Row],[Time]],PeakCalc!$G$10:$G$303,0))</f>
        <v>0</v>
      </c>
    </row>
    <row r="531" spans="1:9" x14ac:dyDescent="0.25">
      <c r="A531" t="s">
        <v>95</v>
      </c>
      <c r="B531" t="s">
        <v>104</v>
      </c>
      <c r="C531" t="s">
        <v>96</v>
      </c>
      <c r="D531" t="s">
        <v>89</v>
      </c>
      <c r="E531" t="s">
        <v>43</v>
      </c>
      <c r="F531" s="6">
        <v>0.30208333333333331</v>
      </c>
      <c r="G531">
        <v>0</v>
      </c>
      <c r="H531" s="6">
        <f>FLOOR(tblPivotData[[#This Row],[Time]],Summary!$B$6/1440)</f>
        <v>0.30208333333333331</v>
      </c>
      <c r="I531" s="49">
        <f>INDEX(PeakCalc!$L$10:$L$303,MATCH(tblPivotData[[#This Row],[Time]],PeakCalc!$G$10:$G$303,0))</f>
        <v>0</v>
      </c>
    </row>
    <row r="532" spans="1:9" x14ac:dyDescent="0.25">
      <c r="A532" t="s">
        <v>95</v>
      </c>
      <c r="B532" t="s">
        <v>104</v>
      </c>
      <c r="C532" t="s">
        <v>96</v>
      </c>
      <c r="D532" t="s">
        <v>89</v>
      </c>
      <c r="E532" t="s">
        <v>43</v>
      </c>
      <c r="F532" s="6">
        <v>0.3125</v>
      </c>
      <c r="G532">
        <v>0</v>
      </c>
      <c r="H532" s="6">
        <f>FLOOR(tblPivotData[[#This Row],[Time]],Summary!$B$6/1440)</f>
        <v>0.3125</v>
      </c>
      <c r="I532" s="49">
        <f>INDEX(PeakCalc!$L$10:$L$303,MATCH(tblPivotData[[#This Row],[Time]],PeakCalc!$G$10:$G$303,0))</f>
        <v>0</v>
      </c>
    </row>
    <row r="533" spans="1:9" x14ac:dyDescent="0.25">
      <c r="A533" t="s">
        <v>95</v>
      </c>
      <c r="B533" t="s">
        <v>104</v>
      </c>
      <c r="C533" t="s">
        <v>96</v>
      </c>
      <c r="D533" t="s">
        <v>89</v>
      </c>
      <c r="E533" t="s">
        <v>43</v>
      </c>
      <c r="F533" s="6">
        <v>0.32291666666666669</v>
      </c>
      <c r="G533">
        <v>0</v>
      </c>
      <c r="H533" s="6">
        <f>FLOOR(tblPivotData[[#This Row],[Time]],Summary!$B$6/1440)</f>
        <v>0.32291666666666663</v>
      </c>
      <c r="I533" s="49">
        <f>INDEX(PeakCalc!$L$10:$L$303,MATCH(tblPivotData[[#This Row],[Time]],PeakCalc!$G$10:$G$303,0))</f>
        <v>0</v>
      </c>
    </row>
    <row r="534" spans="1:9" x14ac:dyDescent="0.25">
      <c r="A534" t="s">
        <v>95</v>
      </c>
      <c r="B534" t="s">
        <v>104</v>
      </c>
      <c r="C534" t="s">
        <v>96</v>
      </c>
      <c r="D534" t="s">
        <v>89</v>
      </c>
      <c r="E534" t="s">
        <v>43</v>
      </c>
      <c r="F534" s="6">
        <v>0.33333333333333331</v>
      </c>
      <c r="G534">
        <v>0</v>
      </c>
      <c r="H534" s="6">
        <f>FLOOR(tblPivotData[[#This Row],[Time]],Summary!$B$6/1440)</f>
        <v>0.33333333333333331</v>
      </c>
      <c r="I534" s="49">
        <f>INDEX(PeakCalc!$L$10:$L$303,MATCH(tblPivotData[[#This Row],[Time]],PeakCalc!$G$10:$G$303,0))</f>
        <v>1</v>
      </c>
    </row>
    <row r="535" spans="1:9" x14ac:dyDescent="0.25">
      <c r="A535" t="s">
        <v>95</v>
      </c>
      <c r="B535" t="s">
        <v>104</v>
      </c>
      <c r="C535" t="s">
        <v>96</v>
      </c>
      <c r="D535" t="s">
        <v>89</v>
      </c>
      <c r="E535" t="s">
        <v>43</v>
      </c>
      <c r="F535" s="6">
        <v>0.34375</v>
      </c>
      <c r="G535">
        <v>0</v>
      </c>
      <c r="H535" s="6">
        <f>FLOOR(tblPivotData[[#This Row],[Time]],Summary!$B$6/1440)</f>
        <v>0.34375</v>
      </c>
      <c r="I535" s="49">
        <f>INDEX(PeakCalc!$L$10:$L$303,MATCH(tblPivotData[[#This Row],[Time]],PeakCalc!$G$10:$G$303,0))</f>
        <v>1</v>
      </c>
    </row>
    <row r="536" spans="1:9" x14ac:dyDescent="0.25">
      <c r="A536" t="s">
        <v>95</v>
      </c>
      <c r="B536" t="s">
        <v>104</v>
      </c>
      <c r="C536" t="s">
        <v>96</v>
      </c>
      <c r="D536" t="s">
        <v>89</v>
      </c>
      <c r="E536" t="s">
        <v>43</v>
      </c>
      <c r="F536" s="6">
        <v>0.35416666666666669</v>
      </c>
      <c r="G536">
        <v>0</v>
      </c>
      <c r="H536" s="6">
        <f>FLOOR(tblPivotData[[#This Row],[Time]],Summary!$B$6/1440)</f>
        <v>0.35416666666666663</v>
      </c>
      <c r="I536" s="49">
        <f>INDEX(PeakCalc!$L$10:$L$303,MATCH(tblPivotData[[#This Row],[Time]],PeakCalc!$G$10:$G$303,0))</f>
        <v>1</v>
      </c>
    </row>
    <row r="537" spans="1:9" x14ac:dyDescent="0.25">
      <c r="A537" t="s">
        <v>95</v>
      </c>
      <c r="B537" t="s">
        <v>104</v>
      </c>
      <c r="C537" t="s">
        <v>96</v>
      </c>
      <c r="D537" t="s">
        <v>89</v>
      </c>
      <c r="E537" t="s">
        <v>43</v>
      </c>
      <c r="F537" s="6">
        <v>0.36458333333333331</v>
      </c>
      <c r="G537">
        <v>0</v>
      </c>
      <c r="H537" s="6">
        <f>FLOOR(tblPivotData[[#This Row],[Time]],Summary!$B$6/1440)</f>
        <v>0.36458333333333331</v>
      </c>
      <c r="I537" s="49">
        <f>INDEX(PeakCalc!$L$10:$L$303,MATCH(tblPivotData[[#This Row],[Time]],PeakCalc!$G$10:$G$303,0))</f>
        <v>1</v>
      </c>
    </row>
    <row r="538" spans="1:9" x14ac:dyDescent="0.25">
      <c r="A538" t="s">
        <v>95</v>
      </c>
      <c r="B538" t="s">
        <v>104</v>
      </c>
      <c r="C538" t="s">
        <v>96</v>
      </c>
      <c r="D538" t="s">
        <v>89</v>
      </c>
      <c r="E538" t="s">
        <v>91</v>
      </c>
      <c r="F538" s="6">
        <v>0.5625</v>
      </c>
      <c r="G538">
        <v>0</v>
      </c>
      <c r="H538" s="6">
        <f>FLOOR(tblPivotData[[#This Row],[Time]],Summary!$B$6/1440)</f>
        <v>0.5625</v>
      </c>
      <c r="I538" s="49">
        <f>INDEX(PeakCalc!$L$10:$L$303,MATCH(tblPivotData[[#This Row],[Time]],PeakCalc!$G$10:$G$303,0))</f>
        <v>0</v>
      </c>
    </row>
    <row r="539" spans="1:9" x14ac:dyDescent="0.25">
      <c r="A539" t="s">
        <v>95</v>
      </c>
      <c r="B539" t="s">
        <v>104</v>
      </c>
      <c r="C539" t="s">
        <v>96</v>
      </c>
      <c r="D539" t="s">
        <v>89</v>
      </c>
      <c r="E539" t="s">
        <v>91</v>
      </c>
      <c r="F539" s="6">
        <v>0.57291666666666663</v>
      </c>
      <c r="G539">
        <v>0</v>
      </c>
      <c r="H539" s="6">
        <f>FLOOR(tblPivotData[[#This Row],[Time]],Summary!$B$6/1440)</f>
        <v>0.57291666666666663</v>
      </c>
      <c r="I539" s="49">
        <f>INDEX(PeakCalc!$L$10:$L$303,MATCH(tblPivotData[[#This Row],[Time]],PeakCalc!$G$10:$G$303,0))</f>
        <v>0</v>
      </c>
    </row>
    <row r="540" spans="1:9" x14ac:dyDescent="0.25">
      <c r="A540" t="s">
        <v>95</v>
      </c>
      <c r="B540" t="s">
        <v>104</v>
      </c>
      <c r="C540" t="s">
        <v>96</v>
      </c>
      <c r="D540" t="s">
        <v>89</v>
      </c>
      <c r="E540" t="s">
        <v>91</v>
      </c>
      <c r="F540" s="6">
        <v>0.58333333333333337</v>
      </c>
      <c r="G540">
        <v>0</v>
      </c>
      <c r="H540" s="6">
        <f>FLOOR(tblPivotData[[#This Row],[Time]],Summary!$B$6/1440)</f>
        <v>0.58333333333333326</v>
      </c>
      <c r="I540" s="49">
        <f>INDEX(PeakCalc!$L$10:$L$303,MATCH(tblPivotData[[#This Row],[Time]],PeakCalc!$G$10:$G$303,0))</f>
        <v>0</v>
      </c>
    </row>
    <row r="541" spans="1:9" x14ac:dyDescent="0.25">
      <c r="A541" t="s">
        <v>95</v>
      </c>
      <c r="B541" t="s">
        <v>104</v>
      </c>
      <c r="C541" t="s">
        <v>96</v>
      </c>
      <c r="D541" t="s">
        <v>89</v>
      </c>
      <c r="E541" t="s">
        <v>91</v>
      </c>
      <c r="F541" s="6">
        <v>0.59375</v>
      </c>
      <c r="G541">
        <v>0</v>
      </c>
      <c r="H541" s="6">
        <f>FLOOR(tblPivotData[[#This Row],[Time]],Summary!$B$6/1440)</f>
        <v>0.59375</v>
      </c>
      <c r="I541" s="49">
        <f>INDEX(PeakCalc!$L$10:$L$303,MATCH(tblPivotData[[#This Row],[Time]],PeakCalc!$G$10:$G$303,0))</f>
        <v>0</v>
      </c>
    </row>
    <row r="542" spans="1:9" x14ac:dyDescent="0.25">
      <c r="A542" t="s">
        <v>95</v>
      </c>
      <c r="B542" t="s">
        <v>104</v>
      </c>
      <c r="C542" t="s">
        <v>96</v>
      </c>
      <c r="D542" t="s">
        <v>89</v>
      </c>
      <c r="E542" t="s">
        <v>91</v>
      </c>
      <c r="F542" s="6">
        <v>0.60416666666666663</v>
      </c>
      <c r="G542">
        <v>0</v>
      </c>
      <c r="H542" s="6">
        <f>FLOOR(tblPivotData[[#This Row],[Time]],Summary!$B$6/1440)</f>
        <v>0.60416666666666663</v>
      </c>
      <c r="I542" s="49">
        <f>INDEX(PeakCalc!$L$10:$L$303,MATCH(tblPivotData[[#This Row],[Time]],PeakCalc!$G$10:$G$303,0))</f>
        <v>1</v>
      </c>
    </row>
    <row r="543" spans="1:9" x14ac:dyDescent="0.25">
      <c r="A543" t="s">
        <v>95</v>
      </c>
      <c r="B543" t="s">
        <v>104</v>
      </c>
      <c r="C543" t="s">
        <v>96</v>
      </c>
      <c r="D543" t="s">
        <v>89</v>
      </c>
      <c r="E543" t="s">
        <v>91</v>
      </c>
      <c r="F543" s="6">
        <v>0.61458333333333337</v>
      </c>
      <c r="G543">
        <v>0</v>
      </c>
      <c r="H543" s="6">
        <f>FLOOR(tblPivotData[[#This Row],[Time]],Summary!$B$6/1440)</f>
        <v>0.61458333333333326</v>
      </c>
      <c r="I543" s="49">
        <f>INDEX(PeakCalc!$L$10:$L$303,MATCH(tblPivotData[[#This Row],[Time]],PeakCalc!$G$10:$G$303,0))</f>
        <v>1</v>
      </c>
    </row>
    <row r="544" spans="1:9" x14ac:dyDescent="0.25">
      <c r="A544" t="s">
        <v>95</v>
      </c>
      <c r="B544" t="s">
        <v>104</v>
      </c>
      <c r="C544" t="s">
        <v>96</v>
      </c>
      <c r="D544" t="s">
        <v>89</v>
      </c>
      <c r="E544" t="s">
        <v>91</v>
      </c>
      <c r="F544" s="6">
        <v>0.625</v>
      </c>
      <c r="G544">
        <v>0</v>
      </c>
      <c r="H544" s="6">
        <f>FLOOR(tblPivotData[[#This Row],[Time]],Summary!$B$6/1440)</f>
        <v>0.625</v>
      </c>
      <c r="I544" s="49">
        <f>INDEX(PeakCalc!$L$10:$L$303,MATCH(tblPivotData[[#This Row],[Time]],PeakCalc!$G$10:$G$303,0))</f>
        <v>1</v>
      </c>
    </row>
    <row r="545" spans="1:9" x14ac:dyDescent="0.25">
      <c r="A545" t="s">
        <v>95</v>
      </c>
      <c r="B545" t="s">
        <v>104</v>
      </c>
      <c r="C545" t="s">
        <v>96</v>
      </c>
      <c r="D545" t="s">
        <v>89</v>
      </c>
      <c r="E545" t="s">
        <v>91</v>
      </c>
      <c r="F545" s="6">
        <v>0.63541666666666663</v>
      </c>
      <c r="G545">
        <v>0</v>
      </c>
      <c r="H545" s="6">
        <f>FLOOR(tblPivotData[[#This Row],[Time]],Summary!$B$6/1440)</f>
        <v>0.63541666666666663</v>
      </c>
      <c r="I545" s="49">
        <f>INDEX(PeakCalc!$L$10:$L$303,MATCH(tblPivotData[[#This Row],[Time]],PeakCalc!$G$10:$G$303,0))</f>
        <v>1</v>
      </c>
    </row>
    <row r="546" spans="1:9" x14ac:dyDescent="0.25">
      <c r="A546" t="s">
        <v>95</v>
      </c>
      <c r="B546" t="s">
        <v>104</v>
      </c>
      <c r="C546" t="s">
        <v>96</v>
      </c>
      <c r="D546" t="s">
        <v>89</v>
      </c>
      <c r="E546" t="s">
        <v>44</v>
      </c>
      <c r="F546" s="6">
        <v>0.66666666666666663</v>
      </c>
      <c r="G546">
        <v>0</v>
      </c>
      <c r="H546" s="6">
        <f>FLOOR(tblPivotData[[#This Row],[Time]],Summary!$B$6/1440)</f>
        <v>0.66666666666666663</v>
      </c>
      <c r="I546" s="49">
        <f>INDEX(PeakCalc!$L$10:$L$303,MATCH(tblPivotData[[#This Row],[Time]],PeakCalc!$G$10:$G$303,0))</f>
        <v>0</v>
      </c>
    </row>
    <row r="547" spans="1:9" x14ac:dyDescent="0.25">
      <c r="A547" t="s">
        <v>95</v>
      </c>
      <c r="B547" t="s">
        <v>104</v>
      </c>
      <c r="C547" t="s">
        <v>96</v>
      </c>
      <c r="D547" t="s">
        <v>89</v>
      </c>
      <c r="E547" t="s">
        <v>44</v>
      </c>
      <c r="F547" s="6">
        <v>0.67708333333333337</v>
      </c>
      <c r="G547">
        <v>0</v>
      </c>
      <c r="H547" s="6">
        <f>FLOOR(tblPivotData[[#This Row],[Time]],Summary!$B$6/1440)</f>
        <v>0.67708333333333326</v>
      </c>
      <c r="I547" s="49">
        <f>INDEX(PeakCalc!$L$10:$L$303,MATCH(tblPivotData[[#This Row],[Time]],PeakCalc!$G$10:$G$303,0))</f>
        <v>0</v>
      </c>
    </row>
    <row r="548" spans="1:9" x14ac:dyDescent="0.25">
      <c r="A548" t="s">
        <v>95</v>
      </c>
      <c r="B548" t="s">
        <v>104</v>
      </c>
      <c r="C548" t="s">
        <v>96</v>
      </c>
      <c r="D548" t="s">
        <v>89</v>
      </c>
      <c r="E548" t="s">
        <v>44</v>
      </c>
      <c r="F548" s="6">
        <v>0.6875</v>
      </c>
      <c r="G548">
        <v>0</v>
      </c>
      <c r="H548" s="6">
        <f>FLOOR(tblPivotData[[#This Row],[Time]],Summary!$B$6/1440)</f>
        <v>0.6875</v>
      </c>
      <c r="I548" s="49">
        <f>INDEX(PeakCalc!$L$10:$L$303,MATCH(tblPivotData[[#This Row],[Time]],PeakCalc!$G$10:$G$303,0))</f>
        <v>1</v>
      </c>
    </row>
    <row r="549" spans="1:9" x14ac:dyDescent="0.25">
      <c r="A549" t="s">
        <v>95</v>
      </c>
      <c r="B549" t="s">
        <v>104</v>
      </c>
      <c r="C549" t="s">
        <v>96</v>
      </c>
      <c r="D549" t="s">
        <v>89</v>
      </c>
      <c r="E549" t="s">
        <v>44</v>
      </c>
      <c r="F549" s="6">
        <v>0.69791666666666663</v>
      </c>
      <c r="G549">
        <v>0</v>
      </c>
      <c r="H549" s="6">
        <f>FLOOR(tblPivotData[[#This Row],[Time]],Summary!$B$6/1440)</f>
        <v>0.69791666666666663</v>
      </c>
      <c r="I549" s="49">
        <f>INDEX(PeakCalc!$L$10:$L$303,MATCH(tblPivotData[[#This Row],[Time]],PeakCalc!$G$10:$G$303,0))</f>
        <v>1</v>
      </c>
    </row>
    <row r="550" spans="1:9" x14ac:dyDescent="0.25">
      <c r="A550" t="s">
        <v>95</v>
      </c>
      <c r="B550" t="s">
        <v>104</v>
      </c>
      <c r="C550" t="s">
        <v>96</v>
      </c>
      <c r="D550" t="s">
        <v>89</v>
      </c>
      <c r="E550" t="s">
        <v>44</v>
      </c>
      <c r="F550" s="6">
        <v>0.70833333333333337</v>
      </c>
      <c r="G550">
        <v>0</v>
      </c>
      <c r="H550" s="6">
        <f>FLOOR(tblPivotData[[#This Row],[Time]],Summary!$B$6/1440)</f>
        <v>0.70833333333333326</v>
      </c>
      <c r="I550" s="49">
        <f>INDEX(PeakCalc!$L$10:$L$303,MATCH(tblPivotData[[#This Row],[Time]],PeakCalc!$G$10:$G$303,0))</f>
        <v>1</v>
      </c>
    </row>
    <row r="551" spans="1:9" x14ac:dyDescent="0.25">
      <c r="A551" t="s">
        <v>95</v>
      </c>
      <c r="B551" t="s">
        <v>104</v>
      </c>
      <c r="C551" t="s">
        <v>96</v>
      </c>
      <c r="D551" t="s">
        <v>89</v>
      </c>
      <c r="E551" t="s">
        <v>44</v>
      </c>
      <c r="F551" s="6">
        <v>0.71875</v>
      </c>
      <c r="G551">
        <v>0</v>
      </c>
      <c r="H551" s="6">
        <f>FLOOR(tblPivotData[[#This Row],[Time]],Summary!$B$6/1440)</f>
        <v>0.71875</v>
      </c>
      <c r="I551" s="49">
        <f>INDEX(PeakCalc!$L$10:$L$303,MATCH(tblPivotData[[#This Row],[Time]],PeakCalc!$G$10:$G$303,0))</f>
        <v>1</v>
      </c>
    </row>
    <row r="552" spans="1:9" x14ac:dyDescent="0.25">
      <c r="A552" t="s">
        <v>95</v>
      </c>
      <c r="B552" t="s">
        <v>104</v>
      </c>
      <c r="C552" t="s">
        <v>96</v>
      </c>
      <c r="D552" t="s">
        <v>89</v>
      </c>
      <c r="E552" t="s">
        <v>44</v>
      </c>
      <c r="F552" s="6">
        <v>0.72916666666666663</v>
      </c>
      <c r="G552">
        <v>0</v>
      </c>
      <c r="H552" s="6">
        <f>FLOOR(tblPivotData[[#This Row],[Time]],Summary!$B$6/1440)</f>
        <v>0.72916666666666663</v>
      </c>
      <c r="I552" s="49">
        <f>INDEX(PeakCalc!$L$10:$L$303,MATCH(tblPivotData[[#This Row],[Time]],PeakCalc!$G$10:$G$303,0))</f>
        <v>0</v>
      </c>
    </row>
    <row r="553" spans="1:9" x14ac:dyDescent="0.25">
      <c r="A553" t="s">
        <v>95</v>
      </c>
      <c r="B553" t="s">
        <v>104</v>
      </c>
      <c r="C553" t="s">
        <v>96</v>
      </c>
      <c r="D553" t="s">
        <v>89</v>
      </c>
      <c r="E553" t="s">
        <v>44</v>
      </c>
      <c r="F553" s="6">
        <v>0.73958333333333337</v>
      </c>
      <c r="G553">
        <v>0</v>
      </c>
      <c r="H553" s="6">
        <f>FLOOR(tblPivotData[[#This Row],[Time]],Summary!$B$6/1440)</f>
        <v>0.73958333333333326</v>
      </c>
      <c r="I553" s="49">
        <f>INDEX(PeakCalc!$L$10:$L$303,MATCH(tblPivotData[[#This Row],[Time]],PeakCalc!$G$10:$G$303,0))</f>
        <v>0</v>
      </c>
    </row>
    <row r="554" spans="1:9" x14ac:dyDescent="0.25">
      <c r="A554" t="s">
        <v>95</v>
      </c>
      <c r="B554" t="s">
        <v>104</v>
      </c>
      <c r="C554" t="s">
        <v>96</v>
      </c>
      <c r="D554" t="s">
        <v>90</v>
      </c>
      <c r="E554" t="s">
        <v>43</v>
      </c>
      <c r="F554" s="6">
        <v>0.29166666666666669</v>
      </c>
      <c r="G554">
        <v>0</v>
      </c>
      <c r="H554" s="6">
        <f>FLOOR(tblPivotData[[#This Row],[Time]],Summary!$B$6/1440)</f>
        <v>0.29166666666666663</v>
      </c>
      <c r="I554" s="49">
        <f>INDEX(PeakCalc!$L$10:$L$303,MATCH(tblPivotData[[#This Row],[Time]],PeakCalc!$G$10:$G$303,0))</f>
        <v>0</v>
      </c>
    </row>
    <row r="555" spans="1:9" x14ac:dyDescent="0.25">
      <c r="A555" t="s">
        <v>95</v>
      </c>
      <c r="B555" t="s">
        <v>104</v>
      </c>
      <c r="C555" t="s">
        <v>96</v>
      </c>
      <c r="D555" t="s">
        <v>90</v>
      </c>
      <c r="E555" t="s">
        <v>43</v>
      </c>
      <c r="F555" s="6">
        <v>0.30208333333333331</v>
      </c>
      <c r="G555">
        <v>0</v>
      </c>
      <c r="H555" s="6">
        <f>FLOOR(tblPivotData[[#This Row],[Time]],Summary!$B$6/1440)</f>
        <v>0.30208333333333331</v>
      </c>
      <c r="I555" s="49">
        <f>INDEX(PeakCalc!$L$10:$L$303,MATCH(tblPivotData[[#This Row],[Time]],PeakCalc!$G$10:$G$303,0))</f>
        <v>0</v>
      </c>
    </row>
    <row r="556" spans="1:9" x14ac:dyDescent="0.25">
      <c r="A556" t="s">
        <v>95</v>
      </c>
      <c r="B556" t="s">
        <v>104</v>
      </c>
      <c r="C556" t="s">
        <v>96</v>
      </c>
      <c r="D556" t="s">
        <v>90</v>
      </c>
      <c r="E556" t="s">
        <v>43</v>
      </c>
      <c r="F556" s="6">
        <v>0.3125</v>
      </c>
      <c r="G556">
        <v>0</v>
      </c>
      <c r="H556" s="6">
        <f>FLOOR(tblPivotData[[#This Row],[Time]],Summary!$B$6/1440)</f>
        <v>0.3125</v>
      </c>
      <c r="I556" s="49">
        <f>INDEX(PeakCalc!$L$10:$L$303,MATCH(tblPivotData[[#This Row],[Time]],PeakCalc!$G$10:$G$303,0))</f>
        <v>0</v>
      </c>
    </row>
    <row r="557" spans="1:9" x14ac:dyDescent="0.25">
      <c r="A557" t="s">
        <v>95</v>
      </c>
      <c r="B557" t="s">
        <v>104</v>
      </c>
      <c r="C557" t="s">
        <v>96</v>
      </c>
      <c r="D557" t="s">
        <v>90</v>
      </c>
      <c r="E557" t="s">
        <v>43</v>
      </c>
      <c r="F557" s="6">
        <v>0.32291666666666669</v>
      </c>
      <c r="G557">
        <v>0</v>
      </c>
      <c r="H557" s="6">
        <f>FLOOR(tblPivotData[[#This Row],[Time]],Summary!$B$6/1440)</f>
        <v>0.32291666666666663</v>
      </c>
      <c r="I557" s="49">
        <f>INDEX(PeakCalc!$L$10:$L$303,MATCH(tblPivotData[[#This Row],[Time]],PeakCalc!$G$10:$G$303,0))</f>
        <v>0</v>
      </c>
    </row>
    <row r="558" spans="1:9" x14ac:dyDescent="0.25">
      <c r="A558" t="s">
        <v>95</v>
      </c>
      <c r="B558" t="s">
        <v>104</v>
      </c>
      <c r="C558" t="s">
        <v>96</v>
      </c>
      <c r="D558" t="s">
        <v>90</v>
      </c>
      <c r="E558" t="s">
        <v>43</v>
      </c>
      <c r="F558" s="6">
        <v>0.33333333333333331</v>
      </c>
      <c r="G558">
        <v>0</v>
      </c>
      <c r="H558" s="6">
        <f>FLOOR(tblPivotData[[#This Row],[Time]],Summary!$B$6/1440)</f>
        <v>0.33333333333333331</v>
      </c>
      <c r="I558" s="49">
        <f>INDEX(PeakCalc!$L$10:$L$303,MATCH(tblPivotData[[#This Row],[Time]],PeakCalc!$G$10:$G$303,0))</f>
        <v>1</v>
      </c>
    </row>
    <row r="559" spans="1:9" x14ac:dyDescent="0.25">
      <c r="A559" t="s">
        <v>95</v>
      </c>
      <c r="B559" t="s">
        <v>104</v>
      </c>
      <c r="C559" t="s">
        <v>96</v>
      </c>
      <c r="D559" t="s">
        <v>90</v>
      </c>
      <c r="E559" t="s">
        <v>43</v>
      </c>
      <c r="F559" s="6">
        <v>0.34375</v>
      </c>
      <c r="G559">
        <v>0</v>
      </c>
      <c r="H559" s="6">
        <f>FLOOR(tblPivotData[[#This Row],[Time]],Summary!$B$6/1440)</f>
        <v>0.34375</v>
      </c>
      <c r="I559" s="49">
        <f>INDEX(PeakCalc!$L$10:$L$303,MATCH(tblPivotData[[#This Row],[Time]],PeakCalc!$G$10:$G$303,0))</f>
        <v>1</v>
      </c>
    </row>
    <row r="560" spans="1:9" x14ac:dyDescent="0.25">
      <c r="A560" t="s">
        <v>95</v>
      </c>
      <c r="B560" t="s">
        <v>104</v>
      </c>
      <c r="C560" t="s">
        <v>96</v>
      </c>
      <c r="D560" t="s">
        <v>90</v>
      </c>
      <c r="E560" t="s">
        <v>43</v>
      </c>
      <c r="F560" s="6">
        <v>0.35416666666666669</v>
      </c>
      <c r="G560">
        <v>0</v>
      </c>
      <c r="H560" s="6">
        <f>FLOOR(tblPivotData[[#This Row],[Time]],Summary!$B$6/1440)</f>
        <v>0.35416666666666663</v>
      </c>
      <c r="I560" s="49">
        <f>INDEX(PeakCalc!$L$10:$L$303,MATCH(tblPivotData[[#This Row],[Time]],PeakCalc!$G$10:$G$303,0))</f>
        <v>1</v>
      </c>
    </row>
    <row r="561" spans="1:9" x14ac:dyDescent="0.25">
      <c r="A561" t="s">
        <v>95</v>
      </c>
      <c r="B561" t="s">
        <v>104</v>
      </c>
      <c r="C561" t="s">
        <v>96</v>
      </c>
      <c r="D561" t="s">
        <v>90</v>
      </c>
      <c r="E561" t="s">
        <v>43</v>
      </c>
      <c r="F561" s="6">
        <v>0.36458333333333331</v>
      </c>
      <c r="G561">
        <v>0</v>
      </c>
      <c r="H561" s="6">
        <f>FLOOR(tblPivotData[[#This Row],[Time]],Summary!$B$6/1440)</f>
        <v>0.36458333333333331</v>
      </c>
      <c r="I561" s="49">
        <f>INDEX(PeakCalc!$L$10:$L$303,MATCH(tblPivotData[[#This Row],[Time]],PeakCalc!$G$10:$G$303,0))</f>
        <v>1</v>
      </c>
    </row>
    <row r="562" spans="1:9" x14ac:dyDescent="0.25">
      <c r="A562" t="s">
        <v>95</v>
      </c>
      <c r="B562" t="s">
        <v>104</v>
      </c>
      <c r="C562" t="s">
        <v>96</v>
      </c>
      <c r="D562" t="s">
        <v>90</v>
      </c>
      <c r="E562" t="s">
        <v>91</v>
      </c>
      <c r="F562" s="6">
        <v>0.5625</v>
      </c>
      <c r="G562">
        <v>0</v>
      </c>
      <c r="H562" s="6">
        <f>FLOOR(tblPivotData[[#This Row],[Time]],Summary!$B$6/1440)</f>
        <v>0.5625</v>
      </c>
      <c r="I562" s="49">
        <f>INDEX(PeakCalc!$L$10:$L$303,MATCH(tblPivotData[[#This Row],[Time]],PeakCalc!$G$10:$G$303,0))</f>
        <v>0</v>
      </c>
    </row>
    <row r="563" spans="1:9" x14ac:dyDescent="0.25">
      <c r="A563" t="s">
        <v>95</v>
      </c>
      <c r="B563" t="s">
        <v>104</v>
      </c>
      <c r="C563" t="s">
        <v>96</v>
      </c>
      <c r="D563" t="s">
        <v>90</v>
      </c>
      <c r="E563" t="s">
        <v>91</v>
      </c>
      <c r="F563" s="6">
        <v>0.57291666666666663</v>
      </c>
      <c r="G563">
        <v>0</v>
      </c>
      <c r="H563" s="6">
        <f>FLOOR(tblPivotData[[#This Row],[Time]],Summary!$B$6/1440)</f>
        <v>0.57291666666666663</v>
      </c>
      <c r="I563" s="49">
        <f>INDEX(PeakCalc!$L$10:$L$303,MATCH(tblPivotData[[#This Row],[Time]],PeakCalc!$G$10:$G$303,0))</f>
        <v>0</v>
      </c>
    </row>
    <row r="564" spans="1:9" x14ac:dyDescent="0.25">
      <c r="A564" t="s">
        <v>95</v>
      </c>
      <c r="B564" t="s">
        <v>104</v>
      </c>
      <c r="C564" t="s">
        <v>96</v>
      </c>
      <c r="D564" t="s">
        <v>90</v>
      </c>
      <c r="E564" t="s">
        <v>91</v>
      </c>
      <c r="F564" s="6">
        <v>0.58333333333333337</v>
      </c>
      <c r="G564">
        <v>0</v>
      </c>
      <c r="H564" s="6">
        <f>FLOOR(tblPivotData[[#This Row],[Time]],Summary!$B$6/1440)</f>
        <v>0.58333333333333326</v>
      </c>
      <c r="I564" s="49">
        <f>INDEX(PeakCalc!$L$10:$L$303,MATCH(tblPivotData[[#This Row],[Time]],PeakCalc!$G$10:$G$303,0))</f>
        <v>0</v>
      </c>
    </row>
    <row r="565" spans="1:9" x14ac:dyDescent="0.25">
      <c r="A565" t="s">
        <v>95</v>
      </c>
      <c r="B565" t="s">
        <v>104</v>
      </c>
      <c r="C565" t="s">
        <v>96</v>
      </c>
      <c r="D565" t="s">
        <v>90</v>
      </c>
      <c r="E565" t="s">
        <v>91</v>
      </c>
      <c r="F565" s="6">
        <v>0.59375</v>
      </c>
      <c r="G565">
        <v>0</v>
      </c>
      <c r="H565" s="6">
        <f>FLOOR(tblPivotData[[#This Row],[Time]],Summary!$B$6/1440)</f>
        <v>0.59375</v>
      </c>
      <c r="I565" s="49">
        <f>INDEX(PeakCalc!$L$10:$L$303,MATCH(tblPivotData[[#This Row],[Time]],PeakCalc!$G$10:$G$303,0))</f>
        <v>0</v>
      </c>
    </row>
    <row r="566" spans="1:9" x14ac:dyDescent="0.25">
      <c r="A566" t="s">
        <v>95</v>
      </c>
      <c r="B566" t="s">
        <v>104</v>
      </c>
      <c r="C566" t="s">
        <v>96</v>
      </c>
      <c r="D566" t="s">
        <v>90</v>
      </c>
      <c r="E566" t="s">
        <v>91</v>
      </c>
      <c r="F566" s="6">
        <v>0.60416666666666663</v>
      </c>
      <c r="G566">
        <v>0</v>
      </c>
      <c r="H566" s="6">
        <f>FLOOR(tblPivotData[[#This Row],[Time]],Summary!$B$6/1440)</f>
        <v>0.60416666666666663</v>
      </c>
      <c r="I566" s="49">
        <f>INDEX(PeakCalc!$L$10:$L$303,MATCH(tblPivotData[[#This Row],[Time]],PeakCalc!$G$10:$G$303,0))</f>
        <v>1</v>
      </c>
    </row>
    <row r="567" spans="1:9" x14ac:dyDescent="0.25">
      <c r="A567" t="s">
        <v>95</v>
      </c>
      <c r="B567" t="s">
        <v>104</v>
      </c>
      <c r="C567" t="s">
        <v>96</v>
      </c>
      <c r="D567" t="s">
        <v>90</v>
      </c>
      <c r="E567" t="s">
        <v>91</v>
      </c>
      <c r="F567" s="6">
        <v>0.61458333333333337</v>
      </c>
      <c r="G567">
        <v>0</v>
      </c>
      <c r="H567" s="6">
        <f>FLOOR(tblPivotData[[#This Row],[Time]],Summary!$B$6/1440)</f>
        <v>0.61458333333333326</v>
      </c>
      <c r="I567" s="49">
        <f>INDEX(PeakCalc!$L$10:$L$303,MATCH(tblPivotData[[#This Row],[Time]],PeakCalc!$G$10:$G$303,0))</f>
        <v>1</v>
      </c>
    </row>
    <row r="568" spans="1:9" x14ac:dyDescent="0.25">
      <c r="A568" t="s">
        <v>95</v>
      </c>
      <c r="B568" t="s">
        <v>104</v>
      </c>
      <c r="C568" t="s">
        <v>96</v>
      </c>
      <c r="D568" t="s">
        <v>90</v>
      </c>
      <c r="E568" t="s">
        <v>91</v>
      </c>
      <c r="F568" s="6">
        <v>0.625</v>
      </c>
      <c r="G568">
        <v>0</v>
      </c>
      <c r="H568" s="6">
        <f>FLOOR(tblPivotData[[#This Row],[Time]],Summary!$B$6/1440)</f>
        <v>0.625</v>
      </c>
      <c r="I568" s="49">
        <f>INDEX(PeakCalc!$L$10:$L$303,MATCH(tblPivotData[[#This Row],[Time]],PeakCalc!$G$10:$G$303,0))</f>
        <v>1</v>
      </c>
    </row>
    <row r="569" spans="1:9" x14ac:dyDescent="0.25">
      <c r="A569" t="s">
        <v>95</v>
      </c>
      <c r="B569" t="s">
        <v>104</v>
      </c>
      <c r="C569" t="s">
        <v>96</v>
      </c>
      <c r="D569" t="s">
        <v>90</v>
      </c>
      <c r="E569" t="s">
        <v>91</v>
      </c>
      <c r="F569" s="6">
        <v>0.63541666666666663</v>
      </c>
      <c r="G569">
        <v>0</v>
      </c>
      <c r="H569" s="6">
        <f>FLOOR(tblPivotData[[#This Row],[Time]],Summary!$B$6/1440)</f>
        <v>0.63541666666666663</v>
      </c>
      <c r="I569" s="49">
        <f>INDEX(PeakCalc!$L$10:$L$303,MATCH(tblPivotData[[#This Row],[Time]],PeakCalc!$G$10:$G$303,0))</f>
        <v>1</v>
      </c>
    </row>
    <row r="570" spans="1:9" x14ac:dyDescent="0.25">
      <c r="A570" t="s">
        <v>95</v>
      </c>
      <c r="B570" t="s">
        <v>104</v>
      </c>
      <c r="C570" t="s">
        <v>96</v>
      </c>
      <c r="D570" t="s">
        <v>90</v>
      </c>
      <c r="E570" t="s">
        <v>44</v>
      </c>
      <c r="F570" s="6">
        <v>0.66666666666666663</v>
      </c>
      <c r="G570">
        <v>0</v>
      </c>
      <c r="H570" s="6">
        <f>FLOOR(tblPivotData[[#This Row],[Time]],Summary!$B$6/1440)</f>
        <v>0.66666666666666663</v>
      </c>
      <c r="I570" s="49">
        <f>INDEX(PeakCalc!$L$10:$L$303,MATCH(tblPivotData[[#This Row],[Time]],PeakCalc!$G$10:$G$303,0))</f>
        <v>0</v>
      </c>
    </row>
    <row r="571" spans="1:9" x14ac:dyDescent="0.25">
      <c r="A571" t="s">
        <v>95</v>
      </c>
      <c r="B571" t="s">
        <v>104</v>
      </c>
      <c r="C571" t="s">
        <v>96</v>
      </c>
      <c r="D571" t="s">
        <v>90</v>
      </c>
      <c r="E571" t="s">
        <v>44</v>
      </c>
      <c r="F571" s="6">
        <v>0.67708333333333337</v>
      </c>
      <c r="G571">
        <v>0</v>
      </c>
      <c r="H571" s="6">
        <f>FLOOR(tblPivotData[[#This Row],[Time]],Summary!$B$6/1440)</f>
        <v>0.67708333333333326</v>
      </c>
      <c r="I571" s="49">
        <f>INDEX(PeakCalc!$L$10:$L$303,MATCH(tblPivotData[[#This Row],[Time]],PeakCalc!$G$10:$G$303,0))</f>
        <v>0</v>
      </c>
    </row>
    <row r="572" spans="1:9" x14ac:dyDescent="0.25">
      <c r="A572" t="s">
        <v>95</v>
      </c>
      <c r="B572" t="s">
        <v>104</v>
      </c>
      <c r="C572" t="s">
        <v>96</v>
      </c>
      <c r="D572" t="s">
        <v>90</v>
      </c>
      <c r="E572" t="s">
        <v>44</v>
      </c>
      <c r="F572" s="6">
        <v>0.6875</v>
      </c>
      <c r="G572">
        <v>0</v>
      </c>
      <c r="H572" s="6">
        <f>FLOOR(tblPivotData[[#This Row],[Time]],Summary!$B$6/1440)</f>
        <v>0.6875</v>
      </c>
      <c r="I572" s="49">
        <f>INDEX(PeakCalc!$L$10:$L$303,MATCH(tblPivotData[[#This Row],[Time]],PeakCalc!$G$10:$G$303,0))</f>
        <v>1</v>
      </c>
    </row>
    <row r="573" spans="1:9" x14ac:dyDescent="0.25">
      <c r="A573" t="s">
        <v>95</v>
      </c>
      <c r="B573" t="s">
        <v>104</v>
      </c>
      <c r="C573" t="s">
        <v>96</v>
      </c>
      <c r="D573" t="s">
        <v>90</v>
      </c>
      <c r="E573" t="s">
        <v>44</v>
      </c>
      <c r="F573" s="6">
        <v>0.69791666666666663</v>
      </c>
      <c r="G573">
        <v>0</v>
      </c>
      <c r="H573" s="6">
        <f>FLOOR(tblPivotData[[#This Row],[Time]],Summary!$B$6/1440)</f>
        <v>0.69791666666666663</v>
      </c>
      <c r="I573" s="49">
        <f>INDEX(PeakCalc!$L$10:$L$303,MATCH(tblPivotData[[#This Row],[Time]],PeakCalc!$G$10:$G$303,0))</f>
        <v>1</v>
      </c>
    </row>
    <row r="574" spans="1:9" x14ac:dyDescent="0.25">
      <c r="A574" t="s">
        <v>95</v>
      </c>
      <c r="B574" t="s">
        <v>104</v>
      </c>
      <c r="C574" t="s">
        <v>96</v>
      </c>
      <c r="D574" t="s">
        <v>90</v>
      </c>
      <c r="E574" t="s">
        <v>44</v>
      </c>
      <c r="F574" s="6">
        <v>0.70833333333333337</v>
      </c>
      <c r="G574">
        <v>0</v>
      </c>
      <c r="H574" s="6">
        <f>FLOOR(tblPivotData[[#This Row],[Time]],Summary!$B$6/1440)</f>
        <v>0.70833333333333326</v>
      </c>
      <c r="I574" s="49">
        <f>INDEX(PeakCalc!$L$10:$L$303,MATCH(tblPivotData[[#This Row],[Time]],PeakCalc!$G$10:$G$303,0))</f>
        <v>1</v>
      </c>
    </row>
    <row r="575" spans="1:9" x14ac:dyDescent="0.25">
      <c r="A575" t="s">
        <v>95</v>
      </c>
      <c r="B575" t="s">
        <v>104</v>
      </c>
      <c r="C575" t="s">
        <v>96</v>
      </c>
      <c r="D575" t="s">
        <v>90</v>
      </c>
      <c r="E575" t="s">
        <v>44</v>
      </c>
      <c r="F575" s="6">
        <v>0.71875</v>
      </c>
      <c r="G575">
        <v>0</v>
      </c>
      <c r="H575" s="6">
        <f>FLOOR(tblPivotData[[#This Row],[Time]],Summary!$B$6/1440)</f>
        <v>0.71875</v>
      </c>
      <c r="I575" s="49">
        <f>INDEX(PeakCalc!$L$10:$L$303,MATCH(tblPivotData[[#This Row],[Time]],PeakCalc!$G$10:$G$303,0))</f>
        <v>1</v>
      </c>
    </row>
    <row r="576" spans="1:9" x14ac:dyDescent="0.25">
      <c r="A576" t="s">
        <v>95</v>
      </c>
      <c r="B576" t="s">
        <v>104</v>
      </c>
      <c r="C576" t="s">
        <v>96</v>
      </c>
      <c r="D576" t="s">
        <v>90</v>
      </c>
      <c r="E576" t="s">
        <v>44</v>
      </c>
      <c r="F576" s="6">
        <v>0.72916666666666663</v>
      </c>
      <c r="G576">
        <v>0</v>
      </c>
      <c r="H576" s="6">
        <f>FLOOR(tblPivotData[[#This Row],[Time]],Summary!$B$6/1440)</f>
        <v>0.72916666666666663</v>
      </c>
      <c r="I576" s="49">
        <f>INDEX(PeakCalc!$L$10:$L$303,MATCH(tblPivotData[[#This Row],[Time]],PeakCalc!$G$10:$G$303,0))</f>
        <v>0</v>
      </c>
    </row>
    <row r="577" spans="1:9" x14ac:dyDescent="0.25">
      <c r="A577" t="s">
        <v>95</v>
      </c>
      <c r="B577" t="s">
        <v>104</v>
      </c>
      <c r="C577" t="s">
        <v>96</v>
      </c>
      <c r="D577" t="s">
        <v>90</v>
      </c>
      <c r="E577" t="s">
        <v>44</v>
      </c>
      <c r="F577" s="6">
        <v>0.73958333333333337</v>
      </c>
      <c r="G577">
        <v>0</v>
      </c>
      <c r="H577" s="6">
        <f>FLOOR(tblPivotData[[#This Row],[Time]],Summary!$B$6/1440)</f>
        <v>0.73958333333333326</v>
      </c>
      <c r="I577" s="49">
        <f>INDEX(PeakCalc!$L$10:$L$303,MATCH(tblPivotData[[#This Row],[Time]],PeakCalc!$G$10:$G$303,0))</f>
        <v>0</v>
      </c>
    </row>
    <row r="578" spans="1:9" x14ac:dyDescent="0.25">
      <c r="A578" t="s">
        <v>95</v>
      </c>
      <c r="B578" t="s">
        <v>105</v>
      </c>
      <c r="C578" t="s">
        <v>93</v>
      </c>
      <c r="D578" t="s">
        <v>79</v>
      </c>
      <c r="E578" t="s">
        <v>43</v>
      </c>
      <c r="F578" s="6">
        <v>0.29166666666666669</v>
      </c>
      <c r="G578">
        <v>7</v>
      </c>
      <c r="H578" s="6">
        <f>FLOOR(tblPivotData[[#This Row],[Time]],Summary!$B$6/1440)</f>
        <v>0.29166666666666663</v>
      </c>
      <c r="I578" s="49">
        <f>INDEX(PeakCalc!$L$10:$L$303,MATCH(tblPivotData[[#This Row],[Time]],PeakCalc!$G$10:$G$303,0))</f>
        <v>0</v>
      </c>
    </row>
    <row r="579" spans="1:9" x14ac:dyDescent="0.25">
      <c r="A579" t="s">
        <v>95</v>
      </c>
      <c r="B579" t="s">
        <v>105</v>
      </c>
      <c r="C579" t="s">
        <v>93</v>
      </c>
      <c r="D579" t="s">
        <v>79</v>
      </c>
      <c r="E579" t="s">
        <v>43</v>
      </c>
      <c r="F579" s="6">
        <v>0.30208333333333331</v>
      </c>
      <c r="G579">
        <v>3</v>
      </c>
      <c r="H579" s="6">
        <f>FLOOR(tblPivotData[[#This Row],[Time]],Summary!$B$6/1440)</f>
        <v>0.30208333333333331</v>
      </c>
      <c r="I579" s="49">
        <f>INDEX(PeakCalc!$L$10:$L$303,MATCH(tblPivotData[[#This Row],[Time]],PeakCalc!$G$10:$G$303,0))</f>
        <v>0</v>
      </c>
    </row>
    <row r="580" spans="1:9" x14ac:dyDescent="0.25">
      <c r="A580" t="s">
        <v>95</v>
      </c>
      <c r="B580" t="s">
        <v>105</v>
      </c>
      <c r="C580" t="s">
        <v>93</v>
      </c>
      <c r="D580" t="s">
        <v>79</v>
      </c>
      <c r="E580" t="s">
        <v>43</v>
      </c>
      <c r="F580" s="6">
        <v>0.3125</v>
      </c>
      <c r="G580">
        <v>5</v>
      </c>
      <c r="H580" s="6">
        <f>FLOOR(tblPivotData[[#This Row],[Time]],Summary!$B$6/1440)</f>
        <v>0.3125</v>
      </c>
      <c r="I580" s="49">
        <f>INDEX(PeakCalc!$L$10:$L$303,MATCH(tblPivotData[[#This Row],[Time]],PeakCalc!$G$10:$G$303,0))</f>
        <v>0</v>
      </c>
    </row>
    <row r="581" spans="1:9" x14ac:dyDescent="0.25">
      <c r="A581" t="s">
        <v>95</v>
      </c>
      <c r="B581" t="s">
        <v>105</v>
      </c>
      <c r="C581" t="s">
        <v>93</v>
      </c>
      <c r="D581" t="s">
        <v>79</v>
      </c>
      <c r="E581" t="s">
        <v>43</v>
      </c>
      <c r="F581" s="6">
        <v>0.32291666666666669</v>
      </c>
      <c r="G581">
        <v>5</v>
      </c>
      <c r="H581" s="6">
        <f>FLOOR(tblPivotData[[#This Row],[Time]],Summary!$B$6/1440)</f>
        <v>0.32291666666666663</v>
      </c>
      <c r="I581" s="49">
        <f>INDEX(PeakCalc!$L$10:$L$303,MATCH(tblPivotData[[#This Row],[Time]],PeakCalc!$G$10:$G$303,0))</f>
        <v>0</v>
      </c>
    </row>
    <row r="582" spans="1:9" x14ac:dyDescent="0.25">
      <c r="A582" t="s">
        <v>95</v>
      </c>
      <c r="B582" t="s">
        <v>105</v>
      </c>
      <c r="C582" t="s">
        <v>93</v>
      </c>
      <c r="D582" t="s">
        <v>79</v>
      </c>
      <c r="E582" t="s">
        <v>43</v>
      </c>
      <c r="F582" s="6">
        <v>0.33333333333333331</v>
      </c>
      <c r="G582">
        <v>13</v>
      </c>
      <c r="H582" s="6">
        <f>FLOOR(tblPivotData[[#This Row],[Time]],Summary!$B$6/1440)</f>
        <v>0.33333333333333331</v>
      </c>
      <c r="I582" s="49">
        <f>INDEX(PeakCalc!$L$10:$L$303,MATCH(tblPivotData[[#This Row],[Time]],PeakCalc!$G$10:$G$303,0))</f>
        <v>1</v>
      </c>
    </row>
    <row r="583" spans="1:9" x14ac:dyDescent="0.25">
      <c r="A583" t="s">
        <v>95</v>
      </c>
      <c r="B583" t="s">
        <v>105</v>
      </c>
      <c r="C583" t="s">
        <v>93</v>
      </c>
      <c r="D583" t="s">
        <v>79</v>
      </c>
      <c r="E583" t="s">
        <v>43</v>
      </c>
      <c r="F583" s="6">
        <v>0.34375</v>
      </c>
      <c r="G583">
        <v>9</v>
      </c>
      <c r="H583" s="6">
        <f>FLOOR(tblPivotData[[#This Row],[Time]],Summary!$B$6/1440)</f>
        <v>0.34375</v>
      </c>
      <c r="I583" s="49">
        <f>INDEX(PeakCalc!$L$10:$L$303,MATCH(tblPivotData[[#This Row],[Time]],PeakCalc!$G$10:$G$303,0))</f>
        <v>1</v>
      </c>
    </row>
    <row r="584" spans="1:9" x14ac:dyDescent="0.25">
      <c r="A584" t="s">
        <v>95</v>
      </c>
      <c r="B584" t="s">
        <v>105</v>
      </c>
      <c r="C584" t="s">
        <v>93</v>
      </c>
      <c r="D584" t="s">
        <v>79</v>
      </c>
      <c r="E584" t="s">
        <v>43</v>
      </c>
      <c r="F584" s="6">
        <v>0.35416666666666669</v>
      </c>
      <c r="G584">
        <v>10</v>
      </c>
      <c r="H584" s="6">
        <f>FLOOR(tblPivotData[[#This Row],[Time]],Summary!$B$6/1440)</f>
        <v>0.35416666666666663</v>
      </c>
      <c r="I584" s="49">
        <f>INDEX(PeakCalc!$L$10:$L$303,MATCH(tblPivotData[[#This Row],[Time]],PeakCalc!$G$10:$G$303,0))</f>
        <v>1</v>
      </c>
    </row>
    <row r="585" spans="1:9" x14ac:dyDescent="0.25">
      <c r="A585" t="s">
        <v>95</v>
      </c>
      <c r="B585" t="s">
        <v>105</v>
      </c>
      <c r="C585" t="s">
        <v>93</v>
      </c>
      <c r="D585" t="s">
        <v>79</v>
      </c>
      <c r="E585" t="s">
        <v>43</v>
      </c>
      <c r="F585" s="6">
        <v>0.36458333333333331</v>
      </c>
      <c r="G585">
        <v>11</v>
      </c>
      <c r="H585" s="6">
        <f>FLOOR(tblPivotData[[#This Row],[Time]],Summary!$B$6/1440)</f>
        <v>0.36458333333333331</v>
      </c>
      <c r="I585" s="49">
        <f>INDEX(PeakCalc!$L$10:$L$303,MATCH(tblPivotData[[#This Row],[Time]],PeakCalc!$G$10:$G$303,0))</f>
        <v>1</v>
      </c>
    </row>
    <row r="586" spans="1:9" x14ac:dyDescent="0.25">
      <c r="A586" t="s">
        <v>95</v>
      </c>
      <c r="B586" t="s">
        <v>105</v>
      </c>
      <c r="C586" t="s">
        <v>93</v>
      </c>
      <c r="D586" t="s">
        <v>79</v>
      </c>
      <c r="E586" t="s">
        <v>91</v>
      </c>
      <c r="F586" s="6">
        <v>0.5625</v>
      </c>
      <c r="G586">
        <v>8</v>
      </c>
      <c r="H586" s="6">
        <f>FLOOR(tblPivotData[[#This Row],[Time]],Summary!$B$6/1440)</f>
        <v>0.5625</v>
      </c>
      <c r="I586" s="49">
        <f>INDEX(PeakCalc!$L$10:$L$303,MATCH(tblPivotData[[#This Row],[Time]],PeakCalc!$G$10:$G$303,0))</f>
        <v>0</v>
      </c>
    </row>
    <row r="587" spans="1:9" x14ac:dyDescent="0.25">
      <c r="A587" t="s">
        <v>95</v>
      </c>
      <c r="B587" t="s">
        <v>105</v>
      </c>
      <c r="C587" t="s">
        <v>93</v>
      </c>
      <c r="D587" t="s">
        <v>79</v>
      </c>
      <c r="E587" t="s">
        <v>91</v>
      </c>
      <c r="F587" s="6">
        <v>0.57291666666666663</v>
      </c>
      <c r="G587">
        <v>13</v>
      </c>
      <c r="H587" s="6">
        <f>FLOOR(tblPivotData[[#This Row],[Time]],Summary!$B$6/1440)</f>
        <v>0.57291666666666663</v>
      </c>
      <c r="I587" s="49">
        <f>INDEX(PeakCalc!$L$10:$L$303,MATCH(tblPivotData[[#This Row],[Time]],PeakCalc!$G$10:$G$303,0))</f>
        <v>0</v>
      </c>
    </row>
    <row r="588" spans="1:9" x14ac:dyDescent="0.25">
      <c r="A588" t="s">
        <v>95</v>
      </c>
      <c r="B588" t="s">
        <v>105</v>
      </c>
      <c r="C588" t="s">
        <v>93</v>
      </c>
      <c r="D588" t="s">
        <v>79</v>
      </c>
      <c r="E588" t="s">
        <v>91</v>
      </c>
      <c r="F588" s="6">
        <v>0.58333333333333337</v>
      </c>
      <c r="G588">
        <v>11</v>
      </c>
      <c r="H588" s="6">
        <f>FLOOR(tblPivotData[[#This Row],[Time]],Summary!$B$6/1440)</f>
        <v>0.58333333333333326</v>
      </c>
      <c r="I588" s="49">
        <f>INDEX(PeakCalc!$L$10:$L$303,MATCH(tblPivotData[[#This Row],[Time]],PeakCalc!$G$10:$G$303,0))</f>
        <v>0</v>
      </c>
    </row>
    <row r="589" spans="1:9" x14ac:dyDescent="0.25">
      <c r="A589" t="s">
        <v>95</v>
      </c>
      <c r="B589" t="s">
        <v>105</v>
      </c>
      <c r="C589" t="s">
        <v>93</v>
      </c>
      <c r="D589" t="s">
        <v>79</v>
      </c>
      <c r="E589" t="s">
        <v>91</v>
      </c>
      <c r="F589" s="6">
        <v>0.59375</v>
      </c>
      <c r="G589">
        <v>5</v>
      </c>
      <c r="H589" s="6">
        <f>FLOOR(tblPivotData[[#This Row],[Time]],Summary!$B$6/1440)</f>
        <v>0.59375</v>
      </c>
      <c r="I589" s="49">
        <f>INDEX(PeakCalc!$L$10:$L$303,MATCH(tblPivotData[[#This Row],[Time]],PeakCalc!$G$10:$G$303,0))</f>
        <v>0</v>
      </c>
    </row>
    <row r="590" spans="1:9" x14ac:dyDescent="0.25">
      <c r="A590" t="s">
        <v>95</v>
      </c>
      <c r="B590" t="s">
        <v>105</v>
      </c>
      <c r="C590" t="s">
        <v>93</v>
      </c>
      <c r="D590" t="s">
        <v>79</v>
      </c>
      <c r="E590" t="s">
        <v>91</v>
      </c>
      <c r="F590" s="6">
        <v>0.60416666666666663</v>
      </c>
      <c r="G590">
        <v>15</v>
      </c>
      <c r="H590" s="6">
        <f>FLOOR(tblPivotData[[#This Row],[Time]],Summary!$B$6/1440)</f>
        <v>0.60416666666666663</v>
      </c>
      <c r="I590" s="49">
        <f>INDEX(PeakCalc!$L$10:$L$303,MATCH(tblPivotData[[#This Row],[Time]],PeakCalc!$G$10:$G$303,0))</f>
        <v>1</v>
      </c>
    </row>
    <row r="591" spans="1:9" x14ac:dyDescent="0.25">
      <c r="A591" t="s">
        <v>95</v>
      </c>
      <c r="B591" t="s">
        <v>105</v>
      </c>
      <c r="C591" t="s">
        <v>93</v>
      </c>
      <c r="D591" t="s">
        <v>79</v>
      </c>
      <c r="E591" t="s">
        <v>91</v>
      </c>
      <c r="F591" s="6">
        <v>0.61458333333333337</v>
      </c>
      <c r="G591">
        <v>14</v>
      </c>
      <c r="H591" s="6">
        <f>FLOOR(tblPivotData[[#This Row],[Time]],Summary!$B$6/1440)</f>
        <v>0.61458333333333326</v>
      </c>
      <c r="I591" s="49">
        <f>INDEX(PeakCalc!$L$10:$L$303,MATCH(tblPivotData[[#This Row],[Time]],PeakCalc!$G$10:$G$303,0))</f>
        <v>1</v>
      </c>
    </row>
    <row r="592" spans="1:9" x14ac:dyDescent="0.25">
      <c r="A592" t="s">
        <v>95</v>
      </c>
      <c r="B592" t="s">
        <v>105</v>
      </c>
      <c r="C592" t="s">
        <v>93</v>
      </c>
      <c r="D592" t="s">
        <v>79</v>
      </c>
      <c r="E592" t="s">
        <v>91</v>
      </c>
      <c r="F592" s="6">
        <v>0.625</v>
      </c>
      <c r="G592">
        <v>12</v>
      </c>
      <c r="H592" s="6">
        <f>FLOOR(tblPivotData[[#This Row],[Time]],Summary!$B$6/1440)</f>
        <v>0.625</v>
      </c>
      <c r="I592" s="49">
        <f>INDEX(PeakCalc!$L$10:$L$303,MATCH(tblPivotData[[#This Row],[Time]],PeakCalc!$G$10:$G$303,0))</f>
        <v>1</v>
      </c>
    </row>
    <row r="593" spans="1:9" x14ac:dyDescent="0.25">
      <c r="A593" t="s">
        <v>95</v>
      </c>
      <c r="B593" t="s">
        <v>105</v>
      </c>
      <c r="C593" t="s">
        <v>93</v>
      </c>
      <c r="D593" t="s">
        <v>79</v>
      </c>
      <c r="E593" t="s">
        <v>91</v>
      </c>
      <c r="F593" s="6">
        <v>0.63541666666666663</v>
      </c>
      <c r="G593">
        <v>16</v>
      </c>
      <c r="H593" s="6">
        <f>FLOOR(tblPivotData[[#This Row],[Time]],Summary!$B$6/1440)</f>
        <v>0.63541666666666663</v>
      </c>
      <c r="I593" s="49">
        <f>INDEX(PeakCalc!$L$10:$L$303,MATCH(tblPivotData[[#This Row],[Time]],PeakCalc!$G$10:$G$303,0))</f>
        <v>1</v>
      </c>
    </row>
    <row r="594" spans="1:9" x14ac:dyDescent="0.25">
      <c r="A594" t="s">
        <v>95</v>
      </c>
      <c r="B594" t="s">
        <v>105</v>
      </c>
      <c r="C594" t="s">
        <v>93</v>
      </c>
      <c r="D594" t="s">
        <v>79</v>
      </c>
      <c r="E594" t="s">
        <v>44</v>
      </c>
      <c r="F594" s="6">
        <v>0.66666666666666663</v>
      </c>
      <c r="G594">
        <v>10</v>
      </c>
      <c r="H594" s="6">
        <f>FLOOR(tblPivotData[[#This Row],[Time]],Summary!$B$6/1440)</f>
        <v>0.66666666666666663</v>
      </c>
      <c r="I594" s="49">
        <f>INDEX(PeakCalc!$L$10:$L$303,MATCH(tblPivotData[[#This Row],[Time]],PeakCalc!$G$10:$G$303,0))</f>
        <v>0</v>
      </c>
    </row>
    <row r="595" spans="1:9" x14ac:dyDescent="0.25">
      <c r="A595" t="s">
        <v>95</v>
      </c>
      <c r="B595" t="s">
        <v>105</v>
      </c>
      <c r="C595" t="s">
        <v>93</v>
      </c>
      <c r="D595" t="s">
        <v>79</v>
      </c>
      <c r="E595" t="s">
        <v>44</v>
      </c>
      <c r="F595" s="6">
        <v>0.67708333333333337</v>
      </c>
      <c r="G595">
        <v>12</v>
      </c>
      <c r="H595" s="6">
        <f>FLOOR(tblPivotData[[#This Row],[Time]],Summary!$B$6/1440)</f>
        <v>0.67708333333333326</v>
      </c>
      <c r="I595" s="49">
        <f>INDEX(PeakCalc!$L$10:$L$303,MATCH(tblPivotData[[#This Row],[Time]],PeakCalc!$G$10:$G$303,0))</f>
        <v>0</v>
      </c>
    </row>
    <row r="596" spans="1:9" x14ac:dyDescent="0.25">
      <c r="A596" t="s">
        <v>95</v>
      </c>
      <c r="B596" t="s">
        <v>105</v>
      </c>
      <c r="C596" t="s">
        <v>93</v>
      </c>
      <c r="D596" t="s">
        <v>79</v>
      </c>
      <c r="E596" t="s">
        <v>44</v>
      </c>
      <c r="F596" s="6">
        <v>0.6875</v>
      </c>
      <c r="G596">
        <v>14</v>
      </c>
      <c r="H596" s="6">
        <f>FLOOR(tblPivotData[[#This Row],[Time]],Summary!$B$6/1440)</f>
        <v>0.6875</v>
      </c>
      <c r="I596" s="49">
        <f>INDEX(PeakCalc!$L$10:$L$303,MATCH(tblPivotData[[#This Row],[Time]],PeakCalc!$G$10:$G$303,0))</f>
        <v>1</v>
      </c>
    </row>
    <row r="597" spans="1:9" x14ac:dyDescent="0.25">
      <c r="A597" t="s">
        <v>95</v>
      </c>
      <c r="B597" t="s">
        <v>105</v>
      </c>
      <c r="C597" t="s">
        <v>93</v>
      </c>
      <c r="D597" t="s">
        <v>79</v>
      </c>
      <c r="E597" t="s">
        <v>44</v>
      </c>
      <c r="F597" s="6">
        <v>0.69791666666666663</v>
      </c>
      <c r="G597">
        <v>14</v>
      </c>
      <c r="H597" s="6">
        <f>FLOOR(tblPivotData[[#This Row],[Time]],Summary!$B$6/1440)</f>
        <v>0.69791666666666663</v>
      </c>
      <c r="I597" s="49">
        <f>INDEX(PeakCalc!$L$10:$L$303,MATCH(tblPivotData[[#This Row],[Time]],PeakCalc!$G$10:$G$303,0))</f>
        <v>1</v>
      </c>
    </row>
    <row r="598" spans="1:9" x14ac:dyDescent="0.25">
      <c r="A598" t="s">
        <v>95</v>
      </c>
      <c r="B598" t="s">
        <v>105</v>
      </c>
      <c r="C598" t="s">
        <v>93</v>
      </c>
      <c r="D598" t="s">
        <v>79</v>
      </c>
      <c r="E598" t="s">
        <v>44</v>
      </c>
      <c r="F598" s="6">
        <v>0.70833333333333337</v>
      </c>
      <c r="G598">
        <v>20</v>
      </c>
      <c r="H598" s="6">
        <f>FLOOR(tblPivotData[[#This Row],[Time]],Summary!$B$6/1440)</f>
        <v>0.70833333333333326</v>
      </c>
      <c r="I598" s="49">
        <f>INDEX(PeakCalc!$L$10:$L$303,MATCH(tblPivotData[[#This Row],[Time]],PeakCalc!$G$10:$G$303,0))</f>
        <v>1</v>
      </c>
    </row>
    <row r="599" spans="1:9" x14ac:dyDescent="0.25">
      <c r="A599" t="s">
        <v>95</v>
      </c>
      <c r="B599" t="s">
        <v>105</v>
      </c>
      <c r="C599" t="s">
        <v>93</v>
      </c>
      <c r="D599" t="s">
        <v>79</v>
      </c>
      <c r="E599" t="s">
        <v>44</v>
      </c>
      <c r="F599" s="6">
        <v>0.71875</v>
      </c>
      <c r="G599">
        <v>18</v>
      </c>
      <c r="H599" s="6">
        <f>FLOOR(tblPivotData[[#This Row],[Time]],Summary!$B$6/1440)</f>
        <v>0.71875</v>
      </c>
      <c r="I599" s="49">
        <f>INDEX(PeakCalc!$L$10:$L$303,MATCH(tblPivotData[[#This Row],[Time]],PeakCalc!$G$10:$G$303,0))</f>
        <v>1</v>
      </c>
    </row>
    <row r="600" spans="1:9" x14ac:dyDescent="0.25">
      <c r="A600" t="s">
        <v>95</v>
      </c>
      <c r="B600" t="s">
        <v>105</v>
      </c>
      <c r="C600" t="s">
        <v>93</v>
      </c>
      <c r="D600" t="s">
        <v>79</v>
      </c>
      <c r="E600" t="s">
        <v>44</v>
      </c>
      <c r="F600" s="6">
        <v>0.72916666666666663</v>
      </c>
      <c r="G600">
        <v>16</v>
      </c>
      <c r="H600" s="6">
        <f>FLOOR(tblPivotData[[#This Row],[Time]],Summary!$B$6/1440)</f>
        <v>0.72916666666666663</v>
      </c>
      <c r="I600" s="49">
        <f>INDEX(PeakCalc!$L$10:$L$303,MATCH(tblPivotData[[#This Row],[Time]],PeakCalc!$G$10:$G$303,0))</f>
        <v>0</v>
      </c>
    </row>
    <row r="601" spans="1:9" x14ac:dyDescent="0.25">
      <c r="A601" t="s">
        <v>95</v>
      </c>
      <c r="B601" t="s">
        <v>105</v>
      </c>
      <c r="C601" t="s">
        <v>93</v>
      </c>
      <c r="D601" t="s">
        <v>79</v>
      </c>
      <c r="E601" t="s">
        <v>44</v>
      </c>
      <c r="F601" s="6">
        <v>0.73958333333333337</v>
      </c>
      <c r="G601">
        <v>13</v>
      </c>
      <c r="H601" s="6">
        <f>FLOOR(tblPivotData[[#This Row],[Time]],Summary!$B$6/1440)</f>
        <v>0.73958333333333326</v>
      </c>
      <c r="I601" s="49">
        <f>INDEX(PeakCalc!$L$10:$L$303,MATCH(tblPivotData[[#This Row],[Time]],PeakCalc!$G$10:$G$303,0))</f>
        <v>0</v>
      </c>
    </row>
    <row r="602" spans="1:9" x14ac:dyDescent="0.25">
      <c r="A602" t="s">
        <v>95</v>
      </c>
      <c r="B602" t="s">
        <v>105</v>
      </c>
      <c r="C602" t="s">
        <v>93</v>
      </c>
      <c r="D602" t="s">
        <v>89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105</v>
      </c>
      <c r="C603" t="s">
        <v>93</v>
      </c>
      <c r="D603" t="s">
        <v>89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105</v>
      </c>
      <c r="C604" t="s">
        <v>93</v>
      </c>
      <c r="D604" t="s">
        <v>89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105</v>
      </c>
      <c r="C605" t="s">
        <v>93</v>
      </c>
      <c r="D605" t="s">
        <v>89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95</v>
      </c>
      <c r="B606" t="s">
        <v>105</v>
      </c>
      <c r="C606" t="s">
        <v>93</v>
      </c>
      <c r="D606" t="s">
        <v>89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105</v>
      </c>
      <c r="C607" t="s">
        <v>93</v>
      </c>
      <c r="D607" t="s">
        <v>89</v>
      </c>
      <c r="E607" t="s">
        <v>43</v>
      </c>
      <c r="F607" s="6">
        <v>0.34375</v>
      </c>
      <c r="G607">
        <v>0</v>
      </c>
      <c r="H607" s="6">
        <f>FLOOR(tblPivotData[[#This Row],[Time]],Summary!$B$6/1440)</f>
        <v>0.34375</v>
      </c>
      <c r="I607" s="49">
        <f>INDEX(PeakCalc!$L$10:$L$303,MATCH(tblPivotData[[#This Row],[Time]],PeakCalc!$G$10:$G$303,0))</f>
        <v>1</v>
      </c>
    </row>
    <row r="608" spans="1:9" x14ac:dyDescent="0.25">
      <c r="A608" t="s">
        <v>95</v>
      </c>
      <c r="B608" t="s">
        <v>105</v>
      </c>
      <c r="C608" t="s">
        <v>93</v>
      </c>
      <c r="D608" t="s">
        <v>89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105</v>
      </c>
      <c r="C609" t="s">
        <v>93</v>
      </c>
      <c r="D609" t="s">
        <v>89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95</v>
      </c>
      <c r="B610" t="s">
        <v>105</v>
      </c>
      <c r="C610" t="s">
        <v>93</v>
      </c>
      <c r="D610" t="s">
        <v>89</v>
      </c>
      <c r="E610" t="s">
        <v>91</v>
      </c>
      <c r="F610" s="6">
        <v>0.5625</v>
      </c>
      <c r="G610">
        <v>0</v>
      </c>
      <c r="H610" s="6">
        <f>FLOOR(tblPivotData[[#This Row],[Time]],Summary!$B$6/1440)</f>
        <v>0.5625</v>
      </c>
      <c r="I610" s="49">
        <f>INDEX(PeakCalc!$L$10:$L$303,MATCH(tblPivotData[[#This Row],[Time]],PeakCalc!$G$10:$G$303,0))</f>
        <v>0</v>
      </c>
    </row>
    <row r="611" spans="1:9" x14ac:dyDescent="0.25">
      <c r="A611" t="s">
        <v>95</v>
      </c>
      <c r="B611" t="s">
        <v>105</v>
      </c>
      <c r="C611" t="s">
        <v>93</v>
      </c>
      <c r="D611" t="s">
        <v>89</v>
      </c>
      <c r="E611" t="s">
        <v>91</v>
      </c>
      <c r="F611" s="6">
        <v>0.57291666666666663</v>
      </c>
      <c r="G611">
        <v>0</v>
      </c>
      <c r="H611" s="6">
        <f>FLOOR(tblPivotData[[#This Row],[Time]],Summary!$B$6/1440)</f>
        <v>0.57291666666666663</v>
      </c>
      <c r="I611" s="49">
        <f>INDEX(PeakCalc!$L$10:$L$303,MATCH(tblPivotData[[#This Row],[Time]],PeakCalc!$G$10:$G$303,0))</f>
        <v>0</v>
      </c>
    </row>
    <row r="612" spans="1:9" x14ac:dyDescent="0.25">
      <c r="A612" t="s">
        <v>95</v>
      </c>
      <c r="B612" t="s">
        <v>105</v>
      </c>
      <c r="C612" t="s">
        <v>93</v>
      </c>
      <c r="D612" t="s">
        <v>89</v>
      </c>
      <c r="E612" t="s">
        <v>91</v>
      </c>
      <c r="F612" s="6">
        <v>0.58333333333333337</v>
      </c>
      <c r="G612">
        <v>0</v>
      </c>
      <c r="H612" s="6">
        <f>FLOOR(tblPivotData[[#This Row],[Time]],Summary!$B$6/1440)</f>
        <v>0.58333333333333326</v>
      </c>
      <c r="I612" s="49">
        <f>INDEX(PeakCalc!$L$10:$L$303,MATCH(tblPivotData[[#This Row],[Time]],PeakCalc!$G$10:$G$303,0))</f>
        <v>0</v>
      </c>
    </row>
    <row r="613" spans="1:9" x14ac:dyDescent="0.25">
      <c r="A613" t="s">
        <v>95</v>
      </c>
      <c r="B613" t="s">
        <v>105</v>
      </c>
      <c r="C613" t="s">
        <v>93</v>
      </c>
      <c r="D613" t="s">
        <v>89</v>
      </c>
      <c r="E613" t="s">
        <v>91</v>
      </c>
      <c r="F613" s="6">
        <v>0.59375</v>
      </c>
      <c r="G613">
        <v>0</v>
      </c>
      <c r="H613" s="6">
        <f>FLOOR(tblPivotData[[#This Row],[Time]],Summary!$B$6/1440)</f>
        <v>0.59375</v>
      </c>
      <c r="I613" s="49">
        <f>INDEX(PeakCalc!$L$10:$L$303,MATCH(tblPivotData[[#This Row],[Time]],PeakCalc!$G$10:$G$303,0))</f>
        <v>0</v>
      </c>
    </row>
    <row r="614" spans="1:9" x14ac:dyDescent="0.25">
      <c r="A614" t="s">
        <v>95</v>
      </c>
      <c r="B614" t="s">
        <v>105</v>
      </c>
      <c r="C614" t="s">
        <v>93</v>
      </c>
      <c r="D614" t="s">
        <v>89</v>
      </c>
      <c r="E614" t="s">
        <v>91</v>
      </c>
      <c r="F614" s="6">
        <v>0.60416666666666663</v>
      </c>
      <c r="G614">
        <v>0</v>
      </c>
      <c r="H614" s="6">
        <f>FLOOR(tblPivotData[[#This Row],[Time]],Summary!$B$6/1440)</f>
        <v>0.60416666666666663</v>
      </c>
      <c r="I614" s="49">
        <f>INDEX(PeakCalc!$L$10:$L$303,MATCH(tblPivotData[[#This Row],[Time]],PeakCalc!$G$10:$G$303,0))</f>
        <v>1</v>
      </c>
    </row>
    <row r="615" spans="1:9" x14ac:dyDescent="0.25">
      <c r="A615" t="s">
        <v>95</v>
      </c>
      <c r="B615" t="s">
        <v>105</v>
      </c>
      <c r="C615" t="s">
        <v>93</v>
      </c>
      <c r="D615" t="s">
        <v>89</v>
      </c>
      <c r="E615" t="s">
        <v>91</v>
      </c>
      <c r="F615" s="6">
        <v>0.61458333333333337</v>
      </c>
      <c r="G615">
        <v>0</v>
      </c>
      <c r="H615" s="6">
        <f>FLOOR(tblPivotData[[#This Row],[Time]],Summary!$B$6/1440)</f>
        <v>0.61458333333333326</v>
      </c>
      <c r="I615" s="49">
        <f>INDEX(PeakCalc!$L$10:$L$303,MATCH(tblPivotData[[#This Row],[Time]],PeakCalc!$G$10:$G$303,0))</f>
        <v>1</v>
      </c>
    </row>
    <row r="616" spans="1:9" x14ac:dyDescent="0.25">
      <c r="A616" t="s">
        <v>95</v>
      </c>
      <c r="B616" t="s">
        <v>105</v>
      </c>
      <c r="C616" t="s">
        <v>93</v>
      </c>
      <c r="D616" t="s">
        <v>89</v>
      </c>
      <c r="E616" t="s">
        <v>91</v>
      </c>
      <c r="F616" s="6">
        <v>0.625</v>
      </c>
      <c r="G616">
        <v>0</v>
      </c>
      <c r="H616" s="6">
        <f>FLOOR(tblPivotData[[#This Row],[Time]],Summary!$B$6/1440)</f>
        <v>0.625</v>
      </c>
      <c r="I616" s="49">
        <f>INDEX(PeakCalc!$L$10:$L$303,MATCH(tblPivotData[[#This Row],[Time]],PeakCalc!$G$10:$G$303,0))</f>
        <v>1</v>
      </c>
    </row>
    <row r="617" spans="1:9" x14ac:dyDescent="0.25">
      <c r="A617" t="s">
        <v>95</v>
      </c>
      <c r="B617" t="s">
        <v>105</v>
      </c>
      <c r="C617" t="s">
        <v>93</v>
      </c>
      <c r="D617" t="s">
        <v>89</v>
      </c>
      <c r="E617" t="s">
        <v>91</v>
      </c>
      <c r="F617" s="6">
        <v>0.63541666666666663</v>
      </c>
      <c r="G617">
        <v>0</v>
      </c>
      <c r="H617" s="6">
        <f>FLOOR(tblPivotData[[#This Row],[Time]],Summary!$B$6/1440)</f>
        <v>0.63541666666666663</v>
      </c>
      <c r="I617" s="49">
        <f>INDEX(PeakCalc!$L$10:$L$303,MATCH(tblPivotData[[#This Row],[Time]],PeakCalc!$G$10:$G$303,0))</f>
        <v>1</v>
      </c>
    </row>
    <row r="618" spans="1:9" x14ac:dyDescent="0.25">
      <c r="A618" t="s">
        <v>95</v>
      </c>
      <c r="B618" t="s">
        <v>105</v>
      </c>
      <c r="C618" t="s">
        <v>93</v>
      </c>
      <c r="D618" t="s">
        <v>89</v>
      </c>
      <c r="E618" t="s">
        <v>44</v>
      </c>
      <c r="F618" s="6">
        <v>0.66666666666666663</v>
      </c>
      <c r="G618">
        <v>0</v>
      </c>
      <c r="H618" s="6">
        <f>FLOOR(tblPivotData[[#This Row],[Time]],Summary!$B$6/1440)</f>
        <v>0.66666666666666663</v>
      </c>
      <c r="I618" s="49">
        <f>INDEX(PeakCalc!$L$10:$L$303,MATCH(tblPivotData[[#This Row],[Time]],PeakCalc!$G$10:$G$303,0))</f>
        <v>0</v>
      </c>
    </row>
    <row r="619" spans="1:9" x14ac:dyDescent="0.25">
      <c r="A619" t="s">
        <v>95</v>
      </c>
      <c r="B619" t="s">
        <v>105</v>
      </c>
      <c r="C619" t="s">
        <v>93</v>
      </c>
      <c r="D619" t="s">
        <v>89</v>
      </c>
      <c r="E619" t="s">
        <v>44</v>
      </c>
      <c r="F619" s="6">
        <v>0.67708333333333337</v>
      </c>
      <c r="G619">
        <v>0</v>
      </c>
      <c r="H619" s="6">
        <f>FLOOR(tblPivotData[[#This Row],[Time]],Summary!$B$6/1440)</f>
        <v>0.67708333333333326</v>
      </c>
      <c r="I619" s="49">
        <f>INDEX(PeakCalc!$L$10:$L$303,MATCH(tblPivotData[[#This Row],[Time]],PeakCalc!$G$10:$G$303,0))</f>
        <v>0</v>
      </c>
    </row>
    <row r="620" spans="1:9" x14ac:dyDescent="0.25">
      <c r="A620" t="s">
        <v>95</v>
      </c>
      <c r="B620" t="s">
        <v>105</v>
      </c>
      <c r="C620" t="s">
        <v>93</v>
      </c>
      <c r="D620" t="s">
        <v>89</v>
      </c>
      <c r="E620" t="s">
        <v>44</v>
      </c>
      <c r="F620" s="6">
        <v>0.6875</v>
      </c>
      <c r="G620">
        <v>0</v>
      </c>
      <c r="H620" s="6">
        <f>FLOOR(tblPivotData[[#This Row],[Time]],Summary!$B$6/1440)</f>
        <v>0.6875</v>
      </c>
      <c r="I620" s="49">
        <f>INDEX(PeakCalc!$L$10:$L$303,MATCH(tblPivotData[[#This Row],[Time]],PeakCalc!$G$10:$G$303,0))</f>
        <v>1</v>
      </c>
    </row>
    <row r="621" spans="1:9" x14ac:dyDescent="0.25">
      <c r="A621" t="s">
        <v>95</v>
      </c>
      <c r="B621" t="s">
        <v>105</v>
      </c>
      <c r="C621" t="s">
        <v>93</v>
      </c>
      <c r="D621" t="s">
        <v>89</v>
      </c>
      <c r="E621" t="s">
        <v>44</v>
      </c>
      <c r="F621" s="6">
        <v>0.69791666666666663</v>
      </c>
      <c r="G621">
        <v>0</v>
      </c>
      <c r="H621" s="6">
        <f>FLOOR(tblPivotData[[#This Row],[Time]],Summary!$B$6/1440)</f>
        <v>0.69791666666666663</v>
      </c>
      <c r="I621" s="49">
        <f>INDEX(PeakCalc!$L$10:$L$303,MATCH(tblPivotData[[#This Row],[Time]],PeakCalc!$G$10:$G$303,0))</f>
        <v>1</v>
      </c>
    </row>
    <row r="622" spans="1:9" x14ac:dyDescent="0.25">
      <c r="A622" t="s">
        <v>95</v>
      </c>
      <c r="B622" t="s">
        <v>105</v>
      </c>
      <c r="C622" t="s">
        <v>93</v>
      </c>
      <c r="D622" t="s">
        <v>89</v>
      </c>
      <c r="E622" t="s">
        <v>44</v>
      </c>
      <c r="F622" s="6">
        <v>0.70833333333333337</v>
      </c>
      <c r="G622">
        <v>0</v>
      </c>
      <c r="H622" s="6">
        <f>FLOOR(tblPivotData[[#This Row],[Time]],Summary!$B$6/1440)</f>
        <v>0.70833333333333326</v>
      </c>
      <c r="I622" s="49">
        <f>INDEX(PeakCalc!$L$10:$L$303,MATCH(tblPivotData[[#This Row],[Time]],PeakCalc!$G$10:$G$303,0))</f>
        <v>1</v>
      </c>
    </row>
    <row r="623" spans="1:9" x14ac:dyDescent="0.25">
      <c r="A623" t="s">
        <v>95</v>
      </c>
      <c r="B623" t="s">
        <v>105</v>
      </c>
      <c r="C623" t="s">
        <v>93</v>
      </c>
      <c r="D623" t="s">
        <v>89</v>
      </c>
      <c r="E623" t="s">
        <v>44</v>
      </c>
      <c r="F623" s="6">
        <v>0.71875</v>
      </c>
      <c r="G623">
        <v>0</v>
      </c>
      <c r="H623" s="6">
        <f>FLOOR(tblPivotData[[#This Row],[Time]],Summary!$B$6/1440)</f>
        <v>0.71875</v>
      </c>
      <c r="I623" s="49">
        <f>INDEX(PeakCalc!$L$10:$L$303,MATCH(tblPivotData[[#This Row],[Time]],PeakCalc!$G$10:$G$303,0))</f>
        <v>1</v>
      </c>
    </row>
    <row r="624" spans="1:9" x14ac:dyDescent="0.25">
      <c r="A624" t="s">
        <v>95</v>
      </c>
      <c r="B624" t="s">
        <v>105</v>
      </c>
      <c r="C624" t="s">
        <v>93</v>
      </c>
      <c r="D624" t="s">
        <v>89</v>
      </c>
      <c r="E624" t="s">
        <v>44</v>
      </c>
      <c r="F624" s="6">
        <v>0.72916666666666663</v>
      </c>
      <c r="G624">
        <v>0</v>
      </c>
      <c r="H624" s="6">
        <f>FLOOR(tblPivotData[[#This Row],[Time]],Summary!$B$6/1440)</f>
        <v>0.72916666666666663</v>
      </c>
      <c r="I624" s="49">
        <f>INDEX(PeakCalc!$L$10:$L$303,MATCH(tblPivotData[[#This Row],[Time]],PeakCalc!$G$10:$G$303,0))</f>
        <v>0</v>
      </c>
    </row>
    <row r="625" spans="1:9" x14ac:dyDescent="0.25">
      <c r="A625" t="s">
        <v>95</v>
      </c>
      <c r="B625" t="s">
        <v>105</v>
      </c>
      <c r="C625" t="s">
        <v>93</v>
      </c>
      <c r="D625" t="s">
        <v>89</v>
      </c>
      <c r="E625" t="s">
        <v>44</v>
      </c>
      <c r="F625" s="6">
        <v>0.73958333333333337</v>
      </c>
      <c r="G625">
        <v>0</v>
      </c>
      <c r="H625" s="6">
        <f>FLOOR(tblPivotData[[#This Row],[Time]],Summary!$B$6/1440)</f>
        <v>0.73958333333333326</v>
      </c>
      <c r="I625" s="49">
        <f>INDEX(PeakCalc!$L$10:$L$303,MATCH(tblPivotData[[#This Row],[Time]],PeakCalc!$G$10:$G$303,0))</f>
        <v>0</v>
      </c>
    </row>
    <row r="626" spans="1:9" x14ac:dyDescent="0.25">
      <c r="A626" t="s">
        <v>95</v>
      </c>
      <c r="B626" t="s">
        <v>105</v>
      </c>
      <c r="C626" t="s">
        <v>93</v>
      </c>
      <c r="D626" t="s">
        <v>90</v>
      </c>
      <c r="E626" t="s">
        <v>43</v>
      </c>
      <c r="F626" s="6">
        <v>0.29166666666666669</v>
      </c>
      <c r="G626">
        <v>0</v>
      </c>
      <c r="H626" s="6">
        <f>FLOOR(tblPivotData[[#This Row],[Time]],Summary!$B$6/1440)</f>
        <v>0.29166666666666663</v>
      </c>
      <c r="I626" s="49">
        <f>INDEX(PeakCalc!$L$10:$L$303,MATCH(tblPivotData[[#This Row],[Time]],PeakCalc!$G$10:$G$303,0))</f>
        <v>0</v>
      </c>
    </row>
    <row r="627" spans="1:9" x14ac:dyDescent="0.25">
      <c r="A627" t="s">
        <v>95</v>
      </c>
      <c r="B627" t="s">
        <v>105</v>
      </c>
      <c r="C627" t="s">
        <v>93</v>
      </c>
      <c r="D627" t="s">
        <v>90</v>
      </c>
      <c r="E627" t="s">
        <v>43</v>
      </c>
      <c r="F627" s="6">
        <v>0.30208333333333331</v>
      </c>
      <c r="G627">
        <v>0</v>
      </c>
      <c r="H627" s="6">
        <f>FLOOR(tblPivotData[[#This Row],[Time]],Summary!$B$6/1440)</f>
        <v>0.30208333333333331</v>
      </c>
      <c r="I627" s="49">
        <f>INDEX(PeakCalc!$L$10:$L$303,MATCH(tblPivotData[[#This Row],[Time]],PeakCalc!$G$10:$G$303,0))</f>
        <v>0</v>
      </c>
    </row>
    <row r="628" spans="1:9" x14ac:dyDescent="0.25">
      <c r="A628" t="s">
        <v>95</v>
      </c>
      <c r="B628" t="s">
        <v>105</v>
      </c>
      <c r="C628" t="s">
        <v>93</v>
      </c>
      <c r="D628" t="s">
        <v>90</v>
      </c>
      <c r="E628" t="s">
        <v>43</v>
      </c>
      <c r="F628" s="6">
        <v>0.3125</v>
      </c>
      <c r="G628">
        <v>0</v>
      </c>
      <c r="H628" s="6">
        <f>FLOOR(tblPivotData[[#This Row],[Time]],Summary!$B$6/1440)</f>
        <v>0.3125</v>
      </c>
      <c r="I628" s="49">
        <f>INDEX(PeakCalc!$L$10:$L$303,MATCH(tblPivotData[[#This Row],[Time]],PeakCalc!$G$10:$G$303,0))</f>
        <v>0</v>
      </c>
    </row>
    <row r="629" spans="1:9" x14ac:dyDescent="0.25">
      <c r="A629" t="s">
        <v>95</v>
      </c>
      <c r="B629" t="s">
        <v>105</v>
      </c>
      <c r="C629" t="s">
        <v>93</v>
      </c>
      <c r="D629" t="s">
        <v>90</v>
      </c>
      <c r="E629" t="s">
        <v>43</v>
      </c>
      <c r="F629" s="6">
        <v>0.32291666666666669</v>
      </c>
      <c r="G629">
        <v>0</v>
      </c>
      <c r="H629" s="6">
        <f>FLOOR(tblPivotData[[#This Row],[Time]],Summary!$B$6/1440)</f>
        <v>0.32291666666666663</v>
      </c>
      <c r="I629" s="49">
        <f>INDEX(PeakCalc!$L$10:$L$303,MATCH(tblPivotData[[#This Row],[Time]],PeakCalc!$G$10:$G$303,0))</f>
        <v>0</v>
      </c>
    </row>
    <row r="630" spans="1:9" x14ac:dyDescent="0.25">
      <c r="A630" t="s">
        <v>95</v>
      </c>
      <c r="B630" t="s">
        <v>105</v>
      </c>
      <c r="C630" t="s">
        <v>93</v>
      </c>
      <c r="D630" t="s">
        <v>90</v>
      </c>
      <c r="E630" t="s">
        <v>43</v>
      </c>
      <c r="F630" s="6">
        <v>0.33333333333333331</v>
      </c>
      <c r="G630">
        <v>0</v>
      </c>
      <c r="H630" s="6">
        <f>FLOOR(tblPivotData[[#This Row],[Time]],Summary!$B$6/1440)</f>
        <v>0.33333333333333331</v>
      </c>
      <c r="I630" s="49">
        <f>INDEX(PeakCalc!$L$10:$L$303,MATCH(tblPivotData[[#This Row],[Time]],PeakCalc!$G$10:$G$303,0))</f>
        <v>1</v>
      </c>
    </row>
    <row r="631" spans="1:9" x14ac:dyDescent="0.25">
      <c r="A631" t="s">
        <v>95</v>
      </c>
      <c r="B631" t="s">
        <v>105</v>
      </c>
      <c r="C631" t="s">
        <v>93</v>
      </c>
      <c r="D631" t="s">
        <v>90</v>
      </c>
      <c r="E631" t="s">
        <v>43</v>
      </c>
      <c r="F631" s="6">
        <v>0.34375</v>
      </c>
      <c r="G631">
        <v>1</v>
      </c>
      <c r="H631" s="6">
        <f>FLOOR(tblPivotData[[#This Row],[Time]],Summary!$B$6/1440)</f>
        <v>0.34375</v>
      </c>
      <c r="I631" s="49">
        <f>INDEX(PeakCalc!$L$10:$L$303,MATCH(tblPivotData[[#This Row],[Time]],PeakCalc!$G$10:$G$303,0))</f>
        <v>1</v>
      </c>
    </row>
    <row r="632" spans="1:9" x14ac:dyDescent="0.25">
      <c r="A632" t="s">
        <v>95</v>
      </c>
      <c r="B632" t="s">
        <v>105</v>
      </c>
      <c r="C632" t="s">
        <v>93</v>
      </c>
      <c r="D632" t="s">
        <v>90</v>
      </c>
      <c r="E632" t="s">
        <v>43</v>
      </c>
      <c r="F632" s="6">
        <v>0.35416666666666669</v>
      </c>
      <c r="G632">
        <v>0</v>
      </c>
      <c r="H632" s="6">
        <f>FLOOR(tblPivotData[[#This Row],[Time]],Summary!$B$6/1440)</f>
        <v>0.35416666666666663</v>
      </c>
      <c r="I632" s="49">
        <f>INDEX(PeakCalc!$L$10:$L$303,MATCH(tblPivotData[[#This Row],[Time]],PeakCalc!$G$10:$G$303,0))</f>
        <v>1</v>
      </c>
    </row>
    <row r="633" spans="1:9" x14ac:dyDescent="0.25">
      <c r="A633" t="s">
        <v>95</v>
      </c>
      <c r="B633" t="s">
        <v>105</v>
      </c>
      <c r="C633" t="s">
        <v>93</v>
      </c>
      <c r="D633" t="s">
        <v>90</v>
      </c>
      <c r="E633" t="s">
        <v>43</v>
      </c>
      <c r="F633" s="6">
        <v>0.36458333333333331</v>
      </c>
      <c r="G633">
        <v>0</v>
      </c>
      <c r="H633" s="6">
        <f>FLOOR(tblPivotData[[#This Row],[Time]],Summary!$B$6/1440)</f>
        <v>0.36458333333333331</v>
      </c>
      <c r="I633" s="49">
        <f>INDEX(PeakCalc!$L$10:$L$303,MATCH(tblPivotData[[#This Row],[Time]],PeakCalc!$G$10:$G$303,0))</f>
        <v>1</v>
      </c>
    </row>
    <row r="634" spans="1:9" x14ac:dyDescent="0.25">
      <c r="A634" t="s">
        <v>95</v>
      </c>
      <c r="B634" t="s">
        <v>105</v>
      </c>
      <c r="C634" t="s">
        <v>93</v>
      </c>
      <c r="D634" t="s">
        <v>90</v>
      </c>
      <c r="E634" t="s">
        <v>91</v>
      </c>
      <c r="F634" s="6">
        <v>0.5625</v>
      </c>
      <c r="G634">
        <v>0</v>
      </c>
      <c r="H634" s="6">
        <f>FLOOR(tblPivotData[[#This Row],[Time]],Summary!$B$6/1440)</f>
        <v>0.5625</v>
      </c>
      <c r="I634" s="49">
        <f>INDEX(PeakCalc!$L$10:$L$303,MATCH(tblPivotData[[#This Row],[Time]],PeakCalc!$G$10:$G$303,0))</f>
        <v>0</v>
      </c>
    </row>
    <row r="635" spans="1:9" x14ac:dyDescent="0.25">
      <c r="A635" t="s">
        <v>95</v>
      </c>
      <c r="B635" t="s">
        <v>105</v>
      </c>
      <c r="C635" t="s">
        <v>93</v>
      </c>
      <c r="D635" t="s">
        <v>90</v>
      </c>
      <c r="E635" t="s">
        <v>91</v>
      </c>
      <c r="F635" s="6">
        <v>0.57291666666666663</v>
      </c>
      <c r="G635">
        <v>0</v>
      </c>
      <c r="H635" s="6">
        <f>FLOOR(tblPivotData[[#This Row],[Time]],Summary!$B$6/1440)</f>
        <v>0.57291666666666663</v>
      </c>
      <c r="I635" s="49">
        <f>INDEX(PeakCalc!$L$10:$L$303,MATCH(tblPivotData[[#This Row],[Time]],PeakCalc!$G$10:$G$303,0))</f>
        <v>0</v>
      </c>
    </row>
    <row r="636" spans="1:9" x14ac:dyDescent="0.25">
      <c r="A636" t="s">
        <v>95</v>
      </c>
      <c r="B636" t="s">
        <v>105</v>
      </c>
      <c r="C636" t="s">
        <v>93</v>
      </c>
      <c r="D636" t="s">
        <v>90</v>
      </c>
      <c r="E636" t="s">
        <v>91</v>
      </c>
      <c r="F636" s="6">
        <v>0.58333333333333337</v>
      </c>
      <c r="G636">
        <v>0</v>
      </c>
      <c r="H636" s="6">
        <f>FLOOR(tblPivotData[[#This Row],[Time]],Summary!$B$6/1440)</f>
        <v>0.58333333333333326</v>
      </c>
      <c r="I636" s="49">
        <f>INDEX(PeakCalc!$L$10:$L$303,MATCH(tblPivotData[[#This Row],[Time]],PeakCalc!$G$10:$G$303,0))</f>
        <v>0</v>
      </c>
    </row>
    <row r="637" spans="1:9" x14ac:dyDescent="0.25">
      <c r="A637" t="s">
        <v>95</v>
      </c>
      <c r="B637" t="s">
        <v>105</v>
      </c>
      <c r="C637" t="s">
        <v>93</v>
      </c>
      <c r="D637" t="s">
        <v>90</v>
      </c>
      <c r="E637" t="s">
        <v>91</v>
      </c>
      <c r="F637" s="6">
        <v>0.59375</v>
      </c>
      <c r="G637">
        <v>0</v>
      </c>
      <c r="H637" s="6">
        <f>FLOOR(tblPivotData[[#This Row],[Time]],Summary!$B$6/1440)</f>
        <v>0.59375</v>
      </c>
      <c r="I637" s="49">
        <f>INDEX(PeakCalc!$L$10:$L$303,MATCH(tblPivotData[[#This Row],[Time]],PeakCalc!$G$10:$G$303,0))</f>
        <v>0</v>
      </c>
    </row>
    <row r="638" spans="1:9" x14ac:dyDescent="0.25">
      <c r="A638" t="s">
        <v>95</v>
      </c>
      <c r="B638" t="s">
        <v>105</v>
      </c>
      <c r="C638" t="s">
        <v>93</v>
      </c>
      <c r="D638" t="s">
        <v>90</v>
      </c>
      <c r="E638" t="s">
        <v>91</v>
      </c>
      <c r="F638" s="6">
        <v>0.60416666666666663</v>
      </c>
      <c r="G638">
        <v>0</v>
      </c>
      <c r="H638" s="6">
        <f>FLOOR(tblPivotData[[#This Row],[Time]],Summary!$B$6/1440)</f>
        <v>0.60416666666666663</v>
      </c>
      <c r="I638" s="49">
        <f>INDEX(PeakCalc!$L$10:$L$303,MATCH(tblPivotData[[#This Row],[Time]],PeakCalc!$G$10:$G$303,0))</f>
        <v>1</v>
      </c>
    </row>
    <row r="639" spans="1:9" x14ac:dyDescent="0.25">
      <c r="A639" t="s">
        <v>95</v>
      </c>
      <c r="B639" t="s">
        <v>105</v>
      </c>
      <c r="C639" t="s">
        <v>93</v>
      </c>
      <c r="D639" t="s">
        <v>90</v>
      </c>
      <c r="E639" t="s">
        <v>91</v>
      </c>
      <c r="F639" s="6">
        <v>0.61458333333333337</v>
      </c>
      <c r="G639">
        <v>0</v>
      </c>
      <c r="H639" s="6">
        <f>FLOOR(tblPivotData[[#This Row],[Time]],Summary!$B$6/1440)</f>
        <v>0.61458333333333326</v>
      </c>
      <c r="I639" s="49">
        <f>INDEX(PeakCalc!$L$10:$L$303,MATCH(tblPivotData[[#This Row],[Time]],PeakCalc!$G$10:$G$303,0))</f>
        <v>1</v>
      </c>
    </row>
    <row r="640" spans="1:9" x14ac:dyDescent="0.25">
      <c r="A640" t="s">
        <v>95</v>
      </c>
      <c r="B640" t="s">
        <v>105</v>
      </c>
      <c r="C640" t="s">
        <v>93</v>
      </c>
      <c r="D640" t="s">
        <v>90</v>
      </c>
      <c r="E640" t="s">
        <v>91</v>
      </c>
      <c r="F640" s="6">
        <v>0.625</v>
      </c>
      <c r="G640">
        <v>0</v>
      </c>
      <c r="H640" s="6">
        <f>FLOOR(tblPivotData[[#This Row],[Time]],Summary!$B$6/1440)</f>
        <v>0.625</v>
      </c>
      <c r="I640" s="49">
        <f>INDEX(PeakCalc!$L$10:$L$303,MATCH(tblPivotData[[#This Row],[Time]],PeakCalc!$G$10:$G$303,0))</f>
        <v>1</v>
      </c>
    </row>
    <row r="641" spans="1:9" x14ac:dyDescent="0.25">
      <c r="A641" t="s">
        <v>95</v>
      </c>
      <c r="B641" t="s">
        <v>105</v>
      </c>
      <c r="C641" t="s">
        <v>93</v>
      </c>
      <c r="D641" t="s">
        <v>90</v>
      </c>
      <c r="E641" t="s">
        <v>91</v>
      </c>
      <c r="F641" s="6">
        <v>0.63541666666666663</v>
      </c>
      <c r="G641">
        <v>0</v>
      </c>
      <c r="H641" s="6">
        <f>FLOOR(tblPivotData[[#This Row],[Time]],Summary!$B$6/1440)</f>
        <v>0.63541666666666663</v>
      </c>
      <c r="I641" s="49">
        <f>INDEX(PeakCalc!$L$10:$L$303,MATCH(tblPivotData[[#This Row],[Time]],PeakCalc!$G$10:$G$303,0))</f>
        <v>1</v>
      </c>
    </row>
    <row r="642" spans="1:9" x14ac:dyDescent="0.25">
      <c r="A642" t="s">
        <v>95</v>
      </c>
      <c r="B642" t="s">
        <v>105</v>
      </c>
      <c r="C642" t="s">
        <v>93</v>
      </c>
      <c r="D642" t="s">
        <v>90</v>
      </c>
      <c r="E642" t="s">
        <v>44</v>
      </c>
      <c r="F642" s="6">
        <v>0.66666666666666663</v>
      </c>
      <c r="G642">
        <v>0</v>
      </c>
      <c r="H642" s="6">
        <f>FLOOR(tblPivotData[[#This Row],[Time]],Summary!$B$6/1440)</f>
        <v>0.66666666666666663</v>
      </c>
      <c r="I642" s="49">
        <f>INDEX(PeakCalc!$L$10:$L$303,MATCH(tblPivotData[[#This Row],[Time]],PeakCalc!$G$10:$G$303,0))</f>
        <v>0</v>
      </c>
    </row>
    <row r="643" spans="1:9" x14ac:dyDescent="0.25">
      <c r="A643" t="s">
        <v>95</v>
      </c>
      <c r="B643" t="s">
        <v>105</v>
      </c>
      <c r="C643" t="s">
        <v>93</v>
      </c>
      <c r="D643" t="s">
        <v>90</v>
      </c>
      <c r="E643" t="s">
        <v>44</v>
      </c>
      <c r="F643" s="6">
        <v>0.67708333333333337</v>
      </c>
      <c r="G643">
        <v>0</v>
      </c>
      <c r="H643" s="6">
        <f>FLOOR(tblPivotData[[#This Row],[Time]],Summary!$B$6/1440)</f>
        <v>0.67708333333333326</v>
      </c>
      <c r="I643" s="49">
        <f>INDEX(PeakCalc!$L$10:$L$303,MATCH(tblPivotData[[#This Row],[Time]],PeakCalc!$G$10:$G$303,0))</f>
        <v>0</v>
      </c>
    </row>
    <row r="644" spans="1:9" x14ac:dyDescent="0.25">
      <c r="A644" t="s">
        <v>95</v>
      </c>
      <c r="B644" t="s">
        <v>105</v>
      </c>
      <c r="C644" t="s">
        <v>93</v>
      </c>
      <c r="D644" t="s">
        <v>90</v>
      </c>
      <c r="E644" t="s">
        <v>44</v>
      </c>
      <c r="F644" s="6">
        <v>0.6875</v>
      </c>
      <c r="G644">
        <v>0</v>
      </c>
      <c r="H644" s="6">
        <f>FLOOR(tblPivotData[[#This Row],[Time]],Summary!$B$6/1440)</f>
        <v>0.6875</v>
      </c>
      <c r="I644" s="49">
        <f>INDEX(PeakCalc!$L$10:$L$303,MATCH(tblPivotData[[#This Row],[Time]],PeakCalc!$G$10:$G$303,0))</f>
        <v>1</v>
      </c>
    </row>
    <row r="645" spans="1:9" x14ac:dyDescent="0.25">
      <c r="A645" t="s">
        <v>95</v>
      </c>
      <c r="B645" t="s">
        <v>105</v>
      </c>
      <c r="C645" t="s">
        <v>93</v>
      </c>
      <c r="D645" t="s">
        <v>90</v>
      </c>
      <c r="E645" t="s">
        <v>44</v>
      </c>
      <c r="F645" s="6">
        <v>0.69791666666666663</v>
      </c>
      <c r="G645">
        <v>0</v>
      </c>
      <c r="H645" s="6">
        <f>FLOOR(tblPivotData[[#This Row],[Time]],Summary!$B$6/1440)</f>
        <v>0.69791666666666663</v>
      </c>
      <c r="I645" s="49">
        <f>INDEX(PeakCalc!$L$10:$L$303,MATCH(tblPivotData[[#This Row],[Time]],PeakCalc!$G$10:$G$303,0))</f>
        <v>1</v>
      </c>
    </row>
    <row r="646" spans="1:9" x14ac:dyDescent="0.25">
      <c r="A646" t="s">
        <v>95</v>
      </c>
      <c r="B646" t="s">
        <v>105</v>
      </c>
      <c r="C646" t="s">
        <v>93</v>
      </c>
      <c r="D646" t="s">
        <v>90</v>
      </c>
      <c r="E646" t="s">
        <v>44</v>
      </c>
      <c r="F646" s="6">
        <v>0.70833333333333337</v>
      </c>
      <c r="G646">
        <v>0</v>
      </c>
      <c r="H646" s="6">
        <f>FLOOR(tblPivotData[[#This Row],[Time]],Summary!$B$6/1440)</f>
        <v>0.70833333333333326</v>
      </c>
      <c r="I646" s="49">
        <f>INDEX(PeakCalc!$L$10:$L$303,MATCH(tblPivotData[[#This Row],[Time]],PeakCalc!$G$10:$G$303,0))</f>
        <v>1</v>
      </c>
    </row>
    <row r="647" spans="1:9" x14ac:dyDescent="0.25">
      <c r="A647" t="s">
        <v>95</v>
      </c>
      <c r="B647" t="s">
        <v>105</v>
      </c>
      <c r="C647" t="s">
        <v>93</v>
      </c>
      <c r="D647" t="s">
        <v>90</v>
      </c>
      <c r="E647" t="s">
        <v>44</v>
      </c>
      <c r="F647" s="6">
        <v>0.71875</v>
      </c>
      <c r="G647">
        <v>0</v>
      </c>
      <c r="H647" s="6">
        <f>FLOOR(tblPivotData[[#This Row],[Time]],Summary!$B$6/1440)</f>
        <v>0.71875</v>
      </c>
      <c r="I647" s="49">
        <f>INDEX(PeakCalc!$L$10:$L$303,MATCH(tblPivotData[[#This Row],[Time]],PeakCalc!$G$10:$G$303,0))</f>
        <v>1</v>
      </c>
    </row>
    <row r="648" spans="1:9" x14ac:dyDescent="0.25">
      <c r="A648" t="s">
        <v>95</v>
      </c>
      <c r="B648" t="s">
        <v>105</v>
      </c>
      <c r="C648" t="s">
        <v>93</v>
      </c>
      <c r="D648" t="s">
        <v>90</v>
      </c>
      <c r="E648" t="s">
        <v>44</v>
      </c>
      <c r="F648" s="6">
        <v>0.72916666666666663</v>
      </c>
      <c r="G648">
        <v>0</v>
      </c>
      <c r="H648" s="6">
        <f>FLOOR(tblPivotData[[#This Row],[Time]],Summary!$B$6/1440)</f>
        <v>0.72916666666666663</v>
      </c>
      <c r="I648" s="49">
        <f>INDEX(PeakCalc!$L$10:$L$303,MATCH(tblPivotData[[#This Row],[Time]],PeakCalc!$G$10:$G$303,0))</f>
        <v>0</v>
      </c>
    </row>
    <row r="649" spans="1:9" x14ac:dyDescent="0.25">
      <c r="A649" t="s">
        <v>95</v>
      </c>
      <c r="B649" t="s">
        <v>105</v>
      </c>
      <c r="C649" t="s">
        <v>93</v>
      </c>
      <c r="D649" t="s">
        <v>90</v>
      </c>
      <c r="E649" t="s">
        <v>44</v>
      </c>
      <c r="F649" s="6">
        <v>0.73958333333333337</v>
      </c>
      <c r="G649">
        <v>0</v>
      </c>
      <c r="H649" s="6">
        <f>FLOOR(tblPivotData[[#This Row],[Time]],Summary!$B$6/1440)</f>
        <v>0.73958333333333326</v>
      </c>
      <c r="I649" s="49">
        <f>INDEX(PeakCalc!$L$10:$L$303,MATCH(tblPivotData[[#This Row],[Time]],PeakCalc!$G$10:$G$303,0))</f>
        <v>0</v>
      </c>
    </row>
    <row r="650" spans="1:9" x14ac:dyDescent="0.25">
      <c r="A650" t="s">
        <v>95</v>
      </c>
      <c r="B650" t="s">
        <v>106</v>
      </c>
      <c r="C650" t="s">
        <v>94</v>
      </c>
      <c r="D650" t="s">
        <v>79</v>
      </c>
      <c r="E650" t="s">
        <v>43</v>
      </c>
      <c r="F650" s="6">
        <v>0.29166666666666669</v>
      </c>
      <c r="G650">
        <v>2</v>
      </c>
      <c r="H650" s="6">
        <f>FLOOR(tblPivotData[[#This Row],[Time]],Summary!$B$6/1440)</f>
        <v>0.29166666666666663</v>
      </c>
      <c r="I650" s="49">
        <f>INDEX(PeakCalc!$L$10:$L$303,MATCH(tblPivotData[[#This Row],[Time]],PeakCalc!$G$10:$G$303,0))</f>
        <v>0</v>
      </c>
    </row>
    <row r="651" spans="1:9" x14ac:dyDescent="0.25">
      <c r="A651" t="s">
        <v>95</v>
      </c>
      <c r="B651" t="s">
        <v>106</v>
      </c>
      <c r="C651" t="s">
        <v>94</v>
      </c>
      <c r="D651" t="s">
        <v>79</v>
      </c>
      <c r="E651" t="s">
        <v>43</v>
      </c>
      <c r="F651" s="6">
        <v>0.30208333333333331</v>
      </c>
      <c r="G651">
        <v>5</v>
      </c>
      <c r="H651" s="6">
        <f>FLOOR(tblPivotData[[#This Row],[Time]],Summary!$B$6/1440)</f>
        <v>0.30208333333333331</v>
      </c>
      <c r="I651" s="49">
        <f>INDEX(PeakCalc!$L$10:$L$303,MATCH(tblPivotData[[#This Row],[Time]],PeakCalc!$G$10:$G$303,0))</f>
        <v>0</v>
      </c>
    </row>
    <row r="652" spans="1:9" x14ac:dyDescent="0.25">
      <c r="A652" t="s">
        <v>95</v>
      </c>
      <c r="B652" t="s">
        <v>106</v>
      </c>
      <c r="C652" t="s">
        <v>94</v>
      </c>
      <c r="D652" t="s">
        <v>79</v>
      </c>
      <c r="E652" t="s">
        <v>43</v>
      </c>
      <c r="F652" s="6">
        <v>0.3125</v>
      </c>
      <c r="G652">
        <v>5</v>
      </c>
      <c r="H652" s="6">
        <f>FLOOR(tblPivotData[[#This Row],[Time]],Summary!$B$6/1440)</f>
        <v>0.3125</v>
      </c>
      <c r="I652" s="49">
        <f>INDEX(PeakCalc!$L$10:$L$303,MATCH(tblPivotData[[#This Row],[Time]],PeakCalc!$G$10:$G$303,0))</f>
        <v>0</v>
      </c>
    </row>
    <row r="653" spans="1:9" x14ac:dyDescent="0.25">
      <c r="A653" t="s">
        <v>95</v>
      </c>
      <c r="B653" t="s">
        <v>106</v>
      </c>
      <c r="C653" t="s">
        <v>94</v>
      </c>
      <c r="D653" t="s">
        <v>79</v>
      </c>
      <c r="E653" t="s">
        <v>43</v>
      </c>
      <c r="F653" s="6">
        <v>0.32291666666666669</v>
      </c>
      <c r="G653">
        <v>4</v>
      </c>
      <c r="H653" s="6">
        <f>FLOOR(tblPivotData[[#This Row],[Time]],Summary!$B$6/1440)</f>
        <v>0.32291666666666663</v>
      </c>
      <c r="I653" s="49">
        <f>INDEX(PeakCalc!$L$10:$L$303,MATCH(tblPivotData[[#This Row],[Time]],PeakCalc!$G$10:$G$303,0))</f>
        <v>0</v>
      </c>
    </row>
    <row r="654" spans="1:9" x14ac:dyDescent="0.25">
      <c r="A654" t="s">
        <v>95</v>
      </c>
      <c r="B654" t="s">
        <v>106</v>
      </c>
      <c r="C654" t="s">
        <v>94</v>
      </c>
      <c r="D654" t="s">
        <v>79</v>
      </c>
      <c r="E654" t="s">
        <v>43</v>
      </c>
      <c r="F654" s="6">
        <v>0.33333333333333331</v>
      </c>
      <c r="G654">
        <v>2</v>
      </c>
      <c r="H654" s="6">
        <f>FLOOR(tblPivotData[[#This Row],[Time]],Summary!$B$6/1440)</f>
        <v>0.33333333333333331</v>
      </c>
      <c r="I654" s="49">
        <f>INDEX(PeakCalc!$L$10:$L$303,MATCH(tblPivotData[[#This Row],[Time]],PeakCalc!$G$10:$G$303,0))</f>
        <v>1</v>
      </c>
    </row>
    <row r="655" spans="1:9" x14ac:dyDescent="0.25">
      <c r="A655" t="s">
        <v>95</v>
      </c>
      <c r="B655" t="s">
        <v>106</v>
      </c>
      <c r="C655" t="s">
        <v>94</v>
      </c>
      <c r="D655" t="s">
        <v>79</v>
      </c>
      <c r="E655" t="s">
        <v>43</v>
      </c>
      <c r="F655" s="6">
        <v>0.34375</v>
      </c>
      <c r="G655">
        <v>3</v>
      </c>
      <c r="H655" s="6">
        <f>FLOOR(tblPivotData[[#This Row],[Time]],Summary!$B$6/1440)</f>
        <v>0.34375</v>
      </c>
      <c r="I655" s="49">
        <f>INDEX(PeakCalc!$L$10:$L$303,MATCH(tblPivotData[[#This Row],[Time]],PeakCalc!$G$10:$G$303,0))</f>
        <v>1</v>
      </c>
    </row>
    <row r="656" spans="1:9" x14ac:dyDescent="0.25">
      <c r="A656" t="s">
        <v>95</v>
      </c>
      <c r="B656" t="s">
        <v>106</v>
      </c>
      <c r="C656" t="s">
        <v>94</v>
      </c>
      <c r="D656" t="s">
        <v>79</v>
      </c>
      <c r="E656" t="s">
        <v>43</v>
      </c>
      <c r="F656" s="6">
        <v>0.35416666666666669</v>
      </c>
      <c r="G656">
        <v>7</v>
      </c>
      <c r="H656" s="6">
        <f>FLOOR(tblPivotData[[#This Row],[Time]],Summary!$B$6/1440)</f>
        <v>0.35416666666666663</v>
      </c>
      <c r="I656" s="49">
        <f>INDEX(PeakCalc!$L$10:$L$303,MATCH(tblPivotData[[#This Row],[Time]],PeakCalc!$G$10:$G$303,0))</f>
        <v>1</v>
      </c>
    </row>
    <row r="657" spans="1:9" x14ac:dyDescent="0.25">
      <c r="A657" t="s">
        <v>95</v>
      </c>
      <c r="B657" t="s">
        <v>106</v>
      </c>
      <c r="C657" t="s">
        <v>94</v>
      </c>
      <c r="D657" t="s">
        <v>79</v>
      </c>
      <c r="E657" t="s">
        <v>43</v>
      </c>
      <c r="F657" s="6">
        <v>0.36458333333333331</v>
      </c>
      <c r="G657">
        <v>6</v>
      </c>
      <c r="H657" s="6">
        <f>FLOOR(tblPivotData[[#This Row],[Time]],Summary!$B$6/1440)</f>
        <v>0.36458333333333331</v>
      </c>
      <c r="I657" s="49">
        <f>INDEX(PeakCalc!$L$10:$L$303,MATCH(tblPivotData[[#This Row],[Time]],PeakCalc!$G$10:$G$303,0))</f>
        <v>1</v>
      </c>
    </row>
    <row r="658" spans="1:9" x14ac:dyDescent="0.25">
      <c r="A658" t="s">
        <v>95</v>
      </c>
      <c r="B658" t="s">
        <v>106</v>
      </c>
      <c r="C658" t="s">
        <v>94</v>
      </c>
      <c r="D658" t="s">
        <v>79</v>
      </c>
      <c r="E658" t="s">
        <v>91</v>
      </c>
      <c r="F658" s="6">
        <v>0.5625</v>
      </c>
      <c r="G658">
        <v>12</v>
      </c>
      <c r="H658" s="6">
        <f>FLOOR(tblPivotData[[#This Row],[Time]],Summary!$B$6/1440)</f>
        <v>0.5625</v>
      </c>
      <c r="I658" s="49">
        <f>INDEX(PeakCalc!$L$10:$L$303,MATCH(tblPivotData[[#This Row],[Time]],PeakCalc!$G$10:$G$303,0))</f>
        <v>0</v>
      </c>
    </row>
    <row r="659" spans="1:9" x14ac:dyDescent="0.25">
      <c r="A659" t="s">
        <v>95</v>
      </c>
      <c r="B659" t="s">
        <v>106</v>
      </c>
      <c r="C659" t="s">
        <v>94</v>
      </c>
      <c r="D659" t="s">
        <v>79</v>
      </c>
      <c r="E659" t="s">
        <v>91</v>
      </c>
      <c r="F659" s="6">
        <v>0.57291666666666663</v>
      </c>
      <c r="G659">
        <v>5</v>
      </c>
      <c r="H659" s="6">
        <f>FLOOR(tblPivotData[[#This Row],[Time]],Summary!$B$6/1440)</f>
        <v>0.57291666666666663</v>
      </c>
      <c r="I659" s="49">
        <f>INDEX(PeakCalc!$L$10:$L$303,MATCH(tblPivotData[[#This Row],[Time]],PeakCalc!$G$10:$G$303,0))</f>
        <v>0</v>
      </c>
    </row>
    <row r="660" spans="1:9" x14ac:dyDescent="0.25">
      <c r="A660" t="s">
        <v>95</v>
      </c>
      <c r="B660" t="s">
        <v>106</v>
      </c>
      <c r="C660" t="s">
        <v>94</v>
      </c>
      <c r="D660" t="s">
        <v>79</v>
      </c>
      <c r="E660" t="s">
        <v>91</v>
      </c>
      <c r="F660" s="6">
        <v>0.58333333333333337</v>
      </c>
      <c r="G660">
        <v>9</v>
      </c>
      <c r="H660" s="6">
        <f>FLOOR(tblPivotData[[#This Row],[Time]],Summary!$B$6/1440)</f>
        <v>0.58333333333333326</v>
      </c>
      <c r="I660" s="49">
        <f>INDEX(PeakCalc!$L$10:$L$303,MATCH(tblPivotData[[#This Row],[Time]],PeakCalc!$G$10:$G$303,0))</f>
        <v>0</v>
      </c>
    </row>
    <row r="661" spans="1:9" x14ac:dyDescent="0.25">
      <c r="A661" t="s">
        <v>95</v>
      </c>
      <c r="B661" t="s">
        <v>106</v>
      </c>
      <c r="C661" t="s">
        <v>94</v>
      </c>
      <c r="D661" t="s">
        <v>79</v>
      </c>
      <c r="E661" t="s">
        <v>91</v>
      </c>
      <c r="F661" s="6">
        <v>0.59375</v>
      </c>
      <c r="G661">
        <v>9</v>
      </c>
      <c r="H661" s="6">
        <f>FLOOR(tblPivotData[[#This Row],[Time]],Summary!$B$6/1440)</f>
        <v>0.59375</v>
      </c>
      <c r="I661" s="49">
        <f>INDEX(PeakCalc!$L$10:$L$303,MATCH(tblPivotData[[#This Row],[Time]],PeakCalc!$G$10:$G$303,0))</f>
        <v>0</v>
      </c>
    </row>
    <row r="662" spans="1:9" x14ac:dyDescent="0.25">
      <c r="A662" t="s">
        <v>95</v>
      </c>
      <c r="B662" t="s">
        <v>106</v>
      </c>
      <c r="C662" t="s">
        <v>94</v>
      </c>
      <c r="D662" t="s">
        <v>79</v>
      </c>
      <c r="E662" t="s">
        <v>91</v>
      </c>
      <c r="F662" s="6">
        <v>0.60416666666666663</v>
      </c>
      <c r="G662">
        <v>3</v>
      </c>
      <c r="H662" s="6">
        <f>FLOOR(tblPivotData[[#This Row],[Time]],Summary!$B$6/1440)</f>
        <v>0.60416666666666663</v>
      </c>
      <c r="I662" s="49">
        <f>INDEX(PeakCalc!$L$10:$L$303,MATCH(tblPivotData[[#This Row],[Time]],PeakCalc!$G$10:$G$303,0))</f>
        <v>1</v>
      </c>
    </row>
    <row r="663" spans="1:9" x14ac:dyDescent="0.25">
      <c r="A663" t="s">
        <v>95</v>
      </c>
      <c r="B663" t="s">
        <v>106</v>
      </c>
      <c r="C663" t="s">
        <v>94</v>
      </c>
      <c r="D663" t="s">
        <v>79</v>
      </c>
      <c r="E663" t="s">
        <v>91</v>
      </c>
      <c r="F663" s="6">
        <v>0.61458333333333337</v>
      </c>
      <c r="G663">
        <v>7</v>
      </c>
      <c r="H663" s="6">
        <f>FLOOR(tblPivotData[[#This Row],[Time]],Summary!$B$6/1440)</f>
        <v>0.61458333333333326</v>
      </c>
      <c r="I663" s="49">
        <f>INDEX(PeakCalc!$L$10:$L$303,MATCH(tblPivotData[[#This Row],[Time]],PeakCalc!$G$10:$G$303,0))</f>
        <v>1</v>
      </c>
    </row>
    <row r="664" spans="1:9" x14ac:dyDescent="0.25">
      <c r="A664" t="s">
        <v>95</v>
      </c>
      <c r="B664" t="s">
        <v>106</v>
      </c>
      <c r="C664" t="s">
        <v>94</v>
      </c>
      <c r="D664" t="s">
        <v>79</v>
      </c>
      <c r="E664" t="s">
        <v>91</v>
      </c>
      <c r="F664" s="6">
        <v>0.625</v>
      </c>
      <c r="G664">
        <v>8</v>
      </c>
      <c r="H664" s="6">
        <f>FLOOR(tblPivotData[[#This Row],[Time]],Summary!$B$6/1440)</f>
        <v>0.625</v>
      </c>
      <c r="I664" s="49">
        <f>INDEX(PeakCalc!$L$10:$L$303,MATCH(tblPivotData[[#This Row],[Time]],PeakCalc!$G$10:$G$303,0))</f>
        <v>1</v>
      </c>
    </row>
    <row r="665" spans="1:9" x14ac:dyDescent="0.25">
      <c r="A665" t="s">
        <v>95</v>
      </c>
      <c r="B665" t="s">
        <v>106</v>
      </c>
      <c r="C665" t="s">
        <v>94</v>
      </c>
      <c r="D665" t="s">
        <v>79</v>
      </c>
      <c r="E665" t="s">
        <v>91</v>
      </c>
      <c r="F665" s="6">
        <v>0.63541666666666663</v>
      </c>
      <c r="G665">
        <v>3</v>
      </c>
      <c r="H665" s="6">
        <f>FLOOR(tblPivotData[[#This Row],[Time]],Summary!$B$6/1440)</f>
        <v>0.63541666666666663</v>
      </c>
      <c r="I665" s="49">
        <f>INDEX(PeakCalc!$L$10:$L$303,MATCH(tblPivotData[[#This Row],[Time]],PeakCalc!$G$10:$G$303,0))</f>
        <v>1</v>
      </c>
    </row>
    <row r="666" spans="1:9" x14ac:dyDescent="0.25">
      <c r="A666" t="s">
        <v>95</v>
      </c>
      <c r="B666" t="s">
        <v>106</v>
      </c>
      <c r="C666" t="s">
        <v>94</v>
      </c>
      <c r="D666" t="s">
        <v>79</v>
      </c>
      <c r="E666" t="s">
        <v>44</v>
      </c>
      <c r="F666" s="6">
        <v>0.66666666666666663</v>
      </c>
      <c r="G666">
        <v>9</v>
      </c>
      <c r="H666" s="6">
        <f>FLOOR(tblPivotData[[#This Row],[Time]],Summary!$B$6/1440)</f>
        <v>0.66666666666666663</v>
      </c>
      <c r="I666" s="49">
        <f>INDEX(PeakCalc!$L$10:$L$303,MATCH(tblPivotData[[#This Row],[Time]],PeakCalc!$G$10:$G$303,0))</f>
        <v>0</v>
      </c>
    </row>
    <row r="667" spans="1:9" x14ac:dyDescent="0.25">
      <c r="A667" t="s">
        <v>95</v>
      </c>
      <c r="B667" t="s">
        <v>106</v>
      </c>
      <c r="C667" t="s">
        <v>94</v>
      </c>
      <c r="D667" t="s">
        <v>79</v>
      </c>
      <c r="E667" t="s">
        <v>44</v>
      </c>
      <c r="F667" s="6">
        <v>0.67708333333333337</v>
      </c>
      <c r="G667">
        <v>10</v>
      </c>
      <c r="H667" s="6">
        <f>FLOOR(tblPivotData[[#This Row],[Time]],Summary!$B$6/1440)</f>
        <v>0.67708333333333326</v>
      </c>
      <c r="I667" s="49">
        <f>INDEX(PeakCalc!$L$10:$L$303,MATCH(tblPivotData[[#This Row],[Time]],PeakCalc!$G$10:$G$303,0))</f>
        <v>0</v>
      </c>
    </row>
    <row r="668" spans="1:9" x14ac:dyDescent="0.25">
      <c r="A668" t="s">
        <v>95</v>
      </c>
      <c r="B668" t="s">
        <v>106</v>
      </c>
      <c r="C668" t="s">
        <v>94</v>
      </c>
      <c r="D668" t="s">
        <v>79</v>
      </c>
      <c r="E668" t="s">
        <v>44</v>
      </c>
      <c r="F668" s="6">
        <v>0.6875</v>
      </c>
      <c r="G668">
        <v>6</v>
      </c>
      <c r="H668" s="6">
        <f>FLOOR(tblPivotData[[#This Row],[Time]],Summary!$B$6/1440)</f>
        <v>0.6875</v>
      </c>
      <c r="I668" s="49">
        <f>INDEX(PeakCalc!$L$10:$L$303,MATCH(tblPivotData[[#This Row],[Time]],PeakCalc!$G$10:$G$303,0))</f>
        <v>1</v>
      </c>
    </row>
    <row r="669" spans="1:9" x14ac:dyDescent="0.25">
      <c r="A669" t="s">
        <v>95</v>
      </c>
      <c r="B669" t="s">
        <v>106</v>
      </c>
      <c r="C669" t="s">
        <v>94</v>
      </c>
      <c r="D669" t="s">
        <v>79</v>
      </c>
      <c r="E669" t="s">
        <v>44</v>
      </c>
      <c r="F669" s="6">
        <v>0.69791666666666663</v>
      </c>
      <c r="G669">
        <v>9</v>
      </c>
      <c r="H669" s="6">
        <f>FLOOR(tblPivotData[[#This Row],[Time]],Summary!$B$6/1440)</f>
        <v>0.69791666666666663</v>
      </c>
      <c r="I669" s="49">
        <f>INDEX(PeakCalc!$L$10:$L$303,MATCH(tblPivotData[[#This Row],[Time]],PeakCalc!$G$10:$G$303,0))</f>
        <v>1</v>
      </c>
    </row>
    <row r="670" spans="1:9" x14ac:dyDescent="0.25">
      <c r="A670" t="s">
        <v>95</v>
      </c>
      <c r="B670" t="s">
        <v>106</v>
      </c>
      <c r="C670" t="s">
        <v>94</v>
      </c>
      <c r="D670" t="s">
        <v>79</v>
      </c>
      <c r="E670" t="s">
        <v>44</v>
      </c>
      <c r="F670" s="6">
        <v>0.70833333333333337</v>
      </c>
      <c r="G670">
        <v>6</v>
      </c>
      <c r="H670" s="6">
        <f>FLOOR(tblPivotData[[#This Row],[Time]],Summary!$B$6/1440)</f>
        <v>0.70833333333333326</v>
      </c>
      <c r="I670" s="49">
        <f>INDEX(PeakCalc!$L$10:$L$303,MATCH(tblPivotData[[#This Row],[Time]],PeakCalc!$G$10:$G$303,0))</f>
        <v>1</v>
      </c>
    </row>
    <row r="671" spans="1:9" x14ac:dyDescent="0.25">
      <c r="A671" t="s">
        <v>95</v>
      </c>
      <c r="B671" t="s">
        <v>106</v>
      </c>
      <c r="C671" t="s">
        <v>94</v>
      </c>
      <c r="D671" t="s">
        <v>79</v>
      </c>
      <c r="E671" t="s">
        <v>44</v>
      </c>
      <c r="F671" s="6">
        <v>0.71875</v>
      </c>
      <c r="G671">
        <v>6</v>
      </c>
      <c r="H671" s="6">
        <f>FLOOR(tblPivotData[[#This Row],[Time]],Summary!$B$6/1440)</f>
        <v>0.71875</v>
      </c>
      <c r="I671" s="49">
        <f>INDEX(PeakCalc!$L$10:$L$303,MATCH(tblPivotData[[#This Row],[Time]],PeakCalc!$G$10:$G$303,0))</f>
        <v>1</v>
      </c>
    </row>
    <row r="672" spans="1:9" x14ac:dyDescent="0.25">
      <c r="A672" t="s">
        <v>95</v>
      </c>
      <c r="B672" t="s">
        <v>106</v>
      </c>
      <c r="C672" t="s">
        <v>94</v>
      </c>
      <c r="D672" t="s">
        <v>79</v>
      </c>
      <c r="E672" t="s">
        <v>44</v>
      </c>
      <c r="F672" s="6">
        <v>0.72916666666666663</v>
      </c>
      <c r="G672">
        <v>8</v>
      </c>
      <c r="H672" s="6">
        <f>FLOOR(tblPivotData[[#This Row],[Time]],Summary!$B$6/1440)</f>
        <v>0.72916666666666663</v>
      </c>
      <c r="I672" s="49">
        <f>INDEX(PeakCalc!$L$10:$L$303,MATCH(tblPivotData[[#This Row],[Time]],PeakCalc!$G$10:$G$303,0))</f>
        <v>0</v>
      </c>
    </row>
    <row r="673" spans="1:9" x14ac:dyDescent="0.25">
      <c r="A673" t="s">
        <v>95</v>
      </c>
      <c r="B673" t="s">
        <v>106</v>
      </c>
      <c r="C673" t="s">
        <v>94</v>
      </c>
      <c r="D673" t="s">
        <v>79</v>
      </c>
      <c r="E673" t="s">
        <v>44</v>
      </c>
      <c r="F673" s="6">
        <v>0.73958333333333337</v>
      </c>
      <c r="G673">
        <v>10</v>
      </c>
      <c r="H673" s="6">
        <f>FLOOR(tblPivotData[[#This Row],[Time]],Summary!$B$6/1440)</f>
        <v>0.73958333333333326</v>
      </c>
      <c r="I673" s="49">
        <f>INDEX(PeakCalc!$L$10:$L$303,MATCH(tblPivotData[[#This Row],[Time]],PeakCalc!$G$10:$G$303,0))</f>
        <v>0</v>
      </c>
    </row>
    <row r="674" spans="1:9" x14ac:dyDescent="0.25">
      <c r="A674" t="s">
        <v>95</v>
      </c>
      <c r="B674" t="s">
        <v>106</v>
      </c>
      <c r="C674" t="s">
        <v>94</v>
      </c>
      <c r="D674" t="s">
        <v>89</v>
      </c>
      <c r="E674" t="s">
        <v>43</v>
      </c>
      <c r="F674" s="6">
        <v>0.29166666666666669</v>
      </c>
      <c r="G674">
        <v>1</v>
      </c>
      <c r="H674" s="6">
        <f>FLOOR(tblPivotData[[#This Row],[Time]],Summary!$B$6/1440)</f>
        <v>0.29166666666666663</v>
      </c>
      <c r="I674" s="49">
        <f>INDEX(PeakCalc!$L$10:$L$303,MATCH(tblPivotData[[#This Row],[Time]],PeakCalc!$G$10:$G$303,0))</f>
        <v>0</v>
      </c>
    </row>
    <row r="675" spans="1:9" x14ac:dyDescent="0.25">
      <c r="A675" t="s">
        <v>95</v>
      </c>
      <c r="B675" t="s">
        <v>106</v>
      </c>
      <c r="C675" t="s">
        <v>94</v>
      </c>
      <c r="D675" t="s">
        <v>89</v>
      </c>
      <c r="E675" t="s">
        <v>43</v>
      </c>
      <c r="F675" s="6">
        <v>0.30208333333333331</v>
      </c>
      <c r="G675">
        <v>0</v>
      </c>
      <c r="H675" s="6">
        <f>FLOOR(tblPivotData[[#This Row],[Time]],Summary!$B$6/1440)</f>
        <v>0.30208333333333331</v>
      </c>
      <c r="I675" s="49">
        <f>INDEX(PeakCalc!$L$10:$L$303,MATCH(tblPivotData[[#This Row],[Time]],PeakCalc!$G$10:$G$303,0))</f>
        <v>0</v>
      </c>
    </row>
    <row r="676" spans="1:9" x14ac:dyDescent="0.25">
      <c r="A676" t="s">
        <v>95</v>
      </c>
      <c r="B676" t="s">
        <v>106</v>
      </c>
      <c r="C676" t="s">
        <v>94</v>
      </c>
      <c r="D676" t="s">
        <v>89</v>
      </c>
      <c r="E676" t="s">
        <v>43</v>
      </c>
      <c r="F676" s="6">
        <v>0.3125</v>
      </c>
      <c r="G676">
        <v>0</v>
      </c>
      <c r="H676" s="6">
        <f>FLOOR(tblPivotData[[#This Row],[Time]],Summary!$B$6/1440)</f>
        <v>0.3125</v>
      </c>
      <c r="I676" s="49">
        <f>INDEX(PeakCalc!$L$10:$L$303,MATCH(tblPivotData[[#This Row],[Time]],PeakCalc!$G$10:$G$303,0))</f>
        <v>0</v>
      </c>
    </row>
    <row r="677" spans="1:9" x14ac:dyDescent="0.25">
      <c r="A677" t="s">
        <v>95</v>
      </c>
      <c r="B677" t="s">
        <v>106</v>
      </c>
      <c r="C677" t="s">
        <v>94</v>
      </c>
      <c r="D677" t="s">
        <v>89</v>
      </c>
      <c r="E677" t="s">
        <v>43</v>
      </c>
      <c r="F677" s="6">
        <v>0.32291666666666669</v>
      </c>
      <c r="G677">
        <v>0</v>
      </c>
      <c r="H677" s="6">
        <f>FLOOR(tblPivotData[[#This Row],[Time]],Summary!$B$6/1440)</f>
        <v>0.32291666666666663</v>
      </c>
      <c r="I677" s="49">
        <f>INDEX(PeakCalc!$L$10:$L$303,MATCH(tblPivotData[[#This Row],[Time]],PeakCalc!$G$10:$G$303,0))</f>
        <v>0</v>
      </c>
    </row>
    <row r="678" spans="1:9" x14ac:dyDescent="0.25">
      <c r="A678" t="s">
        <v>95</v>
      </c>
      <c r="B678" t="s">
        <v>106</v>
      </c>
      <c r="C678" t="s">
        <v>94</v>
      </c>
      <c r="D678" t="s">
        <v>89</v>
      </c>
      <c r="E678" t="s">
        <v>43</v>
      </c>
      <c r="F678" s="6">
        <v>0.33333333333333331</v>
      </c>
      <c r="G678">
        <v>0</v>
      </c>
      <c r="H678" s="6">
        <f>FLOOR(tblPivotData[[#This Row],[Time]],Summary!$B$6/1440)</f>
        <v>0.33333333333333331</v>
      </c>
      <c r="I678" s="49">
        <f>INDEX(PeakCalc!$L$10:$L$303,MATCH(tblPivotData[[#This Row],[Time]],PeakCalc!$G$10:$G$303,0))</f>
        <v>1</v>
      </c>
    </row>
    <row r="679" spans="1:9" x14ac:dyDescent="0.25">
      <c r="A679" t="s">
        <v>95</v>
      </c>
      <c r="B679" t="s">
        <v>106</v>
      </c>
      <c r="C679" t="s">
        <v>94</v>
      </c>
      <c r="D679" t="s">
        <v>89</v>
      </c>
      <c r="E679" t="s">
        <v>43</v>
      </c>
      <c r="F679" s="6">
        <v>0.34375</v>
      </c>
      <c r="G679">
        <v>0</v>
      </c>
      <c r="H679" s="6">
        <f>FLOOR(tblPivotData[[#This Row],[Time]],Summary!$B$6/1440)</f>
        <v>0.34375</v>
      </c>
      <c r="I679" s="49">
        <f>INDEX(PeakCalc!$L$10:$L$303,MATCH(tblPivotData[[#This Row],[Time]],PeakCalc!$G$10:$G$303,0))</f>
        <v>1</v>
      </c>
    </row>
    <row r="680" spans="1:9" x14ac:dyDescent="0.25">
      <c r="A680" t="s">
        <v>95</v>
      </c>
      <c r="B680" t="s">
        <v>106</v>
      </c>
      <c r="C680" t="s">
        <v>94</v>
      </c>
      <c r="D680" t="s">
        <v>89</v>
      </c>
      <c r="E680" t="s">
        <v>43</v>
      </c>
      <c r="F680" s="6">
        <v>0.35416666666666669</v>
      </c>
      <c r="G680">
        <v>0</v>
      </c>
      <c r="H680" s="6">
        <f>FLOOR(tblPivotData[[#This Row],[Time]],Summary!$B$6/1440)</f>
        <v>0.35416666666666663</v>
      </c>
      <c r="I680" s="49">
        <f>INDEX(PeakCalc!$L$10:$L$303,MATCH(tblPivotData[[#This Row],[Time]],PeakCalc!$G$10:$G$303,0))</f>
        <v>1</v>
      </c>
    </row>
    <row r="681" spans="1:9" x14ac:dyDescent="0.25">
      <c r="A681" t="s">
        <v>95</v>
      </c>
      <c r="B681" t="s">
        <v>106</v>
      </c>
      <c r="C681" t="s">
        <v>94</v>
      </c>
      <c r="D681" t="s">
        <v>89</v>
      </c>
      <c r="E681" t="s">
        <v>43</v>
      </c>
      <c r="F681" s="6">
        <v>0.36458333333333331</v>
      </c>
      <c r="G681">
        <v>0</v>
      </c>
      <c r="H681" s="6">
        <f>FLOOR(tblPivotData[[#This Row],[Time]],Summary!$B$6/1440)</f>
        <v>0.36458333333333331</v>
      </c>
      <c r="I681" s="49">
        <f>INDEX(PeakCalc!$L$10:$L$303,MATCH(tblPivotData[[#This Row],[Time]],PeakCalc!$G$10:$G$303,0))</f>
        <v>1</v>
      </c>
    </row>
    <row r="682" spans="1:9" x14ac:dyDescent="0.25">
      <c r="A682" t="s">
        <v>95</v>
      </c>
      <c r="B682" t="s">
        <v>106</v>
      </c>
      <c r="C682" t="s">
        <v>94</v>
      </c>
      <c r="D682" t="s">
        <v>89</v>
      </c>
      <c r="E682" t="s">
        <v>91</v>
      </c>
      <c r="F682" s="6">
        <v>0.5625</v>
      </c>
      <c r="G682">
        <v>0</v>
      </c>
      <c r="H682" s="6">
        <f>FLOOR(tblPivotData[[#This Row],[Time]],Summary!$B$6/1440)</f>
        <v>0.5625</v>
      </c>
      <c r="I682" s="49">
        <f>INDEX(PeakCalc!$L$10:$L$303,MATCH(tblPivotData[[#This Row],[Time]],PeakCalc!$G$10:$G$303,0))</f>
        <v>0</v>
      </c>
    </row>
    <row r="683" spans="1:9" x14ac:dyDescent="0.25">
      <c r="A683" t="s">
        <v>95</v>
      </c>
      <c r="B683" t="s">
        <v>106</v>
      </c>
      <c r="C683" t="s">
        <v>94</v>
      </c>
      <c r="D683" t="s">
        <v>89</v>
      </c>
      <c r="E683" t="s">
        <v>91</v>
      </c>
      <c r="F683" s="6">
        <v>0.57291666666666663</v>
      </c>
      <c r="G683">
        <v>0</v>
      </c>
      <c r="H683" s="6">
        <f>FLOOR(tblPivotData[[#This Row],[Time]],Summary!$B$6/1440)</f>
        <v>0.57291666666666663</v>
      </c>
      <c r="I683" s="49">
        <f>INDEX(PeakCalc!$L$10:$L$303,MATCH(tblPivotData[[#This Row],[Time]],PeakCalc!$G$10:$G$303,0))</f>
        <v>0</v>
      </c>
    </row>
    <row r="684" spans="1:9" x14ac:dyDescent="0.25">
      <c r="A684" t="s">
        <v>95</v>
      </c>
      <c r="B684" t="s">
        <v>106</v>
      </c>
      <c r="C684" t="s">
        <v>94</v>
      </c>
      <c r="D684" t="s">
        <v>89</v>
      </c>
      <c r="E684" t="s">
        <v>91</v>
      </c>
      <c r="F684" s="6">
        <v>0.58333333333333337</v>
      </c>
      <c r="G684">
        <v>0</v>
      </c>
      <c r="H684" s="6">
        <f>FLOOR(tblPivotData[[#This Row],[Time]],Summary!$B$6/1440)</f>
        <v>0.58333333333333326</v>
      </c>
      <c r="I684" s="49">
        <f>INDEX(PeakCalc!$L$10:$L$303,MATCH(tblPivotData[[#This Row],[Time]],PeakCalc!$G$10:$G$303,0))</f>
        <v>0</v>
      </c>
    </row>
    <row r="685" spans="1:9" x14ac:dyDescent="0.25">
      <c r="A685" t="s">
        <v>95</v>
      </c>
      <c r="B685" t="s">
        <v>106</v>
      </c>
      <c r="C685" t="s">
        <v>94</v>
      </c>
      <c r="D685" t="s">
        <v>89</v>
      </c>
      <c r="E685" t="s">
        <v>91</v>
      </c>
      <c r="F685" s="6">
        <v>0.59375</v>
      </c>
      <c r="G685">
        <v>0</v>
      </c>
      <c r="H685" s="6">
        <f>FLOOR(tblPivotData[[#This Row],[Time]],Summary!$B$6/1440)</f>
        <v>0.59375</v>
      </c>
      <c r="I685" s="49">
        <f>INDEX(PeakCalc!$L$10:$L$303,MATCH(tblPivotData[[#This Row],[Time]],PeakCalc!$G$10:$G$303,0))</f>
        <v>0</v>
      </c>
    </row>
    <row r="686" spans="1:9" x14ac:dyDescent="0.25">
      <c r="A686" t="s">
        <v>95</v>
      </c>
      <c r="B686" t="s">
        <v>106</v>
      </c>
      <c r="C686" t="s">
        <v>94</v>
      </c>
      <c r="D686" t="s">
        <v>89</v>
      </c>
      <c r="E686" t="s">
        <v>91</v>
      </c>
      <c r="F686" s="6">
        <v>0.60416666666666663</v>
      </c>
      <c r="G686">
        <v>2</v>
      </c>
      <c r="H686" s="6">
        <f>FLOOR(tblPivotData[[#This Row],[Time]],Summary!$B$6/1440)</f>
        <v>0.60416666666666663</v>
      </c>
      <c r="I686" s="49">
        <f>INDEX(PeakCalc!$L$10:$L$303,MATCH(tblPivotData[[#This Row],[Time]],PeakCalc!$G$10:$G$303,0))</f>
        <v>1</v>
      </c>
    </row>
    <row r="687" spans="1:9" x14ac:dyDescent="0.25">
      <c r="A687" t="s">
        <v>95</v>
      </c>
      <c r="B687" t="s">
        <v>106</v>
      </c>
      <c r="C687" t="s">
        <v>94</v>
      </c>
      <c r="D687" t="s">
        <v>89</v>
      </c>
      <c r="E687" t="s">
        <v>91</v>
      </c>
      <c r="F687" s="6">
        <v>0.61458333333333337</v>
      </c>
      <c r="G687">
        <v>0</v>
      </c>
      <c r="H687" s="6">
        <f>FLOOR(tblPivotData[[#This Row],[Time]],Summary!$B$6/1440)</f>
        <v>0.61458333333333326</v>
      </c>
      <c r="I687" s="49">
        <f>INDEX(PeakCalc!$L$10:$L$303,MATCH(tblPivotData[[#This Row],[Time]],PeakCalc!$G$10:$G$303,0))</f>
        <v>1</v>
      </c>
    </row>
    <row r="688" spans="1:9" x14ac:dyDescent="0.25">
      <c r="A688" t="s">
        <v>95</v>
      </c>
      <c r="B688" t="s">
        <v>106</v>
      </c>
      <c r="C688" t="s">
        <v>94</v>
      </c>
      <c r="D688" t="s">
        <v>89</v>
      </c>
      <c r="E688" t="s">
        <v>91</v>
      </c>
      <c r="F688" s="6">
        <v>0.625</v>
      </c>
      <c r="G688">
        <v>1</v>
      </c>
      <c r="H688" s="6">
        <f>FLOOR(tblPivotData[[#This Row],[Time]],Summary!$B$6/1440)</f>
        <v>0.625</v>
      </c>
      <c r="I688" s="49">
        <f>INDEX(PeakCalc!$L$10:$L$303,MATCH(tblPivotData[[#This Row],[Time]],PeakCalc!$G$10:$G$303,0))</f>
        <v>1</v>
      </c>
    </row>
    <row r="689" spans="1:9" x14ac:dyDescent="0.25">
      <c r="A689" t="s">
        <v>95</v>
      </c>
      <c r="B689" t="s">
        <v>106</v>
      </c>
      <c r="C689" t="s">
        <v>94</v>
      </c>
      <c r="D689" t="s">
        <v>89</v>
      </c>
      <c r="E689" t="s">
        <v>91</v>
      </c>
      <c r="F689" s="6">
        <v>0.63541666666666663</v>
      </c>
      <c r="G689">
        <v>0</v>
      </c>
      <c r="H689" s="6">
        <f>FLOOR(tblPivotData[[#This Row],[Time]],Summary!$B$6/1440)</f>
        <v>0.63541666666666663</v>
      </c>
      <c r="I689" s="49">
        <f>INDEX(PeakCalc!$L$10:$L$303,MATCH(tblPivotData[[#This Row],[Time]],PeakCalc!$G$10:$G$303,0))</f>
        <v>1</v>
      </c>
    </row>
    <row r="690" spans="1:9" x14ac:dyDescent="0.25">
      <c r="A690" t="s">
        <v>95</v>
      </c>
      <c r="B690" t="s">
        <v>106</v>
      </c>
      <c r="C690" t="s">
        <v>94</v>
      </c>
      <c r="D690" t="s">
        <v>89</v>
      </c>
      <c r="E690" t="s">
        <v>44</v>
      </c>
      <c r="F690" s="6">
        <v>0.66666666666666663</v>
      </c>
      <c r="G690">
        <v>1</v>
      </c>
      <c r="H690" s="6">
        <f>FLOOR(tblPivotData[[#This Row],[Time]],Summary!$B$6/1440)</f>
        <v>0.66666666666666663</v>
      </c>
      <c r="I690" s="49">
        <f>INDEX(PeakCalc!$L$10:$L$303,MATCH(tblPivotData[[#This Row],[Time]],PeakCalc!$G$10:$G$303,0))</f>
        <v>0</v>
      </c>
    </row>
    <row r="691" spans="1:9" x14ac:dyDescent="0.25">
      <c r="A691" t="s">
        <v>95</v>
      </c>
      <c r="B691" t="s">
        <v>106</v>
      </c>
      <c r="C691" t="s">
        <v>94</v>
      </c>
      <c r="D691" t="s">
        <v>89</v>
      </c>
      <c r="E691" t="s">
        <v>44</v>
      </c>
      <c r="F691" s="6">
        <v>0.67708333333333337</v>
      </c>
      <c r="G691">
        <v>0</v>
      </c>
      <c r="H691" s="6">
        <f>FLOOR(tblPivotData[[#This Row],[Time]],Summary!$B$6/1440)</f>
        <v>0.67708333333333326</v>
      </c>
      <c r="I691" s="49">
        <f>INDEX(PeakCalc!$L$10:$L$303,MATCH(tblPivotData[[#This Row],[Time]],PeakCalc!$G$10:$G$303,0))</f>
        <v>0</v>
      </c>
    </row>
    <row r="692" spans="1:9" x14ac:dyDescent="0.25">
      <c r="A692" t="s">
        <v>95</v>
      </c>
      <c r="B692" t="s">
        <v>106</v>
      </c>
      <c r="C692" t="s">
        <v>94</v>
      </c>
      <c r="D692" t="s">
        <v>89</v>
      </c>
      <c r="E692" t="s">
        <v>44</v>
      </c>
      <c r="F692" s="6">
        <v>0.6875</v>
      </c>
      <c r="G692">
        <v>1</v>
      </c>
      <c r="H692" s="6">
        <f>FLOOR(tblPivotData[[#This Row],[Time]],Summary!$B$6/1440)</f>
        <v>0.6875</v>
      </c>
      <c r="I692" s="49">
        <f>INDEX(PeakCalc!$L$10:$L$303,MATCH(tblPivotData[[#This Row],[Time]],PeakCalc!$G$10:$G$303,0))</f>
        <v>1</v>
      </c>
    </row>
    <row r="693" spans="1:9" x14ac:dyDescent="0.25">
      <c r="A693" t="s">
        <v>95</v>
      </c>
      <c r="B693" t="s">
        <v>106</v>
      </c>
      <c r="C693" t="s">
        <v>94</v>
      </c>
      <c r="D693" t="s">
        <v>89</v>
      </c>
      <c r="E693" t="s">
        <v>44</v>
      </c>
      <c r="F693" s="6">
        <v>0.69791666666666663</v>
      </c>
      <c r="G693">
        <v>0</v>
      </c>
      <c r="H693" s="6">
        <f>FLOOR(tblPivotData[[#This Row],[Time]],Summary!$B$6/1440)</f>
        <v>0.69791666666666663</v>
      </c>
      <c r="I693" s="49">
        <f>INDEX(PeakCalc!$L$10:$L$303,MATCH(tblPivotData[[#This Row],[Time]],PeakCalc!$G$10:$G$303,0))</f>
        <v>1</v>
      </c>
    </row>
    <row r="694" spans="1:9" x14ac:dyDescent="0.25">
      <c r="A694" t="s">
        <v>95</v>
      </c>
      <c r="B694" t="s">
        <v>106</v>
      </c>
      <c r="C694" t="s">
        <v>94</v>
      </c>
      <c r="D694" t="s">
        <v>89</v>
      </c>
      <c r="E694" t="s">
        <v>44</v>
      </c>
      <c r="F694" s="6">
        <v>0.70833333333333337</v>
      </c>
      <c r="G694">
        <v>1</v>
      </c>
      <c r="H694" s="6">
        <f>FLOOR(tblPivotData[[#This Row],[Time]],Summary!$B$6/1440)</f>
        <v>0.70833333333333326</v>
      </c>
      <c r="I694" s="49">
        <f>INDEX(PeakCalc!$L$10:$L$303,MATCH(tblPivotData[[#This Row],[Time]],PeakCalc!$G$10:$G$303,0))</f>
        <v>1</v>
      </c>
    </row>
    <row r="695" spans="1:9" x14ac:dyDescent="0.25">
      <c r="A695" t="s">
        <v>95</v>
      </c>
      <c r="B695" t="s">
        <v>106</v>
      </c>
      <c r="C695" t="s">
        <v>94</v>
      </c>
      <c r="D695" t="s">
        <v>89</v>
      </c>
      <c r="E695" t="s">
        <v>44</v>
      </c>
      <c r="F695" s="6">
        <v>0.71875</v>
      </c>
      <c r="G695">
        <v>0</v>
      </c>
      <c r="H695" s="6">
        <f>FLOOR(tblPivotData[[#This Row],[Time]],Summary!$B$6/1440)</f>
        <v>0.71875</v>
      </c>
      <c r="I695" s="49">
        <f>INDEX(PeakCalc!$L$10:$L$303,MATCH(tblPivotData[[#This Row],[Time]],PeakCalc!$G$10:$G$303,0))</f>
        <v>1</v>
      </c>
    </row>
    <row r="696" spans="1:9" x14ac:dyDescent="0.25">
      <c r="A696" t="s">
        <v>95</v>
      </c>
      <c r="B696" t="s">
        <v>106</v>
      </c>
      <c r="C696" t="s">
        <v>94</v>
      </c>
      <c r="D696" t="s">
        <v>89</v>
      </c>
      <c r="E696" t="s">
        <v>44</v>
      </c>
      <c r="F696" s="6">
        <v>0.72916666666666663</v>
      </c>
      <c r="G696">
        <v>1</v>
      </c>
      <c r="H696" s="6">
        <f>FLOOR(tblPivotData[[#This Row],[Time]],Summary!$B$6/1440)</f>
        <v>0.72916666666666663</v>
      </c>
      <c r="I696" s="49">
        <f>INDEX(PeakCalc!$L$10:$L$303,MATCH(tblPivotData[[#This Row],[Time]],PeakCalc!$G$10:$G$303,0))</f>
        <v>0</v>
      </c>
    </row>
    <row r="697" spans="1:9" x14ac:dyDescent="0.25">
      <c r="A697" t="s">
        <v>95</v>
      </c>
      <c r="B697" t="s">
        <v>106</v>
      </c>
      <c r="C697" t="s">
        <v>94</v>
      </c>
      <c r="D697" t="s">
        <v>89</v>
      </c>
      <c r="E697" t="s">
        <v>44</v>
      </c>
      <c r="F697" s="6">
        <v>0.73958333333333337</v>
      </c>
      <c r="G697">
        <v>1</v>
      </c>
      <c r="H697" s="6">
        <f>FLOOR(tblPivotData[[#This Row],[Time]],Summary!$B$6/1440)</f>
        <v>0.73958333333333326</v>
      </c>
      <c r="I697" s="49">
        <f>INDEX(PeakCalc!$L$10:$L$303,MATCH(tblPivotData[[#This Row],[Time]],PeakCalc!$G$10:$G$303,0))</f>
        <v>0</v>
      </c>
    </row>
    <row r="698" spans="1:9" x14ac:dyDescent="0.25">
      <c r="A698" t="s">
        <v>95</v>
      </c>
      <c r="B698" t="s">
        <v>106</v>
      </c>
      <c r="C698" t="s">
        <v>94</v>
      </c>
      <c r="D698" t="s">
        <v>90</v>
      </c>
      <c r="E698" t="s">
        <v>43</v>
      </c>
      <c r="F698" s="6">
        <v>0.29166666666666669</v>
      </c>
      <c r="G698">
        <v>0</v>
      </c>
      <c r="H698" s="6">
        <f>FLOOR(tblPivotData[[#This Row],[Time]],Summary!$B$6/1440)</f>
        <v>0.29166666666666663</v>
      </c>
      <c r="I698" s="49">
        <f>INDEX(PeakCalc!$L$10:$L$303,MATCH(tblPivotData[[#This Row],[Time]],PeakCalc!$G$10:$G$303,0))</f>
        <v>0</v>
      </c>
    </row>
    <row r="699" spans="1:9" x14ac:dyDescent="0.25">
      <c r="A699" t="s">
        <v>95</v>
      </c>
      <c r="B699" t="s">
        <v>106</v>
      </c>
      <c r="C699" t="s">
        <v>94</v>
      </c>
      <c r="D699" t="s">
        <v>90</v>
      </c>
      <c r="E699" t="s">
        <v>43</v>
      </c>
      <c r="F699" s="6">
        <v>0.30208333333333331</v>
      </c>
      <c r="G699">
        <v>0</v>
      </c>
      <c r="H699" s="6">
        <f>FLOOR(tblPivotData[[#This Row],[Time]],Summary!$B$6/1440)</f>
        <v>0.30208333333333331</v>
      </c>
      <c r="I699" s="49">
        <f>INDEX(PeakCalc!$L$10:$L$303,MATCH(tblPivotData[[#This Row],[Time]],PeakCalc!$G$10:$G$303,0))</f>
        <v>0</v>
      </c>
    </row>
    <row r="700" spans="1:9" x14ac:dyDescent="0.25">
      <c r="A700" t="s">
        <v>95</v>
      </c>
      <c r="B700" t="s">
        <v>106</v>
      </c>
      <c r="C700" t="s">
        <v>94</v>
      </c>
      <c r="D700" t="s">
        <v>90</v>
      </c>
      <c r="E700" t="s">
        <v>43</v>
      </c>
      <c r="F700" s="6">
        <v>0.3125</v>
      </c>
      <c r="G700">
        <v>0</v>
      </c>
      <c r="H700" s="6">
        <f>FLOOR(tblPivotData[[#This Row],[Time]],Summary!$B$6/1440)</f>
        <v>0.3125</v>
      </c>
      <c r="I700" s="49">
        <f>INDEX(PeakCalc!$L$10:$L$303,MATCH(tblPivotData[[#This Row],[Time]],PeakCalc!$G$10:$G$303,0))</f>
        <v>0</v>
      </c>
    </row>
    <row r="701" spans="1:9" x14ac:dyDescent="0.25">
      <c r="A701" t="s">
        <v>95</v>
      </c>
      <c r="B701" t="s">
        <v>106</v>
      </c>
      <c r="C701" t="s">
        <v>94</v>
      </c>
      <c r="D701" t="s">
        <v>90</v>
      </c>
      <c r="E701" t="s">
        <v>43</v>
      </c>
      <c r="F701" s="6">
        <v>0.32291666666666669</v>
      </c>
      <c r="G701">
        <v>0</v>
      </c>
      <c r="H701" s="6">
        <f>FLOOR(tblPivotData[[#This Row],[Time]],Summary!$B$6/1440)</f>
        <v>0.32291666666666663</v>
      </c>
      <c r="I701" s="49">
        <f>INDEX(PeakCalc!$L$10:$L$303,MATCH(tblPivotData[[#This Row],[Time]],PeakCalc!$G$10:$G$303,0))</f>
        <v>0</v>
      </c>
    </row>
    <row r="702" spans="1:9" x14ac:dyDescent="0.25">
      <c r="A702" t="s">
        <v>95</v>
      </c>
      <c r="B702" t="s">
        <v>106</v>
      </c>
      <c r="C702" t="s">
        <v>94</v>
      </c>
      <c r="D702" t="s">
        <v>90</v>
      </c>
      <c r="E702" t="s">
        <v>43</v>
      </c>
      <c r="F702" s="6">
        <v>0.33333333333333331</v>
      </c>
      <c r="G702">
        <v>0</v>
      </c>
      <c r="H702" s="6">
        <f>FLOOR(tblPivotData[[#This Row],[Time]],Summary!$B$6/1440)</f>
        <v>0.33333333333333331</v>
      </c>
      <c r="I702" s="49">
        <f>INDEX(PeakCalc!$L$10:$L$303,MATCH(tblPivotData[[#This Row],[Time]],PeakCalc!$G$10:$G$303,0))</f>
        <v>1</v>
      </c>
    </row>
    <row r="703" spans="1:9" x14ac:dyDescent="0.25">
      <c r="A703" t="s">
        <v>95</v>
      </c>
      <c r="B703" t="s">
        <v>106</v>
      </c>
      <c r="C703" t="s">
        <v>94</v>
      </c>
      <c r="D703" t="s">
        <v>90</v>
      </c>
      <c r="E703" t="s">
        <v>43</v>
      </c>
      <c r="F703" s="6">
        <v>0.34375</v>
      </c>
      <c r="G703">
        <v>0</v>
      </c>
      <c r="H703" s="6">
        <f>FLOOR(tblPivotData[[#This Row],[Time]],Summary!$B$6/1440)</f>
        <v>0.34375</v>
      </c>
      <c r="I703" s="49">
        <f>INDEX(PeakCalc!$L$10:$L$303,MATCH(tblPivotData[[#This Row],[Time]],PeakCalc!$G$10:$G$303,0))</f>
        <v>1</v>
      </c>
    </row>
    <row r="704" spans="1:9" x14ac:dyDescent="0.25">
      <c r="A704" t="s">
        <v>95</v>
      </c>
      <c r="B704" t="s">
        <v>106</v>
      </c>
      <c r="C704" t="s">
        <v>94</v>
      </c>
      <c r="D704" t="s">
        <v>90</v>
      </c>
      <c r="E704" t="s">
        <v>43</v>
      </c>
      <c r="F704" s="6">
        <v>0.35416666666666669</v>
      </c>
      <c r="G704">
        <v>0</v>
      </c>
      <c r="H704" s="6">
        <f>FLOOR(tblPivotData[[#This Row],[Time]],Summary!$B$6/1440)</f>
        <v>0.35416666666666663</v>
      </c>
      <c r="I704" s="49">
        <f>INDEX(PeakCalc!$L$10:$L$303,MATCH(tblPivotData[[#This Row],[Time]],PeakCalc!$G$10:$G$303,0))</f>
        <v>1</v>
      </c>
    </row>
    <row r="705" spans="1:9" x14ac:dyDescent="0.25">
      <c r="A705" t="s">
        <v>95</v>
      </c>
      <c r="B705" t="s">
        <v>106</v>
      </c>
      <c r="C705" t="s">
        <v>94</v>
      </c>
      <c r="D705" t="s">
        <v>90</v>
      </c>
      <c r="E705" t="s">
        <v>43</v>
      </c>
      <c r="F705" s="6">
        <v>0.36458333333333331</v>
      </c>
      <c r="G705">
        <v>0</v>
      </c>
      <c r="H705" s="6">
        <f>FLOOR(tblPivotData[[#This Row],[Time]],Summary!$B$6/1440)</f>
        <v>0.36458333333333331</v>
      </c>
      <c r="I705" s="49">
        <f>INDEX(PeakCalc!$L$10:$L$303,MATCH(tblPivotData[[#This Row],[Time]],PeakCalc!$G$10:$G$303,0))</f>
        <v>1</v>
      </c>
    </row>
    <row r="706" spans="1:9" x14ac:dyDescent="0.25">
      <c r="A706" t="s">
        <v>95</v>
      </c>
      <c r="B706" t="s">
        <v>106</v>
      </c>
      <c r="C706" t="s">
        <v>94</v>
      </c>
      <c r="D706" t="s">
        <v>90</v>
      </c>
      <c r="E706" t="s">
        <v>91</v>
      </c>
      <c r="F706" s="6">
        <v>0.5625</v>
      </c>
      <c r="G706">
        <v>0</v>
      </c>
      <c r="H706" s="6">
        <f>FLOOR(tblPivotData[[#This Row],[Time]],Summary!$B$6/1440)</f>
        <v>0.5625</v>
      </c>
      <c r="I706" s="49">
        <f>INDEX(PeakCalc!$L$10:$L$303,MATCH(tblPivotData[[#This Row],[Time]],PeakCalc!$G$10:$G$303,0))</f>
        <v>0</v>
      </c>
    </row>
    <row r="707" spans="1:9" x14ac:dyDescent="0.25">
      <c r="A707" t="s">
        <v>95</v>
      </c>
      <c r="B707" t="s">
        <v>106</v>
      </c>
      <c r="C707" t="s">
        <v>94</v>
      </c>
      <c r="D707" t="s">
        <v>90</v>
      </c>
      <c r="E707" t="s">
        <v>91</v>
      </c>
      <c r="F707" s="6">
        <v>0.57291666666666663</v>
      </c>
      <c r="G707">
        <v>0</v>
      </c>
      <c r="H707" s="6">
        <f>FLOOR(tblPivotData[[#This Row],[Time]],Summary!$B$6/1440)</f>
        <v>0.57291666666666663</v>
      </c>
      <c r="I707" s="49">
        <f>INDEX(PeakCalc!$L$10:$L$303,MATCH(tblPivotData[[#This Row],[Time]],PeakCalc!$G$10:$G$303,0))</f>
        <v>0</v>
      </c>
    </row>
    <row r="708" spans="1:9" x14ac:dyDescent="0.25">
      <c r="A708" t="s">
        <v>95</v>
      </c>
      <c r="B708" t="s">
        <v>106</v>
      </c>
      <c r="C708" t="s">
        <v>94</v>
      </c>
      <c r="D708" t="s">
        <v>90</v>
      </c>
      <c r="E708" t="s">
        <v>91</v>
      </c>
      <c r="F708" s="6">
        <v>0.58333333333333337</v>
      </c>
      <c r="G708">
        <v>0</v>
      </c>
      <c r="H708" s="6">
        <f>FLOOR(tblPivotData[[#This Row],[Time]],Summary!$B$6/1440)</f>
        <v>0.58333333333333326</v>
      </c>
      <c r="I708" s="49">
        <f>INDEX(PeakCalc!$L$10:$L$303,MATCH(tblPivotData[[#This Row],[Time]],PeakCalc!$G$10:$G$303,0))</f>
        <v>0</v>
      </c>
    </row>
    <row r="709" spans="1:9" x14ac:dyDescent="0.25">
      <c r="A709" t="s">
        <v>95</v>
      </c>
      <c r="B709" t="s">
        <v>106</v>
      </c>
      <c r="C709" t="s">
        <v>94</v>
      </c>
      <c r="D709" t="s">
        <v>90</v>
      </c>
      <c r="E709" t="s">
        <v>91</v>
      </c>
      <c r="F709" s="6">
        <v>0.59375</v>
      </c>
      <c r="G709">
        <v>0</v>
      </c>
      <c r="H709" s="6">
        <f>FLOOR(tblPivotData[[#This Row],[Time]],Summary!$B$6/1440)</f>
        <v>0.59375</v>
      </c>
      <c r="I709" s="49">
        <f>INDEX(PeakCalc!$L$10:$L$303,MATCH(tblPivotData[[#This Row],[Time]],PeakCalc!$G$10:$G$303,0))</f>
        <v>0</v>
      </c>
    </row>
    <row r="710" spans="1:9" x14ac:dyDescent="0.25">
      <c r="A710" t="s">
        <v>95</v>
      </c>
      <c r="B710" t="s">
        <v>106</v>
      </c>
      <c r="C710" t="s">
        <v>94</v>
      </c>
      <c r="D710" t="s">
        <v>90</v>
      </c>
      <c r="E710" t="s">
        <v>91</v>
      </c>
      <c r="F710" s="6">
        <v>0.60416666666666663</v>
      </c>
      <c r="G710">
        <v>0</v>
      </c>
      <c r="H710" s="6">
        <f>FLOOR(tblPivotData[[#This Row],[Time]],Summary!$B$6/1440)</f>
        <v>0.60416666666666663</v>
      </c>
      <c r="I710" s="49">
        <f>INDEX(PeakCalc!$L$10:$L$303,MATCH(tblPivotData[[#This Row],[Time]],PeakCalc!$G$10:$G$303,0))</f>
        <v>1</v>
      </c>
    </row>
    <row r="711" spans="1:9" x14ac:dyDescent="0.25">
      <c r="A711" t="s">
        <v>95</v>
      </c>
      <c r="B711" t="s">
        <v>106</v>
      </c>
      <c r="C711" t="s">
        <v>94</v>
      </c>
      <c r="D711" t="s">
        <v>90</v>
      </c>
      <c r="E711" t="s">
        <v>91</v>
      </c>
      <c r="F711" s="6">
        <v>0.61458333333333337</v>
      </c>
      <c r="G711">
        <v>0</v>
      </c>
      <c r="H711" s="6">
        <f>FLOOR(tblPivotData[[#This Row],[Time]],Summary!$B$6/1440)</f>
        <v>0.61458333333333326</v>
      </c>
      <c r="I711" s="49">
        <f>INDEX(PeakCalc!$L$10:$L$303,MATCH(tblPivotData[[#This Row],[Time]],PeakCalc!$G$10:$G$303,0))</f>
        <v>1</v>
      </c>
    </row>
    <row r="712" spans="1:9" x14ac:dyDescent="0.25">
      <c r="A712" t="s">
        <v>95</v>
      </c>
      <c r="B712" t="s">
        <v>106</v>
      </c>
      <c r="C712" t="s">
        <v>94</v>
      </c>
      <c r="D712" t="s">
        <v>90</v>
      </c>
      <c r="E712" t="s">
        <v>91</v>
      </c>
      <c r="F712" s="6">
        <v>0.625</v>
      </c>
      <c r="G712">
        <v>1</v>
      </c>
      <c r="H712" s="6">
        <f>FLOOR(tblPivotData[[#This Row],[Time]],Summary!$B$6/1440)</f>
        <v>0.625</v>
      </c>
      <c r="I712" s="49">
        <f>INDEX(PeakCalc!$L$10:$L$303,MATCH(tblPivotData[[#This Row],[Time]],PeakCalc!$G$10:$G$303,0))</f>
        <v>1</v>
      </c>
    </row>
    <row r="713" spans="1:9" x14ac:dyDescent="0.25">
      <c r="A713" t="s">
        <v>95</v>
      </c>
      <c r="B713" t="s">
        <v>106</v>
      </c>
      <c r="C713" t="s">
        <v>94</v>
      </c>
      <c r="D713" t="s">
        <v>90</v>
      </c>
      <c r="E713" t="s">
        <v>91</v>
      </c>
      <c r="F713" s="6">
        <v>0.63541666666666663</v>
      </c>
      <c r="G713">
        <v>0</v>
      </c>
      <c r="H713" s="6">
        <f>FLOOR(tblPivotData[[#This Row],[Time]],Summary!$B$6/1440)</f>
        <v>0.63541666666666663</v>
      </c>
      <c r="I713" s="49">
        <f>INDEX(PeakCalc!$L$10:$L$303,MATCH(tblPivotData[[#This Row],[Time]],PeakCalc!$G$10:$G$303,0))</f>
        <v>1</v>
      </c>
    </row>
    <row r="714" spans="1:9" x14ac:dyDescent="0.25">
      <c r="A714" t="s">
        <v>95</v>
      </c>
      <c r="B714" t="s">
        <v>106</v>
      </c>
      <c r="C714" t="s">
        <v>94</v>
      </c>
      <c r="D714" t="s">
        <v>90</v>
      </c>
      <c r="E714" t="s">
        <v>44</v>
      </c>
      <c r="F714" s="6">
        <v>0.66666666666666663</v>
      </c>
      <c r="G714">
        <v>1</v>
      </c>
      <c r="H714" s="6">
        <f>FLOOR(tblPivotData[[#This Row],[Time]],Summary!$B$6/1440)</f>
        <v>0.66666666666666663</v>
      </c>
      <c r="I714" s="49">
        <f>INDEX(PeakCalc!$L$10:$L$303,MATCH(tblPivotData[[#This Row],[Time]],PeakCalc!$G$10:$G$303,0))</f>
        <v>0</v>
      </c>
    </row>
    <row r="715" spans="1:9" x14ac:dyDescent="0.25">
      <c r="A715" t="s">
        <v>95</v>
      </c>
      <c r="B715" t="s">
        <v>106</v>
      </c>
      <c r="C715" t="s">
        <v>94</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106</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106</v>
      </c>
      <c r="C717" t="s">
        <v>94</v>
      </c>
      <c r="D717" t="s">
        <v>90</v>
      </c>
      <c r="E717" t="s">
        <v>44</v>
      </c>
      <c r="F717" s="6">
        <v>0.69791666666666663</v>
      </c>
      <c r="G717">
        <v>2</v>
      </c>
      <c r="H717" s="6">
        <f>FLOOR(tblPivotData[[#This Row],[Time]],Summary!$B$6/1440)</f>
        <v>0.69791666666666663</v>
      </c>
      <c r="I717" s="49">
        <f>INDEX(PeakCalc!$L$10:$L$303,MATCH(tblPivotData[[#This Row],[Time]],PeakCalc!$G$10:$G$303,0))</f>
        <v>1</v>
      </c>
    </row>
    <row r="718" spans="1:9" x14ac:dyDescent="0.25">
      <c r="A718" t="s">
        <v>95</v>
      </c>
      <c r="B718" t="s">
        <v>106</v>
      </c>
      <c r="C718" t="s">
        <v>94</v>
      </c>
      <c r="D718" t="s">
        <v>90</v>
      </c>
      <c r="E718" t="s">
        <v>44</v>
      </c>
      <c r="F718" s="6">
        <v>0.70833333333333337</v>
      </c>
      <c r="G718">
        <v>2</v>
      </c>
      <c r="H718" s="6">
        <f>FLOOR(tblPivotData[[#This Row],[Time]],Summary!$B$6/1440)</f>
        <v>0.70833333333333326</v>
      </c>
      <c r="I718" s="49">
        <f>INDEX(PeakCalc!$L$10:$L$303,MATCH(tblPivotData[[#This Row],[Time]],PeakCalc!$G$10:$G$303,0))</f>
        <v>1</v>
      </c>
    </row>
    <row r="719" spans="1:9" x14ac:dyDescent="0.25">
      <c r="A719" t="s">
        <v>95</v>
      </c>
      <c r="B719" t="s">
        <v>106</v>
      </c>
      <c r="C719" t="s">
        <v>94</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106</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106</v>
      </c>
      <c r="C721" t="s">
        <v>94</v>
      </c>
      <c r="D721" t="s">
        <v>90</v>
      </c>
      <c r="E721" t="s">
        <v>44</v>
      </c>
      <c r="F721" s="6">
        <v>0.73958333333333337</v>
      </c>
      <c r="G721">
        <v>1</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1</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1</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1</v>
      </c>
      <c r="H725" s="6">
        <f>FLOOR(tblPivotData[[#This Row],[Time]],Summary!$B$6/1440)</f>
        <v>0.32291666666666663</v>
      </c>
      <c r="I725" s="49">
        <f>INDEX(PeakCalc!$L$10:$L$303,MATCH(tblPivotData[[#This Row],[Time]],PeakCalc!$G$10:$G$303,0))</f>
        <v>0</v>
      </c>
    </row>
    <row r="726" spans="1:9" x14ac:dyDescent="0.25">
      <c r="A726" t="s">
        <v>96</v>
      </c>
      <c r="B726" t="s">
        <v>107</v>
      </c>
      <c r="C726" t="s">
        <v>93</v>
      </c>
      <c r="D726" t="s">
        <v>79</v>
      </c>
      <c r="E726" t="s">
        <v>43</v>
      </c>
      <c r="F726" s="6">
        <v>0.33333333333333331</v>
      </c>
      <c r="G726">
        <v>3</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1</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3</v>
      </c>
      <c r="H729" s="6">
        <f>FLOOR(tblPivotData[[#This Row],[Time]],Summary!$B$6/1440)</f>
        <v>0.36458333333333331</v>
      </c>
      <c r="I729" s="49">
        <f>INDEX(PeakCalc!$L$10:$L$303,MATCH(tblPivotData[[#This Row],[Time]],PeakCalc!$G$10:$G$303,0))</f>
        <v>1</v>
      </c>
    </row>
    <row r="730" spans="1:9" x14ac:dyDescent="0.25">
      <c r="A730" t="s">
        <v>96</v>
      </c>
      <c r="B730" t="s">
        <v>107</v>
      </c>
      <c r="C730" t="s">
        <v>93</v>
      </c>
      <c r="D730" t="s">
        <v>79</v>
      </c>
      <c r="E730" t="s">
        <v>91</v>
      </c>
      <c r="F730" s="6">
        <v>0.5625</v>
      </c>
      <c r="G730">
        <v>2</v>
      </c>
      <c r="H730" s="6">
        <f>FLOOR(tblPivotData[[#This Row],[Time]],Summary!$B$6/1440)</f>
        <v>0.5625</v>
      </c>
      <c r="I730" s="49">
        <f>INDEX(PeakCalc!$L$10:$L$303,MATCH(tblPivotData[[#This Row],[Time]],PeakCalc!$G$10:$G$303,0))</f>
        <v>0</v>
      </c>
    </row>
    <row r="731" spans="1:9" x14ac:dyDescent="0.25">
      <c r="A731" t="s">
        <v>96</v>
      </c>
      <c r="B731" t="s">
        <v>107</v>
      </c>
      <c r="C731" t="s">
        <v>93</v>
      </c>
      <c r="D731" t="s">
        <v>79</v>
      </c>
      <c r="E731" t="s">
        <v>91</v>
      </c>
      <c r="F731" s="6">
        <v>0.57291666666666663</v>
      </c>
      <c r="G731">
        <v>7</v>
      </c>
      <c r="H731" s="6">
        <f>FLOOR(tblPivotData[[#This Row],[Time]],Summary!$B$6/1440)</f>
        <v>0.57291666666666663</v>
      </c>
      <c r="I731" s="49">
        <f>INDEX(PeakCalc!$L$10:$L$303,MATCH(tblPivotData[[#This Row],[Time]],PeakCalc!$G$10:$G$303,0))</f>
        <v>0</v>
      </c>
    </row>
    <row r="732" spans="1:9" x14ac:dyDescent="0.25">
      <c r="A732" t="s">
        <v>96</v>
      </c>
      <c r="B732" t="s">
        <v>107</v>
      </c>
      <c r="C732" t="s">
        <v>93</v>
      </c>
      <c r="D732" t="s">
        <v>79</v>
      </c>
      <c r="E732" t="s">
        <v>91</v>
      </c>
      <c r="F732" s="6">
        <v>0.58333333333333337</v>
      </c>
      <c r="G732">
        <v>6</v>
      </c>
      <c r="H732" s="6">
        <f>FLOOR(tblPivotData[[#This Row],[Time]],Summary!$B$6/1440)</f>
        <v>0.58333333333333326</v>
      </c>
      <c r="I732" s="49">
        <f>INDEX(PeakCalc!$L$10:$L$303,MATCH(tblPivotData[[#This Row],[Time]],PeakCalc!$G$10:$G$303,0))</f>
        <v>0</v>
      </c>
    </row>
    <row r="733" spans="1:9" x14ac:dyDescent="0.25">
      <c r="A733" t="s">
        <v>96</v>
      </c>
      <c r="B733" t="s">
        <v>107</v>
      </c>
      <c r="C733" t="s">
        <v>93</v>
      </c>
      <c r="D733" t="s">
        <v>79</v>
      </c>
      <c r="E733" t="s">
        <v>91</v>
      </c>
      <c r="F733" s="6">
        <v>0.59375</v>
      </c>
      <c r="G733">
        <v>1</v>
      </c>
      <c r="H733" s="6">
        <f>FLOOR(tblPivotData[[#This Row],[Time]],Summary!$B$6/1440)</f>
        <v>0.59375</v>
      </c>
      <c r="I733" s="49">
        <f>INDEX(PeakCalc!$L$10:$L$303,MATCH(tblPivotData[[#This Row],[Time]],PeakCalc!$G$10:$G$303,0))</f>
        <v>0</v>
      </c>
    </row>
    <row r="734" spans="1:9" x14ac:dyDescent="0.25">
      <c r="A734" t="s">
        <v>96</v>
      </c>
      <c r="B734" t="s">
        <v>107</v>
      </c>
      <c r="C734" t="s">
        <v>93</v>
      </c>
      <c r="D734" t="s">
        <v>79</v>
      </c>
      <c r="E734" t="s">
        <v>91</v>
      </c>
      <c r="F734" s="6">
        <v>0.60416666666666663</v>
      </c>
      <c r="G734">
        <v>2</v>
      </c>
      <c r="H734" s="6">
        <f>FLOOR(tblPivotData[[#This Row],[Time]],Summary!$B$6/1440)</f>
        <v>0.60416666666666663</v>
      </c>
      <c r="I734" s="49">
        <f>INDEX(PeakCalc!$L$10:$L$303,MATCH(tblPivotData[[#This Row],[Time]],PeakCalc!$G$10:$G$303,0))</f>
        <v>1</v>
      </c>
    </row>
    <row r="735" spans="1:9" x14ac:dyDescent="0.25">
      <c r="A735" t="s">
        <v>96</v>
      </c>
      <c r="B735" t="s">
        <v>107</v>
      </c>
      <c r="C735" t="s">
        <v>93</v>
      </c>
      <c r="D735" t="s">
        <v>79</v>
      </c>
      <c r="E735" t="s">
        <v>91</v>
      </c>
      <c r="F735" s="6">
        <v>0.61458333333333337</v>
      </c>
      <c r="G735">
        <v>5</v>
      </c>
      <c r="H735" s="6">
        <f>FLOOR(tblPivotData[[#This Row],[Time]],Summary!$B$6/1440)</f>
        <v>0.61458333333333326</v>
      </c>
      <c r="I735" s="49">
        <f>INDEX(PeakCalc!$L$10:$L$303,MATCH(tblPivotData[[#This Row],[Time]],PeakCalc!$G$10:$G$303,0))</f>
        <v>1</v>
      </c>
    </row>
    <row r="736" spans="1:9" x14ac:dyDescent="0.25">
      <c r="A736" t="s">
        <v>96</v>
      </c>
      <c r="B736" t="s">
        <v>107</v>
      </c>
      <c r="C736" t="s">
        <v>93</v>
      </c>
      <c r="D736" t="s">
        <v>79</v>
      </c>
      <c r="E736" t="s">
        <v>91</v>
      </c>
      <c r="F736" s="6">
        <v>0.625</v>
      </c>
      <c r="G736">
        <v>6</v>
      </c>
      <c r="H736" s="6">
        <f>FLOOR(tblPivotData[[#This Row],[Time]],Summary!$B$6/1440)</f>
        <v>0.625</v>
      </c>
      <c r="I736" s="49">
        <f>INDEX(PeakCalc!$L$10:$L$303,MATCH(tblPivotData[[#This Row],[Time]],PeakCalc!$G$10:$G$303,0))</f>
        <v>1</v>
      </c>
    </row>
    <row r="737" spans="1:9" x14ac:dyDescent="0.25">
      <c r="A737" t="s">
        <v>96</v>
      </c>
      <c r="B737" t="s">
        <v>107</v>
      </c>
      <c r="C737" t="s">
        <v>93</v>
      </c>
      <c r="D737" t="s">
        <v>79</v>
      </c>
      <c r="E737" t="s">
        <v>91</v>
      </c>
      <c r="F737" s="6">
        <v>0.63541666666666663</v>
      </c>
      <c r="G737">
        <v>2</v>
      </c>
      <c r="H737" s="6">
        <f>FLOOR(tblPivotData[[#This Row],[Time]],Summary!$B$6/1440)</f>
        <v>0.63541666666666663</v>
      </c>
      <c r="I737" s="49">
        <f>INDEX(PeakCalc!$L$10:$L$303,MATCH(tblPivotData[[#This Row],[Time]],PeakCalc!$G$10:$G$303,0))</f>
        <v>1</v>
      </c>
    </row>
    <row r="738" spans="1:9" x14ac:dyDescent="0.25">
      <c r="A738" t="s">
        <v>96</v>
      </c>
      <c r="B738" t="s">
        <v>107</v>
      </c>
      <c r="C738" t="s">
        <v>93</v>
      </c>
      <c r="D738" t="s">
        <v>79</v>
      </c>
      <c r="E738" t="s">
        <v>44</v>
      </c>
      <c r="F738" s="6">
        <v>0.66666666666666663</v>
      </c>
      <c r="G738">
        <v>3</v>
      </c>
      <c r="H738" s="6">
        <f>FLOOR(tblPivotData[[#This Row],[Time]],Summary!$B$6/1440)</f>
        <v>0.66666666666666663</v>
      </c>
      <c r="I738" s="49">
        <f>INDEX(PeakCalc!$L$10:$L$303,MATCH(tblPivotData[[#This Row],[Time]],PeakCalc!$G$10:$G$303,0))</f>
        <v>0</v>
      </c>
    </row>
    <row r="739" spans="1:9" x14ac:dyDescent="0.25">
      <c r="A739" t="s">
        <v>96</v>
      </c>
      <c r="B739" t="s">
        <v>107</v>
      </c>
      <c r="C739" t="s">
        <v>93</v>
      </c>
      <c r="D739" t="s">
        <v>79</v>
      </c>
      <c r="E739" t="s">
        <v>44</v>
      </c>
      <c r="F739" s="6">
        <v>0.67708333333333337</v>
      </c>
      <c r="G739">
        <v>7</v>
      </c>
      <c r="H739" s="6">
        <f>FLOOR(tblPivotData[[#This Row],[Time]],Summary!$B$6/1440)</f>
        <v>0.67708333333333326</v>
      </c>
      <c r="I739" s="49">
        <f>INDEX(PeakCalc!$L$10:$L$303,MATCH(tblPivotData[[#This Row],[Time]],PeakCalc!$G$10:$G$303,0))</f>
        <v>0</v>
      </c>
    </row>
    <row r="740" spans="1:9" x14ac:dyDescent="0.25">
      <c r="A740" t="s">
        <v>96</v>
      </c>
      <c r="B740" t="s">
        <v>107</v>
      </c>
      <c r="C740" t="s">
        <v>93</v>
      </c>
      <c r="D740" t="s">
        <v>79</v>
      </c>
      <c r="E740" t="s">
        <v>44</v>
      </c>
      <c r="F740" s="6">
        <v>0.6875</v>
      </c>
      <c r="G740">
        <v>2</v>
      </c>
      <c r="H740" s="6">
        <f>FLOOR(tblPivotData[[#This Row],[Time]],Summary!$B$6/1440)</f>
        <v>0.6875</v>
      </c>
      <c r="I740" s="49">
        <f>INDEX(PeakCalc!$L$10:$L$303,MATCH(tblPivotData[[#This Row],[Time]],PeakCalc!$G$10:$G$303,0))</f>
        <v>1</v>
      </c>
    </row>
    <row r="741" spans="1:9" x14ac:dyDescent="0.25">
      <c r="A741" t="s">
        <v>96</v>
      </c>
      <c r="B741" t="s">
        <v>107</v>
      </c>
      <c r="C741" t="s">
        <v>93</v>
      </c>
      <c r="D741" t="s">
        <v>79</v>
      </c>
      <c r="E741" t="s">
        <v>44</v>
      </c>
      <c r="F741" s="6">
        <v>0.69791666666666663</v>
      </c>
      <c r="G741">
        <v>3</v>
      </c>
      <c r="H741" s="6">
        <f>FLOOR(tblPivotData[[#This Row],[Time]],Summary!$B$6/1440)</f>
        <v>0.69791666666666663</v>
      </c>
      <c r="I741" s="49">
        <f>INDEX(PeakCalc!$L$10:$L$303,MATCH(tblPivotData[[#This Row],[Time]],PeakCalc!$G$10:$G$303,0))</f>
        <v>1</v>
      </c>
    </row>
    <row r="742" spans="1:9" x14ac:dyDescent="0.25">
      <c r="A742" t="s">
        <v>96</v>
      </c>
      <c r="B742" t="s">
        <v>107</v>
      </c>
      <c r="C742" t="s">
        <v>93</v>
      </c>
      <c r="D742" t="s">
        <v>79</v>
      </c>
      <c r="E742" t="s">
        <v>44</v>
      </c>
      <c r="F742" s="6">
        <v>0.70833333333333337</v>
      </c>
      <c r="G742">
        <v>6</v>
      </c>
      <c r="H742" s="6">
        <f>FLOOR(tblPivotData[[#This Row],[Time]],Summary!$B$6/1440)</f>
        <v>0.70833333333333326</v>
      </c>
      <c r="I742" s="49">
        <f>INDEX(PeakCalc!$L$10:$L$303,MATCH(tblPivotData[[#This Row],[Time]],PeakCalc!$G$10:$G$303,0))</f>
        <v>1</v>
      </c>
    </row>
    <row r="743" spans="1:9" x14ac:dyDescent="0.25">
      <c r="A743" t="s">
        <v>96</v>
      </c>
      <c r="B743" t="s">
        <v>107</v>
      </c>
      <c r="C743" t="s">
        <v>93</v>
      </c>
      <c r="D743" t="s">
        <v>79</v>
      </c>
      <c r="E743" t="s">
        <v>44</v>
      </c>
      <c r="F743" s="6">
        <v>0.71875</v>
      </c>
      <c r="G743">
        <v>7</v>
      </c>
      <c r="H743" s="6">
        <f>FLOOR(tblPivotData[[#This Row],[Time]],Summary!$B$6/1440)</f>
        <v>0.71875</v>
      </c>
      <c r="I743" s="49">
        <f>INDEX(PeakCalc!$L$10:$L$303,MATCH(tblPivotData[[#This Row],[Time]],PeakCalc!$G$10:$G$303,0))</f>
        <v>1</v>
      </c>
    </row>
    <row r="744" spans="1:9" x14ac:dyDescent="0.25">
      <c r="A744" t="s">
        <v>96</v>
      </c>
      <c r="B744" t="s">
        <v>107</v>
      </c>
      <c r="C744" t="s">
        <v>93</v>
      </c>
      <c r="D744" t="s">
        <v>79</v>
      </c>
      <c r="E744" t="s">
        <v>44</v>
      </c>
      <c r="F744" s="6">
        <v>0.72916666666666663</v>
      </c>
      <c r="G744">
        <v>8</v>
      </c>
      <c r="H744" s="6">
        <f>FLOOR(tblPivotData[[#This Row],[Time]],Summary!$B$6/1440)</f>
        <v>0.72916666666666663</v>
      </c>
      <c r="I744" s="49">
        <f>INDEX(PeakCalc!$L$10:$L$303,MATCH(tblPivotData[[#This Row],[Time]],PeakCalc!$G$10:$G$303,0))</f>
        <v>0</v>
      </c>
    </row>
    <row r="745" spans="1:9" x14ac:dyDescent="0.25">
      <c r="A745" t="s">
        <v>96</v>
      </c>
      <c r="B745" t="s">
        <v>107</v>
      </c>
      <c r="C745" t="s">
        <v>93</v>
      </c>
      <c r="D745" t="s">
        <v>79</v>
      </c>
      <c r="E745" t="s">
        <v>44</v>
      </c>
      <c r="F745" s="6">
        <v>0.73958333333333337</v>
      </c>
      <c r="G745">
        <v>2</v>
      </c>
      <c r="H745" s="6">
        <f>FLOOR(tblPivotData[[#This Row],[Time]],Summary!$B$6/1440)</f>
        <v>0.73958333333333326</v>
      </c>
      <c r="I745" s="49">
        <f>INDEX(PeakCalc!$L$10:$L$303,MATCH(tblPivotData[[#This Row],[Time]],PeakCalc!$G$10:$G$303,0))</f>
        <v>0</v>
      </c>
    </row>
    <row r="746" spans="1:9" x14ac:dyDescent="0.25">
      <c r="A746" t="s">
        <v>96</v>
      </c>
      <c r="B746" t="s">
        <v>107</v>
      </c>
      <c r="C746" t="s">
        <v>93</v>
      </c>
      <c r="D746" t="s">
        <v>89</v>
      </c>
      <c r="E746" t="s">
        <v>43</v>
      </c>
      <c r="F746" s="6">
        <v>0.29166666666666669</v>
      </c>
      <c r="G746">
        <v>0</v>
      </c>
      <c r="H746" s="6">
        <f>FLOOR(tblPivotData[[#This Row],[Time]],Summary!$B$6/1440)</f>
        <v>0.29166666666666663</v>
      </c>
      <c r="I746" s="49">
        <f>INDEX(PeakCalc!$L$10:$L$303,MATCH(tblPivotData[[#This Row],[Time]],PeakCalc!$G$10:$G$303,0))</f>
        <v>0</v>
      </c>
    </row>
    <row r="747" spans="1:9" x14ac:dyDescent="0.25">
      <c r="A747" t="s">
        <v>96</v>
      </c>
      <c r="B747" t="s">
        <v>107</v>
      </c>
      <c r="C747" t="s">
        <v>93</v>
      </c>
      <c r="D747" t="s">
        <v>89</v>
      </c>
      <c r="E747" t="s">
        <v>43</v>
      </c>
      <c r="F747" s="6">
        <v>0.30208333333333331</v>
      </c>
      <c r="G747">
        <v>0</v>
      </c>
      <c r="H747" s="6">
        <f>FLOOR(tblPivotData[[#This Row],[Time]],Summary!$B$6/1440)</f>
        <v>0.30208333333333331</v>
      </c>
      <c r="I747" s="49">
        <f>INDEX(PeakCalc!$L$10:$L$303,MATCH(tblPivotData[[#This Row],[Time]],PeakCalc!$G$10:$G$303,0))</f>
        <v>0</v>
      </c>
    </row>
    <row r="748" spans="1:9" x14ac:dyDescent="0.25">
      <c r="A748" t="s">
        <v>96</v>
      </c>
      <c r="B748" t="s">
        <v>107</v>
      </c>
      <c r="C748" t="s">
        <v>93</v>
      </c>
      <c r="D748" t="s">
        <v>89</v>
      </c>
      <c r="E748" t="s">
        <v>43</v>
      </c>
      <c r="F748" s="6">
        <v>0.3125</v>
      </c>
      <c r="G748">
        <v>0</v>
      </c>
      <c r="H748" s="6">
        <f>FLOOR(tblPivotData[[#This Row],[Time]],Summary!$B$6/1440)</f>
        <v>0.3125</v>
      </c>
      <c r="I748" s="49">
        <f>INDEX(PeakCalc!$L$10:$L$303,MATCH(tblPivotData[[#This Row],[Time]],PeakCalc!$G$10:$G$303,0))</f>
        <v>0</v>
      </c>
    </row>
    <row r="749" spans="1:9" x14ac:dyDescent="0.25">
      <c r="A749" t="s">
        <v>96</v>
      </c>
      <c r="B749" t="s">
        <v>107</v>
      </c>
      <c r="C749" t="s">
        <v>93</v>
      </c>
      <c r="D749" t="s">
        <v>89</v>
      </c>
      <c r="E749" t="s">
        <v>43</v>
      </c>
      <c r="F749" s="6">
        <v>0.32291666666666669</v>
      </c>
      <c r="G749">
        <v>0</v>
      </c>
      <c r="H749" s="6">
        <f>FLOOR(tblPivotData[[#This Row],[Time]],Summary!$B$6/1440)</f>
        <v>0.32291666666666663</v>
      </c>
      <c r="I749" s="49">
        <f>INDEX(PeakCalc!$L$10:$L$303,MATCH(tblPivotData[[#This Row],[Time]],PeakCalc!$G$10:$G$303,0))</f>
        <v>0</v>
      </c>
    </row>
    <row r="750" spans="1:9" x14ac:dyDescent="0.25">
      <c r="A750" t="s">
        <v>96</v>
      </c>
      <c r="B750" t="s">
        <v>107</v>
      </c>
      <c r="C750" t="s">
        <v>93</v>
      </c>
      <c r="D750" t="s">
        <v>89</v>
      </c>
      <c r="E750" t="s">
        <v>43</v>
      </c>
      <c r="F750" s="6">
        <v>0.33333333333333331</v>
      </c>
      <c r="G750">
        <v>0</v>
      </c>
      <c r="H750" s="6">
        <f>FLOOR(tblPivotData[[#This Row],[Time]],Summary!$B$6/1440)</f>
        <v>0.33333333333333331</v>
      </c>
      <c r="I750" s="49">
        <f>INDEX(PeakCalc!$L$10:$L$303,MATCH(tblPivotData[[#This Row],[Time]],PeakCalc!$G$10:$G$303,0))</f>
        <v>1</v>
      </c>
    </row>
    <row r="751" spans="1:9" x14ac:dyDescent="0.25">
      <c r="A751" t="s">
        <v>96</v>
      </c>
      <c r="B751" t="s">
        <v>107</v>
      </c>
      <c r="C751" t="s">
        <v>93</v>
      </c>
      <c r="D751" t="s">
        <v>89</v>
      </c>
      <c r="E751" t="s">
        <v>43</v>
      </c>
      <c r="F751" s="6">
        <v>0.34375</v>
      </c>
      <c r="G751">
        <v>0</v>
      </c>
      <c r="H751" s="6">
        <f>FLOOR(tblPivotData[[#This Row],[Time]],Summary!$B$6/1440)</f>
        <v>0.34375</v>
      </c>
      <c r="I751" s="49">
        <f>INDEX(PeakCalc!$L$10:$L$303,MATCH(tblPivotData[[#This Row],[Time]],PeakCalc!$G$10:$G$303,0))</f>
        <v>1</v>
      </c>
    </row>
    <row r="752" spans="1:9" x14ac:dyDescent="0.25">
      <c r="A752" t="s">
        <v>96</v>
      </c>
      <c r="B752" t="s">
        <v>107</v>
      </c>
      <c r="C752" t="s">
        <v>93</v>
      </c>
      <c r="D752" t="s">
        <v>89</v>
      </c>
      <c r="E752" t="s">
        <v>43</v>
      </c>
      <c r="F752" s="6">
        <v>0.35416666666666669</v>
      </c>
      <c r="G752">
        <v>0</v>
      </c>
      <c r="H752" s="6">
        <f>FLOOR(tblPivotData[[#This Row],[Time]],Summary!$B$6/1440)</f>
        <v>0.35416666666666663</v>
      </c>
      <c r="I752" s="49">
        <f>INDEX(PeakCalc!$L$10:$L$303,MATCH(tblPivotData[[#This Row],[Time]],PeakCalc!$G$10:$G$303,0))</f>
        <v>1</v>
      </c>
    </row>
    <row r="753" spans="1:9" x14ac:dyDescent="0.25">
      <c r="A753" t="s">
        <v>96</v>
      </c>
      <c r="B753" t="s">
        <v>107</v>
      </c>
      <c r="C753" t="s">
        <v>93</v>
      </c>
      <c r="D753" t="s">
        <v>89</v>
      </c>
      <c r="E753" t="s">
        <v>43</v>
      </c>
      <c r="F753" s="6">
        <v>0.36458333333333331</v>
      </c>
      <c r="G753">
        <v>0</v>
      </c>
      <c r="H753" s="6">
        <f>FLOOR(tblPivotData[[#This Row],[Time]],Summary!$B$6/1440)</f>
        <v>0.36458333333333331</v>
      </c>
      <c r="I753" s="49">
        <f>INDEX(PeakCalc!$L$10:$L$303,MATCH(tblPivotData[[#This Row],[Time]],PeakCalc!$G$10:$G$303,0))</f>
        <v>1</v>
      </c>
    </row>
    <row r="754" spans="1:9" x14ac:dyDescent="0.25">
      <c r="A754" t="s">
        <v>96</v>
      </c>
      <c r="B754" t="s">
        <v>107</v>
      </c>
      <c r="C754" t="s">
        <v>93</v>
      </c>
      <c r="D754" t="s">
        <v>89</v>
      </c>
      <c r="E754" t="s">
        <v>91</v>
      </c>
      <c r="F754" s="6">
        <v>0.5625</v>
      </c>
      <c r="G754">
        <v>0</v>
      </c>
      <c r="H754" s="6">
        <f>FLOOR(tblPivotData[[#This Row],[Time]],Summary!$B$6/1440)</f>
        <v>0.5625</v>
      </c>
      <c r="I754" s="49">
        <f>INDEX(PeakCalc!$L$10:$L$303,MATCH(tblPivotData[[#This Row],[Time]],PeakCalc!$G$10:$G$303,0))</f>
        <v>0</v>
      </c>
    </row>
    <row r="755" spans="1:9" x14ac:dyDescent="0.25">
      <c r="A755" t="s">
        <v>96</v>
      </c>
      <c r="B755" t="s">
        <v>107</v>
      </c>
      <c r="C755" t="s">
        <v>93</v>
      </c>
      <c r="D755" t="s">
        <v>89</v>
      </c>
      <c r="E755" t="s">
        <v>91</v>
      </c>
      <c r="F755" s="6">
        <v>0.57291666666666663</v>
      </c>
      <c r="G755">
        <v>0</v>
      </c>
      <c r="H755" s="6">
        <f>FLOOR(tblPivotData[[#This Row],[Time]],Summary!$B$6/1440)</f>
        <v>0.57291666666666663</v>
      </c>
      <c r="I755" s="49">
        <f>INDEX(PeakCalc!$L$10:$L$303,MATCH(tblPivotData[[#This Row],[Time]],PeakCalc!$G$10:$G$303,0))</f>
        <v>0</v>
      </c>
    </row>
    <row r="756" spans="1:9" x14ac:dyDescent="0.25">
      <c r="A756" t="s">
        <v>96</v>
      </c>
      <c r="B756" t="s">
        <v>107</v>
      </c>
      <c r="C756" t="s">
        <v>93</v>
      </c>
      <c r="D756" t="s">
        <v>89</v>
      </c>
      <c r="E756" t="s">
        <v>91</v>
      </c>
      <c r="F756" s="6">
        <v>0.58333333333333337</v>
      </c>
      <c r="G756">
        <v>0</v>
      </c>
      <c r="H756" s="6">
        <f>FLOOR(tblPivotData[[#This Row],[Time]],Summary!$B$6/1440)</f>
        <v>0.58333333333333326</v>
      </c>
      <c r="I756" s="49">
        <f>INDEX(PeakCalc!$L$10:$L$303,MATCH(tblPivotData[[#This Row],[Time]],PeakCalc!$G$10:$G$303,0))</f>
        <v>0</v>
      </c>
    </row>
    <row r="757" spans="1:9" x14ac:dyDescent="0.25">
      <c r="A757" t="s">
        <v>96</v>
      </c>
      <c r="B757" t="s">
        <v>107</v>
      </c>
      <c r="C757" t="s">
        <v>93</v>
      </c>
      <c r="D757" t="s">
        <v>89</v>
      </c>
      <c r="E757" t="s">
        <v>91</v>
      </c>
      <c r="F757" s="6">
        <v>0.59375</v>
      </c>
      <c r="G757">
        <v>0</v>
      </c>
      <c r="H757" s="6">
        <f>FLOOR(tblPivotData[[#This Row],[Time]],Summary!$B$6/1440)</f>
        <v>0.59375</v>
      </c>
      <c r="I757" s="49">
        <f>INDEX(PeakCalc!$L$10:$L$303,MATCH(tblPivotData[[#This Row],[Time]],PeakCalc!$G$10:$G$303,0))</f>
        <v>0</v>
      </c>
    </row>
    <row r="758" spans="1:9" x14ac:dyDescent="0.25">
      <c r="A758" t="s">
        <v>96</v>
      </c>
      <c r="B758" t="s">
        <v>107</v>
      </c>
      <c r="C758" t="s">
        <v>93</v>
      </c>
      <c r="D758" t="s">
        <v>89</v>
      </c>
      <c r="E758" t="s">
        <v>91</v>
      </c>
      <c r="F758" s="6">
        <v>0.60416666666666663</v>
      </c>
      <c r="G758">
        <v>0</v>
      </c>
      <c r="H758" s="6">
        <f>FLOOR(tblPivotData[[#This Row],[Time]],Summary!$B$6/1440)</f>
        <v>0.60416666666666663</v>
      </c>
      <c r="I758" s="49">
        <f>INDEX(PeakCalc!$L$10:$L$303,MATCH(tblPivotData[[#This Row],[Time]],PeakCalc!$G$10:$G$303,0))</f>
        <v>1</v>
      </c>
    </row>
    <row r="759" spans="1:9" x14ac:dyDescent="0.25">
      <c r="A759" t="s">
        <v>96</v>
      </c>
      <c r="B759" t="s">
        <v>107</v>
      </c>
      <c r="C759" t="s">
        <v>93</v>
      </c>
      <c r="D759" t="s">
        <v>89</v>
      </c>
      <c r="E759" t="s">
        <v>91</v>
      </c>
      <c r="F759" s="6">
        <v>0.61458333333333337</v>
      </c>
      <c r="G759">
        <v>0</v>
      </c>
      <c r="H759" s="6">
        <f>FLOOR(tblPivotData[[#This Row],[Time]],Summary!$B$6/1440)</f>
        <v>0.61458333333333326</v>
      </c>
      <c r="I759" s="49">
        <f>INDEX(PeakCalc!$L$10:$L$303,MATCH(tblPivotData[[#This Row],[Time]],PeakCalc!$G$10:$G$303,0))</f>
        <v>1</v>
      </c>
    </row>
    <row r="760" spans="1:9" x14ac:dyDescent="0.25">
      <c r="A760" t="s">
        <v>96</v>
      </c>
      <c r="B760" t="s">
        <v>107</v>
      </c>
      <c r="C760" t="s">
        <v>93</v>
      </c>
      <c r="D760" t="s">
        <v>89</v>
      </c>
      <c r="E760" t="s">
        <v>91</v>
      </c>
      <c r="F760" s="6">
        <v>0.625</v>
      </c>
      <c r="G760">
        <v>0</v>
      </c>
      <c r="H760" s="6">
        <f>FLOOR(tblPivotData[[#This Row],[Time]],Summary!$B$6/1440)</f>
        <v>0.625</v>
      </c>
      <c r="I760" s="49">
        <f>INDEX(PeakCalc!$L$10:$L$303,MATCH(tblPivotData[[#This Row],[Time]],PeakCalc!$G$10:$G$303,0))</f>
        <v>1</v>
      </c>
    </row>
    <row r="761" spans="1:9" x14ac:dyDescent="0.25">
      <c r="A761" t="s">
        <v>96</v>
      </c>
      <c r="B761" t="s">
        <v>107</v>
      </c>
      <c r="C761" t="s">
        <v>93</v>
      </c>
      <c r="D761" t="s">
        <v>89</v>
      </c>
      <c r="E761" t="s">
        <v>91</v>
      </c>
      <c r="F761" s="6">
        <v>0.63541666666666663</v>
      </c>
      <c r="G761">
        <v>0</v>
      </c>
      <c r="H761" s="6">
        <f>FLOOR(tblPivotData[[#This Row],[Time]],Summary!$B$6/1440)</f>
        <v>0.63541666666666663</v>
      </c>
      <c r="I761" s="49">
        <f>INDEX(PeakCalc!$L$10:$L$303,MATCH(tblPivotData[[#This Row],[Time]],PeakCalc!$G$10:$G$303,0))</f>
        <v>1</v>
      </c>
    </row>
    <row r="762" spans="1:9" x14ac:dyDescent="0.25">
      <c r="A762" t="s">
        <v>96</v>
      </c>
      <c r="B762" t="s">
        <v>107</v>
      </c>
      <c r="C762" t="s">
        <v>93</v>
      </c>
      <c r="D762" t="s">
        <v>89</v>
      </c>
      <c r="E762" t="s">
        <v>44</v>
      </c>
      <c r="F762" s="6">
        <v>0.66666666666666663</v>
      </c>
      <c r="G762">
        <v>0</v>
      </c>
      <c r="H762" s="6">
        <f>FLOOR(tblPivotData[[#This Row],[Time]],Summary!$B$6/1440)</f>
        <v>0.66666666666666663</v>
      </c>
      <c r="I762" s="49">
        <f>INDEX(PeakCalc!$L$10:$L$303,MATCH(tblPivotData[[#This Row],[Time]],PeakCalc!$G$10:$G$303,0))</f>
        <v>0</v>
      </c>
    </row>
    <row r="763" spans="1:9" x14ac:dyDescent="0.25">
      <c r="A763" t="s">
        <v>96</v>
      </c>
      <c r="B763" t="s">
        <v>107</v>
      </c>
      <c r="C763" t="s">
        <v>93</v>
      </c>
      <c r="D763" t="s">
        <v>89</v>
      </c>
      <c r="E763" t="s">
        <v>44</v>
      </c>
      <c r="F763" s="6">
        <v>0.67708333333333337</v>
      </c>
      <c r="G763">
        <v>0</v>
      </c>
      <c r="H763" s="6">
        <f>FLOOR(tblPivotData[[#This Row],[Time]],Summary!$B$6/1440)</f>
        <v>0.67708333333333326</v>
      </c>
      <c r="I763" s="49">
        <f>INDEX(PeakCalc!$L$10:$L$303,MATCH(tblPivotData[[#This Row],[Time]],PeakCalc!$G$10:$G$303,0))</f>
        <v>0</v>
      </c>
    </row>
    <row r="764" spans="1:9" x14ac:dyDescent="0.25">
      <c r="A764" t="s">
        <v>96</v>
      </c>
      <c r="B764" t="s">
        <v>107</v>
      </c>
      <c r="C764" t="s">
        <v>93</v>
      </c>
      <c r="D764" t="s">
        <v>89</v>
      </c>
      <c r="E764" t="s">
        <v>44</v>
      </c>
      <c r="F764" s="6">
        <v>0.6875</v>
      </c>
      <c r="G764">
        <v>0</v>
      </c>
      <c r="H764" s="6">
        <f>FLOOR(tblPivotData[[#This Row],[Time]],Summary!$B$6/1440)</f>
        <v>0.6875</v>
      </c>
      <c r="I764" s="49">
        <f>INDEX(PeakCalc!$L$10:$L$303,MATCH(tblPivotData[[#This Row],[Time]],PeakCalc!$G$10:$G$303,0))</f>
        <v>1</v>
      </c>
    </row>
    <row r="765" spans="1:9" x14ac:dyDescent="0.25">
      <c r="A765" t="s">
        <v>96</v>
      </c>
      <c r="B765" t="s">
        <v>107</v>
      </c>
      <c r="C765" t="s">
        <v>93</v>
      </c>
      <c r="D765" t="s">
        <v>89</v>
      </c>
      <c r="E765" t="s">
        <v>44</v>
      </c>
      <c r="F765" s="6">
        <v>0.69791666666666663</v>
      </c>
      <c r="G765">
        <v>0</v>
      </c>
      <c r="H765" s="6">
        <f>FLOOR(tblPivotData[[#This Row],[Time]],Summary!$B$6/1440)</f>
        <v>0.69791666666666663</v>
      </c>
      <c r="I765" s="49">
        <f>INDEX(PeakCalc!$L$10:$L$303,MATCH(tblPivotData[[#This Row],[Time]],PeakCalc!$G$10:$G$303,0))</f>
        <v>1</v>
      </c>
    </row>
    <row r="766" spans="1:9" x14ac:dyDescent="0.25">
      <c r="A766" t="s">
        <v>96</v>
      </c>
      <c r="B766" t="s">
        <v>107</v>
      </c>
      <c r="C766" t="s">
        <v>93</v>
      </c>
      <c r="D766" t="s">
        <v>89</v>
      </c>
      <c r="E766" t="s">
        <v>44</v>
      </c>
      <c r="F766" s="6">
        <v>0.70833333333333337</v>
      </c>
      <c r="G766">
        <v>0</v>
      </c>
      <c r="H766" s="6">
        <f>FLOOR(tblPivotData[[#This Row],[Time]],Summary!$B$6/1440)</f>
        <v>0.70833333333333326</v>
      </c>
      <c r="I766" s="49">
        <f>INDEX(PeakCalc!$L$10:$L$303,MATCH(tblPivotData[[#This Row],[Time]],PeakCalc!$G$10:$G$303,0))</f>
        <v>1</v>
      </c>
    </row>
    <row r="767" spans="1:9" x14ac:dyDescent="0.25">
      <c r="A767" t="s">
        <v>96</v>
      </c>
      <c r="B767" t="s">
        <v>107</v>
      </c>
      <c r="C767" t="s">
        <v>93</v>
      </c>
      <c r="D767" t="s">
        <v>89</v>
      </c>
      <c r="E767" t="s">
        <v>44</v>
      </c>
      <c r="F767" s="6">
        <v>0.71875</v>
      </c>
      <c r="G767">
        <v>0</v>
      </c>
      <c r="H767" s="6">
        <f>FLOOR(tblPivotData[[#This Row],[Time]],Summary!$B$6/1440)</f>
        <v>0.71875</v>
      </c>
      <c r="I767" s="49">
        <f>INDEX(PeakCalc!$L$10:$L$303,MATCH(tblPivotData[[#This Row],[Time]],PeakCalc!$G$10:$G$303,0))</f>
        <v>1</v>
      </c>
    </row>
    <row r="768" spans="1:9" x14ac:dyDescent="0.25">
      <c r="A768" t="s">
        <v>96</v>
      </c>
      <c r="B768" t="s">
        <v>107</v>
      </c>
      <c r="C768" t="s">
        <v>93</v>
      </c>
      <c r="D768" t="s">
        <v>89</v>
      </c>
      <c r="E768" t="s">
        <v>44</v>
      </c>
      <c r="F768" s="6">
        <v>0.72916666666666663</v>
      </c>
      <c r="G768">
        <v>0</v>
      </c>
      <c r="H768" s="6">
        <f>FLOOR(tblPivotData[[#This Row],[Time]],Summary!$B$6/1440)</f>
        <v>0.72916666666666663</v>
      </c>
      <c r="I768" s="49">
        <f>INDEX(PeakCalc!$L$10:$L$303,MATCH(tblPivotData[[#This Row],[Time]],PeakCalc!$G$10:$G$303,0))</f>
        <v>0</v>
      </c>
    </row>
    <row r="769" spans="1:9" x14ac:dyDescent="0.25">
      <c r="A769" t="s">
        <v>96</v>
      </c>
      <c r="B769" t="s">
        <v>107</v>
      </c>
      <c r="C769" t="s">
        <v>93</v>
      </c>
      <c r="D769" t="s">
        <v>89</v>
      </c>
      <c r="E769" t="s">
        <v>44</v>
      </c>
      <c r="F769" s="6">
        <v>0.73958333333333337</v>
      </c>
      <c r="G769">
        <v>0</v>
      </c>
      <c r="H769" s="6">
        <f>FLOOR(tblPivotData[[#This Row],[Time]],Summary!$B$6/1440)</f>
        <v>0.73958333333333326</v>
      </c>
      <c r="I769" s="49">
        <f>INDEX(PeakCalc!$L$10:$L$303,MATCH(tblPivotData[[#This Row],[Time]],PeakCalc!$G$10:$G$303,0))</f>
        <v>0</v>
      </c>
    </row>
    <row r="770" spans="1:9" x14ac:dyDescent="0.25">
      <c r="A770" t="s">
        <v>96</v>
      </c>
      <c r="B770" t="s">
        <v>107</v>
      </c>
      <c r="C770" t="s">
        <v>93</v>
      </c>
      <c r="D770" t="s">
        <v>90</v>
      </c>
      <c r="E770" t="s">
        <v>43</v>
      </c>
      <c r="F770" s="6">
        <v>0.29166666666666669</v>
      </c>
      <c r="G770">
        <v>0</v>
      </c>
      <c r="H770" s="6">
        <f>FLOOR(tblPivotData[[#This Row],[Time]],Summary!$B$6/1440)</f>
        <v>0.29166666666666663</v>
      </c>
      <c r="I770" s="49">
        <f>INDEX(PeakCalc!$L$10:$L$303,MATCH(tblPivotData[[#This Row],[Time]],PeakCalc!$G$10:$G$303,0))</f>
        <v>0</v>
      </c>
    </row>
    <row r="771" spans="1:9" x14ac:dyDescent="0.25">
      <c r="A771" t="s">
        <v>96</v>
      </c>
      <c r="B771" t="s">
        <v>107</v>
      </c>
      <c r="C771" t="s">
        <v>93</v>
      </c>
      <c r="D771" t="s">
        <v>90</v>
      </c>
      <c r="E771" t="s">
        <v>43</v>
      </c>
      <c r="F771" s="6">
        <v>0.30208333333333331</v>
      </c>
      <c r="G771">
        <v>0</v>
      </c>
      <c r="H771" s="6">
        <f>FLOOR(tblPivotData[[#This Row],[Time]],Summary!$B$6/1440)</f>
        <v>0.30208333333333331</v>
      </c>
      <c r="I771" s="49">
        <f>INDEX(PeakCalc!$L$10:$L$303,MATCH(tblPivotData[[#This Row],[Time]],PeakCalc!$G$10:$G$303,0))</f>
        <v>0</v>
      </c>
    </row>
    <row r="772" spans="1:9" x14ac:dyDescent="0.25">
      <c r="A772" t="s">
        <v>96</v>
      </c>
      <c r="B772" t="s">
        <v>107</v>
      </c>
      <c r="C772" t="s">
        <v>93</v>
      </c>
      <c r="D772" t="s">
        <v>90</v>
      </c>
      <c r="E772" t="s">
        <v>43</v>
      </c>
      <c r="F772" s="6">
        <v>0.3125</v>
      </c>
      <c r="G772">
        <v>0</v>
      </c>
      <c r="H772" s="6">
        <f>FLOOR(tblPivotData[[#This Row],[Time]],Summary!$B$6/1440)</f>
        <v>0.3125</v>
      </c>
      <c r="I772" s="49">
        <f>INDEX(PeakCalc!$L$10:$L$303,MATCH(tblPivotData[[#This Row],[Time]],PeakCalc!$G$10:$G$303,0))</f>
        <v>0</v>
      </c>
    </row>
    <row r="773" spans="1:9" x14ac:dyDescent="0.25">
      <c r="A773" t="s">
        <v>96</v>
      </c>
      <c r="B773" t="s">
        <v>107</v>
      </c>
      <c r="C773" t="s">
        <v>93</v>
      </c>
      <c r="D773" t="s">
        <v>90</v>
      </c>
      <c r="E773" t="s">
        <v>43</v>
      </c>
      <c r="F773" s="6">
        <v>0.32291666666666669</v>
      </c>
      <c r="G773">
        <v>0</v>
      </c>
      <c r="H773" s="6">
        <f>FLOOR(tblPivotData[[#This Row],[Time]],Summary!$B$6/1440)</f>
        <v>0.32291666666666663</v>
      </c>
      <c r="I773" s="49">
        <f>INDEX(PeakCalc!$L$10:$L$303,MATCH(tblPivotData[[#This Row],[Time]],PeakCalc!$G$10:$G$303,0))</f>
        <v>0</v>
      </c>
    </row>
    <row r="774" spans="1:9" x14ac:dyDescent="0.25">
      <c r="A774" t="s">
        <v>96</v>
      </c>
      <c r="B774" t="s">
        <v>107</v>
      </c>
      <c r="C774" t="s">
        <v>93</v>
      </c>
      <c r="D774" t="s">
        <v>90</v>
      </c>
      <c r="E774" t="s">
        <v>43</v>
      </c>
      <c r="F774" s="6">
        <v>0.33333333333333331</v>
      </c>
      <c r="G774">
        <v>0</v>
      </c>
      <c r="H774" s="6">
        <f>FLOOR(tblPivotData[[#This Row],[Time]],Summary!$B$6/1440)</f>
        <v>0.33333333333333331</v>
      </c>
      <c r="I774" s="49">
        <f>INDEX(PeakCalc!$L$10:$L$303,MATCH(tblPivotData[[#This Row],[Time]],PeakCalc!$G$10:$G$303,0))</f>
        <v>1</v>
      </c>
    </row>
    <row r="775" spans="1:9" x14ac:dyDescent="0.25">
      <c r="A775" t="s">
        <v>96</v>
      </c>
      <c r="B775" t="s">
        <v>107</v>
      </c>
      <c r="C775" t="s">
        <v>93</v>
      </c>
      <c r="D775" t="s">
        <v>90</v>
      </c>
      <c r="E775" t="s">
        <v>43</v>
      </c>
      <c r="F775" s="6">
        <v>0.34375</v>
      </c>
      <c r="G775">
        <v>1</v>
      </c>
      <c r="H775" s="6">
        <f>FLOOR(tblPivotData[[#This Row],[Time]],Summary!$B$6/1440)</f>
        <v>0.34375</v>
      </c>
      <c r="I775" s="49">
        <f>INDEX(PeakCalc!$L$10:$L$303,MATCH(tblPivotData[[#This Row],[Time]],PeakCalc!$G$10:$G$303,0))</f>
        <v>1</v>
      </c>
    </row>
    <row r="776" spans="1:9" x14ac:dyDescent="0.25">
      <c r="A776" t="s">
        <v>96</v>
      </c>
      <c r="B776" t="s">
        <v>107</v>
      </c>
      <c r="C776" t="s">
        <v>93</v>
      </c>
      <c r="D776" t="s">
        <v>90</v>
      </c>
      <c r="E776" t="s">
        <v>43</v>
      </c>
      <c r="F776" s="6">
        <v>0.35416666666666669</v>
      </c>
      <c r="G776">
        <v>0</v>
      </c>
      <c r="H776" s="6">
        <f>FLOOR(tblPivotData[[#This Row],[Time]],Summary!$B$6/1440)</f>
        <v>0.35416666666666663</v>
      </c>
      <c r="I776" s="49">
        <f>INDEX(PeakCalc!$L$10:$L$303,MATCH(tblPivotData[[#This Row],[Time]],PeakCalc!$G$10:$G$303,0))</f>
        <v>1</v>
      </c>
    </row>
    <row r="777" spans="1:9" x14ac:dyDescent="0.25">
      <c r="A777" t="s">
        <v>96</v>
      </c>
      <c r="B777" t="s">
        <v>107</v>
      </c>
      <c r="C777" t="s">
        <v>93</v>
      </c>
      <c r="D777" t="s">
        <v>90</v>
      </c>
      <c r="E777" t="s">
        <v>43</v>
      </c>
      <c r="F777" s="6">
        <v>0.36458333333333331</v>
      </c>
      <c r="G777">
        <v>0</v>
      </c>
      <c r="H777" s="6">
        <f>FLOOR(tblPivotData[[#This Row],[Time]],Summary!$B$6/1440)</f>
        <v>0.36458333333333331</v>
      </c>
      <c r="I777" s="49">
        <f>INDEX(PeakCalc!$L$10:$L$303,MATCH(tblPivotData[[#This Row],[Time]],PeakCalc!$G$10:$G$303,0))</f>
        <v>1</v>
      </c>
    </row>
    <row r="778" spans="1:9" x14ac:dyDescent="0.25">
      <c r="A778" t="s">
        <v>96</v>
      </c>
      <c r="B778" t="s">
        <v>107</v>
      </c>
      <c r="C778" t="s">
        <v>93</v>
      </c>
      <c r="D778" t="s">
        <v>90</v>
      </c>
      <c r="E778" t="s">
        <v>91</v>
      </c>
      <c r="F778" s="6">
        <v>0.5625</v>
      </c>
      <c r="G778">
        <v>0</v>
      </c>
      <c r="H778" s="6">
        <f>FLOOR(tblPivotData[[#This Row],[Time]],Summary!$B$6/1440)</f>
        <v>0.5625</v>
      </c>
      <c r="I778" s="49">
        <f>INDEX(PeakCalc!$L$10:$L$303,MATCH(tblPivotData[[#This Row],[Time]],PeakCalc!$G$10:$G$303,0))</f>
        <v>0</v>
      </c>
    </row>
    <row r="779" spans="1:9" x14ac:dyDescent="0.25">
      <c r="A779" t="s">
        <v>96</v>
      </c>
      <c r="B779" t="s">
        <v>107</v>
      </c>
      <c r="C779" t="s">
        <v>93</v>
      </c>
      <c r="D779" t="s">
        <v>90</v>
      </c>
      <c r="E779" t="s">
        <v>91</v>
      </c>
      <c r="F779" s="6">
        <v>0.57291666666666663</v>
      </c>
      <c r="G779">
        <v>0</v>
      </c>
      <c r="H779" s="6">
        <f>FLOOR(tblPivotData[[#This Row],[Time]],Summary!$B$6/1440)</f>
        <v>0.57291666666666663</v>
      </c>
      <c r="I779" s="49">
        <f>INDEX(PeakCalc!$L$10:$L$303,MATCH(tblPivotData[[#This Row],[Time]],PeakCalc!$G$10:$G$303,0))</f>
        <v>0</v>
      </c>
    </row>
    <row r="780" spans="1:9" x14ac:dyDescent="0.25">
      <c r="A780" t="s">
        <v>96</v>
      </c>
      <c r="B780" t="s">
        <v>107</v>
      </c>
      <c r="C780" t="s">
        <v>93</v>
      </c>
      <c r="D780" t="s">
        <v>90</v>
      </c>
      <c r="E780" t="s">
        <v>91</v>
      </c>
      <c r="F780" s="6">
        <v>0.58333333333333337</v>
      </c>
      <c r="G780">
        <v>0</v>
      </c>
      <c r="H780" s="6">
        <f>FLOOR(tblPivotData[[#This Row],[Time]],Summary!$B$6/1440)</f>
        <v>0.58333333333333326</v>
      </c>
      <c r="I780" s="49">
        <f>INDEX(PeakCalc!$L$10:$L$303,MATCH(tblPivotData[[#This Row],[Time]],PeakCalc!$G$10:$G$303,0))</f>
        <v>0</v>
      </c>
    </row>
    <row r="781" spans="1:9" x14ac:dyDescent="0.25">
      <c r="A781" t="s">
        <v>96</v>
      </c>
      <c r="B781" t="s">
        <v>107</v>
      </c>
      <c r="C781" t="s">
        <v>93</v>
      </c>
      <c r="D781" t="s">
        <v>90</v>
      </c>
      <c r="E781" t="s">
        <v>91</v>
      </c>
      <c r="F781" s="6">
        <v>0.59375</v>
      </c>
      <c r="G781">
        <v>0</v>
      </c>
      <c r="H781" s="6">
        <f>FLOOR(tblPivotData[[#This Row],[Time]],Summary!$B$6/1440)</f>
        <v>0.59375</v>
      </c>
      <c r="I781" s="49">
        <f>INDEX(PeakCalc!$L$10:$L$303,MATCH(tblPivotData[[#This Row],[Time]],PeakCalc!$G$10:$G$303,0))</f>
        <v>0</v>
      </c>
    </row>
    <row r="782" spans="1:9" x14ac:dyDescent="0.25">
      <c r="A782" t="s">
        <v>96</v>
      </c>
      <c r="B782" t="s">
        <v>107</v>
      </c>
      <c r="C782" t="s">
        <v>93</v>
      </c>
      <c r="D782" t="s">
        <v>90</v>
      </c>
      <c r="E782" t="s">
        <v>91</v>
      </c>
      <c r="F782" s="6">
        <v>0.60416666666666663</v>
      </c>
      <c r="G782">
        <v>0</v>
      </c>
      <c r="H782" s="6">
        <f>FLOOR(tblPivotData[[#This Row],[Time]],Summary!$B$6/1440)</f>
        <v>0.60416666666666663</v>
      </c>
      <c r="I782" s="49">
        <f>INDEX(PeakCalc!$L$10:$L$303,MATCH(tblPivotData[[#This Row],[Time]],PeakCalc!$G$10:$G$303,0))</f>
        <v>1</v>
      </c>
    </row>
    <row r="783" spans="1:9" x14ac:dyDescent="0.25">
      <c r="A783" t="s">
        <v>96</v>
      </c>
      <c r="B783" t="s">
        <v>107</v>
      </c>
      <c r="C783" t="s">
        <v>93</v>
      </c>
      <c r="D783" t="s">
        <v>90</v>
      </c>
      <c r="E783" t="s">
        <v>91</v>
      </c>
      <c r="F783" s="6">
        <v>0.61458333333333337</v>
      </c>
      <c r="G783">
        <v>0</v>
      </c>
      <c r="H783" s="6">
        <f>FLOOR(tblPivotData[[#This Row],[Time]],Summary!$B$6/1440)</f>
        <v>0.61458333333333326</v>
      </c>
      <c r="I783" s="49">
        <f>INDEX(PeakCalc!$L$10:$L$303,MATCH(tblPivotData[[#This Row],[Time]],PeakCalc!$G$10:$G$303,0))</f>
        <v>1</v>
      </c>
    </row>
    <row r="784" spans="1:9" x14ac:dyDescent="0.25">
      <c r="A784" t="s">
        <v>96</v>
      </c>
      <c r="B784" t="s">
        <v>107</v>
      </c>
      <c r="C784" t="s">
        <v>93</v>
      </c>
      <c r="D784" t="s">
        <v>90</v>
      </c>
      <c r="E784" t="s">
        <v>91</v>
      </c>
      <c r="F784" s="6">
        <v>0.625</v>
      </c>
      <c r="G784">
        <v>0</v>
      </c>
      <c r="H784" s="6">
        <f>FLOOR(tblPivotData[[#This Row],[Time]],Summary!$B$6/1440)</f>
        <v>0.625</v>
      </c>
      <c r="I784" s="49">
        <f>INDEX(PeakCalc!$L$10:$L$303,MATCH(tblPivotData[[#This Row],[Time]],PeakCalc!$G$10:$G$303,0))</f>
        <v>1</v>
      </c>
    </row>
    <row r="785" spans="1:9" x14ac:dyDescent="0.25">
      <c r="A785" t="s">
        <v>96</v>
      </c>
      <c r="B785" t="s">
        <v>107</v>
      </c>
      <c r="C785" t="s">
        <v>93</v>
      </c>
      <c r="D785" t="s">
        <v>90</v>
      </c>
      <c r="E785" t="s">
        <v>91</v>
      </c>
      <c r="F785" s="6">
        <v>0.63541666666666663</v>
      </c>
      <c r="G785">
        <v>0</v>
      </c>
      <c r="H785" s="6">
        <f>FLOOR(tblPivotData[[#This Row],[Time]],Summary!$B$6/1440)</f>
        <v>0.63541666666666663</v>
      </c>
      <c r="I785" s="49">
        <f>INDEX(PeakCalc!$L$10:$L$303,MATCH(tblPivotData[[#This Row],[Time]],PeakCalc!$G$10:$G$303,0))</f>
        <v>1</v>
      </c>
    </row>
    <row r="786" spans="1:9" x14ac:dyDescent="0.25">
      <c r="A786" t="s">
        <v>96</v>
      </c>
      <c r="B786" t="s">
        <v>107</v>
      </c>
      <c r="C786" t="s">
        <v>93</v>
      </c>
      <c r="D786" t="s">
        <v>90</v>
      </c>
      <c r="E786" t="s">
        <v>44</v>
      </c>
      <c r="F786" s="6">
        <v>0.66666666666666663</v>
      </c>
      <c r="G786">
        <v>0</v>
      </c>
      <c r="H786" s="6">
        <f>FLOOR(tblPivotData[[#This Row],[Time]],Summary!$B$6/1440)</f>
        <v>0.66666666666666663</v>
      </c>
      <c r="I786" s="49">
        <f>INDEX(PeakCalc!$L$10:$L$303,MATCH(tblPivotData[[#This Row],[Time]],PeakCalc!$G$10:$G$303,0))</f>
        <v>0</v>
      </c>
    </row>
    <row r="787" spans="1:9" x14ac:dyDescent="0.25">
      <c r="A787" t="s">
        <v>96</v>
      </c>
      <c r="B787" t="s">
        <v>107</v>
      </c>
      <c r="C787" t="s">
        <v>93</v>
      </c>
      <c r="D787" t="s">
        <v>90</v>
      </c>
      <c r="E787" t="s">
        <v>44</v>
      </c>
      <c r="F787" s="6">
        <v>0.67708333333333337</v>
      </c>
      <c r="G787">
        <v>0</v>
      </c>
      <c r="H787" s="6">
        <f>FLOOR(tblPivotData[[#This Row],[Time]],Summary!$B$6/1440)</f>
        <v>0.67708333333333326</v>
      </c>
      <c r="I787" s="49">
        <f>INDEX(PeakCalc!$L$10:$L$303,MATCH(tblPivotData[[#This Row],[Time]],PeakCalc!$G$10:$G$303,0))</f>
        <v>0</v>
      </c>
    </row>
    <row r="788" spans="1:9" x14ac:dyDescent="0.25">
      <c r="A788" t="s">
        <v>96</v>
      </c>
      <c r="B788" t="s">
        <v>107</v>
      </c>
      <c r="C788" t="s">
        <v>93</v>
      </c>
      <c r="D788" t="s">
        <v>90</v>
      </c>
      <c r="E788" t="s">
        <v>44</v>
      </c>
      <c r="F788" s="6">
        <v>0.6875</v>
      </c>
      <c r="G788">
        <v>0</v>
      </c>
      <c r="H788" s="6">
        <f>FLOOR(tblPivotData[[#This Row],[Time]],Summary!$B$6/1440)</f>
        <v>0.6875</v>
      </c>
      <c r="I788" s="49">
        <f>INDEX(PeakCalc!$L$10:$L$303,MATCH(tblPivotData[[#This Row],[Time]],PeakCalc!$G$10:$G$303,0))</f>
        <v>1</v>
      </c>
    </row>
    <row r="789" spans="1:9" x14ac:dyDescent="0.25">
      <c r="A789" t="s">
        <v>96</v>
      </c>
      <c r="B789" t="s">
        <v>107</v>
      </c>
      <c r="C789" t="s">
        <v>93</v>
      </c>
      <c r="D789" t="s">
        <v>90</v>
      </c>
      <c r="E789" t="s">
        <v>44</v>
      </c>
      <c r="F789" s="6">
        <v>0.69791666666666663</v>
      </c>
      <c r="G789">
        <v>0</v>
      </c>
      <c r="H789" s="6">
        <f>FLOOR(tblPivotData[[#This Row],[Time]],Summary!$B$6/1440)</f>
        <v>0.69791666666666663</v>
      </c>
      <c r="I789" s="49">
        <f>INDEX(PeakCalc!$L$10:$L$303,MATCH(tblPivotData[[#This Row],[Time]],PeakCalc!$G$10:$G$303,0))</f>
        <v>1</v>
      </c>
    </row>
    <row r="790" spans="1:9" x14ac:dyDescent="0.25">
      <c r="A790" t="s">
        <v>96</v>
      </c>
      <c r="B790" t="s">
        <v>107</v>
      </c>
      <c r="C790" t="s">
        <v>93</v>
      </c>
      <c r="D790" t="s">
        <v>90</v>
      </c>
      <c r="E790" t="s">
        <v>44</v>
      </c>
      <c r="F790" s="6">
        <v>0.70833333333333337</v>
      </c>
      <c r="G790">
        <v>0</v>
      </c>
      <c r="H790" s="6">
        <f>FLOOR(tblPivotData[[#This Row],[Time]],Summary!$B$6/1440)</f>
        <v>0.70833333333333326</v>
      </c>
      <c r="I790" s="49">
        <f>INDEX(PeakCalc!$L$10:$L$303,MATCH(tblPivotData[[#This Row],[Time]],PeakCalc!$G$10:$G$303,0))</f>
        <v>1</v>
      </c>
    </row>
    <row r="791" spans="1:9" x14ac:dyDescent="0.25">
      <c r="A791" t="s">
        <v>96</v>
      </c>
      <c r="B791" t="s">
        <v>107</v>
      </c>
      <c r="C791" t="s">
        <v>93</v>
      </c>
      <c r="D791" t="s">
        <v>90</v>
      </c>
      <c r="E791" t="s">
        <v>44</v>
      </c>
      <c r="F791" s="6">
        <v>0.71875</v>
      </c>
      <c r="G791">
        <v>0</v>
      </c>
      <c r="H791" s="6">
        <f>FLOOR(tblPivotData[[#This Row],[Time]],Summary!$B$6/1440)</f>
        <v>0.71875</v>
      </c>
      <c r="I791" s="49">
        <f>INDEX(PeakCalc!$L$10:$L$303,MATCH(tblPivotData[[#This Row],[Time]],PeakCalc!$G$10:$G$303,0))</f>
        <v>1</v>
      </c>
    </row>
    <row r="792" spans="1:9" x14ac:dyDescent="0.25">
      <c r="A792" t="s">
        <v>96</v>
      </c>
      <c r="B792" t="s">
        <v>107</v>
      </c>
      <c r="C792" t="s">
        <v>93</v>
      </c>
      <c r="D792" t="s">
        <v>90</v>
      </c>
      <c r="E792" t="s">
        <v>44</v>
      </c>
      <c r="F792" s="6">
        <v>0.72916666666666663</v>
      </c>
      <c r="G792">
        <v>0</v>
      </c>
      <c r="H792" s="6">
        <f>FLOOR(tblPivotData[[#This Row],[Time]],Summary!$B$6/1440)</f>
        <v>0.72916666666666663</v>
      </c>
      <c r="I792" s="49">
        <f>INDEX(PeakCalc!$L$10:$L$303,MATCH(tblPivotData[[#This Row],[Time]],PeakCalc!$G$10:$G$303,0))</f>
        <v>0</v>
      </c>
    </row>
    <row r="793" spans="1:9" x14ac:dyDescent="0.25">
      <c r="A793" t="s">
        <v>96</v>
      </c>
      <c r="B793" t="s">
        <v>107</v>
      </c>
      <c r="C793" t="s">
        <v>93</v>
      </c>
      <c r="D793" t="s">
        <v>90</v>
      </c>
      <c r="E793" t="s">
        <v>44</v>
      </c>
      <c r="F793" s="6">
        <v>0.73958333333333337</v>
      </c>
      <c r="G793">
        <v>0</v>
      </c>
      <c r="H793" s="6">
        <f>FLOOR(tblPivotData[[#This Row],[Time]],Summary!$B$6/1440)</f>
        <v>0.73958333333333326</v>
      </c>
      <c r="I793" s="49">
        <f>INDEX(PeakCalc!$L$10:$L$303,MATCH(tblPivotData[[#This Row],[Time]],PeakCalc!$G$10:$G$303,0))</f>
        <v>0</v>
      </c>
    </row>
    <row r="794" spans="1:9" x14ac:dyDescent="0.25">
      <c r="A794" t="s">
        <v>96</v>
      </c>
      <c r="B794" t="s">
        <v>108</v>
      </c>
      <c r="C794" t="s">
        <v>94</v>
      </c>
      <c r="D794" t="s">
        <v>79</v>
      </c>
      <c r="E794" t="s">
        <v>43</v>
      </c>
      <c r="F794" s="6">
        <v>0.29166666666666669</v>
      </c>
      <c r="G794">
        <v>1</v>
      </c>
      <c r="H794" s="6">
        <f>FLOOR(tblPivotData[[#This Row],[Time]],Summary!$B$6/1440)</f>
        <v>0.29166666666666663</v>
      </c>
      <c r="I794" s="49">
        <f>INDEX(PeakCalc!$L$10:$L$303,MATCH(tblPivotData[[#This Row],[Time]],PeakCalc!$G$10:$G$303,0))</f>
        <v>0</v>
      </c>
    </row>
    <row r="795" spans="1:9" x14ac:dyDescent="0.25">
      <c r="A795" t="s">
        <v>96</v>
      </c>
      <c r="B795" t="s">
        <v>108</v>
      </c>
      <c r="C795" t="s">
        <v>94</v>
      </c>
      <c r="D795" t="s">
        <v>79</v>
      </c>
      <c r="E795" t="s">
        <v>43</v>
      </c>
      <c r="F795" s="6">
        <v>0.30208333333333331</v>
      </c>
      <c r="G795">
        <v>1</v>
      </c>
      <c r="H795" s="6">
        <f>FLOOR(tblPivotData[[#This Row],[Time]],Summary!$B$6/1440)</f>
        <v>0.30208333333333331</v>
      </c>
      <c r="I795" s="49">
        <f>INDEX(PeakCalc!$L$10:$L$303,MATCH(tblPivotData[[#This Row],[Time]],PeakCalc!$G$10:$G$303,0))</f>
        <v>0</v>
      </c>
    </row>
    <row r="796" spans="1:9" x14ac:dyDescent="0.25">
      <c r="A796" t="s">
        <v>96</v>
      </c>
      <c r="B796" t="s">
        <v>108</v>
      </c>
      <c r="C796" t="s">
        <v>94</v>
      </c>
      <c r="D796" t="s">
        <v>79</v>
      </c>
      <c r="E796" t="s">
        <v>43</v>
      </c>
      <c r="F796" s="6">
        <v>0.3125</v>
      </c>
      <c r="G796">
        <v>4</v>
      </c>
      <c r="H796" s="6">
        <f>FLOOR(tblPivotData[[#This Row],[Time]],Summary!$B$6/1440)</f>
        <v>0.3125</v>
      </c>
      <c r="I796" s="49">
        <f>INDEX(PeakCalc!$L$10:$L$303,MATCH(tblPivotData[[#This Row],[Time]],PeakCalc!$G$10:$G$303,0))</f>
        <v>0</v>
      </c>
    </row>
    <row r="797" spans="1:9" x14ac:dyDescent="0.25">
      <c r="A797" t="s">
        <v>96</v>
      </c>
      <c r="B797" t="s">
        <v>108</v>
      </c>
      <c r="C797" t="s">
        <v>94</v>
      </c>
      <c r="D797" t="s">
        <v>79</v>
      </c>
      <c r="E797" t="s">
        <v>43</v>
      </c>
      <c r="F797" s="6">
        <v>0.32291666666666669</v>
      </c>
      <c r="G797">
        <v>2</v>
      </c>
      <c r="H797" s="6">
        <f>FLOOR(tblPivotData[[#This Row],[Time]],Summary!$B$6/1440)</f>
        <v>0.32291666666666663</v>
      </c>
      <c r="I797" s="49">
        <f>INDEX(PeakCalc!$L$10:$L$303,MATCH(tblPivotData[[#This Row],[Time]],PeakCalc!$G$10:$G$303,0))</f>
        <v>0</v>
      </c>
    </row>
    <row r="798" spans="1:9" x14ac:dyDescent="0.25">
      <c r="A798" t="s">
        <v>96</v>
      </c>
      <c r="B798" t="s">
        <v>108</v>
      </c>
      <c r="C798" t="s">
        <v>94</v>
      </c>
      <c r="D798" t="s">
        <v>79</v>
      </c>
      <c r="E798" t="s">
        <v>43</v>
      </c>
      <c r="F798" s="6">
        <v>0.33333333333333331</v>
      </c>
      <c r="G798">
        <v>2</v>
      </c>
      <c r="H798" s="6">
        <f>FLOOR(tblPivotData[[#This Row],[Time]],Summary!$B$6/1440)</f>
        <v>0.33333333333333331</v>
      </c>
      <c r="I798" s="49">
        <f>INDEX(PeakCalc!$L$10:$L$303,MATCH(tblPivotData[[#This Row],[Time]],PeakCalc!$G$10:$G$303,0))</f>
        <v>1</v>
      </c>
    </row>
    <row r="799" spans="1:9" x14ac:dyDescent="0.25">
      <c r="A799" t="s">
        <v>96</v>
      </c>
      <c r="B799" t="s">
        <v>108</v>
      </c>
      <c r="C799" t="s">
        <v>94</v>
      </c>
      <c r="D799" t="s">
        <v>79</v>
      </c>
      <c r="E799" t="s">
        <v>43</v>
      </c>
      <c r="F799" s="6">
        <v>0.34375</v>
      </c>
      <c r="G799">
        <v>1</v>
      </c>
      <c r="H799" s="6">
        <f>FLOOR(tblPivotData[[#This Row],[Time]],Summary!$B$6/1440)</f>
        <v>0.34375</v>
      </c>
      <c r="I799" s="49">
        <f>INDEX(PeakCalc!$L$10:$L$303,MATCH(tblPivotData[[#This Row],[Time]],PeakCalc!$G$10:$G$303,0))</f>
        <v>1</v>
      </c>
    </row>
    <row r="800" spans="1:9" x14ac:dyDescent="0.25">
      <c r="A800" t="s">
        <v>96</v>
      </c>
      <c r="B800" t="s">
        <v>108</v>
      </c>
      <c r="C800" t="s">
        <v>94</v>
      </c>
      <c r="D800" t="s">
        <v>79</v>
      </c>
      <c r="E800" t="s">
        <v>43</v>
      </c>
      <c r="F800" s="6">
        <v>0.35416666666666669</v>
      </c>
      <c r="G800">
        <v>1</v>
      </c>
      <c r="H800" s="6">
        <f>FLOOR(tblPivotData[[#This Row],[Time]],Summary!$B$6/1440)</f>
        <v>0.35416666666666663</v>
      </c>
      <c r="I800" s="49">
        <f>INDEX(PeakCalc!$L$10:$L$303,MATCH(tblPivotData[[#This Row],[Time]],PeakCalc!$G$10:$G$303,0))</f>
        <v>1</v>
      </c>
    </row>
    <row r="801" spans="1:9" x14ac:dyDescent="0.25">
      <c r="A801" t="s">
        <v>96</v>
      </c>
      <c r="B801" t="s">
        <v>108</v>
      </c>
      <c r="C801" t="s">
        <v>94</v>
      </c>
      <c r="D801" t="s">
        <v>79</v>
      </c>
      <c r="E801" t="s">
        <v>43</v>
      </c>
      <c r="F801" s="6">
        <v>0.36458333333333331</v>
      </c>
      <c r="G801">
        <v>3</v>
      </c>
      <c r="H801" s="6">
        <f>FLOOR(tblPivotData[[#This Row],[Time]],Summary!$B$6/1440)</f>
        <v>0.36458333333333331</v>
      </c>
      <c r="I801" s="49">
        <f>INDEX(PeakCalc!$L$10:$L$303,MATCH(tblPivotData[[#This Row],[Time]],PeakCalc!$G$10:$G$303,0))</f>
        <v>1</v>
      </c>
    </row>
    <row r="802" spans="1:9" x14ac:dyDescent="0.25">
      <c r="A802" t="s">
        <v>96</v>
      </c>
      <c r="B802" t="s">
        <v>108</v>
      </c>
      <c r="C802" t="s">
        <v>94</v>
      </c>
      <c r="D802" t="s">
        <v>79</v>
      </c>
      <c r="E802" t="s">
        <v>91</v>
      </c>
      <c r="F802" s="6">
        <v>0.5625</v>
      </c>
      <c r="G802">
        <v>6</v>
      </c>
      <c r="H802" s="6">
        <f>FLOOR(tblPivotData[[#This Row],[Time]],Summary!$B$6/1440)</f>
        <v>0.5625</v>
      </c>
      <c r="I802" s="49">
        <f>INDEX(PeakCalc!$L$10:$L$303,MATCH(tblPivotData[[#This Row],[Time]],PeakCalc!$G$10:$G$303,0))</f>
        <v>0</v>
      </c>
    </row>
    <row r="803" spans="1:9" x14ac:dyDescent="0.25">
      <c r="A803" t="s">
        <v>96</v>
      </c>
      <c r="B803" t="s">
        <v>108</v>
      </c>
      <c r="C803" t="s">
        <v>94</v>
      </c>
      <c r="D803" t="s">
        <v>79</v>
      </c>
      <c r="E803" t="s">
        <v>91</v>
      </c>
      <c r="F803" s="6">
        <v>0.57291666666666663</v>
      </c>
      <c r="G803">
        <v>1</v>
      </c>
      <c r="H803" s="6">
        <f>FLOOR(tblPivotData[[#This Row],[Time]],Summary!$B$6/1440)</f>
        <v>0.57291666666666663</v>
      </c>
      <c r="I803" s="49">
        <f>INDEX(PeakCalc!$L$10:$L$303,MATCH(tblPivotData[[#This Row],[Time]],PeakCalc!$G$10:$G$303,0))</f>
        <v>0</v>
      </c>
    </row>
    <row r="804" spans="1:9" x14ac:dyDescent="0.25">
      <c r="A804" t="s">
        <v>96</v>
      </c>
      <c r="B804" t="s">
        <v>108</v>
      </c>
      <c r="C804" t="s">
        <v>94</v>
      </c>
      <c r="D804" t="s">
        <v>79</v>
      </c>
      <c r="E804" t="s">
        <v>91</v>
      </c>
      <c r="F804" s="6">
        <v>0.58333333333333337</v>
      </c>
      <c r="G804">
        <v>0</v>
      </c>
      <c r="H804" s="6">
        <f>FLOOR(tblPivotData[[#This Row],[Time]],Summary!$B$6/1440)</f>
        <v>0.58333333333333326</v>
      </c>
      <c r="I804" s="49">
        <f>INDEX(PeakCalc!$L$10:$L$303,MATCH(tblPivotData[[#This Row],[Time]],PeakCalc!$G$10:$G$303,0))</f>
        <v>0</v>
      </c>
    </row>
    <row r="805" spans="1:9" x14ac:dyDescent="0.25">
      <c r="A805" t="s">
        <v>96</v>
      </c>
      <c r="B805" t="s">
        <v>108</v>
      </c>
      <c r="C805" t="s">
        <v>94</v>
      </c>
      <c r="D805" t="s">
        <v>79</v>
      </c>
      <c r="E805" t="s">
        <v>91</v>
      </c>
      <c r="F805" s="6">
        <v>0.59375</v>
      </c>
      <c r="G805">
        <v>5</v>
      </c>
      <c r="H805" s="6">
        <f>FLOOR(tblPivotData[[#This Row],[Time]],Summary!$B$6/1440)</f>
        <v>0.59375</v>
      </c>
      <c r="I805" s="49">
        <f>INDEX(PeakCalc!$L$10:$L$303,MATCH(tblPivotData[[#This Row],[Time]],PeakCalc!$G$10:$G$303,0))</f>
        <v>0</v>
      </c>
    </row>
    <row r="806" spans="1:9" x14ac:dyDescent="0.25">
      <c r="A806" t="s">
        <v>96</v>
      </c>
      <c r="B806" t="s">
        <v>108</v>
      </c>
      <c r="C806" t="s">
        <v>94</v>
      </c>
      <c r="D806" t="s">
        <v>79</v>
      </c>
      <c r="E806" t="s">
        <v>91</v>
      </c>
      <c r="F806" s="6">
        <v>0.60416666666666663</v>
      </c>
      <c r="G806">
        <v>5</v>
      </c>
      <c r="H806" s="6">
        <f>FLOOR(tblPivotData[[#This Row],[Time]],Summary!$B$6/1440)</f>
        <v>0.60416666666666663</v>
      </c>
      <c r="I806" s="49">
        <f>INDEX(PeakCalc!$L$10:$L$303,MATCH(tblPivotData[[#This Row],[Time]],PeakCalc!$G$10:$G$303,0))</f>
        <v>1</v>
      </c>
    </row>
    <row r="807" spans="1:9" x14ac:dyDescent="0.25">
      <c r="A807" t="s">
        <v>96</v>
      </c>
      <c r="B807" t="s">
        <v>108</v>
      </c>
      <c r="C807" t="s">
        <v>94</v>
      </c>
      <c r="D807" t="s">
        <v>79</v>
      </c>
      <c r="E807" t="s">
        <v>91</v>
      </c>
      <c r="F807" s="6">
        <v>0.61458333333333337</v>
      </c>
      <c r="G807">
        <v>2</v>
      </c>
      <c r="H807" s="6">
        <f>FLOOR(tblPivotData[[#This Row],[Time]],Summary!$B$6/1440)</f>
        <v>0.61458333333333326</v>
      </c>
      <c r="I807" s="49">
        <f>INDEX(PeakCalc!$L$10:$L$303,MATCH(tblPivotData[[#This Row],[Time]],PeakCalc!$G$10:$G$303,0))</f>
        <v>1</v>
      </c>
    </row>
    <row r="808" spans="1:9" x14ac:dyDescent="0.25">
      <c r="A808" t="s">
        <v>96</v>
      </c>
      <c r="B808" t="s">
        <v>108</v>
      </c>
      <c r="C808" t="s">
        <v>94</v>
      </c>
      <c r="D808" t="s">
        <v>79</v>
      </c>
      <c r="E808" t="s">
        <v>91</v>
      </c>
      <c r="F808" s="6">
        <v>0.625</v>
      </c>
      <c r="G808">
        <v>5</v>
      </c>
      <c r="H808" s="6">
        <f>FLOOR(tblPivotData[[#This Row],[Time]],Summary!$B$6/1440)</f>
        <v>0.625</v>
      </c>
      <c r="I808" s="49">
        <f>INDEX(PeakCalc!$L$10:$L$303,MATCH(tblPivotData[[#This Row],[Time]],PeakCalc!$G$10:$G$303,0))</f>
        <v>1</v>
      </c>
    </row>
    <row r="809" spans="1:9" x14ac:dyDescent="0.25">
      <c r="A809" t="s">
        <v>96</v>
      </c>
      <c r="B809" t="s">
        <v>108</v>
      </c>
      <c r="C809" t="s">
        <v>94</v>
      </c>
      <c r="D809" t="s">
        <v>79</v>
      </c>
      <c r="E809" t="s">
        <v>91</v>
      </c>
      <c r="F809" s="6">
        <v>0.63541666666666663</v>
      </c>
      <c r="G809">
        <v>4</v>
      </c>
      <c r="H809" s="6">
        <f>FLOOR(tblPivotData[[#This Row],[Time]],Summary!$B$6/1440)</f>
        <v>0.63541666666666663</v>
      </c>
      <c r="I809" s="49">
        <f>INDEX(PeakCalc!$L$10:$L$303,MATCH(tblPivotData[[#This Row],[Time]],PeakCalc!$G$10:$G$303,0))</f>
        <v>1</v>
      </c>
    </row>
    <row r="810" spans="1:9" x14ac:dyDescent="0.25">
      <c r="A810" t="s">
        <v>96</v>
      </c>
      <c r="B810" t="s">
        <v>108</v>
      </c>
      <c r="C810" t="s">
        <v>94</v>
      </c>
      <c r="D810" t="s">
        <v>79</v>
      </c>
      <c r="E810" t="s">
        <v>44</v>
      </c>
      <c r="F810" s="6">
        <v>0.66666666666666663</v>
      </c>
      <c r="G810">
        <v>1</v>
      </c>
      <c r="H810" s="6">
        <f>FLOOR(tblPivotData[[#This Row],[Time]],Summary!$B$6/1440)</f>
        <v>0.66666666666666663</v>
      </c>
      <c r="I810" s="49">
        <f>INDEX(PeakCalc!$L$10:$L$303,MATCH(tblPivotData[[#This Row],[Time]],PeakCalc!$G$10:$G$303,0))</f>
        <v>0</v>
      </c>
    </row>
    <row r="811" spans="1:9" x14ac:dyDescent="0.25">
      <c r="A811" t="s">
        <v>96</v>
      </c>
      <c r="B811" t="s">
        <v>108</v>
      </c>
      <c r="C811" t="s">
        <v>94</v>
      </c>
      <c r="D811" t="s">
        <v>79</v>
      </c>
      <c r="E811" t="s">
        <v>44</v>
      </c>
      <c r="F811" s="6">
        <v>0.67708333333333337</v>
      </c>
      <c r="G811">
        <v>2</v>
      </c>
      <c r="H811" s="6">
        <f>FLOOR(tblPivotData[[#This Row],[Time]],Summary!$B$6/1440)</f>
        <v>0.67708333333333326</v>
      </c>
      <c r="I811" s="49">
        <f>INDEX(PeakCalc!$L$10:$L$303,MATCH(tblPivotData[[#This Row],[Time]],PeakCalc!$G$10:$G$303,0))</f>
        <v>0</v>
      </c>
    </row>
    <row r="812" spans="1:9" x14ac:dyDescent="0.25">
      <c r="A812" t="s">
        <v>96</v>
      </c>
      <c r="B812" t="s">
        <v>108</v>
      </c>
      <c r="C812" t="s">
        <v>94</v>
      </c>
      <c r="D812" t="s">
        <v>79</v>
      </c>
      <c r="E812" t="s">
        <v>44</v>
      </c>
      <c r="F812" s="6">
        <v>0.6875</v>
      </c>
      <c r="G812">
        <v>3</v>
      </c>
      <c r="H812" s="6">
        <f>FLOOR(tblPivotData[[#This Row],[Time]],Summary!$B$6/1440)</f>
        <v>0.6875</v>
      </c>
      <c r="I812" s="49">
        <f>INDEX(PeakCalc!$L$10:$L$303,MATCH(tblPivotData[[#This Row],[Time]],PeakCalc!$G$10:$G$303,0))</f>
        <v>1</v>
      </c>
    </row>
    <row r="813" spans="1:9" x14ac:dyDescent="0.25">
      <c r="A813" t="s">
        <v>96</v>
      </c>
      <c r="B813" t="s">
        <v>108</v>
      </c>
      <c r="C813" t="s">
        <v>94</v>
      </c>
      <c r="D813" t="s">
        <v>79</v>
      </c>
      <c r="E813" t="s">
        <v>44</v>
      </c>
      <c r="F813" s="6">
        <v>0.69791666666666663</v>
      </c>
      <c r="G813">
        <v>1</v>
      </c>
      <c r="H813" s="6">
        <f>FLOOR(tblPivotData[[#This Row],[Time]],Summary!$B$6/1440)</f>
        <v>0.69791666666666663</v>
      </c>
      <c r="I813" s="49">
        <f>INDEX(PeakCalc!$L$10:$L$303,MATCH(tblPivotData[[#This Row],[Time]],PeakCalc!$G$10:$G$303,0))</f>
        <v>1</v>
      </c>
    </row>
    <row r="814" spans="1:9" x14ac:dyDescent="0.25">
      <c r="A814" t="s">
        <v>96</v>
      </c>
      <c r="B814" t="s">
        <v>108</v>
      </c>
      <c r="C814" t="s">
        <v>94</v>
      </c>
      <c r="D814" t="s">
        <v>79</v>
      </c>
      <c r="E814" t="s">
        <v>44</v>
      </c>
      <c r="F814" s="6">
        <v>0.70833333333333337</v>
      </c>
      <c r="G814">
        <v>2</v>
      </c>
      <c r="H814" s="6">
        <f>FLOOR(tblPivotData[[#This Row],[Time]],Summary!$B$6/1440)</f>
        <v>0.70833333333333326</v>
      </c>
      <c r="I814" s="49">
        <f>INDEX(PeakCalc!$L$10:$L$303,MATCH(tblPivotData[[#This Row],[Time]],PeakCalc!$G$10:$G$303,0))</f>
        <v>1</v>
      </c>
    </row>
    <row r="815" spans="1:9" x14ac:dyDescent="0.25">
      <c r="A815" t="s">
        <v>96</v>
      </c>
      <c r="B815" t="s">
        <v>108</v>
      </c>
      <c r="C815" t="s">
        <v>94</v>
      </c>
      <c r="D815" t="s">
        <v>79</v>
      </c>
      <c r="E815" t="s">
        <v>44</v>
      </c>
      <c r="F815" s="6">
        <v>0.71875</v>
      </c>
      <c r="G815">
        <v>1</v>
      </c>
      <c r="H815" s="6">
        <f>FLOOR(tblPivotData[[#This Row],[Time]],Summary!$B$6/1440)</f>
        <v>0.71875</v>
      </c>
      <c r="I815" s="49">
        <f>INDEX(PeakCalc!$L$10:$L$303,MATCH(tblPivotData[[#This Row],[Time]],PeakCalc!$G$10:$G$303,0))</f>
        <v>1</v>
      </c>
    </row>
    <row r="816" spans="1:9" x14ac:dyDescent="0.25">
      <c r="A816" t="s">
        <v>96</v>
      </c>
      <c r="B816" t="s">
        <v>108</v>
      </c>
      <c r="C816" t="s">
        <v>94</v>
      </c>
      <c r="D816" t="s">
        <v>79</v>
      </c>
      <c r="E816" t="s">
        <v>44</v>
      </c>
      <c r="F816" s="6">
        <v>0.72916666666666663</v>
      </c>
      <c r="G816">
        <v>2</v>
      </c>
      <c r="H816" s="6">
        <f>FLOOR(tblPivotData[[#This Row],[Time]],Summary!$B$6/1440)</f>
        <v>0.72916666666666663</v>
      </c>
      <c r="I816" s="49">
        <f>INDEX(PeakCalc!$L$10:$L$303,MATCH(tblPivotData[[#This Row],[Time]],PeakCalc!$G$10:$G$303,0))</f>
        <v>0</v>
      </c>
    </row>
    <row r="817" spans="1:9" x14ac:dyDescent="0.25">
      <c r="A817" t="s">
        <v>96</v>
      </c>
      <c r="B817" t="s">
        <v>108</v>
      </c>
      <c r="C817" t="s">
        <v>94</v>
      </c>
      <c r="D817" t="s">
        <v>79</v>
      </c>
      <c r="E817" t="s">
        <v>44</v>
      </c>
      <c r="F817" s="6">
        <v>0.73958333333333337</v>
      </c>
      <c r="G817">
        <v>3</v>
      </c>
      <c r="H817" s="6">
        <f>FLOOR(tblPivotData[[#This Row],[Time]],Summary!$B$6/1440)</f>
        <v>0.73958333333333326</v>
      </c>
      <c r="I817" s="49">
        <f>INDEX(PeakCalc!$L$10:$L$303,MATCH(tblPivotData[[#This Row],[Time]],PeakCalc!$G$10:$G$303,0))</f>
        <v>0</v>
      </c>
    </row>
    <row r="818" spans="1:9" x14ac:dyDescent="0.25">
      <c r="A818" t="s">
        <v>96</v>
      </c>
      <c r="B818" t="s">
        <v>108</v>
      </c>
      <c r="C818" t="s">
        <v>94</v>
      </c>
      <c r="D818" t="s">
        <v>89</v>
      </c>
      <c r="E818" t="s">
        <v>43</v>
      </c>
      <c r="F818" s="6">
        <v>0.29166666666666669</v>
      </c>
      <c r="G818">
        <v>0</v>
      </c>
      <c r="H818" s="6">
        <f>FLOOR(tblPivotData[[#This Row],[Time]],Summary!$B$6/1440)</f>
        <v>0.29166666666666663</v>
      </c>
      <c r="I818" s="49">
        <f>INDEX(PeakCalc!$L$10:$L$303,MATCH(tblPivotData[[#This Row],[Time]],PeakCalc!$G$10:$G$303,0))</f>
        <v>0</v>
      </c>
    </row>
    <row r="819" spans="1:9" x14ac:dyDescent="0.25">
      <c r="A819" t="s">
        <v>96</v>
      </c>
      <c r="B819" t="s">
        <v>108</v>
      </c>
      <c r="C819" t="s">
        <v>94</v>
      </c>
      <c r="D819" t="s">
        <v>89</v>
      </c>
      <c r="E819" t="s">
        <v>43</v>
      </c>
      <c r="F819" s="6">
        <v>0.30208333333333331</v>
      </c>
      <c r="G819">
        <v>0</v>
      </c>
      <c r="H819" s="6">
        <f>FLOOR(tblPivotData[[#This Row],[Time]],Summary!$B$6/1440)</f>
        <v>0.30208333333333331</v>
      </c>
      <c r="I819" s="49">
        <f>INDEX(PeakCalc!$L$10:$L$303,MATCH(tblPivotData[[#This Row],[Time]],PeakCalc!$G$10:$G$303,0))</f>
        <v>0</v>
      </c>
    </row>
    <row r="820" spans="1:9" x14ac:dyDescent="0.25">
      <c r="A820" t="s">
        <v>96</v>
      </c>
      <c r="B820" t="s">
        <v>108</v>
      </c>
      <c r="C820" t="s">
        <v>94</v>
      </c>
      <c r="D820" t="s">
        <v>89</v>
      </c>
      <c r="E820" t="s">
        <v>43</v>
      </c>
      <c r="F820" s="6">
        <v>0.3125</v>
      </c>
      <c r="G820">
        <v>0</v>
      </c>
      <c r="H820" s="6">
        <f>FLOOR(tblPivotData[[#This Row],[Time]],Summary!$B$6/1440)</f>
        <v>0.3125</v>
      </c>
      <c r="I820" s="49">
        <f>INDEX(PeakCalc!$L$10:$L$303,MATCH(tblPivotData[[#This Row],[Time]],PeakCalc!$G$10:$G$303,0))</f>
        <v>0</v>
      </c>
    </row>
    <row r="821" spans="1:9" x14ac:dyDescent="0.25">
      <c r="A821" t="s">
        <v>96</v>
      </c>
      <c r="B821" t="s">
        <v>108</v>
      </c>
      <c r="C821" t="s">
        <v>94</v>
      </c>
      <c r="D821" t="s">
        <v>89</v>
      </c>
      <c r="E821" t="s">
        <v>43</v>
      </c>
      <c r="F821" s="6">
        <v>0.32291666666666669</v>
      </c>
      <c r="G821">
        <v>0</v>
      </c>
      <c r="H821" s="6">
        <f>FLOOR(tblPivotData[[#This Row],[Time]],Summary!$B$6/1440)</f>
        <v>0.32291666666666663</v>
      </c>
      <c r="I821" s="49">
        <f>INDEX(PeakCalc!$L$10:$L$303,MATCH(tblPivotData[[#This Row],[Time]],PeakCalc!$G$10:$G$303,0))</f>
        <v>0</v>
      </c>
    </row>
    <row r="822" spans="1:9" x14ac:dyDescent="0.25">
      <c r="A822" t="s">
        <v>96</v>
      </c>
      <c r="B822" t="s">
        <v>108</v>
      </c>
      <c r="C822" t="s">
        <v>94</v>
      </c>
      <c r="D822" t="s">
        <v>89</v>
      </c>
      <c r="E822" t="s">
        <v>43</v>
      </c>
      <c r="F822" s="6">
        <v>0.33333333333333331</v>
      </c>
      <c r="G822">
        <v>0</v>
      </c>
      <c r="H822" s="6">
        <f>FLOOR(tblPivotData[[#This Row],[Time]],Summary!$B$6/1440)</f>
        <v>0.33333333333333331</v>
      </c>
      <c r="I822" s="49">
        <f>INDEX(PeakCalc!$L$10:$L$303,MATCH(tblPivotData[[#This Row],[Time]],PeakCalc!$G$10:$G$303,0))</f>
        <v>1</v>
      </c>
    </row>
    <row r="823" spans="1:9" x14ac:dyDescent="0.25">
      <c r="A823" t="s">
        <v>96</v>
      </c>
      <c r="B823" t="s">
        <v>108</v>
      </c>
      <c r="C823" t="s">
        <v>94</v>
      </c>
      <c r="D823" t="s">
        <v>89</v>
      </c>
      <c r="E823" t="s">
        <v>43</v>
      </c>
      <c r="F823" s="6">
        <v>0.34375</v>
      </c>
      <c r="G823">
        <v>0</v>
      </c>
      <c r="H823" s="6">
        <f>FLOOR(tblPivotData[[#This Row],[Time]],Summary!$B$6/1440)</f>
        <v>0.34375</v>
      </c>
      <c r="I823" s="49">
        <f>INDEX(PeakCalc!$L$10:$L$303,MATCH(tblPivotData[[#This Row],[Time]],PeakCalc!$G$10:$G$303,0))</f>
        <v>1</v>
      </c>
    </row>
    <row r="824" spans="1:9" x14ac:dyDescent="0.25">
      <c r="A824" t="s">
        <v>96</v>
      </c>
      <c r="B824" t="s">
        <v>108</v>
      </c>
      <c r="C824" t="s">
        <v>94</v>
      </c>
      <c r="D824" t="s">
        <v>89</v>
      </c>
      <c r="E824" t="s">
        <v>43</v>
      </c>
      <c r="F824" s="6">
        <v>0.35416666666666669</v>
      </c>
      <c r="G824">
        <v>0</v>
      </c>
      <c r="H824" s="6">
        <f>FLOOR(tblPivotData[[#This Row],[Time]],Summary!$B$6/1440)</f>
        <v>0.35416666666666663</v>
      </c>
      <c r="I824" s="49">
        <f>INDEX(PeakCalc!$L$10:$L$303,MATCH(tblPivotData[[#This Row],[Time]],PeakCalc!$G$10:$G$303,0))</f>
        <v>1</v>
      </c>
    </row>
    <row r="825" spans="1:9" x14ac:dyDescent="0.25">
      <c r="A825" t="s">
        <v>96</v>
      </c>
      <c r="B825" t="s">
        <v>108</v>
      </c>
      <c r="C825" t="s">
        <v>94</v>
      </c>
      <c r="D825" t="s">
        <v>89</v>
      </c>
      <c r="E825" t="s">
        <v>43</v>
      </c>
      <c r="F825" s="6">
        <v>0.36458333333333331</v>
      </c>
      <c r="G825">
        <v>0</v>
      </c>
      <c r="H825" s="6">
        <f>FLOOR(tblPivotData[[#This Row],[Time]],Summary!$B$6/1440)</f>
        <v>0.36458333333333331</v>
      </c>
      <c r="I825" s="49">
        <f>INDEX(PeakCalc!$L$10:$L$303,MATCH(tblPivotData[[#This Row],[Time]],PeakCalc!$G$10:$G$303,0))</f>
        <v>1</v>
      </c>
    </row>
    <row r="826" spans="1:9" x14ac:dyDescent="0.25">
      <c r="A826" t="s">
        <v>96</v>
      </c>
      <c r="B826" t="s">
        <v>108</v>
      </c>
      <c r="C826" t="s">
        <v>94</v>
      </c>
      <c r="D826" t="s">
        <v>89</v>
      </c>
      <c r="E826" t="s">
        <v>91</v>
      </c>
      <c r="F826" s="6">
        <v>0.5625</v>
      </c>
      <c r="G826">
        <v>0</v>
      </c>
      <c r="H826" s="6">
        <f>FLOOR(tblPivotData[[#This Row],[Time]],Summary!$B$6/1440)</f>
        <v>0.5625</v>
      </c>
      <c r="I826" s="49">
        <f>INDEX(PeakCalc!$L$10:$L$303,MATCH(tblPivotData[[#This Row],[Time]],PeakCalc!$G$10:$G$303,0))</f>
        <v>0</v>
      </c>
    </row>
    <row r="827" spans="1:9" x14ac:dyDescent="0.25">
      <c r="A827" t="s">
        <v>96</v>
      </c>
      <c r="B827" t="s">
        <v>108</v>
      </c>
      <c r="C827" t="s">
        <v>94</v>
      </c>
      <c r="D827" t="s">
        <v>89</v>
      </c>
      <c r="E827" t="s">
        <v>91</v>
      </c>
      <c r="F827" s="6">
        <v>0.57291666666666663</v>
      </c>
      <c r="G827">
        <v>0</v>
      </c>
      <c r="H827" s="6">
        <f>FLOOR(tblPivotData[[#This Row],[Time]],Summary!$B$6/1440)</f>
        <v>0.57291666666666663</v>
      </c>
      <c r="I827" s="49">
        <f>INDEX(PeakCalc!$L$10:$L$303,MATCH(tblPivotData[[#This Row],[Time]],PeakCalc!$G$10:$G$303,0))</f>
        <v>0</v>
      </c>
    </row>
    <row r="828" spans="1:9" x14ac:dyDescent="0.25">
      <c r="A828" t="s">
        <v>96</v>
      </c>
      <c r="B828" t="s">
        <v>108</v>
      </c>
      <c r="C828" t="s">
        <v>94</v>
      </c>
      <c r="D828" t="s">
        <v>89</v>
      </c>
      <c r="E828" t="s">
        <v>91</v>
      </c>
      <c r="F828" s="6">
        <v>0.58333333333333337</v>
      </c>
      <c r="G828">
        <v>0</v>
      </c>
      <c r="H828" s="6">
        <f>FLOOR(tblPivotData[[#This Row],[Time]],Summary!$B$6/1440)</f>
        <v>0.58333333333333326</v>
      </c>
      <c r="I828" s="49">
        <f>INDEX(PeakCalc!$L$10:$L$303,MATCH(tblPivotData[[#This Row],[Time]],PeakCalc!$G$10:$G$303,0))</f>
        <v>0</v>
      </c>
    </row>
    <row r="829" spans="1:9" x14ac:dyDescent="0.25">
      <c r="A829" t="s">
        <v>96</v>
      </c>
      <c r="B829" t="s">
        <v>108</v>
      </c>
      <c r="C829" t="s">
        <v>94</v>
      </c>
      <c r="D829" t="s">
        <v>89</v>
      </c>
      <c r="E829" t="s">
        <v>91</v>
      </c>
      <c r="F829" s="6">
        <v>0.59375</v>
      </c>
      <c r="G829">
        <v>0</v>
      </c>
      <c r="H829" s="6">
        <f>FLOOR(tblPivotData[[#This Row],[Time]],Summary!$B$6/1440)</f>
        <v>0.59375</v>
      </c>
      <c r="I829" s="49">
        <f>INDEX(PeakCalc!$L$10:$L$303,MATCH(tblPivotData[[#This Row],[Time]],PeakCalc!$G$10:$G$303,0))</f>
        <v>0</v>
      </c>
    </row>
    <row r="830" spans="1:9" x14ac:dyDescent="0.25">
      <c r="A830" t="s">
        <v>96</v>
      </c>
      <c r="B830" t="s">
        <v>108</v>
      </c>
      <c r="C830" t="s">
        <v>94</v>
      </c>
      <c r="D830" t="s">
        <v>89</v>
      </c>
      <c r="E830" t="s">
        <v>91</v>
      </c>
      <c r="F830" s="6">
        <v>0.60416666666666663</v>
      </c>
      <c r="G830">
        <v>0</v>
      </c>
      <c r="H830" s="6">
        <f>FLOOR(tblPivotData[[#This Row],[Time]],Summary!$B$6/1440)</f>
        <v>0.60416666666666663</v>
      </c>
      <c r="I830" s="49">
        <f>INDEX(PeakCalc!$L$10:$L$303,MATCH(tblPivotData[[#This Row],[Time]],PeakCalc!$G$10:$G$303,0))</f>
        <v>1</v>
      </c>
    </row>
    <row r="831" spans="1:9" x14ac:dyDescent="0.25">
      <c r="A831" t="s">
        <v>96</v>
      </c>
      <c r="B831" t="s">
        <v>108</v>
      </c>
      <c r="C831" t="s">
        <v>94</v>
      </c>
      <c r="D831" t="s">
        <v>89</v>
      </c>
      <c r="E831" t="s">
        <v>91</v>
      </c>
      <c r="F831" s="6">
        <v>0.61458333333333337</v>
      </c>
      <c r="G831">
        <v>0</v>
      </c>
      <c r="H831" s="6">
        <f>FLOOR(tblPivotData[[#This Row],[Time]],Summary!$B$6/1440)</f>
        <v>0.61458333333333326</v>
      </c>
      <c r="I831" s="49">
        <f>INDEX(PeakCalc!$L$10:$L$303,MATCH(tblPivotData[[#This Row],[Time]],PeakCalc!$G$10:$G$303,0))</f>
        <v>1</v>
      </c>
    </row>
    <row r="832" spans="1:9" x14ac:dyDescent="0.25">
      <c r="A832" t="s">
        <v>96</v>
      </c>
      <c r="B832" t="s">
        <v>108</v>
      </c>
      <c r="C832" t="s">
        <v>94</v>
      </c>
      <c r="D832" t="s">
        <v>89</v>
      </c>
      <c r="E832" t="s">
        <v>91</v>
      </c>
      <c r="F832" s="6">
        <v>0.625</v>
      </c>
      <c r="G832">
        <v>0</v>
      </c>
      <c r="H832" s="6">
        <f>FLOOR(tblPivotData[[#This Row],[Time]],Summary!$B$6/1440)</f>
        <v>0.625</v>
      </c>
      <c r="I832" s="49">
        <f>INDEX(PeakCalc!$L$10:$L$303,MATCH(tblPivotData[[#This Row],[Time]],PeakCalc!$G$10:$G$303,0))</f>
        <v>1</v>
      </c>
    </row>
    <row r="833" spans="1:9" x14ac:dyDescent="0.25">
      <c r="A833" t="s">
        <v>96</v>
      </c>
      <c r="B833" t="s">
        <v>108</v>
      </c>
      <c r="C833" t="s">
        <v>94</v>
      </c>
      <c r="D833" t="s">
        <v>89</v>
      </c>
      <c r="E833" t="s">
        <v>91</v>
      </c>
      <c r="F833" s="6">
        <v>0.63541666666666663</v>
      </c>
      <c r="G833">
        <v>1</v>
      </c>
      <c r="H833" s="6">
        <f>FLOOR(tblPivotData[[#This Row],[Time]],Summary!$B$6/1440)</f>
        <v>0.63541666666666663</v>
      </c>
      <c r="I833" s="49">
        <f>INDEX(PeakCalc!$L$10:$L$303,MATCH(tblPivotData[[#This Row],[Time]],PeakCalc!$G$10:$G$303,0))</f>
        <v>1</v>
      </c>
    </row>
    <row r="834" spans="1:9" x14ac:dyDescent="0.25">
      <c r="A834" t="s">
        <v>96</v>
      </c>
      <c r="B834" t="s">
        <v>108</v>
      </c>
      <c r="C834" t="s">
        <v>94</v>
      </c>
      <c r="D834" t="s">
        <v>89</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89</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89</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89</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89</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89</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94</v>
      </c>
      <c r="D840" t="s">
        <v>89</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89</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94</v>
      </c>
      <c r="D842" t="s">
        <v>90</v>
      </c>
      <c r="E842" t="s">
        <v>43</v>
      </c>
      <c r="F842" s="6">
        <v>0.29166666666666669</v>
      </c>
      <c r="G842">
        <v>0</v>
      </c>
      <c r="H842" s="6">
        <f>FLOOR(tblPivotData[[#This Row],[Time]],Summary!$B$6/1440)</f>
        <v>0.29166666666666663</v>
      </c>
      <c r="I842" s="49">
        <f>INDEX(PeakCalc!$L$10:$L$303,MATCH(tblPivotData[[#This Row],[Time]],PeakCalc!$G$10:$G$303,0))</f>
        <v>0</v>
      </c>
    </row>
    <row r="843" spans="1:9" x14ac:dyDescent="0.25">
      <c r="A843" t="s">
        <v>96</v>
      </c>
      <c r="B843" t="s">
        <v>108</v>
      </c>
      <c r="C843" t="s">
        <v>94</v>
      </c>
      <c r="D843" t="s">
        <v>90</v>
      </c>
      <c r="E843" t="s">
        <v>43</v>
      </c>
      <c r="F843" s="6">
        <v>0.30208333333333331</v>
      </c>
      <c r="G843">
        <v>0</v>
      </c>
      <c r="H843" s="6">
        <f>FLOOR(tblPivotData[[#This Row],[Time]],Summary!$B$6/1440)</f>
        <v>0.30208333333333331</v>
      </c>
      <c r="I843" s="49">
        <f>INDEX(PeakCalc!$L$10:$L$303,MATCH(tblPivotData[[#This Row],[Time]],PeakCalc!$G$10:$G$303,0))</f>
        <v>0</v>
      </c>
    </row>
    <row r="844" spans="1:9" x14ac:dyDescent="0.25">
      <c r="A844" t="s">
        <v>96</v>
      </c>
      <c r="B844" t="s">
        <v>108</v>
      </c>
      <c r="C844" t="s">
        <v>94</v>
      </c>
      <c r="D844" t="s">
        <v>90</v>
      </c>
      <c r="E844" t="s">
        <v>43</v>
      </c>
      <c r="F844" s="6">
        <v>0.3125</v>
      </c>
      <c r="G844">
        <v>1</v>
      </c>
      <c r="H844" s="6">
        <f>FLOOR(tblPivotData[[#This Row],[Time]],Summary!$B$6/1440)</f>
        <v>0.3125</v>
      </c>
      <c r="I844" s="49">
        <f>INDEX(PeakCalc!$L$10:$L$303,MATCH(tblPivotData[[#This Row],[Time]],PeakCalc!$G$10:$G$303,0))</f>
        <v>0</v>
      </c>
    </row>
    <row r="845" spans="1:9" x14ac:dyDescent="0.25">
      <c r="A845" t="s">
        <v>96</v>
      </c>
      <c r="B845" t="s">
        <v>108</v>
      </c>
      <c r="C845" t="s">
        <v>94</v>
      </c>
      <c r="D845" t="s">
        <v>90</v>
      </c>
      <c r="E845" t="s">
        <v>43</v>
      </c>
      <c r="F845" s="6">
        <v>0.32291666666666669</v>
      </c>
      <c r="G845">
        <v>0</v>
      </c>
      <c r="H845" s="6">
        <f>FLOOR(tblPivotData[[#This Row],[Time]],Summary!$B$6/1440)</f>
        <v>0.32291666666666663</v>
      </c>
      <c r="I845" s="49">
        <f>INDEX(PeakCalc!$L$10:$L$303,MATCH(tblPivotData[[#This Row],[Time]],PeakCalc!$G$10:$G$303,0))</f>
        <v>0</v>
      </c>
    </row>
    <row r="846" spans="1:9" x14ac:dyDescent="0.25">
      <c r="A846" t="s">
        <v>96</v>
      </c>
      <c r="B846" t="s">
        <v>108</v>
      </c>
      <c r="C846" t="s">
        <v>94</v>
      </c>
      <c r="D846" t="s">
        <v>90</v>
      </c>
      <c r="E846" t="s">
        <v>43</v>
      </c>
      <c r="F846" s="6">
        <v>0.33333333333333331</v>
      </c>
      <c r="G846">
        <v>0</v>
      </c>
      <c r="H846" s="6">
        <f>FLOOR(tblPivotData[[#This Row],[Time]],Summary!$B$6/1440)</f>
        <v>0.33333333333333331</v>
      </c>
      <c r="I846" s="49">
        <f>INDEX(PeakCalc!$L$10:$L$303,MATCH(tblPivotData[[#This Row],[Time]],PeakCalc!$G$10:$G$303,0))</f>
        <v>1</v>
      </c>
    </row>
    <row r="847" spans="1:9" x14ac:dyDescent="0.25">
      <c r="A847" t="s">
        <v>96</v>
      </c>
      <c r="B847" t="s">
        <v>108</v>
      </c>
      <c r="C847" t="s">
        <v>94</v>
      </c>
      <c r="D847" t="s">
        <v>90</v>
      </c>
      <c r="E847" t="s">
        <v>43</v>
      </c>
      <c r="F847" s="6">
        <v>0.34375</v>
      </c>
      <c r="G847">
        <v>0</v>
      </c>
      <c r="H847" s="6">
        <f>FLOOR(tblPivotData[[#This Row],[Time]],Summary!$B$6/1440)</f>
        <v>0.34375</v>
      </c>
      <c r="I847" s="49">
        <f>INDEX(PeakCalc!$L$10:$L$303,MATCH(tblPivotData[[#This Row],[Time]],PeakCalc!$G$10:$G$303,0))</f>
        <v>1</v>
      </c>
    </row>
    <row r="848" spans="1:9" x14ac:dyDescent="0.25">
      <c r="A848" t="s">
        <v>96</v>
      </c>
      <c r="B848" t="s">
        <v>108</v>
      </c>
      <c r="C848" t="s">
        <v>94</v>
      </c>
      <c r="D848" t="s">
        <v>90</v>
      </c>
      <c r="E848" t="s">
        <v>43</v>
      </c>
      <c r="F848" s="6">
        <v>0.35416666666666669</v>
      </c>
      <c r="G848">
        <v>0</v>
      </c>
      <c r="H848" s="6">
        <f>FLOOR(tblPivotData[[#This Row],[Time]],Summary!$B$6/1440)</f>
        <v>0.35416666666666663</v>
      </c>
      <c r="I848" s="49">
        <f>INDEX(PeakCalc!$L$10:$L$303,MATCH(tblPivotData[[#This Row],[Time]],PeakCalc!$G$10:$G$303,0))</f>
        <v>1</v>
      </c>
    </row>
    <row r="849" spans="1:9" x14ac:dyDescent="0.25">
      <c r="A849" t="s">
        <v>96</v>
      </c>
      <c r="B849" t="s">
        <v>108</v>
      </c>
      <c r="C849" t="s">
        <v>94</v>
      </c>
      <c r="D849" t="s">
        <v>90</v>
      </c>
      <c r="E849" t="s">
        <v>43</v>
      </c>
      <c r="F849" s="6">
        <v>0.36458333333333331</v>
      </c>
      <c r="G849">
        <v>2</v>
      </c>
      <c r="H849" s="6">
        <f>FLOOR(tblPivotData[[#This Row],[Time]],Summary!$B$6/1440)</f>
        <v>0.36458333333333331</v>
      </c>
      <c r="I849" s="49">
        <f>INDEX(PeakCalc!$L$10:$L$303,MATCH(tblPivotData[[#This Row],[Time]],PeakCalc!$G$10:$G$303,0))</f>
        <v>1</v>
      </c>
    </row>
    <row r="850" spans="1:9" x14ac:dyDescent="0.25">
      <c r="A850" t="s">
        <v>96</v>
      </c>
      <c r="B850" t="s">
        <v>108</v>
      </c>
      <c r="C850" t="s">
        <v>94</v>
      </c>
      <c r="D850" t="s">
        <v>90</v>
      </c>
      <c r="E850" t="s">
        <v>91</v>
      </c>
      <c r="F850" s="6">
        <v>0.5625</v>
      </c>
      <c r="G850">
        <v>0</v>
      </c>
      <c r="H850" s="6">
        <f>FLOOR(tblPivotData[[#This Row],[Time]],Summary!$B$6/1440)</f>
        <v>0.5625</v>
      </c>
      <c r="I850" s="49">
        <f>INDEX(PeakCalc!$L$10:$L$303,MATCH(tblPivotData[[#This Row],[Time]],PeakCalc!$G$10:$G$303,0))</f>
        <v>0</v>
      </c>
    </row>
    <row r="851" spans="1:9" x14ac:dyDescent="0.25">
      <c r="A851" t="s">
        <v>96</v>
      </c>
      <c r="B851" t="s">
        <v>108</v>
      </c>
      <c r="C851" t="s">
        <v>94</v>
      </c>
      <c r="D851" t="s">
        <v>90</v>
      </c>
      <c r="E851" t="s">
        <v>91</v>
      </c>
      <c r="F851" s="6">
        <v>0.57291666666666663</v>
      </c>
      <c r="G851">
        <v>0</v>
      </c>
      <c r="H851" s="6">
        <f>FLOOR(tblPivotData[[#This Row],[Time]],Summary!$B$6/1440)</f>
        <v>0.57291666666666663</v>
      </c>
      <c r="I851" s="49">
        <f>INDEX(PeakCalc!$L$10:$L$303,MATCH(tblPivotData[[#This Row],[Time]],PeakCalc!$G$10:$G$303,0))</f>
        <v>0</v>
      </c>
    </row>
    <row r="852" spans="1:9" x14ac:dyDescent="0.25">
      <c r="A852" t="s">
        <v>96</v>
      </c>
      <c r="B852" t="s">
        <v>108</v>
      </c>
      <c r="C852" t="s">
        <v>94</v>
      </c>
      <c r="D852" t="s">
        <v>90</v>
      </c>
      <c r="E852" t="s">
        <v>91</v>
      </c>
      <c r="F852" s="6">
        <v>0.58333333333333337</v>
      </c>
      <c r="G852">
        <v>0</v>
      </c>
      <c r="H852" s="6">
        <f>FLOOR(tblPivotData[[#This Row],[Time]],Summary!$B$6/1440)</f>
        <v>0.58333333333333326</v>
      </c>
      <c r="I852" s="49">
        <f>INDEX(PeakCalc!$L$10:$L$303,MATCH(tblPivotData[[#This Row],[Time]],PeakCalc!$G$10:$G$303,0))</f>
        <v>0</v>
      </c>
    </row>
    <row r="853" spans="1:9" x14ac:dyDescent="0.25">
      <c r="A853" t="s">
        <v>96</v>
      </c>
      <c r="B853" t="s">
        <v>108</v>
      </c>
      <c r="C853" t="s">
        <v>94</v>
      </c>
      <c r="D853" t="s">
        <v>90</v>
      </c>
      <c r="E853" t="s">
        <v>91</v>
      </c>
      <c r="F853" s="6">
        <v>0.59375</v>
      </c>
      <c r="G853">
        <v>0</v>
      </c>
      <c r="H853" s="6">
        <f>FLOOR(tblPivotData[[#This Row],[Time]],Summary!$B$6/1440)</f>
        <v>0.59375</v>
      </c>
      <c r="I853" s="49">
        <f>INDEX(PeakCalc!$L$10:$L$303,MATCH(tblPivotData[[#This Row],[Time]],PeakCalc!$G$10:$G$303,0))</f>
        <v>0</v>
      </c>
    </row>
    <row r="854" spans="1:9" x14ac:dyDescent="0.25">
      <c r="A854" t="s">
        <v>96</v>
      </c>
      <c r="B854" t="s">
        <v>108</v>
      </c>
      <c r="C854" t="s">
        <v>94</v>
      </c>
      <c r="D854" t="s">
        <v>90</v>
      </c>
      <c r="E854" t="s">
        <v>91</v>
      </c>
      <c r="F854" s="6">
        <v>0.60416666666666663</v>
      </c>
      <c r="G854">
        <v>0</v>
      </c>
      <c r="H854" s="6">
        <f>FLOOR(tblPivotData[[#This Row],[Time]],Summary!$B$6/1440)</f>
        <v>0.60416666666666663</v>
      </c>
      <c r="I854" s="49">
        <f>INDEX(PeakCalc!$L$10:$L$303,MATCH(tblPivotData[[#This Row],[Time]],PeakCalc!$G$10:$G$303,0))</f>
        <v>1</v>
      </c>
    </row>
    <row r="855" spans="1:9" x14ac:dyDescent="0.25">
      <c r="A855" t="s">
        <v>96</v>
      </c>
      <c r="B855" t="s">
        <v>108</v>
      </c>
      <c r="C855" t="s">
        <v>94</v>
      </c>
      <c r="D855" t="s">
        <v>90</v>
      </c>
      <c r="E855" t="s">
        <v>91</v>
      </c>
      <c r="F855" s="6">
        <v>0.61458333333333337</v>
      </c>
      <c r="G855">
        <v>0</v>
      </c>
      <c r="H855" s="6">
        <f>FLOOR(tblPivotData[[#This Row],[Time]],Summary!$B$6/1440)</f>
        <v>0.61458333333333326</v>
      </c>
      <c r="I855" s="49">
        <f>INDEX(PeakCalc!$L$10:$L$303,MATCH(tblPivotData[[#This Row],[Time]],PeakCalc!$G$10:$G$303,0))</f>
        <v>1</v>
      </c>
    </row>
    <row r="856" spans="1:9" x14ac:dyDescent="0.25">
      <c r="A856" t="s">
        <v>96</v>
      </c>
      <c r="B856" t="s">
        <v>108</v>
      </c>
      <c r="C856" t="s">
        <v>94</v>
      </c>
      <c r="D856" t="s">
        <v>90</v>
      </c>
      <c r="E856" t="s">
        <v>91</v>
      </c>
      <c r="F856" s="6">
        <v>0.625</v>
      </c>
      <c r="G856">
        <v>0</v>
      </c>
      <c r="H856" s="6">
        <f>FLOOR(tblPivotData[[#This Row],[Time]],Summary!$B$6/1440)</f>
        <v>0.625</v>
      </c>
      <c r="I856" s="49">
        <f>INDEX(PeakCalc!$L$10:$L$303,MATCH(tblPivotData[[#This Row],[Time]],PeakCalc!$G$10:$G$303,0))</f>
        <v>1</v>
      </c>
    </row>
    <row r="857" spans="1:9" x14ac:dyDescent="0.25">
      <c r="A857" t="s">
        <v>96</v>
      </c>
      <c r="B857" t="s">
        <v>108</v>
      </c>
      <c r="C857" t="s">
        <v>94</v>
      </c>
      <c r="D857" t="s">
        <v>90</v>
      </c>
      <c r="E857" t="s">
        <v>91</v>
      </c>
      <c r="F857" s="6">
        <v>0.63541666666666663</v>
      </c>
      <c r="G857">
        <v>0</v>
      </c>
      <c r="H857" s="6">
        <f>FLOOR(tblPivotData[[#This Row],[Time]],Summary!$B$6/1440)</f>
        <v>0.63541666666666663</v>
      </c>
      <c r="I857" s="49">
        <f>INDEX(PeakCalc!$L$10:$L$303,MATCH(tblPivotData[[#This Row],[Time]],PeakCalc!$G$10:$G$303,0))</f>
        <v>1</v>
      </c>
    </row>
    <row r="858" spans="1:9" x14ac:dyDescent="0.25">
      <c r="A858" t="s">
        <v>96</v>
      </c>
      <c r="B858" t="s">
        <v>108</v>
      </c>
      <c r="C858" t="s">
        <v>94</v>
      </c>
      <c r="D858" t="s">
        <v>90</v>
      </c>
      <c r="E858" t="s">
        <v>44</v>
      </c>
      <c r="F858" s="6">
        <v>0.66666666666666663</v>
      </c>
      <c r="G858">
        <v>0</v>
      </c>
      <c r="H858" s="6">
        <f>FLOOR(tblPivotData[[#This Row],[Time]],Summary!$B$6/1440)</f>
        <v>0.66666666666666663</v>
      </c>
      <c r="I858" s="49">
        <f>INDEX(PeakCalc!$L$10:$L$303,MATCH(tblPivotData[[#This Row],[Time]],PeakCalc!$G$10:$G$303,0))</f>
        <v>0</v>
      </c>
    </row>
    <row r="859" spans="1:9" x14ac:dyDescent="0.25">
      <c r="A859" t="s">
        <v>96</v>
      </c>
      <c r="B859" t="s">
        <v>108</v>
      </c>
      <c r="C859" t="s">
        <v>94</v>
      </c>
      <c r="D859" t="s">
        <v>90</v>
      </c>
      <c r="E859" t="s">
        <v>44</v>
      </c>
      <c r="F859" s="6">
        <v>0.67708333333333337</v>
      </c>
      <c r="G859">
        <v>0</v>
      </c>
      <c r="H859" s="6">
        <f>FLOOR(tblPivotData[[#This Row],[Time]],Summary!$B$6/1440)</f>
        <v>0.67708333333333326</v>
      </c>
      <c r="I859" s="49">
        <f>INDEX(PeakCalc!$L$10:$L$303,MATCH(tblPivotData[[#This Row],[Time]],PeakCalc!$G$10:$G$303,0))</f>
        <v>0</v>
      </c>
    </row>
    <row r="860" spans="1:9" x14ac:dyDescent="0.25">
      <c r="A860" t="s">
        <v>96</v>
      </c>
      <c r="B860" t="s">
        <v>108</v>
      </c>
      <c r="C860" t="s">
        <v>94</v>
      </c>
      <c r="D860" t="s">
        <v>90</v>
      </c>
      <c r="E860" t="s">
        <v>44</v>
      </c>
      <c r="F860" s="6">
        <v>0.6875</v>
      </c>
      <c r="G860">
        <v>0</v>
      </c>
      <c r="H860" s="6">
        <f>FLOOR(tblPivotData[[#This Row],[Time]],Summary!$B$6/1440)</f>
        <v>0.6875</v>
      </c>
      <c r="I860" s="49">
        <f>INDEX(PeakCalc!$L$10:$L$303,MATCH(tblPivotData[[#This Row],[Time]],PeakCalc!$G$10:$G$303,0))</f>
        <v>1</v>
      </c>
    </row>
    <row r="861" spans="1:9" x14ac:dyDescent="0.25">
      <c r="A861" t="s">
        <v>96</v>
      </c>
      <c r="B861" t="s">
        <v>108</v>
      </c>
      <c r="C861" t="s">
        <v>94</v>
      </c>
      <c r="D861" t="s">
        <v>90</v>
      </c>
      <c r="E861" t="s">
        <v>44</v>
      </c>
      <c r="F861" s="6">
        <v>0.69791666666666663</v>
      </c>
      <c r="G861">
        <v>0</v>
      </c>
      <c r="H861" s="6">
        <f>FLOOR(tblPivotData[[#This Row],[Time]],Summary!$B$6/1440)</f>
        <v>0.69791666666666663</v>
      </c>
      <c r="I861" s="49">
        <f>INDEX(PeakCalc!$L$10:$L$303,MATCH(tblPivotData[[#This Row],[Time]],PeakCalc!$G$10:$G$303,0))</f>
        <v>1</v>
      </c>
    </row>
    <row r="862" spans="1:9" x14ac:dyDescent="0.25">
      <c r="A862" t="s">
        <v>96</v>
      </c>
      <c r="B862" t="s">
        <v>108</v>
      </c>
      <c r="C862" t="s">
        <v>94</v>
      </c>
      <c r="D862" t="s">
        <v>90</v>
      </c>
      <c r="E862" t="s">
        <v>44</v>
      </c>
      <c r="F862" s="6">
        <v>0.70833333333333337</v>
      </c>
      <c r="G862">
        <v>0</v>
      </c>
      <c r="H862" s="6">
        <f>FLOOR(tblPivotData[[#This Row],[Time]],Summary!$B$6/1440)</f>
        <v>0.70833333333333326</v>
      </c>
      <c r="I862" s="49">
        <f>INDEX(PeakCalc!$L$10:$L$303,MATCH(tblPivotData[[#This Row],[Time]],PeakCalc!$G$10:$G$303,0))</f>
        <v>1</v>
      </c>
    </row>
    <row r="863" spans="1:9" x14ac:dyDescent="0.25">
      <c r="A863" t="s">
        <v>96</v>
      </c>
      <c r="B863" t="s">
        <v>108</v>
      </c>
      <c r="C863" t="s">
        <v>94</v>
      </c>
      <c r="D863" t="s">
        <v>90</v>
      </c>
      <c r="E863" t="s">
        <v>44</v>
      </c>
      <c r="F863" s="6">
        <v>0.71875</v>
      </c>
      <c r="G863">
        <v>0</v>
      </c>
      <c r="H863" s="6">
        <f>FLOOR(tblPivotData[[#This Row],[Time]],Summary!$B$6/1440)</f>
        <v>0.71875</v>
      </c>
      <c r="I863" s="49">
        <f>INDEX(PeakCalc!$L$10:$L$303,MATCH(tblPivotData[[#This Row],[Time]],PeakCalc!$G$10:$G$303,0))</f>
        <v>1</v>
      </c>
    </row>
    <row r="864" spans="1:9" x14ac:dyDescent="0.25">
      <c r="A864" t="s">
        <v>96</v>
      </c>
      <c r="B864" t="s">
        <v>108</v>
      </c>
      <c r="C864" t="s">
        <v>94</v>
      </c>
      <c r="D864" t="s">
        <v>90</v>
      </c>
      <c r="E864" t="s">
        <v>44</v>
      </c>
      <c r="F864" s="6">
        <v>0.72916666666666663</v>
      </c>
      <c r="G864">
        <v>0</v>
      </c>
      <c r="H864" s="6">
        <f>FLOOR(tblPivotData[[#This Row],[Time]],Summary!$B$6/1440)</f>
        <v>0.72916666666666663</v>
      </c>
      <c r="I864" s="49">
        <f>INDEX(PeakCalc!$L$10:$L$303,MATCH(tblPivotData[[#This Row],[Time]],PeakCalc!$G$10:$G$303,0))</f>
        <v>0</v>
      </c>
    </row>
    <row r="865" spans="1:9" x14ac:dyDescent="0.25">
      <c r="A865" t="s">
        <v>96</v>
      </c>
      <c r="B865" t="s">
        <v>108</v>
      </c>
      <c r="C865" t="s">
        <v>94</v>
      </c>
      <c r="D865" t="s">
        <v>90</v>
      </c>
      <c r="E865" t="s">
        <v>44</v>
      </c>
      <c r="F865" s="6">
        <v>0.73958333333333337</v>
      </c>
      <c r="G865">
        <v>0</v>
      </c>
      <c r="H865" s="6">
        <f>FLOOR(tblPivotData[[#This Row],[Time]],Summary!$B$6/1440)</f>
        <v>0.73958333333333326</v>
      </c>
      <c r="I865" s="49">
        <f>INDEX(PeakCalc!$L$10:$L$303,MATCH(tblPivotData[[#This Row],[Time]],PeakCalc!$G$10:$G$303,0))</f>
        <v>0</v>
      </c>
    </row>
    <row r="866" spans="1:9" x14ac:dyDescent="0.25">
      <c r="A866" t="s">
        <v>96</v>
      </c>
      <c r="B866" t="s">
        <v>109</v>
      </c>
      <c r="C866" t="s">
        <v>95</v>
      </c>
      <c r="D866" t="s">
        <v>79</v>
      </c>
      <c r="E866" t="s">
        <v>43</v>
      </c>
      <c r="F866" s="6">
        <v>0.29166666666666669</v>
      </c>
      <c r="G866">
        <v>0</v>
      </c>
      <c r="H866" s="6">
        <f>FLOOR(tblPivotData[[#This Row],[Time]],Summary!$B$6/1440)</f>
        <v>0.29166666666666663</v>
      </c>
      <c r="I866" s="49">
        <f>INDEX(PeakCalc!$L$10:$L$303,MATCH(tblPivotData[[#This Row],[Time]],PeakCalc!$G$10:$G$303,0))</f>
        <v>0</v>
      </c>
    </row>
    <row r="867" spans="1:9" x14ac:dyDescent="0.25">
      <c r="A867" t="s">
        <v>96</v>
      </c>
      <c r="B867" t="s">
        <v>109</v>
      </c>
      <c r="C867" t="s">
        <v>95</v>
      </c>
      <c r="D867" t="s">
        <v>79</v>
      </c>
      <c r="E867" t="s">
        <v>43</v>
      </c>
      <c r="F867" s="6">
        <v>0.30208333333333331</v>
      </c>
      <c r="G867">
        <v>2</v>
      </c>
      <c r="H867" s="6">
        <f>FLOOR(tblPivotData[[#This Row],[Time]],Summary!$B$6/1440)</f>
        <v>0.30208333333333331</v>
      </c>
      <c r="I867" s="49">
        <f>INDEX(PeakCalc!$L$10:$L$303,MATCH(tblPivotData[[#This Row],[Time]],PeakCalc!$G$10:$G$303,0))</f>
        <v>0</v>
      </c>
    </row>
    <row r="868" spans="1:9" x14ac:dyDescent="0.25">
      <c r="A868" t="s">
        <v>96</v>
      </c>
      <c r="B868" t="s">
        <v>109</v>
      </c>
      <c r="C868" t="s">
        <v>95</v>
      </c>
      <c r="D868" t="s">
        <v>79</v>
      </c>
      <c r="E868" t="s">
        <v>43</v>
      </c>
      <c r="F868" s="6">
        <v>0.3125</v>
      </c>
      <c r="G868">
        <v>4</v>
      </c>
      <c r="H868" s="6">
        <f>FLOOR(tblPivotData[[#This Row],[Time]],Summary!$B$6/1440)</f>
        <v>0.3125</v>
      </c>
      <c r="I868" s="49">
        <f>INDEX(PeakCalc!$L$10:$L$303,MATCH(tblPivotData[[#This Row],[Time]],PeakCalc!$G$10:$G$303,0))</f>
        <v>0</v>
      </c>
    </row>
    <row r="869" spans="1:9" x14ac:dyDescent="0.25">
      <c r="A869" t="s">
        <v>96</v>
      </c>
      <c r="B869" t="s">
        <v>109</v>
      </c>
      <c r="C869" t="s">
        <v>95</v>
      </c>
      <c r="D869" t="s">
        <v>79</v>
      </c>
      <c r="E869" t="s">
        <v>43</v>
      </c>
      <c r="F869" s="6">
        <v>0.32291666666666669</v>
      </c>
      <c r="G869">
        <v>4</v>
      </c>
      <c r="H869" s="6">
        <f>FLOOR(tblPivotData[[#This Row],[Time]],Summary!$B$6/1440)</f>
        <v>0.32291666666666663</v>
      </c>
      <c r="I869" s="49">
        <f>INDEX(PeakCalc!$L$10:$L$303,MATCH(tblPivotData[[#This Row],[Time]],PeakCalc!$G$10:$G$303,0))</f>
        <v>0</v>
      </c>
    </row>
    <row r="870" spans="1:9" x14ac:dyDescent="0.25">
      <c r="A870" t="s">
        <v>96</v>
      </c>
      <c r="B870" t="s">
        <v>109</v>
      </c>
      <c r="C870" t="s">
        <v>95</v>
      </c>
      <c r="D870" t="s">
        <v>79</v>
      </c>
      <c r="E870" t="s">
        <v>43</v>
      </c>
      <c r="F870" s="6">
        <v>0.33333333333333331</v>
      </c>
      <c r="G870">
        <v>2</v>
      </c>
      <c r="H870" s="6">
        <f>FLOOR(tblPivotData[[#This Row],[Time]],Summary!$B$6/1440)</f>
        <v>0.33333333333333331</v>
      </c>
      <c r="I870" s="49">
        <f>INDEX(PeakCalc!$L$10:$L$303,MATCH(tblPivotData[[#This Row],[Time]],PeakCalc!$G$10:$G$303,0))</f>
        <v>1</v>
      </c>
    </row>
    <row r="871" spans="1:9" x14ac:dyDescent="0.25">
      <c r="A871" t="s">
        <v>96</v>
      </c>
      <c r="B871" t="s">
        <v>109</v>
      </c>
      <c r="C871" t="s">
        <v>95</v>
      </c>
      <c r="D871" t="s">
        <v>79</v>
      </c>
      <c r="E871" t="s">
        <v>43</v>
      </c>
      <c r="F871" s="6">
        <v>0.34375</v>
      </c>
      <c r="G871">
        <v>4</v>
      </c>
      <c r="H871" s="6">
        <f>FLOOR(tblPivotData[[#This Row],[Time]],Summary!$B$6/1440)</f>
        <v>0.34375</v>
      </c>
      <c r="I871" s="49">
        <f>INDEX(PeakCalc!$L$10:$L$303,MATCH(tblPivotData[[#This Row],[Time]],PeakCalc!$G$10:$G$303,0))</f>
        <v>1</v>
      </c>
    </row>
    <row r="872" spans="1:9" x14ac:dyDescent="0.25">
      <c r="A872" t="s">
        <v>96</v>
      </c>
      <c r="B872" t="s">
        <v>109</v>
      </c>
      <c r="C872" t="s">
        <v>95</v>
      </c>
      <c r="D872" t="s">
        <v>79</v>
      </c>
      <c r="E872" t="s">
        <v>43</v>
      </c>
      <c r="F872" s="6">
        <v>0.35416666666666669</v>
      </c>
      <c r="G872">
        <v>5</v>
      </c>
      <c r="H872" s="6">
        <f>FLOOR(tblPivotData[[#This Row],[Time]],Summary!$B$6/1440)</f>
        <v>0.35416666666666663</v>
      </c>
      <c r="I872" s="49">
        <f>INDEX(PeakCalc!$L$10:$L$303,MATCH(tblPivotData[[#This Row],[Time]],PeakCalc!$G$10:$G$303,0))</f>
        <v>1</v>
      </c>
    </row>
    <row r="873" spans="1:9" x14ac:dyDescent="0.25">
      <c r="A873" t="s">
        <v>96</v>
      </c>
      <c r="B873" t="s">
        <v>109</v>
      </c>
      <c r="C873" t="s">
        <v>95</v>
      </c>
      <c r="D873" t="s">
        <v>79</v>
      </c>
      <c r="E873" t="s">
        <v>43</v>
      </c>
      <c r="F873" s="6">
        <v>0.36458333333333331</v>
      </c>
      <c r="G873">
        <v>4</v>
      </c>
      <c r="H873" s="6">
        <f>FLOOR(tblPivotData[[#This Row],[Time]],Summary!$B$6/1440)</f>
        <v>0.36458333333333331</v>
      </c>
      <c r="I873" s="49">
        <f>INDEX(PeakCalc!$L$10:$L$303,MATCH(tblPivotData[[#This Row],[Time]],PeakCalc!$G$10:$G$303,0))</f>
        <v>1</v>
      </c>
    </row>
    <row r="874" spans="1:9" x14ac:dyDescent="0.25">
      <c r="A874" t="s">
        <v>96</v>
      </c>
      <c r="B874" t="s">
        <v>109</v>
      </c>
      <c r="C874" t="s">
        <v>95</v>
      </c>
      <c r="D874" t="s">
        <v>79</v>
      </c>
      <c r="E874" t="s">
        <v>91</v>
      </c>
      <c r="F874" s="6">
        <v>0.5625</v>
      </c>
      <c r="G874">
        <v>6</v>
      </c>
      <c r="H874" s="6">
        <f>FLOOR(tblPivotData[[#This Row],[Time]],Summary!$B$6/1440)</f>
        <v>0.5625</v>
      </c>
      <c r="I874" s="49">
        <f>INDEX(PeakCalc!$L$10:$L$303,MATCH(tblPivotData[[#This Row],[Time]],PeakCalc!$G$10:$G$303,0))</f>
        <v>0</v>
      </c>
    </row>
    <row r="875" spans="1:9" x14ac:dyDescent="0.25">
      <c r="A875" t="s">
        <v>96</v>
      </c>
      <c r="B875" t="s">
        <v>109</v>
      </c>
      <c r="C875" t="s">
        <v>95</v>
      </c>
      <c r="D875" t="s">
        <v>79</v>
      </c>
      <c r="E875" t="s">
        <v>91</v>
      </c>
      <c r="F875" s="6">
        <v>0.57291666666666663</v>
      </c>
      <c r="G875">
        <v>4</v>
      </c>
      <c r="H875" s="6">
        <f>FLOOR(tblPivotData[[#This Row],[Time]],Summary!$B$6/1440)</f>
        <v>0.57291666666666663</v>
      </c>
      <c r="I875" s="49">
        <f>INDEX(PeakCalc!$L$10:$L$303,MATCH(tblPivotData[[#This Row],[Time]],PeakCalc!$G$10:$G$303,0))</f>
        <v>0</v>
      </c>
    </row>
    <row r="876" spans="1:9" x14ac:dyDescent="0.25">
      <c r="A876" t="s">
        <v>96</v>
      </c>
      <c r="B876" t="s">
        <v>109</v>
      </c>
      <c r="C876" t="s">
        <v>95</v>
      </c>
      <c r="D876" t="s">
        <v>79</v>
      </c>
      <c r="E876" t="s">
        <v>91</v>
      </c>
      <c r="F876" s="6">
        <v>0.58333333333333337</v>
      </c>
      <c r="G876">
        <v>5</v>
      </c>
      <c r="H876" s="6">
        <f>FLOOR(tblPivotData[[#This Row],[Time]],Summary!$B$6/1440)</f>
        <v>0.58333333333333326</v>
      </c>
      <c r="I876" s="49">
        <f>INDEX(PeakCalc!$L$10:$L$303,MATCH(tblPivotData[[#This Row],[Time]],PeakCalc!$G$10:$G$303,0))</f>
        <v>0</v>
      </c>
    </row>
    <row r="877" spans="1:9" x14ac:dyDescent="0.25">
      <c r="A877" t="s">
        <v>96</v>
      </c>
      <c r="B877" t="s">
        <v>109</v>
      </c>
      <c r="C877" t="s">
        <v>95</v>
      </c>
      <c r="D877" t="s">
        <v>79</v>
      </c>
      <c r="E877" t="s">
        <v>91</v>
      </c>
      <c r="F877" s="6">
        <v>0.59375</v>
      </c>
      <c r="G877">
        <v>8</v>
      </c>
      <c r="H877" s="6">
        <f>FLOOR(tblPivotData[[#This Row],[Time]],Summary!$B$6/1440)</f>
        <v>0.59375</v>
      </c>
      <c r="I877" s="49">
        <f>INDEX(PeakCalc!$L$10:$L$303,MATCH(tblPivotData[[#This Row],[Time]],PeakCalc!$G$10:$G$303,0))</f>
        <v>0</v>
      </c>
    </row>
    <row r="878" spans="1:9" x14ac:dyDescent="0.25">
      <c r="A878" t="s">
        <v>96</v>
      </c>
      <c r="B878" t="s">
        <v>109</v>
      </c>
      <c r="C878" t="s">
        <v>95</v>
      </c>
      <c r="D878" t="s">
        <v>79</v>
      </c>
      <c r="E878" t="s">
        <v>91</v>
      </c>
      <c r="F878" s="6">
        <v>0.60416666666666663</v>
      </c>
      <c r="G878">
        <v>7</v>
      </c>
      <c r="H878" s="6">
        <f>FLOOR(tblPivotData[[#This Row],[Time]],Summary!$B$6/1440)</f>
        <v>0.60416666666666663</v>
      </c>
      <c r="I878" s="49">
        <f>INDEX(PeakCalc!$L$10:$L$303,MATCH(tblPivotData[[#This Row],[Time]],PeakCalc!$G$10:$G$303,0))</f>
        <v>1</v>
      </c>
    </row>
    <row r="879" spans="1:9" x14ac:dyDescent="0.25">
      <c r="A879" t="s">
        <v>96</v>
      </c>
      <c r="B879" t="s">
        <v>109</v>
      </c>
      <c r="C879" t="s">
        <v>95</v>
      </c>
      <c r="D879" t="s">
        <v>79</v>
      </c>
      <c r="E879" t="s">
        <v>91</v>
      </c>
      <c r="F879" s="6">
        <v>0.61458333333333337</v>
      </c>
      <c r="G879">
        <v>10</v>
      </c>
      <c r="H879" s="6">
        <f>FLOOR(tblPivotData[[#This Row],[Time]],Summary!$B$6/1440)</f>
        <v>0.61458333333333326</v>
      </c>
      <c r="I879" s="49">
        <f>INDEX(PeakCalc!$L$10:$L$303,MATCH(tblPivotData[[#This Row],[Time]],PeakCalc!$G$10:$G$303,0))</f>
        <v>1</v>
      </c>
    </row>
    <row r="880" spans="1:9" x14ac:dyDescent="0.25">
      <c r="A880" t="s">
        <v>96</v>
      </c>
      <c r="B880" t="s">
        <v>109</v>
      </c>
      <c r="C880" t="s">
        <v>95</v>
      </c>
      <c r="D880" t="s">
        <v>79</v>
      </c>
      <c r="E880" t="s">
        <v>91</v>
      </c>
      <c r="F880" s="6">
        <v>0.625</v>
      </c>
      <c r="G880">
        <v>7</v>
      </c>
      <c r="H880" s="6">
        <f>FLOOR(tblPivotData[[#This Row],[Time]],Summary!$B$6/1440)</f>
        <v>0.625</v>
      </c>
      <c r="I880" s="49">
        <f>INDEX(PeakCalc!$L$10:$L$303,MATCH(tblPivotData[[#This Row],[Time]],PeakCalc!$G$10:$G$303,0))</f>
        <v>1</v>
      </c>
    </row>
    <row r="881" spans="1:9" x14ac:dyDescent="0.25">
      <c r="A881" t="s">
        <v>96</v>
      </c>
      <c r="B881" t="s">
        <v>109</v>
      </c>
      <c r="C881" t="s">
        <v>95</v>
      </c>
      <c r="D881" t="s">
        <v>79</v>
      </c>
      <c r="E881" t="s">
        <v>91</v>
      </c>
      <c r="F881" s="6">
        <v>0.63541666666666663</v>
      </c>
      <c r="G881">
        <v>6</v>
      </c>
      <c r="H881" s="6">
        <f>FLOOR(tblPivotData[[#This Row],[Time]],Summary!$B$6/1440)</f>
        <v>0.63541666666666663</v>
      </c>
      <c r="I881" s="49">
        <f>INDEX(PeakCalc!$L$10:$L$303,MATCH(tblPivotData[[#This Row],[Time]],PeakCalc!$G$10:$G$303,0))</f>
        <v>1</v>
      </c>
    </row>
    <row r="882" spans="1:9" x14ac:dyDescent="0.25">
      <c r="A882" t="s">
        <v>96</v>
      </c>
      <c r="B882" t="s">
        <v>109</v>
      </c>
      <c r="C882" t="s">
        <v>95</v>
      </c>
      <c r="D882" t="s">
        <v>79</v>
      </c>
      <c r="E882" t="s">
        <v>44</v>
      </c>
      <c r="F882" s="6">
        <v>0.66666666666666663</v>
      </c>
      <c r="G882">
        <v>5</v>
      </c>
      <c r="H882" s="6">
        <f>FLOOR(tblPivotData[[#This Row],[Time]],Summary!$B$6/1440)</f>
        <v>0.66666666666666663</v>
      </c>
      <c r="I882" s="49">
        <f>INDEX(PeakCalc!$L$10:$L$303,MATCH(tblPivotData[[#This Row],[Time]],PeakCalc!$G$10:$G$303,0))</f>
        <v>0</v>
      </c>
    </row>
    <row r="883" spans="1:9" x14ac:dyDescent="0.25">
      <c r="A883" t="s">
        <v>96</v>
      </c>
      <c r="B883" t="s">
        <v>109</v>
      </c>
      <c r="C883" t="s">
        <v>95</v>
      </c>
      <c r="D883" t="s">
        <v>79</v>
      </c>
      <c r="E883" t="s">
        <v>44</v>
      </c>
      <c r="F883" s="6">
        <v>0.67708333333333337</v>
      </c>
      <c r="G883">
        <v>6</v>
      </c>
      <c r="H883" s="6">
        <f>FLOOR(tblPivotData[[#This Row],[Time]],Summary!$B$6/1440)</f>
        <v>0.67708333333333326</v>
      </c>
      <c r="I883" s="49">
        <f>INDEX(PeakCalc!$L$10:$L$303,MATCH(tblPivotData[[#This Row],[Time]],PeakCalc!$G$10:$G$303,0))</f>
        <v>0</v>
      </c>
    </row>
    <row r="884" spans="1:9" x14ac:dyDescent="0.25">
      <c r="A884" t="s">
        <v>96</v>
      </c>
      <c r="B884" t="s">
        <v>109</v>
      </c>
      <c r="C884" t="s">
        <v>95</v>
      </c>
      <c r="D884" t="s">
        <v>79</v>
      </c>
      <c r="E884" t="s">
        <v>44</v>
      </c>
      <c r="F884" s="6">
        <v>0.6875</v>
      </c>
      <c r="G884">
        <v>11</v>
      </c>
      <c r="H884" s="6">
        <f>FLOOR(tblPivotData[[#This Row],[Time]],Summary!$B$6/1440)</f>
        <v>0.6875</v>
      </c>
      <c r="I884" s="49">
        <f>INDEX(PeakCalc!$L$10:$L$303,MATCH(tblPivotData[[#This Row],[Time]],PeakCalc!$G$10:$G$303,0))</f>
        <v>1</v>
      </c>
    </row>
    <row r="885" spans="1:9" x14ac:dyDescent="0.25">
      <c r="A885" t="s">
        <v>96</v>
      </c>
      <c r="B885" t="s">
        <v>109</v>
      </c>
      <c r="C885" t="s">
        <v>95</v>
      </c>
      <c r="D885" t="s">
        <v>79</v>
      </c>
      <c r="E885" t="s">
        <v>44</v>
      </c>
      <c r="F885" s="6">
        <v>0.69791666666666663</v>
      </c>
      <c r="G885">
        <v>6</v>
      </c>
      <c r="H885" s="6">
        <f>FLOOR(tblPivotData[[#This Row],[Time]],Summary!$B$6/1440)</f>
        <v>0.69791666666666663</v>
      </c>
      <c r="I885" s="49">
        <f>INDEX(PeakCalc!$L$10:$L$303,MATCH(tblPivotData[[#This Row],[Time]],PeakCalc!$G$10:$G$303,0))</f>
        <v>1</v>
      </c>
    </row>
    <row r="886" spans="1:9" x14ac:dyDescent="0.25">
      <c r="A886" t="s">
        <v>96</v>
      </c>
      <c r="B886" t="s">
        <v>109</v>
      </c>
      <c r="C886" t="s">
        <v>95</v>
      </c>
      <c r="D886" t="s">
        <v>79</v>
      </c>
      <c r="E886" t="s">
        <v>44</v>
      </c>
      <c r="F886" s="6">
        <v>0.70833333333333337</v>
      </c>
      <c r="G886">
        <v>4</v>
      </c>
      <c r="H886" s="6">
        <f>FLOOR(tblPivotData[[#This Row],[Time]],Summary!$B$6/1440)</f>
        <v>0.70833333333333326</v>
      </c>
      <c r="I886" s="49">
        <f>INDEX(PeakCalc!$L$10:$L$303,MATCH(tblPivotData[[#This Row],[Time]],PeakCalc!$G$10:$G$303,0))</f>
        <v>1</v>
      </c>
    </row>
    <row r="887" spans="1:9" x14ac:dyDescent="0.25">
      <c r="A887" t="s">
        <v>96</v>
      </c>
      <c r="B887" t="s">
        <v>109</v>
      </c>
      <c r="C887" t="s">
        <v>95</v>
      </c>
      <c r="D887" t="s">
        <v>79</v>
      </c>
      <c r="E887" t="s">
        <v>44</v>
      </c>
      <c r="F887" s="6">
        <v>0.71875</v>
      </c>
      <c r="G887">
        <v>7</v>
      </c>
      <c r="H887" s="6">
        <f>FLOOR(tblPivotData[[#This Row],[Time]],Summary!$B$6/1440)</f>
        <v>0.71875</v>
      </c>
      <c r="I887" s="49">
        <f>INDEX(PeakCalc!$L$10:$L$303,MATCH(tblPivotData[[#This Row],[Time]],PeakCalc!$G$10:$G$303,0))</f>
        <v>1</v>
      </c>
    </row>
    <row r="888" spans="1:9" x14ac:dyDescent="0.25">
      <c r="A888" t="s">
        <v>96</v>
      </c>
      <c r="B888" t="s">
        <v>109</v>
      </c>
      <c r="C888" t="s">
        <v>95</v>
      </c>
      <c r="D888" t="s">
        <v>79</v>
      </c>
      <c r="E888" t="s">
        <v>44</v>
      </c>
      <c r="F888" s="6">
        <v>0.72916666666666663</v>
      </c>
      <c r="G888">
        <v>4</v>
      </c>
      <c r="H888" s="6">
        <f>FLOOR(tblPivotData[[#This Row],[Time]],Summary!$B$6/1440)</f>
        <v>0.72916666666666663</v>
      </c>
      <c r="I888" s="49">
        <f>INDEX(PeakCalc!$L$10:$L$303,MATCH(tblPivotData[[#This Row],[Time]],PeakCalc!$G$10:$G$303,0))</f>
        <v>0</v>
      </c>
    </row>
    <row r="889" spans="1:9" x14ac:dyDescent="0.25">
      <c r="A889" t="s">
        <v>96</v>
      </c>
      <c r="B889" t="s">
        <v>109</v>
      </c>
      <c r="C889" t="s">
        <v>95</v>
      </c>
      <c r="D889" t="s">
        <v>79</v>
      </c>
      <c r="E889" t="s">
        <v>44</v>
      </c>
      <c r="F889" s="6">
        <v>0.73958333333333337</v>
      </c>
      <c r="G889">
        <v>3</v>
      </c>
      <c r="H889" s="6">
        <f>FLOOR(tblPivotData[[#This Row],[Time]],Summary!$B$6/1440)</f>
        <v>0.73958333333333326</v>
      </c>
      <c r="I889" s="49">
        <f>INDEX(PeakCalc!$L$10:$L$303,MATCH(tblPivotData[[#This Row],[Time]],PeakCalc!$G$10:$G$303,0))</f>
        <v>0</v>
      </c>
    </row>
    <row r="890" spans="1:9" x14ac:dyDescent="0.25">
      <c r="A890" t="s">
        <v>96</v>
      </c>
      <c r="B890" t="s">
        <v>109</v>
      </c>
      <c r="C890" t="s">
        <v>95</v>
      </c>
      <c r="D890" t="s">
        <v>89</v>
      </c>
      <c r="E890" t="s">
        <v>43</v>
      </c>
      <c r="F890" s="6">
        <v>0.29166666666666669</v>
      </c>
      <c r="G890">
        <v>1</v>
      </c>
      <c r="H890" s="6">
        <f>FLOOR(tblPivotData[[#This Row],[Time]],Summary!$B$6/1440)</f>
        <v>0.29166666666666663</v>
      </c>
      <c r="I890" s="49">
        <f>INDEX(PeakCalc!$L$10:$L$303,MATCH(tblPivotData[[#This Row],[Time]],PeakCalc!$G$10:$G$303,0))</f>
        <v>0</v>
      </c>
    </row>
    <row r="891" spans="1:9" x14ac:dyDescent="0.25">
      <c r="A891" t="s">
        <v>96</v>
      </c>
      <c r="B891" t="s">
        <v>109</v>
      </c>
      <c r="C891" t="s">
        <v>95</v>
      </c>
      <c r="D891" t="s">
        <v>89</v>
      </c>
      <c r="E891" t="s">
        <v>43</v>
      </c>
      <c r="F891" s="6">
        <v>0.30208333333333331</v>
      </c>
      <c r="G891">
        <v>0</v>
      </c>
      <c r="H891" s="6">
        <f>FLOOR(tblPivotData[[#This Row],[Time]],Summary!$B$6/1440)</f>
        <v>0.30208333333333331</v>
      </c>
      <c r="I891" s="49">
        <f>INDEX(PeakCalc!$L$10:$L$303,MATCH(tblPivotData[[#This Row],[Time]],PeakCalc!$G$10:$G$303,0))</f>
        <v>0</v>
      </c>
    </row>
    <row r="892" spans="1:9" x14ac:dyDescent="0.25">
      <c r="A892" t="s">
        <v>96</v>
      </c>
      <c r="B892" t="s">
        <v>109</v>
      </c>
      <c r="C892" t="s">
        <v>95</v>
      </c>
      <c r="D892" t="s">
        <v>89</v>
      </c>
      <c r="E892" t="s">
        <v>43</v>
      </c>
      <c r="F892" s="6">
        <v>0.3125</v>
      </c>
      <c r="G892">
        <v>1</v>
      </c>
      <c r="H892" s="6">
        <f>FLOOR(tblPivotData[[#This Row],[Time]],Summary!$B$6/1440)</f>
        <v>0.3125</v>
      </c>
      <c r="I892" s="49">
        <f>INDEX(PeakCalc!$L$10:$L$303,MATCH(tblPivotData[[#This Row],[Time]],PeakCalc!$G$10:$G$303,0))</f>
        <v>0</v>
      </c>
    </row>
    <row r="893" spans="1:9" x14ac:dyDescent="0.25">
      <c r="A893" t="s">
        <v>96</v>
      </c>
      <c r="B893" t="s">
        <v>109</v>
      </c>
      <c r="C893" t="s">
        <v>95</v>
      </c>
      <c r="D893" t="s">
        <v>89</v>
      </c>
      <c r="E893" t="s">
        <v>43</v>
      </c>
      <c r="F893" s="6">
        <v>0.32291666666666669</v>
      </c>
      <c r="G893">
        <v>0</v>
      </c>
      <c r="H893" s="6">
        <f>FLOOR(tblPivotData[[#This Row],[Time]],Summary!$B$6/1440)</f>
        <v>0.32291666666666663</v>
      </c>
      <c r="I893" s="49">
        <f>INDEX(PeakCalc!$L$10:$L$303,MATCH(tblPivotData[[#This Row],[Time]],PeakCalc!$G$10:$G$303,0))</f>
        <v>0</v>
      </c>
    </row>
    <row r="894" spans="1:9" x14ac:dyDescent="0.25">
      <c r="A894" t="s">
        <v>96</v>
      </c>
      <c r="B894" t="s">
        <v>109</v>
      </c>
      <c r="C894" t="s">
        <v>95</v>
      </c>
      <c r="D894" t="s">
        <v>89</v>
      </c>
      <c r="E894" t="s">
        <v>43</v>
      </c>
      <c r="F894" s="6">
        <v>0.33333333333333331</v>
      </c>
      <c r="G894">
        <v>0</v>
      </c>
      <c r="H894" s="6">
        <f>FLOOR(tblPivotData[[#This Row],[Time]],Summary!$B$6/1440)</f>
        <v>0.33333333333333331</v>
      </c>
      <c r="I894" s="49">
        <f>INDEX(PeakCalc!$L$10:$L$303,MATCH(tblPivotData[[#This Row],[Time]],PeakCalc!$G$10:$G$303,0))</f>
        <v>1</v>
      </c>
    </row>
    <row r="895" spans="1:9" x14ac:dyDescent="0.25">
      <c r="A895" t="s">
        <v>96</v>
      </c>
      <c r="B895" t="s">
        <v>109</v>
      </c>
      <c r="C895" t="s">
        <v>95</v>
      </c>
      <c r="D895" t="s">
        <v>89</v>
      </c>
      <c r="E895" t="s">
        <v>43</v>
      </c>
      <c r="F895" s="6">
        <v>0.34375</v>
      </c>
      <c r="G895">
        <v>0</v>
      </c>
      <c r="H895" s="6">
        <f>FLOOR(tblPivotData[[#This Row],[Time]],Summary!$B$6/1440)</f>
        <v>0.34375</v>
      </c>
      <c r="I895" s="49">
        <f>INDEX(PeakCalc!$L$10:$L$303,MATCH(tblPivotData[[#This Row],[Time]],PeakCalc!$G$10:$G$303,0))</f>
        <v>1</v>
      </c>
    </row>
    <row r="896" spans="1:9" x14ac:dyDescent="0.25">
      <c r="A896" t="s">
        <v>96</v>
      </c>
      <c r="B896" t="s">
        <v>109</v>
      </c>
      <c r="C896" t="s">
        <v>95</v>
      </c>
      <c r="D896" t="s">
        <v>89</v>
      </c>
      <c r="E896" t="s">
        <v>43</v>
      </c>
      <c r="F896" s="6">
        <v>0.35416666666666669</v>
      </c>
      <c r="G896">
        <v>0</v>
      </c>
      <c r="H896" s="6">
        <f>FLOOR(tblPivotData[[#This Row],[Time]],Summary!$B$6/1440)</f>
        <v>0.35416666666666663</v>
      </c>
      <c r="I896" s="49">
        <f>INDEX(PeakCalc!$L$10:$L$303,MATCH(tblPivotData[[#This Row],[Time]],PeakCalc!$G$10:$G$303,0))</f>
        <v>1</v>
      </c>
    </row>
    <row r="897" spans="1:9" x14ac:dyDescent="0.25">
      <c r="A897" t="s">
        <v>96</v>
      </c>
      <c r="B897" t="s">
        <v>109</v>
      </c>
      <c r="C897" t="s">
        <v>95</v>
      </c>
      <c r="D897" t="s">
        <v>89</v>
      </c>
      <c r="E897" t="s">
        <v>43</v>
      </c>
      <c r="F897" s="6">
        <v>0.36458333333333331</v>
      </c>
      <c r="G897">
        <v>0</v>
      </c>
      <c r="H897" s="6">
        <f>FLOOR(tblPivotData[[#This Row],[Time]],Summary!$B$6/1440)</f>
        <v>0.36458333333333331</v>
      </c>
      <c r="I897" s="49">
        <f>INDEX(PeakCalc!$L$10:$L$303,MATCH(tblPivotData[[#This Row],[Time]],PeakCalc!$G$10:$G$303,0))</f>
        <v>1</v>
      </c>
    </row>
    <row r="898" spans="1:9" x14ac:dyDescent="0.25">
      <c r="A898" t="s">
        <v>96</v>
      </c>
      <c r="B898" t="s">
        <v>109</v>
      </c>
      <c r="C898" t="s">
        <v>95</v>
      </c>
      <c r="D898" t="s">
        <v>89</v>
      </c>
      <c r="E898" t="s">
        <v>91</v>
      </c>
      <c r="F898" s="6">
        <v>0.5625</v>
      </c>
      <c r="G898">
        <v>0</v>
      </c>
      <c r="H898" s="6">
        <f>FLOOR(tblPivotData[[#This Row],[Time]],Summary!$B$6/1440)</f>
        <v>0.5625</v>
      </c>
      <c r="I898" s="49">
        <f>INDEX(PeakCalc!$L$10:$L$303,MATCH(tblPivotData[[#This Row],[Time]],PeakCalc!$G$10:$G$303,0))</f>
        <v>0</v>
      </c>
    </row>
    <row r="899" spans="1:9" x14ac:dyDescent="0.25">
      <c r="A899" t="s">
        <v>96</v>
      </c>
      <c r="B899" t="s">
        <v>109</v>
      </c>
      <c r="C899" t="s">
        <v>95</v>
      </c>
      <c r="D899" t="s">
        <v>89</v>
      </c>
      <c r="E899" t="s">
        <v>91</v>
      </c>
      <c r="F899" s="6">
        <v>0.57291666666666663</v>
      </c>
      <c r="G899">
        <v>1</v>
      </c>
      <c r="H899" s="6">
        <f>FLOOR(tblPivotData[[#This Row],[Time]],Summary!$B$6/1440)</f>
        <v>0.57291666666666663</v>
      </c>
      <c r="I899" s="49">
        <f>INDEX(PeakCalc!$L$10:$L$303,MATCH(tblPivotData[[#This Row],[Time]],PeakCalc!$G$10:$G$303,0))</f>
        <v>0</v>
      </c>
    </row>
    <row r="900" spans="1:9" x14ac:dyDescent="0.25">
      <c r="A900" t="s">
        <v>96</v>
      </c>
      <c r="B900" t="s">
        <v>109</v>
      </c>
      <c r="C900" t="s">
        <v>95</v>
      </c>
      <c r="D900" t="s">
        <v>89</v>
      </c>
      <c r="E900" t="s">
        <v>91</v>
      </c>
      <c r="F900" s="6">
        <v>0.58333333333333337</v>
      </c>
      <c r="G900">
        <v>0</v>
      </c>
      <c r="H900" s="6">
        <f>FLOOR(tblPivotData[[#This Row],[Time]],Summary!$B$6/1440)</f>
        <v>0.58333333333333326</v>
      </c>
      <c r="I900" s="49">
        <f>INDEX(PeakCalc!$L$10:$L$303,MATCH(tblPivotData[[#This Row],[Time]],PeakCalc!$G$10:$G$303,0))</f>
        <v>0</v>
      </c>
    </row>
    <row r="901" spans="1:9" x14ac:dyDescent="0.25">
      <c r="A901" t="s">
        <v>96</v>
      </c>
      <c r="B901" t="s">
        <v>109</v>
      </c>
      <c r="C901" t="s">
        <v>95</v>
      </c>
      <c r="D901" t="s">
        <v>89</v>
      </c>
      <c r="E901" t="s">
        <v>91</v>
      </c>
      <c r="F901" s="6">
        <v>0.59375</v>
      </c>
      <c r="G901">
        <v>0</v>
      </c>
      <c r="H901" s="6">
        <f>FLOOR(tblPivotData[[#This Row],[Time]],Summary!$B$6/1440)</f>
        <v>0.59375</v>
      </c>
      <c r="I901" s="49">
        <f>INDEX(PeakCalc!$L$10:$L$303,MATCH(tblPivotData[[#This Row],[Time]],PeakCalc!$G$10:$G$303,0))</f>
        <v>0</v>
      </c>
    </row>
    <row r="902" spans="1:9" x14ac:dyDescent="0.25">
      <c r="A902" t="s">
        <v>96</v>
      </c>
      <c r="B902" t="s">
        <v>109</v>
      </c>
      <c r="C902" t="s">
        <v>95</v>
      </c>
      <c r="D902" t="s">
        <v>89</v>
      </c>
      <c r="E902" t="s">
        <v>91</v>
      </c>
      <c r="F902" s="6">
        <v>0.60416666666666663</v>
      </c>
      <c r="G902">
        <v>0</v>
      </c>
      <c r="H902" s="6">
        <f>FLOOR(tblPivotData[[#This Row],[Time]],Summary!$B$6/1440)</f>
        <v>0.60416666666666663</v>
      </c>
      <c r="I902" s="49">
        <f>INDEX(PeakCalc!$L$10:$L$303,MATCH(tblPivotData[[#This Row],[Time]],PeakCalc!$G$10:$G$303,0))</f>
        <v>1</v>
      </c>
    </row>
    <row r="903" spans="1:9" x14ac:dyDescent="0.25">
      <c r="A903" t="s">
        <v>96</v>
      </c>
      <c r="B903" t="s">
        <v>109</v>
      </c>
      <c r="C903" t="s">
        <v>95</v>
      </c>
      <c r="D903" t="s">
        <v>89</v>
      </c>
      <c r="E903" t="s">
        <v>91</v>
      </c>
      <c r="F903" s="6">
        <v>0.61458333333333337</v>
      </c>
      <c r="G903">
        <v>0</v>
      </c>
      <c r="H903" s="6">
        <f>FLOOR(tblPivotData[[#This Row],[Time]],Summary!$B$6/1440)</f>
        <v>0.61458333333333326</v>
      </c>
      <c r="I903" s="49">
        <f>INDEX(PeakCalc!$L$10:$L$303,MATCH(tblPivotData[[#This Row],[Time]],PeakCalc!$G$10:$G$303,0))</f>
        <v>1</v>
      </c>
    </row>
    <row r="904" spans="1:9" x14ac:dyDescent="0.25">
      <c r="A904" t="s">
        <v>96</v>
      </c>
      <c r="B904" t="s">
        <v>109</v>
      </c>
      <c r="C904" t="s">
        <v>95</v>
      </c>
      <c r="D904" t="s">
        <v>89</v>
      </c>
      <c r="E904" t="s">
        <v>91</v>
      </c>
      <c r="F904" s="6">
        <v>0.625</v>
      </c>
      <c r="G904">
        <v>0</v>
      </c>
      <c r="H904" s="6">
        <f>FLOOR(tblPivotData[[#This Row],[Time]],Summary!$B$6/1440)</f>
        <v>0.625</v>
      </c>
      <c r="I904" s="49">
        <f>INDEX(PeakCalc!$L$10:$L$303,MATCH(tblPivotData[[#This Row],[Time]],PeakCalc!$G$10:$G$303,0))</f>
        <v>1</v>
      </c>
    </row>
    <row r="905" spans="1:9" x14ac:dyDescent="0.25">
      <c r="A905" t="s">
        <v>96</v>
      </c>
      <c r="B905" t="s">
        <v>109</v>
      </c>
      <c r="C905" t="s">
        <v>95</v>
      </c>
      <c r="D905" t="s">
        <v>89</v>
      </c>
      <c r="E905" t="s">
        <v>91</v>
      </c>
      <c r="F905" s="6">
        <v>0.63541666666666663</v>
      </c>
      <c r="G905">
        <v>0</v>
      </c>
      <c r="H905" s="6">
        <f>FLOOR(tblPivotData[[#This Row],[Time]],Summary!$B$6/1440)</f>
        <v>0.63541666666666663</v>
      </c>
      <c r="I905" s="49">
        <f>INDEX(PeakCalc!$L$10:$L$303,MATCH(tblPivotData[[#This Row],[Time]],PeakCalc!$G$10:$G$303,0))</f>
        <v>1</v>
      </c>
    </row>
    <row r="906" spans="1:9" x14ac:dyDescent="0.25">
      <c r="A906" t="s">
        <v>96</v>
      </c>
      <c r="B906" t="s">
        <v>109</v>
      </c>
      <c r="C906" t="s">
        <v>95</v>
      </c>
      <c r="D906" t="s">
        <v>89</v>
      </c>
      <c r="E906" t="s">
        <v>44</v>
      </c>
      <c r="F906" s="6">
        <v>0.66666666666666663</v>
      </c>
      <c r="G906">
        <v>0</v>
      </c>
      <c r="H906" s="6">
        <f>FLOOR(tblPivotData[[#This Row],[Time]],Summary!$B$6/1440)</f>
        <v>0.66666666666666663</v>
      </c>
      <c r="I906" s="49">
        <f>INDEX(PeakCalc!$L$10:$L$303,MATCH(tblPivotData[[#This Row],[Time]],PeakCalc!$G$10:$G$303,0))</f>
        <v>0</v>
      </c>
    </row>
    <row r="907" spans="1:9" x14ac:dyDescent="0.25">
      <c r="A907" t="s">
        <v>96</v>
      </c>
      <c r="B907" t="s">
        <v>109</v>
      </c>
      <c r="C907" t="s">
        <v>95</v>
      </c>
      <c r="D907" t="s">
        <v>89</v>
      </c>
      <c r="E907" t="s">
        <v>44</v>
      </c>
      <c r="F907" s="6">
        <v>0.67708333333333337</v>
      </c>
      <c r="G907">
        <v>0</v>
      </c>
      <c r="H907" s="6">
        <f>FLOOR(tblPivotData[[#This Row],[Time]],Summary!$B$6/1440)</f>
        <v>0.67708333333333326</v>
      </c>
      <c r="I907" s="49">
        <f>INDEX(PeakCalc!$L$10:$L$303,MATCH(tblPivotData[[#This Row],[Time]],PeakCalc!$G$10:$G$303,0))</f>
        <v>0</v>
      </c>
    </row>
    <row r="908" spans="1:9" x14ac:dyDescent="0.25">
      <c r="A908" t="s">
        <v>96</v>
      </c>
      <c r="B908" t="s">
        <v>109</v>
      </c>
      <c r="C908" t="s">
        <v>95</v>
      </c>
      <c r="D908" t="s">
        <v>89</v>
      </c>
      <c r="E908" t="s">
        <v>44</v>
      </c>
      <c r="F908" s="6">
        <v>0.6875</v>
      </c>
      <c r="G908">
        <v>0</v>
      </c>
      <c r="H908" s="6">
        <f>FLOOR(tblPivotData[[#This Row],[Time]],Summary!$B$6/1440)</f>
        <v>0.6875</v>
      </c>
      <c r="I908" s="49">
        <f>INDEX(PeakCalc!$L$10:$L$303,MATCH(tblPivotData[[#This Row],[Time]],PeakCalc!$G$10:$G$303,0))</f>
        <v>1</v>
      </c>
    </row>
    <row r="909" spans="1:9" x14ac:dyDescent="0.25">
      <c r="A909" t="s">
        <v>96</v>
      </c>
      <c r="B909" t="s">
        <v>109</v>
      </c>
      <c r="C909" t="s">
        <v>95</v>
      </c>
      <c r="D909" t="s">
        <v>89</v>
      </c>
      <c r="E909" t="s">
        <v>44</v>
      </c>
      <c r="F909" s="6">
        <v>0.69791666666666663</v>
      </c>
      <c r="G909">
        <v>0</v>
      </c>
      <c r="H909" s="6">
        <f>FLOOR(tblPivotData[[#This Row],[Time]],Summary!$B$6/1440)</f>
        <v>0.69791666666666663</v>
      </c>
      <c r="I909" s="49">
        <f>INDEX(PeakCalc!$L$10:$L$303,MATCH(tblPivotData[[#This Row],[Time]],PeakCalc!$G$10:$G$303,0))</f>
        <v>1</v>
      </c>
    </row>
    <row r="910" spans="1:9" x14ac:dyDescent="0.25">
      <c r="A910" t="s">
        <v>96</v>
      </c>
      <c r="B910" t="s">
        <v>109</v>
      </c>
      <c r="C910" t="s">
        <v>95</v>
      </c>
      <c r="D910" t="s">
        <v>89</v>
      </c>
      <c r="E910" t="s">
        <v>44</v>
      </c>
      <c r="F910" s="6">
        <v>0.70833333333333337</v>
      </c>
      <c r="G910">
        <v>0</v>
      </c>
      <c r="H910" s="6">
        <f>FLOOR(tblPivotData[[#This Row],[Time]],Summary!$B$6/1440)</f>
        <v>0.70833333333333326</v>
      </c>
      <c r="I910" s="49">
        <f>INDEX(PeakCalc!$L$10:$L$303,MATCH(tblPivotData[[#This Row],[Time]],PeakCalc!$G$10:$G$303,0))</f>
        <v>1</v>
      </c>
    </row>
    <row r="911" spans="1:9" x14ac:dyDescent="0.25">
      <c r="A911" t="s">
        <v>96</v>
      </c>
      <c r="B911" t="s">
        <v>109</v>
      </c>
      <c r="C911" t="s">
        <v>95</v>
      </c>
      <c r="D911" t="s">
        <v>89</v>
      </c>
      <c r="E911" t="s">
        <v>44</v>
      </c>
      <c r="F911" s="6">
        <v>0.71875</v>
      </c>
      <c r="G911">
        <v>0</v>
      </c>
      <c r="H911" s="6">
        <f>FLOOR(tblPivotData[[#This Row],[Time]],Summary!$B$6/1440)</f>
        <v>0.71875</v>
      </c>
      <c r="I911" s="49">
        <f>INDEX(PeakCalc!$L$10:$L$303,MATCH(tblPivotData[[#This Row],[Time]],PeakCalc!$G$10:$G$303,0))</f>
        <v>1</v>
      </c>
    </row>
    <row r="912" spans="1:9" x14ac:dyDescent="0.25">
      <c r="A912" t="s">
        <v>96</v>
      </c>
      <c r="B912" t="s">
        <v>109</v>
      </c>
      <c r="C912" t="s">
        <v>95</v>
      </c>
      <c r="D912" t="s">
        <v>89</v>
      </c>
      <c r="E912" t="s">
        <v>44</v>
      </c>
      <c r="F912" s="6">
        <v>0.72916666666666663</v>
      </c>
      <c r="G912">
        <v>0</v>
      </c>
      <c r="H912" s="6">
        <f>FLOOR(tblPivotData[[#This Row],[Time]],Summary!$B$6/1440)</f>
        <v>0.72916666666666663</v>
      </c>
      <c r="I912" s="49">
        <f>INDEX(PeakCalc!$L$10:$L$303,MATCH(tblPivotData[[#This Row],[Time]],PeakCalc!$G$10:$G$303,0))</f>
        <v>0</v>
      </c>
    </row>
    <row r="913" spans="1:9" x14ac:dyDescent="0.25">
      <c r="A913" t="s">
        <v>96</v>
      </c>
      <c r="B913" t="s">
        <v>109</v>
      </c>
      <c r="C913" t="s">
        <v>95</v>
      </c>
      <c r="D913" t="s">
        <v>89</v>
      </c>
      <c r="E913" t="s">
        <v>44</v>
      </c>
      <c r="F913" s="6">
        <v>0.73958333333333337</v>
      </c>
      <c r="G913">
        <v>0</v>
      </c>
      <c r="H913" s="6">
        <f>FLOOR(tblPivotData[[#This Row],[Time]],Summary!$B$6/1440)</f>
        <v>0.73958333333333326</v>
      </c>
      <c r="I913" s="49">
        <f>INDEX(PeakCalc!$L$10:$L$303,MATCH(tblPivotData[[#This Row],[Time]],PeakCalc!$G$10:$G$303,0))</f>
        <v>0</v>
      </c>
    </row>
    <row r="914" spans="1:9" x14ac:dyDescent="0.25">
      <c r="A914" t="s">
        <v>96</v>
      </c>
      <c r="B914" t="s">
        <v>109</v>
      </c>
      <c r="C914" t="s">
        <v>95</v>
      </c>
      <c r="D914" t="s">
        <v>90</v>
      </c>
      <c r="E914" t="s">
        <v>43</v>
      </c>
      <c r="F914" s="6">
        <v>0.29166666666666669</v>
      </c>
      <c r="G914">
        <v>0</v>
      </c>
      <c r="H914" s="6">
        <f>FLOOR(tblPivotData[[#This Row],[Time]],Summary!$B$6/1440)</f>
        <v>0.29166666666666663</v>
      </c>
      <c r="I914" s="49">
        <f>INDEX(PeakCalc!$L$10:$L$303,MATCH(tblPivotData[[#This Row],[Time]],PeakCalc!$G$10:$G$303,0))</f>
        <v>0</v>
      </c>
    </row>
    <row r="915" spans="1:9" x14ac:dyDescent="0.25">
      <c r="A915" t="s">
        <v>96</v>
      </c>
      <c r="B915" t="s">
        <v>109</v>
      </c>
      <c r="C915" t="s">
        <v>95</v>
      </c>
      <c r="D915" t="s">
        <v>90</v>
      </c>
      <c r="E915" t="s">
        <v>43</v>
      </c>
      <c r="F915" s="6">
        <v>0.30208333333333331</v>
      </c>
      <c r="G915">
        <v>0</v>
      </c>
      <c r="H915" s="6">
        <f>FLOOR(tblPivotData[[#This Row],[Time]],Summary!$B$6/1440)</f>
        <v>0.30208333333333331</v>
      </c>
      <c r="I915" s="49">
        <f>INDEX(PeakCalc!$L$10:$L$303,MATCH(tblPivotData[[#This Row],[Time]],PeakCalc!$G$10:$G$303,0))</f>
        <v>0</v>
      </c>
    </row>
    <row r="916" spans="1:9" x14ac:dyDescent="0.25">
      <c r="A916" t="s">
        <v>96</v>
      </c>
      <c r="B916" t="s">
        <v>109</v>
      </c>
      <c r="C916" t="s">
        <v>95</v>
      </c>
      <c r="D916" t="s">
        <v>90</v>
      </c>
      <c r="E916" t="s">
        <v>43</v>
      </c>
      <c r="F916" s="6">
        <v>0.3125</v>
      </c>
      <c r="G916">
        <v>0</v>
      </c>
      <c r="H916" s="6">
        <f>FLOOR(tblPivotData[[#This Row],[Time]],Summary!$B$6/1440)</f>
        <v>0.3125</v>
      </c>
      <c r="I916" s="49">
        <f>INDEX(PeakCalc!$L$10:$L$303,MATCH(tblPivotData[[#This Row],[Time]],PeakCalc!$G$10:$G$303,0))</f>
        <v>0</v>
      </c>
    </row>
    <row r="917" spans="1:9" x14ac:dyDescent="0.25">
      <c r="A917" t="s">
        <v>96</v>
      </c>
      <c r="B917" t="s">
        <v>109</v>
      </c>
      <c r="C917" t="s">
        <v>95</v>
      </c>
      <c r="D917" t="s">
        <v>90</v>
      </c>
      <c r="E917" t="s">
        <v>43</v>
      </c>
      <c r="F917" s="6">
        <v>0.32291666666666669</v>
      </c>
      <c r="G917">
        <v>0</v>
      </c>
      <c r="H917" s="6">
        <f>FLOOR(tblPivotData[[#This Row],[Time]],Summary!$B$6/1440)</f>
        <v>0.32291666666666663</v>
      </c>
      <c r="I917" s="49">
        <f>INDEX(PeakCalc!$L$10:$L$303,MATCH(tblPivotData[[#This Row],[Time]],PeakCalc!$G$10:$G$303,0))</f>
        <v>0</v>
      </c>
    </row>
    <row r="918" spans="1:9" x14ac:dyDescent="0.25">
      <c r="A918" t="s">
        <v>96</v>
      </c>
      <c r="B918" t="s">
        <v>109</v>
      </c>
      <c r="C918" t="s">
        <v>95</v>
      </c>
      <c r="D918" t="s">
        <v>90</v>
      </c>
      <c r="E918" t="s">
        <v>43</v>
      </c>
      <c r="F918" s="6">
        <v>0.33333333333333331</v>
      </c>
      <c r="G918">
        <v>0</v>
      </c>
      <c r="H918" s="6">
        <f>FLOOR(tblPivotData[[#This Row],[Time]],Summary!$B$6/1440)</f>
        <v>0.33333333333333331</v>
      </c>
      <c r="I918" s="49">
        <f>INDEX(PeakCalc!$L$10:$L$303,MATCH(tblPivotData[[#This Row],[Time]],PeakCalc!$G$10:$G$303,0))</f>
        <v>1</v>
      </c>
    </row>
    <row r="919" spans="1:9" x14ac:dyDescent="0.25">
      <c r="A919" t="s">
        <v>96</v>
      </c>
      <c r="B919" t="s">
        <v>109</v>
      </c>
      <c r="C919" t="s">
        <v>95</v>
      </c>
      <c r="D919" t="s">
        <v>90</v>
      </c>
      <c r="E919" t="s">
        <v>43</v>
      </c>
      <c r="F919" s="6">
        <v>0.34375</v>
      </c>
      <c r="G919">
        <v>0</v>
      </c>
      <c r="H919" s="6">
        <f>FLOOR(tblPivotData[[#This Row],[Time]],Summary!$B$6/1440)</f>
        <v>0.34375</v>
      </c>
      <c r="I919" s="49">
        <f>INDEX(PeakCalc!$L$10:$L$303,MATCH(tblPivotData[[#This Row],[Time]],PeakCalc!$G$10:$G$303,0))</f>
        <v>1</v>
      </c>
    </row>
    <row r="920" spans="1:9" x14ac:dyDescent="0.25">
      <c r="A920" t="s">
        <v>96</v>
      </c>
      <c r="B920" t="s">
        <v>109</v>
      </c>
      <c r="C920" t="s">
        <v>95</v>
      </c>
      <c r="D920" t="s">
        <v>90</v>
      </c>
      <c r="E920" t="s">
        <v>43</v>
      </c>
      <c r="F920" s="6">
        <v>0.35416666666666669</v>
      </c>
      <c r="G920">
        <v>0</v>
      </c>
      <c r="H920" s="6">
        <f>FLOOR(tblPivotData[[#This Row],[Time]],Summary!$B$6/1440)</f>
        <v>0.35416666666666663</v>
      </c>
      <c r="I920" s="49">
        <f>INDEX(PeakCalc!$L$10:$L$303,MATCH(tblPivotData[[#This Row],[Time]],PeakCalc!$G$10:$G$303,0))</f>
        <v>1</v>
      </c>
    </row>
    <row r="921" spans="1:9" x14ac:dyDescent="0.25">
      <c r="A921" t="s">
        <v>96</v>
      </c>
      <c r="B921" t="s">
        <v>109</v>
      </c>
      <c r="C921" t="s">
        <v>95</v>
      </c>
      <c r="D921" t="s">
        <v>90</v>
      </c>
      <c r="E921" t="s">
        <v>43</v>
      </c>
      <c r="F921" s="6">
        <v>0.36458333333333331</v>
      </c>
      <c r="G921">
        <v>0</v>
      </c>
      <c r="H921" s="6">
        <f>FLOOR(tblPivotData[[#This Row],[Time]],Summary!$B$6/1440)</f>
        <v>0.36458333333333331</v>
      </c>
      <c r="I921" s="49">
        <f>INDEX(PeakCalc!$L$10:$L$303,MATCH(tblPivotData[[#This Row],[Time]],PeakCalc!$G$10:$G$303,0))</f>
        <v>1</v>
      </c>
    </row>
    <row r="922" spans="1:9" x14ac:dyDescent="0.25">
      <c r="A922" t="s">
        <v>96</v>
      </c>
      <c r="B922" t="s">
        <v>109</v>
      </c>
      <c r="C922" t="s">
        <v>95</v>
      </c>
      <c r="D922" t="s">
        <v>90</v>
      </c>
      <c r="E922" t="s">
        <v>91</v>
      </c>
      <c r="F922" s="6">
        <v>0.5625</v>
      </c>
      <c r="G922">
        <v>0</v>
      </c>
      <c r="H922" s="6">
        <f>FLOOR(tblPivotData[[#This Row],[Time]],Summary!$B$6/1440)</f>
        <v>0.5625</v>
      </c>
      <c r="I922" s="49">
        <f>INDEX(PeakCalc!$L$10:$L$303,MATCH(tblPivotData[[#This Row],[Time]],PeakCalc!$G$10:$G$303,0))</f>
        <v>0</v>
      </c>
    </row>
    <row r="923" spans="1:9" x14ac:dyDescent="0.25">
      <c r="A923" t="s">
        <v>96</v>
      </c>
      <c r="B923" t="s">
        <v>109</v>
      </c>
      <c r="C923" t="s">
        <v>95</v>
      </c>
      <c r="D923" t="s">
        <v>90</v>
      </c>
      <c r="E923" t="s">
        <v>91</v>
      </c>
      <c r="F923" s="6">
        <v>0.57291666666666663</v>
      </c>
      <c r="G923">
        <v>0</v>
      </c>
      <c r="H923" s="6">
        <f>FLOOR(tblPivotData[[#This Row],[Time]],Summary!$B$6/1440)</f>
        <v>0.57291666666666663</v>
      </c>
      <c r="I923" s="49">
        <f>INDEX(PeakCalc!$L$10:$L$303,MATCH(tblPivotData[[#This Row],[Time]],PeakCalc!$G$10:$G$303,0))</f>
        <v>0</v>
      </c>
    </row>
    <row r="924" spans="1:9" x14ac:dyDescent="0.25">
      <c r="A924" t="s">
        <v>96</v>
      </c>
      <c r="B924" t="s">
        <v>109</v>
      </c>
      <c r="C924" t="s">
        <v>95</v>
      </c>
      <c r="D924" t="s">
        <v>90</v>
      </c>
      <c r="E924" t="s">
        <v>91</v>
      </c>
      <c r="F924" s="6">
        <v>0.58333333333333337</v>
      </c>
      <c r="G924">
        <v>0</v>
      </c>
      <c r="H924" s="6">
        <f>FLOOR(tblPivotData[[#This Row],[Time]],Summary!$B$6/1440)</f>
        <v>0.58333333333333326</v>
      </c>
      <c r="I924" s="49">
        <f>INDEX(PeakCalc!$L$10:$L$303,MATCH(tblPivotData[[#This Row],[Time]],PeakCalc!$G$10:$G$303,0))</f>
        <v>0</v>
      </c>
    </row>
    <row r="925" spans="1:9" x14ac:dyDescent="0.25">
      <c r="A925" t="s">
        <v>96</v>
      </c>
      <c r="B925" t="s">
        <v>109</v>
      </c>
      <c r="C925" t="s">
        <v>95</v>
      </c>
      <c r="D925" t="s">
        <v>90</v>
      </c>
      <c r="E925" t="s">
        <v>91</v>
      </c>
      <c r="F925" s="6">
        <v>0.59375</v>
      </c>
      <c r="G925">
        <v>0</v>
      </c>
      <c r="H925" s="6">
        <f>FLOOR(tblPivotData[[#This Row],[Time]],Summary!$B$6/1440)</f>
        <v>0.59375</v>
      </c>
      <c r="I925" s="49">
        <f>INDEX(PeakCalc!$L$10:$L$303,MATCH(tblPivotData[[#This Row],[Time]],PeakCalc!$G$10:$G$303,0))</f>
        <v>0</v>
      </c>
    </row>
    <row r="926" spans="1:9" x14ac:dyDescent="0.25">
      <c r="A926" t="s">
        <v>96</v>
      </c>
      <c r="B926" t="s">
        <v>109</v>
      </c>
      <c r="C926" t="s">
        <v>95</v>
      </c>
      <c r="D926" t="s">
        <v>90</v>
      </c>
      <c r="E926" t="s">
        <v>91</v>
      </c>
      <c r="F926" s="6">
        <v>0.60416666666666663</v>
      </c>
      <c r="G926">
        <v>0</v>
      </c>
      <c r="H926" s="6">
        <f>FLOOR(tblPivotData[[#This Row],[Time]],Summary!$B$6/1440)</f>
        <v>0.60416666666666663</v>
      </c>
      <c r="I926" s="49">
        <f>INDEX(PeakCalc!$L$10:$L$303,MATCH(tblPivotData[[#This Row],[Time]],PeakCalc!$G$10:$G$303,0))</f>
        <v>1</v>
      </c>
    </row>
    <row r="927" spans="1:9" x14ac:dyDescent="0.25">
      <c r="A927" t="s">
        <v>96</v>
      </c>
      <c r="B927" t="s">
        <v>109</v>
      </c>
      <c r="C927" t="s">
        <v>95</v>
      </c>
      <c r="D927" t="s">
        <v>90</v>
      </c>
      <c r="E927" t="s">
        <v>91</v>
      </c>
      <c r="F927" s="6">
        <v>0.61458333333333337</v>
      </c>
      <c r="G927">
        <v>0</v>
      </c>
      <c r="H927" s="6">
        <f>FLOOR(tblPivotData[[#This Row],[Time]],Summary!$B$6/1440)</f>
        <v>0.61458333333333326</v>
      </c>
      <c r="I927" s="49">
        <f>INDEX(PeakCalc!$L$10:$L$303,MATCH(tblPivotData[[#This Row],[Time]],PeakCalc!$G$10:$G$303,0))</f>
        <v>1</v>
      </c>
    </row>
    <row r="928" spans="1:9" x14ac:dyDescent="0.25">
      <c r="A928" t="s">
        <v>96</v>
      </c>
      <c r="B928" t="s">
        <v>109</v>
      </c>
      <c r="C928" t="s">
        <v>95</v>
      </c>
      <c r="D928" t="s">
        <v>90</v>
      </c>
      <c r="E928" t="s">
        <v>91</v>
      </c>
      <c r="F928" s="6">
        <v>0.625</v>
      </c>
      <c r="G928">
        <v>0</v>
      </c>
      <c r="H928" s="6">
        <f>FLOOR(tblPivotData[[#This Row],[Time]],Summary!$B$6/1440)</f>
        <v>0.625</v>
      </c>
      <c r="I928" s="49">
        <f>INDEX(PeakCalc!$L$10:$L$303,MATCH(tblPivotData[[#This Row],[Time]],PeakCalc!$G$10:$G$303,0))</f>
        <v>1</v>
      </c>
    </row>
    <row r="929" spans="1:9" x14ac:dyDescent="0.25">
      <c r="A929" t="s">
        <v>96</v>
      </c>
      <c r="B929" t="s">
        <v>109</v>
      </c>
      <c r="C929" t="s">
        <v>95</v>
      </c>
      <c r="D929" t="s">
        <v>90</v>
      </c>
      <c r="E929" t="s">
        <v>91</v>
      </c>
      <c r="F929" s="6">
        <v>0.63541666666666663</v>
      </c>
      <c r="G929">
        <v>0</v>
      </c>
      <c r="H929" s="6">
        <f>FLOOR(tblPivotData[[#This Row],[Time]],Summary!$B$6/1440)</f>
        <v>0.63541666666666663</v>
      </c>
      <c r="I929" s="49">
        <f>INDEX(PeakCalc!$L$10:$L$303,MATCH(tblPivotData[[#This Row],[Time]],PeakCalc!$G$10:$G$303,0))</f>
        <v>1</v>
      </c>
    </row>
    <row r="930" spans="1:9" x14ac:dyDescent="0.25">
      <c r="A930" t="s">
        <v>96</v>
      </c>
      <c r="B930" t="s">
        <v>109</v>
      </c>
      <c r="C930" t="s">
        <v>95</v>
      </c>
      <c r="D930" t="s">
        <v>90</v>
      </c>
      <c r="E930" t="s">
        <v>44</v>
      </c>
      <c r="F930" s="6">
        <v>0.66666666666666663</v>
      </c>
      <c r="G930">
        <v>0</v>
      </c>
      <c r="H930" s="6">
        <f>FLOOR(tblPivotData[[#This Row],[Time]],Summary!$B$6/1440)</f>
        <v>0.66666666666666663</v>
      </c>
      <c r="I930" s="49">
        <f>INDEX(PeakCalc!$L$10:$L$303,MATCH(tblPivotData[[#This Row],[Time]],PeakCalc!$G$10:$G$303,0))</f>
        <v>0</v>
      </c>
    </row>
    <row r="931" spans="1:9" x14ac:dyDescent="0.25">
      <c r="A931" t="s">
        <v>96</v>
      </c>
      <c r="B931" t="s">
        <v>109</v>
      </c>
      <c r="C931" t="s">
        <v>95</v>
      </c>
      <c r="D931" t="s">
        <v>90</v>
      </c>
      <c r="E931" t="s">
        <v>44</v>
      </c>
      <c r="F931" s="6">
        <v>0.67708333333333337</v>
      </c>
      <c r="G931">
        <v>0</v>
      </c>
      <c r="H931" s="6">
        <f>FLOOR(tblPivotData[[#This Row],[Time]],Summary!$B$6/1440)</f>
        <v>0.67708333333333326</v>
      </c>
      <c r="I931" s="49">
        <f>INDEX(PeakCalc!$L$10:$L$303,MATCH(tblPivotData[[#This Row],[Time]],PeakCalc!$G$10:$G$303,0))</f>
        <v>0</v>
      </c>
    </row>
    <row r="932" spans="1:9" x14ac:dyDescent="0.25">
      <c r="A932" t="s">
        <v>96</v>
      </c>
      <c r="B932" t="s">
        <v>109</v>
      </c>
      <c r="C932" t="s">
        <v>95</v>
      </c>
      <c r="D932" t="s">
        <v>90</v>
      </c>
      <c r="E932" t="s">
        <v>44</v>
      </c>
      <c r="F932" s="6">
        <v>0.6875</v>
      </c>
      <c r="G932">
        <v>0</v>
      </c>
      <c r="H932" s="6">
        <f>FLOOR(tblPivotData[[#This Row],[Time]],Summary!$B$6/1440)</f>
        <v>0.6875</v>
      </c>
      <c r="I932" s="49">
        <f>INDEX(PeakCalc!$L$10:$L$303,MATCH(tblPivotData[[#This Row],[Time]],PeakCalc!$G$10:$G$303,0))</f>
        <v>1</v>
      </c>
    </row>
    <row r="933" spans="1:9" x14ac:dyDescent="0.25">
      <c r="A933" t="s">
        <v>96</v>
      </c>
      <c r="B933" t="s">
        <v>109</v>
      </c>
      <c r="C933" t="s">
        <v>95</v>
      </c>
      <c r="D933" t="s">
        <v>90</v>
      </c>
      <c r="E933" t="s">
        <v>44</v>
      </c>
      <c r="F933" s="6">
        <v>0.69791666666666663</v>
      </c>
      <c r="G933">
        <v>0</v>
      </c>
      <c r="H933" s="6">
        <f>FLOOR(tblPivotData[[#This Row],[Time]],Summary!$B$6/1440)</f>
        <v>0.69791666666666663</v>
      </c>
      <c r="I933" s="49">
        <f>INDEX(PeakCalc!$L$10:$L$303,MATCH(tblPivotData[[#This Row],[Time]],PeakCalc!$G$10:$G$303,0))</f>
        <v>1</v>
      </c>
    </row>
    <row r="934" spans="1:9" x14ac:dyDescent="0.25">
      <c r="A934" t="s">
        <v>96</v>
      </c>
      <c r="B934" t="s">
        <v>109</v>
      </c>
      <c r="C934" t="s">
        <v>95</v>
      </c>
      <c r="D934" t="s">
        <v>90</v>
      </c>
      <c r="E934" t="s">
        <v>44</v>
      </c>
      <c r="F934" s="6">
        <v>0.70833333333333337</v>
      </c>
      <c r="G934">
        <v>0</v>
      </c>
      <c r="H934" s="6">
        <f>FLOOR(tblPivotData[[#This Row],[Time]],Summary!$B$6/1440)</f>
        <v>0.70833333333333326</v>
      </c>
      <c r="I934" s="49">
        <f>INDEX(PeakCalc!$L$10:$L$303,MATCH(tblPivotData[[#This Row],[Time]],PeakCalc!$G$10:$G$303,0))</f>
        <v>1</v>
      </c>
    </row>
    <row r="935" spans="1:9" x14ac:dyDescent="0.25">
      <c r="A935" t="s">
        <v>96</v>
      </c>
      <c r="B935" t="s">
        <v>109</v>
      </c>
      <c r="C935" t="s">
        <v>95</v>
      </c>
      <c r="D935" t="s">
        <v>90</v>
      </c>
      <c r="E935" t="s">
        <v>44</v>
      </c>
      <c r="F935" s="6">
        <v>0.71875</v>
      </c>
      <c r="G935">
        <v>0</v>
      </c>
      <c r="H935" s="6">
        <f>FLOOR(tblPivotData[[#This Row],[Time]],Summary!$B$6/1440)</f>
        <v>0.71875</v>
      </c>
      <c r="I935" s="49">
        <f>INDEX(PeakCalc!$L$10:$L$303,MATCH(tblPivotData[[#This Row],[Time]],PeakCalc!$G$10:$G$303,0))</f>
        <v>1</v>
      </c>
    </row>
    <row r="936" spans="1:9" x14ac:dyDescent="0.25">
      <c r="A936" t="s">
        <v>96</v>
      </c>
      <c r="B936" t="s">
        <v>109</v>
      </c>
      <c r="C936" t="s">
        <v>95</v>
      </c>
      <c r="D936" t="s">
        <v>90</v>
      </c>
      <c r="E936" t="s">
        <v>44</v>
      </c>
      <c r="F936" s="6">
        <v>0.72916666666666663</v>
      </c>
      <c r="G936">
        <v>0</v>
      </c>
      <c r="H936" s="6">
        <f>FLOOR(tblPivotData[[#This Row],[Time]],Summary!$B$6/1440)</f>
        <v>0.72916666666666663</v>
      </c>
      <c r="I936" s="49">
        <f>INDEX(PeakCalc!$L$10:$L$303,MATCH(tblPivotData[[#This Row],[Time]],PeakCalc!$G$10:$G$303,0))</f>
        <v>0</v>
      </c>
    </row>
    <row r="937" spans="1:9" x14ac:dyDescent="0.25">
      <c r="A937" t="s">
        <v>96</v>
      </c>
      <c r="B937" t="s">
        <v>109</v>
      </c>
      <c r="C937" t="s">
        <v>95</v>
      </c>
      <c r="D937" t="s">
        <v>90</v>
      </c>
      <c r="E937" t="s">
        <v>44</v>
      </c>
      <c r="F937" s="6">
        <v>0.73958333333333337</v>
      </c>
      <c r="G937">
        <v>0</v>
      </c>
      <c r="H937" s="6">
        <f>FLOOR(tblPivotData[[#This Row],[Time]],Summary!$B$6/1440)</f>
        <v>0.73958333333333326</v>
      </c>
      <c r="I937"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40"/>
  <sheetViews>
    <sheetView showGridLines="0" tabSelected="1" zoomScaleNormal="100" workbookViewId="0">
      <selection activeCell="O3" sqref="O3"/>
    </sheetView>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1" t="s">
        <v>114</v>
      </c>
      <c r="BG11" s="51" t="s">
        <v>49</v>
      </c>
    </row>
    <row r="12" spans="2:59"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104</v>
      </c>
      <c r="AH12" s="52"/>
      <c r="AI12" s="52"/>
      <c r="AJ12" s="51" t="s">
        <v>122</v>
      </c>
      <c r="AK12" s="51" t="s">
        <v>105</v>
      </c>
      <c r="AL12" s="52"/>
      <c r="AM12" s="52"/>
      <c r="AN12" s="51" t="s">
        <v>123</v>
      </c>
      <c r="AO12" s="51" t="s">
        <v>106</v>
      </c>
      <c r="AP12" s="52"/>
      <c r="AQ12" s="52"/>
      <c r="AR12" s="51" t="s">
        <v>124</v>
      </c>
      <c r="AS12" s="52"/>
      <c r="AT12" s="51" t="s">
        <v>107</v>
      </c>
      <c r="AU12" s="52"/>
      <c r="AV12" s="52"/>
      <c r="AW12" s="51" t="s">
        <v>125</v>
      </c>
      <c r="AX12" s="51" t="s">
        <v>108</v>
      </c>
      <c r="AY12" s="52"/>
      <c r="AZ12" s="52"/>
      <c r="BA12" s="51" t="s">
        <v>126</v>
      </c>
      <c r="BB12" s="51" t="s">
        <v>109</v>
      </c>
      <c r="BC12" s="52"/>
      <c r="BD12" s="52"/>
      <c r="BE12" s="51" t="s">
        <v>127</v>
      </c>
      <c r="BF12" s="52"/>
      <c r="BG12" s="52"/>
    </row>
    <row r="13" spans="2:59"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52"/>
      <c r="BG13" s="52"/>
    </row>
    <row r="14" spans="2:59" x14ac:dyDescent="0.25">
      <c r="B14" s="10" t="s">
        <v>43</v>
      </c>
      <c r="C14" s="49">
        <v>3</v>
      </c>
      <c r="D14" s="49">
        <v>0</v>
      </c>
      <c r="E14" s="49">
        <v>0</v>
      </c>
      <c r="F14" s="49">
        <v>3</v>
      </c>
      <c r="G14" s="49">
        <v>157</v>
      </c>
      <c r="H14" s="49">
        <v>13</v>
      </c>
      <c r="I14" s="49">
        <v>0</v>
      </c>
      <c r="J14" s="49">
        <v>170</v>
      </c>
      <c r="K14" s="49">
        <v>30</v>
      </c>
      <c r="L14" s="49">
        <v>0</v>
      </c>
      <c r="M14" s="49">
        <v>0</v>
      </c>
      <c r="N14" s="49">
        <v>30</v>
      </c>
      <c r="O14" s="49">
        <v>2</v>
      </c>
      <c r="P14" s="49">
        <v>0</v>
      </c>
      <c r="Q14" s="49">
        <v>0</v>
      </c>
      <c r="R14" s="49">
        <v>2</v>
      </c>
      <c r="S14" s="49">
        <v>205</v>
      </c>
      <c r="T14" s="49">
        <v>59</v>
      </c>
      <c r="U14" s="49">
        <v>4</v>
      </c>
      <c r="V14" s="49">
        <v>1</v>
      </c>
      <c r="W14" s="49">
        <v>64</v>
      </c>
      <c r="X14" s="49">
        <v>17</v>
      </c>
      <c r="Y14" s="49">
        <v>3</v>
      </c>
      <c r="Z14" s="49">
        <v>2</v>
      </c>
      <c r="AA14" s="49">
        <v>22</v>
      </c>
      <c r="AB14" s="49">
        <v>2</v>
      </c>
      <c r="AC14" s="49">
        <v>0</v>
      </c>
      <c r="AD14" s="49">
        <v>0</v>
      </c>
      <c r="AE14" s="49">
        <v>2</v>
      </c>
      <c r="AF14" s="49">
        <v>88</v>
      </c>
      <c r="AG14" s="49">
        <v>26</v>
      </c>
      <c r="AH14" s="49">
        <v>0</v>
      </c>
      <c r="AI14" s="49">
        <v>0</v>
      </c>
      <c r="AJ14" s="49">
        <v>26</v>
      </c>
      <c r="AK14" s="49">
        <v>63</v>
      </c>
      <c r="AL14" s="49">
        <v>0</v>
      </c>
      <c r="AM14" s="49">
        <v>1</v>
      </c>
      <c r="AN14" s="49">
        <v>64</v>
      </c>
      <c r="AO14" s="49">
        <v>34</v>
      </c>
      <c r="AP14" s="49">
        <v>1</v>
      </c>
      <c r="AQ14" s="49">
        <v>0</v>
      </c>
      <c r="AR14" s="49">
        <v>35</v>
      </c>
      <c r="AS14" s="49">
        <v>125</v>
      </c>
      <c r="AT14" s="49">
        <v>11</v>
      </c>
      <c r="AU14" s="49">
        <v>0</v>
      </c>
      <c r="AV14" s="49">
        <v>1</v>
      </c>
      <c r="AW14" s="49">
        <v>12</v>
      </c>
      <c r="AX14" s="49">
        <v>15</v>
      </c>
      <c r="AY14" s="49">
        <v>0</v>
      </c>
      <c r="AZ14" s="49">
        <v>3</v>
      </c>
      <c r="BA14" s="49">
        <v>18</v>
      </c>
      <c r="BB14" s="49">
        <v>25</v>
      </c>
      <c r="BC14" s="49">
        <v>2</v>
      </c>
      <c r="BD14" s="49">
        <v>0</v>
      </c>
      <c r="BE14" s="49">
        <v>27</v>
      </c>
      <c r="BF14" s="49">
        <v>57</v>
      </c>
      <c r="BG14" s="49">
        <v>475</v>
      </c>
    </row>
    <row r="15" spans="2:59" x14ac:dyDescent="0.25">
      <c r="B15" s="11">
        <v>0.29166666666666669</v>
      </c>
      <c r="C15" s="49">
        <v>1</v>
      </c>
      <c r="D15" s="49">
        <v>0</v>
      </c>
      <c r="E15" s="49">
        <v>0</v>
      </c>
      <c r="F15" s="49">
        <v>1</v>
      </c>
      <c r="G15" s="49">
        <v>12</v>
      </c>
      <c r="H15" s="49">
        <v>2</v>
      </c>
      <c r="I15" s="49">
        <v>0</v>
      </c>
      <c r="J15" s="49">
        <v>14</v>
      </c>
      <c r="K15" s="49">
        <v>1</v>
      </c>
      <c r="L15" s="49">
        <v>0</v>
      </c>
      <c r="M15" s="49">
        <v>0</v>
      </c>
      <c r="N15" s="49">
        <v>1</v>
      </c>
      <c r="O15" s="49">
        <v>0</v>
      </c>
      <c r="P15" s="49">
        <v>0</v>
      </c>
      <c r="Q15" s="49">
        <v>0</v>
      </c>
      <c r="R15" s="49">
        <v>0</v>
      </c>
      <c r="S15" s="49">
        <v>16</v>
      </c>
      <c r="T15" s="49">
        <v>5</v>
      </c>
      <c r="U15" s="49">
        <v>1</v>
      </c>
      <c r="V15" s="49">
        <v>0</v>
      </c>
      <c r="W15" s="49">
        <v>6</v>
      </c>
      <c r="X15" s="49">
        <v>2</v>
      </c>
      <c r="Y15" s="49">
        <v>0</v>
      </c>
      <c r="Z15" s="49">
        <v>0</v>
      </c>
      <c r="AA15" s="49">
        <v>2</v>
      </c>
      <c r="AB15" s="49">
        <v>0</v>
      </c>
      <c r="AC15" s="49">
        <v>0</v>
      </c>
      <c r="AD15" s="49">
        <v>0</v>
      </c>
      <c r="AE15" s="49">
        <v>0</v>
      </c>
      <c r="AF15" s="49">
        <v>8</v>
      </c>
      <c r="AG15" s="49">
        <v>3</v>
      </c>
      <c r="AH15" s="49">
        <v>0</v>
      </c>
      <c r="AI15" s="49">
        <v>0</v>
      </c>
      <c r="AJ15" s="49">
        <v>3</v>
      </c>
      <c r="AK15" s="49">
        <v>7</v>
      </c>
      <c r="AL15" s="49">
        <v>0</v>
      </c>
      <c r="AM15" s="49">
        <v>0</v>
      </c>
      <c r="AN15" s="49">
        <v>7</v>
      </c>
      <c r="AO15" s="49">
        <v>2</v>
      </c>
      <c r="AP15" s="49">
        <v>1</v>
      </c>
      <c r="AQ15" s="49">
        <v>0</v>
      </c>
      <c r="AR15" s="49">
        <v>3</v>
      </c>
      <c r="AS15" s="49">
        <v>13</v>
      </c>
      <c r="AT15" s="49">
        <v>1</v>
      </c>
      <c r="AU15" s="49">
        <v>0</v>
      </c>
      <c r="AV15" s="49">
        <v>0</v>
      </c>
      <c r="AW15" s="49">
        <v>1</v>
      </c>
      <c r="AX15" s="49">
        <v>1</v>
      </c>
      <c r="AY15" s="49">
        <v>0</v>
      </c>
      <c r="AZ15" s="49">
        <v>0</v>
      </c>
      <c r="BA15" s="49">
        <v>1</v>
      </c>
      <c r="BB15" s="49">
        <v>0</v>
      </c>
      <c r="BC15" s="49">
        <v>1</v>
      </c>
      <c r="BD15" s="49">
        <v>0</v>
      </c>
      <c r="BE15" s="49">
        <v>1</v>
      </c>
      <c r="BF15" s="49">
        <v>3</v>
      </c>
      <c r="BG15" s="49">
        <v>40</v>
      </c>
    </row>
    <row r="16" spans="2:59" x14ac:dyDescent="0.25">
      <c r="B16" s="11">
        <v>0.30208333333333331</v>
      </c>
      <c r="C16" s="49">
        <v>0</v>
      </c>
      <c r="D16" s="49">
        <v>0</v>
      </c>
      <c r="E16" s="49">
        <v>0</v>
      </c>
      <c r="F16" s="49">
        <v>0</v>
      </c>
      <c r="G16" s="49">
        <v>16</v>
      </c>
      <c r="H16" s="49">
        <v>1</v>
      </c>
      <c r="I16" s="49">
        <v>0</v>
      </c>
      <c r="J16" s="49">
        <v>17</v>
      </c>
      <c r="K16" s="49">
        <v>2</v>
      </c>
      <c r="L16" s="49">
        <v>0</v>
      </c>
      <c r="M16" s="49">
        <v>0</v>
      </c>
      <c r="N16" s="49">
        <v>2</v>
      </c>
      <c r="O16" s="49">
        <v>0</v>
      </c>
      <c r="P16" s="49">
        <v>0</v>
      </c>
      <c r="Q16" s="49">
        <v>0</v>
      </c>
      <c r="R16" s="49">
        <v>0</v>
      </c>
      <c r="S16" s="49">
        <v>19</v>
      </c>
      <c r="T16" s="49">
        <v>7</v>
      </c>
      <c r="U16" s="49">
        <v>0</v>
      </c>
      <c r="V16" s="49">
        <v>0</v>
      </c>
      <c r="W16" s="49">
        <v>7</v>
      </c>
      <c r="X16" s="49">
        <v>0</v>
      </c>
      <c r="Y16" s="49">
        <v>0</v>
      </c>
      <c r="Z16" s="49">
        <v>0</v>
      </c>
      <c r="AA16" s="49">
        <v>0</v>
      </c>
      <c r="AB16" s="49">
        <v>0</v>
      </c>
      <c r="AC16" s="49">
        <v>0</v>
      </c>
      <c r="AD16" s="49">
        <v>0</v>
      </c>
      <c r="AE16" s="49">
        <v>0</v>
      </c>
      <c r="AF16" s="49">
        <v>7</v>
      </c>
      <c r="AG16" s="49">
        <v>2</v>
      </c>
      <c r="AH16" s="49">
        <v>0</v>
      </c>
      <c r="AI16" s="49">
        <v>0</v>
      </c>
      <c r="AJ16" s="49">
        <v>2</v>
      </c>
      <c r="AK16" s="49">
        <v>3</v>
      </c>
      <c r="AL16" s="49">
        <v>0</v>
      </c>
      <c r="AM16" s="49">
        <v>0</v>
      </c>
      <c r="AN16" s="49">
        <v>3</v>
      </c>
      <c r="AO16" s="49">
        <v>5</v>
      </c>
      <c r="AP16" s="49">
        <v>0</v>
      </c>
      <c r="AQ16" s="49">
        <v>0</v>
      </c>
      <c r="AR16" s="49">
        <v>5</v>
      </c>
      <c r="AS16" s="49">
        <v>10</v>
      </c>
      <c r="AT16" s="49">
        <v>0</v>
      </c>
      <c r="AU16" s="49">
        <v>0</v>
      </c>
      <c r="AV16" s="49">
        <v>0</v>
      </c>
      <c r="AW16" s="49">
        <v>0</v>
      </c>
      <c r="AX16" s="49">
        <v>1</v>
      </c>
      <c r="AY16" s="49">
        <v>0</v>
      </c>
      <c r="AZ16" s="49">
        <v>0</v>
      </c>
      <c r="BA16" s="49">
        <v>1</v>
      </c>
      <c r="BB16" s="49">
        <v>2</v>
      </c>
      <c r="BC16" s="49">
        <v>0</v>
      </c>
      <c r="BD16" s="49">
        <v>0</v>
      </c>
      <c r="BE16" s="49">
        <v>2</v>
      </c>
      <c r="BF16" s="49">
        <v>3</v>
      </c>
      <c r="BG16" s="49">
        <v>39</v>
      </c>
    </row>
    <row r="17" spans="2:59" x14ac:dyDescent="0.25">
      <c r="B17" s="11">
        <v>0.3125</v>
      </c>
      <c r="C17" s="49">
        <v>1</v>
      </c>
      <c r="D17" s="49">
        <v>0</v>
      </c>
      <c r="E17" s="49">
        <v>0</v>
      </c>
      <c r="F17" s="49">
        <v>1</v>
      </c>
      <c r="G17" s="49">
        <v>18</v>
      </c>
      <c r="H17" s="49">
        <v>3</v>
      </c>
      <c r="I17" s="49">
        <v>0</v>
      </c>
      <c r="J17" s="49">
        <v>21</v>
      </c>
      <c r="K17" s="49">
        <v>5</v>
      </c>
      <c r="L17" s="49">
        <v>0</v>
      </c>
      <c r="M17" s="49">
        <v>0</v>
      </c>
      <c r="N17" s="49">
        <v>5</v>
      </c>
      <c r="O17" s="49">
        <v>1</v>
      </c>
      <c r="P17" s="49">
        <v>0</v>
      </c>
      <c r="Q17" s="49">
        <v>0</v>
      </c>
      <c r="R17" s="49">
        <v>1</v>
      </c>
      <c r="S17" s="49">
        <v>28</v>
      </c>
      <c r="T17" s="49">
        <v>5</v>
      </c>
      <c r="U17" s="49">
        <v>0</v>
      </c>
      <c r="V17" s="49">
        <v>0</v>
      </c>
      <c r="W17" s="49">
        <v>5</v>
      </c>
      <c r="X17" s="49">
        <v>2</v>
      </c>
      <c r="Y17" s="49">
        <v>1</v>
      </c>
      <c r="Z17" s="49">
        <v>0</v>
      </c>
      <c r="AA17" s="49">
        <v>3</v>
      </c>
      <c r="AB17" s="49">
        <v>1</v>
      </c>
      <c r="AC17" s="49">
        <v>0</v>
      </c>
      <c r="AD17" s="49">
        <v>0</v>
      </c>
      <c r="AE17" s="49">
        <v>1</v>
      </c>
      <c r="AF17" s="49">
        <v>9</v>
      </c>
      <c r="AG17" s="49">
        <v>2</v>
      </c>
      <c r="AH17" s="49">
        <v>0</v>
      </c>
      <c r="AI17" s="49">
        <v>0</v>
      </c>
      <c r="AJ17" s="49">
        <v>2</v>
      </c>
      <c r="AK17" s="49">
        <v>5</v>
      </c>
      <c r="AL17" s="49">
        <v>0</v>
      </c>
      <c r="AM17" s="49">
        <v>0</v>
      </c>
      <c r="AN17" s="49">
        <v>5</v>
      </c>
      <c r="AO17" s="49">
        <v>5</v>
      </c>
      <c r="AP17" s="49">
        <v>0</v>
      </c>
      <c r="AQ17" s="49">
        <v>0</v>
      </c>
      <c r="AR17" s="49">
        <v>5</v>
      </c>
      <c r="AS17" s="49">
        <v>12</v>
      </c>
      <c r="AT17" s="49">
        <v>1</v>
      </c>
      <c r="AU17" s="49">
        <v>0</v>
      </c>
      <c r="AV17" s="49">
        <v>0</v>
      </c>
      <c r="AW17" s="49">
        <v>1</v>
      </c>
      <c r="AX17" s="49">
        <v>4</v>
      </c>
      <c r="AY17" s="49">
        <v>0</v>
      </c>
      <c r="AZ17" s="49">
        <v>1</v>
      </c>
      <c r="BA17" s="49">
        <v>5</v>
      </c>
      <c r="BB17" s="49">
        <v>4</v>
      </c>
      <c r="BC17" s="49">
        <v>1</v>
      </c>
      <c r="BD17" s="49">
        <v>0</v>
      </c>
      <c r="BE17" s="49">
        <v>5</v>
      </c>
      <c r="BF17" s="49">
        <v>11</v>
      </c>
      <c r="BG17" s="49">
        <v>60</v>
      </c>
    </row>
    <row r="18" spans="2:59" x14ac:dyDescent="0.25">
      <c r="B18" s="11">
        <v>0.32291666666666669</v>
      </c>
      <c r="C18" s="49">
        <v>0</v>
      </c>
      <c r="D18" s="49">
        <v>0</v>
      </c>
      <c r="E18" s="49">
        <v>0</v>
      </c>
      <c r="F18" s="49">
        <v>0</v>
      </c>
      <c r="G18" s="49">
        <v>16</v>
      </c>
      <c r="H18" s="49">
        <v>2</v>
      </c>
      <c r="I18" s="49">
        <v>0</v>
      </c>
      <c r="J18" s="49">
        <v>18</v>
      </c>
      <c r="K18" s="49">
        <v>4</v>
      </c>
      <c r="L18" s="49">
        <v>0</v>
      </c>
      <c r="M18" s="49">
        <v>0</v>
      </c>
      <c r="N18" s="49">
        <v>4</v>
      </c>
      <c r="O18" s="49">
        <v>0</v>
      </c>
      <c r="P18" s="49">
        <v>0</v>
      </c>
      <c r="Q18" s="49">
        <v>0</v>
      </c>
      <c r="R18" s="49">
        <v>0</v>
      </c>
      <c r="S18" s="49">
        <v>22</v>
      </c>
      <c r="T18" s="49">
        <v>6</v>
      </c>
      <c r="U18" s="49">
        <v>1</v>
      </c>
      <c r="V18" s="49">
        <v>1</v>
      </c>
      <c r="W18" s="49">
        <v>8</v>
      </c>
      <c r="X18" s="49">
        <v>2</v>
      </c>
      <c r="Y18" s="49">
        <v>1</v>
      </c>
      <c r="Z18" s="49">
        <v>0</v>
      </c>
      <c r="AA18" s="49">
        <v>3</v>
      </c>
      <c r="AB18" s="49">
        <v>0</v>
      </c>
      <c r="AC18" s="49">
        <v>0</v>
      </c>
      <c r="AD18" s="49">
        <v>0</v>
      </c>
      <c r="AE18" s="49">
        <v>0</v>
      </c>
      <c r="AF18" s="49">
        <v>11</v>
      </c>
      <c r="AG18" s="49">
        <v>3</v>
      </c>
      <c r="AH18" s="49">
        <v>0</v>
      </c>
      <c r="AI18" s="49">
        <v>0</v>
      </c>
      <c r="AJ18" s="49">
        <v>3</v>
      </c>
      <c r="AK18" s="49">
        <v>5</v>
      </c>
      <c r="AL18" s="49">
        <v>0</v>
      </c>
      <c r="AM18" s="49">
        <v>0</v>
      </c>
      <c r="AN18" s="49">
        <v>5</v>
      </c>
      <c r="AO18" s="49">
        <v>4</v>
      </c>
      <c r="AP18" s="49">
        <v>0</v>
      </c>
      <c r="AQ18" s="49">
        <v>0</v>
      </c>
      <c r="AR18" s="49">
        <v>4</v>
      </c>
      <c r="AS18" s="49">
        <v>12</v>
      </c>
      <c r="AT18" s="49">
        <v>1</v>
      </c>
      <c r="AU18" s="49">
        <v>0</v>
      </c>
      <c r="AV18" s="49">
        <v>0</v>
      </c>
      <c r="AW18" s="49">
        <v>1</v>
      </c>
      <c r="AX18" s="49">
        <v>2</v>
      </c>
      <c r="AY18" s="49">
        <v>0</v>
      </c>
      <c r="AZ18" s="49">
        <v>0</v>
      </c>
      <c r="BA18" s="49">
        <v>2</v>
      </c>
      <c r="BB18" s="49">
        <v>4</v>
      </c>
      <c r="BC18" s="49">
        <v>0</v>
      </c>
      <c r="BD18" s="49">
        <v>0</v>
      </c>
      <c r="BE18" s="49">
        <v>4</v>
      </c>
      <c r="BF18" s="49">
        <v>7</v>
      </c>
      <c r="BG18" s="49">
        <v>52</v>
      </c>
    </row>
    <row r="19" spans="2:59" x14ac:dyDescent="0.25">
      <c r="B19" s="11">
        <v>0.33333333333333331</v>
      </c>
      <c r="C19" s="49">
        <v>0</v>
      </c>
      <c r="D19" s="49">
        <v>0</v>
      </c>
      <c r="E19" s="49">
        <v>0</v>
      </c>
      <c r="F19" s="49">
        <v>0</v>
      </c>
      <c r="G19" s="49">
        <v>19</v>
      </c>
      <c r="H19" s="49">
        <v>1</v>
      </c>
      <c r="I19" s="49">
        <v>0</v>
      </c>
      <c r="J19" s="49">
        <v>20</v>
      </c>
      <c r="K19" s="49">
        <v>3</v>
      </c>
      <c r="L19" s="49">
        <v>0</v>
      </c>
      <c r="M19" s="49">
        <v>0</v>
      </c>
      <c r="N19" s="49">
        <v>3</v>
      </c>
      <c r="O19" s="49">
        <v>0</v>
      </c>
      <c r="P19" s="49">
        <v>0</v>
      </c>
      <c r="Q19" s="49">
        <v>0</v>
      </c>
      <c r="R19" s="49">
        <v>0</v>
      </c>
      <c r="S19" s="49">
        <v>23</v>
      </c>
      <c r="T19" s="49">
        <v>10</v>
      </c>
      <c r="U19" s="49">
        <v>0</v>
      </c>
      <c r="V19" s="49">
        <v>0</v>
      </c>
      <c r="W19" s="49">
        <v>10</v>
      </c>
      <c r="X19" s="49">
        <v>2</v>
      </c>
      <c r="Y19" s="49">
        <v>1</v>
      </c>
      <c r="Z19" s="49">
        <v>1</v>
      </c>
      <c r="AA19" s="49">
        <v>4</v>
      </c>
      <c r="AB19" s="49">
        <v>0</v>
      </c>
      <c r="AC19" s="49">
        <v>0</v>
      </c>
      <c r="AD19" s="49">
        <v>0</v>
      </c>
      <c r="AE19" s="49">
        <v>0</v>
      </c>
      <c r="AF19" s="49">
        <v>14</v>
      </c>
      <c r="AG19" s="49">
        <v>4</v>
      </c>
      <c r="AH19" s="49">
        <v>0</v>
      </c>
      <c r="AI19" s="49">
        <v>0</v>
      </c>
      <c r="AJ19" s="49">
        <v>4</v>
      </c>
      <c r="AK19" s="49">
        <v>13</v>
      </c>
      <c r="AL19" s="49">
        <v>0</v>
      </c>
      <c r="AM19" s="49">
        <v>0</v>
      </c>
      <c r="AN19" s="49">
        <v>13</v>
      </c>
      <c r="AO19" s="49">
        <v>2</v>
      </c>
      <c r="AP19" s="49">
        <v>0</v>
      </c>
      <c r="AQ19" s="49">
        <v>0</v>
      </c>
      <c r="AR19" s="49">
        <v>2</v>
      </c>
      <c r="AS19" s="49">
        <v>19</v>
      </c>
      <c r="AT19" s="49">
        <v>3</v>
      </c>
      <c r="AU19" s="49">
        <v>0</v>
      </c>
      <c r="AV19" s="49">
        <v>0</v>
      </c>
      <c r="AW19" s="49">
        <v>3</v>
      </c>
      <c r="AX19" s="49">
        <v>2</v>
      </c>
      <c r="AY19" s="49">
        <v>0</v>
      </c>
      <c r="AZ19" s="49">
        <v>0</v>
      </c>
      <c r="BA19" s="49">
        <v>2</v>
      </c>
      <c r="BB19" s="49">
        <v>2</v>
      </c>
      <c r="BC19" s="49">
        <v>0</v>
      </c>
      <c r="BD19" s="49">
        <v>0</v>
      </c>
      <c r="BE19" s="49">
        <v>2</v>
      </c>
      <c r="BF19" s="49">
        <v>7</v>
      </c>
      <c r="BG19" s="49">
        <v>63</v>
      </c>
    </row>
    <row r="20" spans="2:59" x14ac:dyDescent="0.25">
      <c r="B20" s="11">
        <v>0.34375</v>
      </c>
      <c r="C20" s="49">
        <v>0</v>
      </c>
      <c r="D20" s="49">
        <v>0</v>
      </c>
      <c r="E20" s="49">
        <v>0</v>
      </c>
      <c r="F20" s="49">
        <v>0</v>
      </c>
      <c r="G20" s="49">
        <v>22</v>
      </c>
      <c r="H20" s="49">
        <v>1</v>
      </c>
      <c r="I20" s="49">
        <v>0</v>
      </c>
      <c r="J20" s="49">
        <v>23</v>
      </c>
      <c r="K20" s="49">
        <v>1</v>
      </c>
      <c r="L20" s="49">
        <v>0</v>
      </c>
      <c r="M20" s="49">
        <v>0</v>
      </c>
      <c r="N20" s="49">
        <v>1</v>
      </c>
      <c r="O20" s="49">
        <v>0</v>
      </c>
      <c r="P20" s="49">
        <v>0</v>
      </c>
      <c r="Q20" s="49">
        <v>0</v>
      </c>
      <c r="R20" s="49">
        <v>0</v>
      </c>
      <c r="S20" s="49">
        <v>24</v>
      </c>
      <c r="T20" s="49">
        <v>7</v>
      </c>
      <c r="U20" s="49">
        <v>1</v>
      </c>
      <c r="V20" s="49">
        <v>0</v>
      </c>
      <c r="W20" s="49">
        <v>8</v>
      </c>
      <c r="X20" s="49">
        <v>2</v>
      </c>
      <c r="Y20" s="49">
        <v>0</v>
      </c>
      <c r="Z20" s="49">
        <v>0</v>
      </c>
      <c r="AA20" s="49">
        <v>2</v>
      </c>
      <c r="AB20" s="49">
        <v>0</v>
      </c>
      <c r="AC20" s="49">
        <v>0</v>
      </c>
      <c r="AD20" s="49">
        <v>0</v>
      </c>
      <c r="AE20" s="49">
        <v>0</v>
      </c>
      <c r="AF20" s="49">
        <v>10</v>
      </c>
      <c r="AG20" s="49">
        <v>8</v>
      </c>
      <c r="AH20" s="49">
        <v>0</v>
      </c>
      <c r="AI20" s="49">
        <v>0</v>
      </c>
      <c r="AJ20" s="49">
        <v>8</v>
      </c>
      <c r="AK20" s="49">
        <v>9</v>
      </c>
      <c r="AL20" s="49">
        <v>0</v>
      </c>
      <c r="AM20" s="49">
        <v>1</v>
      </c>
      <c r="AN20" s="49">
        <v>10</v>
      </c>
      <c r="AO20" s="49">
        <v>3</v>
      </c>
      <c r="AP20" s="49">
        <v>0</v>
      </c>
      <c r="AQ20" s="49">
        <v>0</v>
      </c>
      <c r="AR20" s="49">
        <v>3</v>
      </c>
      <c r="AS20" s="49">
        <v>21</v>
      </c>
      <c r="AT20" s="49">
        <v>1</v>
      </c>
      <c r="AU20" s="49">
        <v>0</v>
      </c>
      <c r="AV20" s="49">
        <v>1</v>
      </c>
      <c r="AW20" s="49">
        <v>2</v>
      </c>
      <c r="AX20" s="49">
        <v>1</v>
      </c>
      <c r="AY20" s="49">
        <v>0</v>
      </c>
      <c r="AZ20" s="49">
        <v>0</v>
      </c>
      <c r="BA20" s="49">
        <v>1</v>
      </c>
      <c r="BB20" s="49">
        <v>4</v>
      </c>
      <c r="BC20" s="49">
        <v>0</v>
      </c>
      <c r="BD20" s="49">
        <v>0</v>
      </c>
      <c r="BE20" s="49">
        <v>4</v>
      </c>
      <c r="BF20" s="49">
        <v>7</v>
      </c>
      <c r="BG20" s="49">
        <v>62</v>
      </c>
    </row>
    <row r="21" spans="2:59" x14ac:dyDescent="0.25">
      <c r="B21" s="11">
        <v>0.35416666666666669</v>
      </c>
      <c r="C21" s="49">
        <v>0</v>
      </c>
      <c r="D21" s="49">
        <v>0</v>
      </c>
      <c r="E21" s="49">
        <v>0</v>
      </c>
      <c r="F21" s="49">
        <v>0</v>
      </c>
      <c r="G21" s="49">
        <v>21</v>
      </c>
      <c r="H21" s="49">
        <v>2</v>
      </c>
      <c r="I21" s="49">
        <v>0</v>
      </c>
      <c r="J21" s="49">
        <v>23</v>
      </c>
      <c r="K21" s="49">
        <v>8</v>
      </c>
      <c r="L21" s="49">
        <v>0</v>
      </c>
      <c r="M21" s="49">
        <v>0</v>
      </c>
      <c r="N21" s="49">
        <v>8</v>
      </c>
      <c r="O21" s="49">
        <v>0</v>
      </c>
      <c r="P21" s="49">
        <v>0</v>
      </c>
      <c r="Q21" s="49">
        <v>0</v>
      </c>
      <c r="R21" s="49">
        <v>0</v>
      </c>
      <c r="S21" s="49">
        <v>31</v>
      </c>
      <c r="T21" s="49">
        <v>10</v>
      </c>
      <c r="U21" s="49">
        <v>1</v>
      </c>
      <c r="V21" s="49">
        <v>0</v>
      </c>
      <c r="W21" s="49">
        <v>11</v>
      </c>
      <c r="X21" s="49">
        <v>5</v>
      </c>
      <c r="Y21" s="49">
        <v>0</v>
      </c>
      <c r="Z21" s="49">
        <v>1</v>
      </c>
      <c r="AA21" s="49">
        <v>6</v>
      </c>
      <c r="AB21" s="49">
        <v>0</v>
      </c>
      <c r="AC21" s="49">
        <v>0</v>
      </c>
      <c r="AD21" s="49">
        <v>0</v>
      </c>
      <c r="AE21" s="49">
        <v>0</v>
      </c>
      <c r="AF21" s="49">
        <v>17</v>
      </c>
      <c r="AG21" s="49">
        <v>0</v>
      </c>
      <c r="AH21" s="49">
        <v>0</v>
      </c>
      <c r="AI21" s="49">
        <v>0</v>
      </c>
      <c r="AJ21" s="49">
        <v>0</v>
      </c>
      <c r="AK21" s="49">
        <v>10</v>
      </c>
      <c r="AL21" s="49">
        <v>0</v>
      </c>
      <c r="AM21" s="49">
        <v>0</v>
      </c>
      <c r="AN21" s="49">
        <v>10</v>
      </c>
      <c r="AO21" s="49">
        <v>7</v>
      </c>
      <c r="AP21" s="49">
        <v>0</v>
      </c>
      <c r="AQ21" s="49">
        <v>0</v>
      </c>
      <c r="AR21" s="49">
        <v>7</v>
      </c>
      <c r="AS21" s="49">
        <v>17</v>
      </c>
      <c r="AT21" s="49">
        <v>1</v>
      </c>
      <c r="AU21" s="49">
        <v>0</v>
      </c>
      <c r="AV21" s="49">
        <v>0</v>
      </c>
      <c r="AW21" s="49">
        <v>1</v>
      </c>
      <c r="AX21" s="49">
        <v>1</v>
      </c>
      <c r="AY21" s="49">
        <v>0</v>
      </c>
      <c r="AZ21" s="49">
        <v>0</v>
      </c>
      <c r="BA21" s="49">
        <v>1</v>
      </c>
      <c r="BB21" s="49">
        <v>5</v>
      </c>
      <c r="BC21" s="49">
        <v>0</v>
      </c>
      <c r="BD21" s="49">
        <v>0</v>
      </c>
      <c r="BE21" s="49">
        <v>5</v>
      </c>
      <c r="BF21" s="49">
        <v>7</v>
      </c>
      <c r="BG21" s="49">
        <v>72</v>
      </c>
    </row>
    <row r="22" spans="2:59" x14ac:dyDescent="0.25">
      <c r="B22" s="11">
        <v>0.36458333333333331</v>
      </c>
      <c r="C22" s="49">
        <v>1</v>
      </c>
      <c r="D22" s="49">
        <v>0</v>
      </c>
      <c r="E22" s="49">
        <v>0</v>
      </c>
      <c r="F22" s="49">
        <v>1</v>
      </c>
      <c r="G22" s="49">
        <v>33</v>
      </c>
      <c r="H22" s="49">
        <v>1</v>
      </c>
      <c r="I22" s="49">
        <v>0</v>
      </c>
      <c r="J22" s="49">
        <v>34</v>
      </c>
      <c r="K22" s="49">
        <v>6</v>
      </c>
      <c r="L22" s="49">
        <v>0</v>
      </c>
      <c r="M22" s="49">
        <v>0</v>
      </c>
      <c r="N22" s="49">
        <v>6</v>
      </c>
      <c r="O22" s="49">
        <v>1</v>
      </c>
      <c r="P22" s="49">
        <v>0</v>
      </c>
      <c r="Q22" s="49">
        <v>0</v>
      </c>
      <c r="R22" s="49">
        <v>1</v>
      </c>
      <c r="S22" s="49">
        <v>42</v>
      </c>
      <c r="T22" s="49">
        <v>9</v>
      </c>
      <c r="U22" s="49">
        <v>0</v>
      </c>
      <c r="V22" s="49">
        <v>0</v>
      </c>
      <c r="W22" s="49">
        <v>9</v>
      </c>
      <c r="X22" s="49">
        <v>2</v>
      </c>
      <c r="Y22" s="49">
        <v>0</v>
      </c>
      <c r="Z22" s="49">
        <v>0</v>
      </c>
      <c r="AA22" s="49">
        <v>2</v>
      </c>
      <c r="AB22" s="49">
        <v>1</v>
      </c>
      <c r="AC22" s="49">
        <v>0</v>
      </c>
      <c r="AD22" s="49">
        <v>0</v>
      </c>
      <c r="AE22" s="49">
        <v>1</v>
      </c>
      <c r="AF22" s="49">
        <v>12</v>
      </c>
      <c r="AG22" s="49">
        <v>4</v>
      </c>
      <c r="AH22" s="49">
        <v>0</v>
      </c>
      <c r="AI22" s="49">
        <v>0</v>
      </c>
      <c r="AJ22" s="49">
        <v>4</v>
      </c>
      <c r="AK22" s="49">
        <v>11</v>
      </c>
      <c r="AL22" s="49">
        <v>0</v>
      </c>
      <c r="AM22" s="49">
        <v>0</v>
      </c>
      <c r="AN22" s="49">
        <v>11</v>
      </c>
      <c r="AO22" s="49">
        <v>6</v>
      </c>
      <c r="AP22" s="49">
        <v>0</v>
      </c>
      <c r="AQ22" s="49">
        <v>0</v>
      </c>
      <c r="AR22" s="49">
        <v>6</v>
      </c>
      <c r="AS22" s="49">
        <v>21</v>
      </c>
      <c r="AT22" s="49">
        <v>3</v>
      </c>
      <c r="AU22" s="49">
        <v>0</v>
      </c>
      <c r="AV22" s="49">
        <v>0</v>
      </c>
      <c r="AW22" s="49">
        <v>3</v>
      </c>
      <c r="AX22" s="49">
        <v>3</v>
      </c>
      <c r="AY22" s="49">
        <v>0</v>
      </c>
      <c r="AZ22" s="49">
        <v>2</v>
      </c>
      <c r="BA22" s="49">
        <v>5</v>
      </c>
      <c r="BB22" s="49">
        <v>4</v>
      </c>
      <c r="BC22" s="49">
        <v>0</v>
      </c>
      <c r="BD22" s="49">
        <v>0</v>
      </c>
      <c r="BE22" s="49">
        <v>4</v>
      </c>
      <c r="BF22" s="49">
        <v>12</v>
      </c>
      <c r="BG22" s="49">
        <v>87</v>
      </c>
    </row>
    <row r="23" spans="2:59" x14ac:dyDescent="0.25">
      <c r="B23" s="10" t="s">
        <v>44</v>
      </c>
      <c r="C23" s="49">
        <v>7</v>
      </c>
      <c r="D23" s="49">
        <v>0</v>
      </c>
      <c r="E23" s="49">
        <v>0</v>
      </c>
      <c r="F23" s="49">
        <v>7</v>
      </c>
      <c r="G23" s="49">
        <v>81</v>
      </c>
      <c r="H23" s="49">
        <v>10</v>
      </c>
      <c r="I23" s="49">
        <v>0</v>
      </c>
      <c r="J23" s="49">
        <v>91</v>
      </c>
      <c r="K23" s="49">
        <v>34</v>
      </c>
      <c r="L23" s="49">
        <v>0</v>
      </c>
      <c r="M23" s="49">
        <v>0</v>
      </c>
      <c r="N23" s="49">
        <v>34</v>
      </c>
      <c r="O23" s="49">
        <v>0</v>
      </c>
      <c r="P23" s="49">
        <v>0</v>
      </c>
      <c r="Q23" s="49">
        <v>0</v>
      </c>
      <c r="R23" s="49">
        <v>0</v>
      </c>
      <c r="S23" s="49">
        <v>132</v>
      </c>
      <c r="T23" s="49">
        <v>43</v>
      </c>
      <c r="U23" s="49">
        <v>2</v>
      </c>
      <c r="V23" s="49">
        <v>1</v>
      </c>
      <c r="W23" s="49">
        <v>46</v>
      </c>
      <c r="X23" s="49">
        <v>26</v>
      </c>
      <c r="Y23" s="49">
        <v>0</v>
      </c>
      <c r="Z23" s="49">
        <v>1</v>
      </c>
      <c r="AA23" s="49">
        <v>27</v>
      </c>
      <c r="AB23" s="49">
        <v>5</v>
      </c>
      <c r="AC23" s="49">
        <v>0</v>
      </c>
      <c r="AD23" s="49">
        <v>0</v>
      </c>
      <c r="AE23" s="49">
        <v>5</v>
      </c>
      <c r="AF23" s="49">
        <v>78</v>
      </c>
      <c r="AG23" s="49">
        <v>70</v>
      </c>
      <c r="AH23" s="49">
        <v>0</v>
      </c>
      <c r="AI23" s="49">
        <v>0</v>
      </c>
      <c r="AJ23" s="49">
        <v>70</v>
      </c>
      <c r="AK23" s="49">
        <v>117</v>
      </c>
      <c r="AL23" s="49">
        <v>0</v>
      </c>
      <c r="AM23" s="49">
        <v>0</v>
      </c>
      <c r="AN23" s="49">
        <v>117</v>
      </c>
      <c r="AO23" s="49">
        <v>64</v>
      </c>
      <c r="AP23" s="49">
        <v>5</v>
      </c>
      <c r="AQ23" s="49">
        <v>6</v>
      </c>
      <c r="AR23" s="49">
        <v>75</v>
      </c>
      <c r="AS23" s="49">
        <v>262</v>
      </c>
      <c r="AT23" s="49">
        <v>38</v>
      </c>
      <c r="AU23" s="49">
        <v>0</v>
      </c>
      <c r="AV23" s="49">
        <v>0</v>
      </c>
      <c r="AW23" s="49">
        <v>38</v>
      </c>
      <c r="AX23" s="49">
        <v>15</v>
      </c>
      <c r="AY23" s="49">
        <v>0</v>
      </c>
      <c r="AZ23" s="49">
        <v>0</v>
      </c>
      <c r="BA23" s="49">
        <v>15</v>
      </c>
      <c r="BB23" s="49">
        <v>46</v>
      </c>
      <c r="BC23" s="49">
        <v>0</v>
      </c>
      <c r="BD23" s="49">
        <v>0</v>
      </c>
      <c r="BE23" s="49">
        <v>46</v>
      </c>
      <c r="BF23" s="49">
        <v>99</v>
      </c>
      <c r="BG23" s="49">
        <v>571</v>
      </c>
    </row>
    <row r="24" spans="2:59" x14ac:dyDescent="0.25">
      <c r="B24" s="11">
        <v>0.66666666666666663</v>
      </c>
      <c r="C24" s="49">
        <v>0</v>
      </c>
      <c r="D24" s="49">
        <v>0</v>
      </c>
      <c r="E24" s="49">
        <v>0</v>
      </c>
      <c r="F24" s="49">
        <v>0</v>
      </c>
      <c r="G24" s="49">
        <v>18</v>
      </c>
      <c r="H24" s="49">
        <v>0</v>
      </c>
      <c r="I24" s="49">
        <v>0</v>
      </c>
      <c r="J24" s="49">
        <v>18</v>
      </c>
      <c r="K24" s="49">
        <v>8</v>
      </c>
      <c r="L24" s="49">
        <v>0</v>
      </c>
      <c r="M24" s="49">
        <v>0</v>
      </c>
      <c r="N24" s="49">
        <v>8</v>
      </c>
      <c r="O24" s="49">
        <v>0</v>
      </c>
      <c r="P24" s="49">
        <v>0</v>
      </c>
      <c r="Q24" s="49">
        <v>0</v>
      </c>
      <c r="R24" s="49">
        <v>0</v>
      </c>
      <c r="S24" s="49">
        <v>26</v>
      </c>
      <c r="T24" s="49">
        <v>5</v>
      </c>
      <c r="U24" s="49">
        <v>0</v>
      </c>
      <c r="V24" s="49">
        <v>0</v>
      </c>
      <c r="W24" s="49">
        <v>5</v>
      </c>
      <c r="X24" s="49">
        <v>5</v>
      </c>
      <c r="Y24" s="49">
        <v>0</v>
      </c>
      <c r="Z24" s="49">
        <v>0</v>
      </c>
      <c r="AA24" s="49">
        <v>5</v>
      </c>
      <c r="AB24" s="49">
        <v>0</v>
      </c>
      <c r="AC24" s="49">
        <v>0</v>
      </c>
      <c r="AD24" s="49">
        <v>0</v>
      </c>
      <c r="AE24" s="49">
        <v>0</v>
      </c>
      <c r="AF24" s="49">
        <v>10</v>
      </c>
      <c r="AG24" s="49">
        <v>12</v>
      </c>
      <c r="AH24" s="49">
        <v>0</v>
      </c>
      <c r="AI24" s="49">
        <v>0</v>
      </c>
      <c r="AJ24" s="49">
        <v>12</v>
      </c>
      <c r="AK24" s="49">
        <v>10</v>
      </c>
      <c r="AL24" s="49">
        <v>0</v>
      </c>
      <c r="AM24" s="49">
        <v>0</v>
      </c>
      <c r="AN24" s="49">
        <v>10</v>
      </c>
      <c r="AO24" s="49">
        <v>9</v>
      </c>
      <c r="AP24" s="49">
        <v>1</v>
      </c>
      <c r="AQ24" s="49">
        <v>1</v>
      </c>
      <c r="AR24" s="49">
        <v>11</v>
      </c>
      <c r="AS24" s="49">
        <v>33</v>
      </c>
      <c r="AT24" s="49">
        <v>3</v>
      </c>
      <c r="AU24" s="49">
        <v>0</v>
      </c>
      <c r="AV24" s="49">
        <v>0</v>
      </c>
      <c r="AW24" s="49">
        <v>3</v>
      </c>
      <c r="AX24" s="49">
        <v>1</v>
      </c>
      <c r="AY24" s="49">
        <v>0</v>
      </c>
      <c r="AZ24" s="49">
        <v>0</v>
      </c>
      <c r="BA24" s="49">
        <v>1</v>
      </c>
      <c r="BB24" s="49">
        <v>5</v>
      </c>
      <c r="BC24" s="49">
        <v>0</v>
      </c>
      <c r="BD24" s="49">
        <v>0</v>
      </c>
      <c r="BE24" s="49">
        <v>5</v>
      </c>
      <c r="BF24" s="49">
        <v>9</v>
      </c>
      <c r="BG24" s="49">
        <v>78</v>
      </c>
    </row>
    <row r="25" spans="2:59" x14ac:dyDescent="0.25">
      <c r="B25" s="11">
        <v>0.67708333333333337</v>
      </c>
      <c r="C25" s="49">
        <v>2</v>
      </c>
      <c r="D25" s="49">
        <v>0</v>
      </c>
      <c r="E25" s="49">
        <v>0</v>
      </c>
      <c r="F25" s="49">
        <v>2</v>
      </c>
      <c r="G25" s="49">
        <v>10</v>
      </c>
      <c r="H25" s="49">
        <v>2</v>
      </c>
      <c r="I25" s="49">
        <v>0</v>
      </c>
      <c r="J25" s="49">
        <v>12</v>
      </c>
      <c r="K25" s="49">
        <v>1</v>
      </c>
      <c r="L25" s="49">
        <v>0</v>
      </c>
      <c r="M25" s="49">
        <v>0</v>
      </c>
      <c r="N25" s="49">
        <v>1</v>
      </c>
      <c r="O25" s="49">
        <v>0</v>
      </c>
      <c r="P25" s="49">
        <v>0</v>
      </c>
      <c r="Q25" s="49">
        <v>0</v>
      </c>
      <c r="R25" s="49">
        <v>0</v>
      </c>
      <c r="S25" s="49">
        <v>15</v>
      </c>
      <c r="T25" s="49">
        <v>7</v>
      </c>
      <c r="U25" s="49">
        <v>1</v>
      </c>
      <c r="V25" s="49">
        <v>0</v>
      </c>
      <c r="W25" s="49">
        <v>8</v>
      </c>
      <c r="X25" s="49">
        <v>3</v>
      </c>
      <c r="Y25" s="49">
        <v>0</v>
      </c>
      <c r="Z25" s="49">
        <v>0</v>
      </c>
      <c r="AA25" s="49">
        <v>3</v>
      </c>
      <c r="AB25" s="49">
        <v>0</v>
      </c>
      <c r="AC25" s="49">
        <v>0</v>
      </c>
      <c r="AD25" s="49">
        <v>0</v>
      </c>
      <c r="AE25" s="49">
        <v>0</v>
      </c>
      <c r="AF25" s="49">
        <v>11</v>
      </c>
      <c r="AG25" s="49">
        <v>12</v>
      </c>
      <c r="AH25" s="49">
        <v>0</v>
      </c>
      <c r="AI25" s="49">
        <v>0</v>
      </c>
      <c r="AJ25" s="49">
        <v>12</v>
      </c>
      <c r="AK25" s="49">
        <v>12</v>
      </c>
      <c r="AL25" s="49">
        <v>0</v>
      </c>
      <c r="AM25" s="49">
        <v>0</v>
      </c>
      <c r="AN25" s="49">
        <v>12</v>
      </c>
      <c r="AO25" s="49">
        <v>10</v>
      </c>
      <c r="AP25" s="49">
        <v>0</v>
      </c>
      <c r="AQ25" s="49">
        <v>0</v>
      </c>
      <c r="AR25" s="49">
        <v>10</v>
      </c>
      <c r="AS25" s="49">
        <v>34</v>
      </c>
      <c r="AT25" s="49">
        <v>7</v>
      </c>
      <c r="AU25" s="49">
        <v>0</v>
      </c>
      <c r="AV25" s="49">
        <v>0</v>
      </c>
      <c r="AW25" s="49">
        <v>7</v>
      </c>
      <c r="AX25" s="49">
        <v>2</v>
      </c>
      <c r="AY25" s="49">
        <v>0</v>
      </c>
      <c r="AZ25" s="49">
        <v>0</v>
      </c>
      <c r="BA25" s="49">
        <v>2</v>
      </c>
      <c r="BB25" s="49">
        <v>6</v>
      </c>
      <c r="BC25" s="49">
        <v>0</v>
      </c>
      <c r="BD25" s="49">
        <v>0</v>
      </c>
      <c r="BE25" s="49">
        <v>6</v>
      </c>
      <c r="BF25" s="49">
        <v>15</v>
      </c>
      <c r="BG25" s="49">
        <v>75</v>
      </c>
    </row>
    <row r="26" spans="2:59" x14ac:dyDescent="0.25">
      <c r="B26" s="11">
        <v>0.6875</v>
      </c>
      <c r="C26" s="49">
        <v>1</v>
      </c>
      <c r="D26" s="49">
        <v>0</v>
      </c>
      <c r="E26" s="49">
        <v>0</v>
      </c>
      <c r="F26" s="49">
        <v>1</v>
      </c>
      <c r="G26" s="49">
        <v>12</v>
      </c>
      <c r="H26" s="49">
        <v>2</v>
      </c>
      <c r="I26" s="49">
        <v>0</v>
      </c>
      <c r="J26" s="49">
        <v>14</v>
      </c>
      <c r="K26" s="49">
        <v>3</v>
      </c>
      <c r="L26" s="49">
        <v>0</v>
      </c>
      <c r="M26" s="49">
        <v>0</v>
      </c>
      <c r="N26" s="49">
        <v>3</v>
      </c>
      <c r="O26" s="49">
        <v>0</v>
      </c>
      <c r="P26" s="49">
        <v>0</v>
      </c>
      <c r="Q26" s="49">
        <v>0</v>
      </c>
      <c r="R26" s="49">
        <v>0</v>
      </c>
      <c r="S26" s="49">
        <v>18</v>
      </c>
      <c r="T26" s="49">
        <v>5</v>
      </c>
      <c r="U26" s="49">
        <v>0</v>
      </c>
      <c r="V26" s="49">
        <v>0</v>
      </c>
      <c r="W26" s="49">
        <v>5</v>
      </c>
      <c r="X26" s="49">
        <v>2</v>
      </c>
      <c r="Y26" s="49">
        <v>0</v>
      </c>
      <c r="Z26" s="49">
        <v>0</v>
      </c>
      <c r="AA26" s="49">
        <v>2</v>
      </c>
      <c r="AB26" s="49">
        <v>0</v>
      </c>
      <c r="AC26" s="49">
        <v>0</v>
      </c>
      <c r="AD26" s="49">
        <v>0</v>
      </c>
      <c r="AE26" s="49">
        <v>0</v>
      </c>
      <c r="AF26" s="49">
        <v>7</v>
      </c>
      <c r="AG26" s="49">
        <v>6</v>
      </c>
      <c r="AH26" s="49">
        <v>0</v>
      </c>
      <c r="AI26" s="49">
        <v>0</v>
      </c>
      <c r="AJ26" s="49">
        <v>6</v>
      </c>
      <c r="AK26" s="49">
        <v>14</v>
      </c>
      <c r="AL26" s="49">
        <v>0</v>
      </c>
      <c r="AM26" s="49">
        <v>0</v>
      </c>
      <c r="AN26" s="49">
        <v>14</v>
      </c>
      <c r="AO26" s="49">
        <v>6</v>
      </c>
      <c r="AP26" s="49">
        <v>1</v>
      </c>
      <c r="AQ26" s="49">
        <v>0</v>
      </c>
      <c r="AR26" s="49">
        <v>7</v>
      </c>
      <c r="AS26" s="49">
        <v>27</v>
      </c>
      <c r="AT26" s="49">
        <v>2</v>
      </c>
      <c r="AU26" s="49">
        <v>0</v>
      </c>
      <c r="AV26" s="49">
        <v>0</v>
      </c>
      <c r="AW26" s="49">
        <v>2</v>
      </c>
      <c r="AX26" s="49">
        <v>3</v>
      </c>
      <c r="AY26" s="49">
        <v>0</v>
      </c>
      <c r="AZ26" s="49">
        <v>0</v>
      </c>
      <c r="BA26" s="49">
        <v>3</v>
      </c>
      <c r="BB26" s="49">
        <v>11</v>
      </c>
      <c r="BC26" s="49">
        <v>0</v>
      </c>
      <c r="BD26" s="49">
        <v>0</v>
      </c>
      <c r="BE26" s="49">
        <v>11</v>
      </c>
      <c r="BF26" s="49">
        <v>16</v>
      </c>
      <c r="BG26" s="49">
        <v>68</v>
      </c>
    </row>
    <row r="27" spans="2:59" x14ac:dyDescent="0.25">
      <c r="B27" s="11">
        <v>0.69791666666666663</v>
      </c>
      <c r="C27" s="49">
        <v>0</v>
      </c>
      <c r="D27" s="49">
        <v>0</v>
      </c>
      <c r="E27" s="49">
        <v>0</v>
      </c>
      <c r="F27" s="49">
        <v>0</v>
      </c>
      <c r="G27" s="49">
        <v>5</v>
      </c>
      <c r="H27" s="49">
        <v>1</v>
      </c>
      <c r="I27" s="49">
        <v>0</v>
      </c>
      <c r="J27" s="49">
        <v>6</v>
      </c>
      <c r="K27" s="49">
        <v>4</v>
      </c>
      <c r="L27" s="49">
        <v>0</v>
      </c>
      <c r="M27" s="49">
        <v>0</v>
      </c>
      <c r="N27" s="49">
        <v>4</v>
      </c>
      <c r="O27" s="49">
        <v>0</v>
      </c>
      <c r="P27" s="49">
        <v>0</v>
      </c>
      <c r="Q27" s="49">
        <v>0</v>
      </c>
      <c r="R27" s="49">
        <v>0</v>
      </c>
      <c r="S27" s="49">
        <v>10</v>
      </c>
      <c r="T27" s="49">
        <v>3</v>
      </c>
      <c r="U27" s="49">
        <v>0</v>
      </c>
      <c r="V27" s="49">
        <v>0</v>
      </c>
      <c r="W27" s="49">
        <v>3</v>
      </c>
      <c r="X27" s="49">
        <v>2</v>
      </c>
      <c r="Y27" s="49">
        <v>0</v>
      </c>
      <c r="Z27" s="49">
        <v>0</v>
      </c>
      <c r="AA27" s="49">
        <v>2</v>
      </c>
      <c r="AB27" s="49">
        <v>0</v>
      </c>
      <c r="AC27" s="49">
        <v>0</v>
      </c>
      <c r="AD27" s="49">
        <v>0</v>
      </c>
      <c r="AE27" s="49">
        <v>0</v>
      </c>
      <c r="AF27" s="49">
        <v>5</v>
      </c>
      <c r="AG27" s="49">
        <v>8</v>
      </c>
      <c r="AH27" s="49">
        <v>0</v>
      </c>
      <c r="AI27" s="49">
        <v>0</v>
      </c>
      <c r="AJ27" s="49">
        <v>8</v>
      </c>
      <c r="AK27" s="49">
        <v>14</v>
      </c>
      <c r="AL27" s="49">
        <v>0</v>
      </c>
      <c r="AM27" s="49">
        <v>0</v>
      </c>
      <c r="AN27" s="49">
        <v>14</v>
      </c>
      <c r="AO27" s="49">
        <v>9</v>
      </c>
      <c r="AP27" s="49">
        <v>0</v>
      </c>
      <c r="AQ27" s="49">
        <v>2</v>
      </c>
      <c r="AR27" s="49">
        <v>11</v>
      </c>
      <c r="AS27" s="49">
        <v>33</v>
      </c>
      <c r="AT27" s="49">
        <v>3</v>
      </c>
      <c r="AU27" s="49">
        <v>0</v>
      </c>
      <c r="AV27" s="49">
        <v>0</v>
      </c>
      <c r="AW27" s="49">
        <v>3</v>
      </c>
      <c r="AX27" s="49">
        <v>1</v>
      </c>
      <c r="AY27" s="49">
        <v>0</v>
      </c>
      <c r="AZ27" s="49">
        <v>0</v>
      </c>
      <c r="BA27" s="49">
        <v>1</v>
      </c>
      <c r="BB27" s="49">
        <v>6</v>
      </c>
      <c r="BC27" s="49">
        <v>0</v>
      </c>
      <c r="BD27" s="49">
        <v>0</v>
      </c>
      <c r="BE27" s="49">
        <v>6</v>
      </c>
      <c r="BF27" s="49">
        <v>10</v>
      </c>
      <c r="BG27" s="49">
        <v>58</v>
      </c>
    </row>
    <row r="28" spans="2:59" x14ac:dyDescent="0.25">
      <c r="B28" s="11">
        <v>0.70833333333333337</v>
      </c>
      <c r="C28" s="49">
        <v>0</v>
      </c>
      <c r="D28" s="49">
        <v>0</v>
      </c>
      <c r="E28" s="49">
        <v>0</v>
      </c>
      <c r="F28" s="49">
        <v>0</v>
      </c>
      <c r="G28" s="49">
        <v>13</v>
      </c>
      <c r="H28" s="49">
        <v>1</v>
      </c>
      <c r="I28" s="49">
        <v>0</v>
      </c>
      <c r="J28" s="49">
        <v>14</v>
      </c>
      <c r="K28" s="49">
        <v>6</v>
      </c>
      <c r="L28" s="49">
        <v>0</v>
      </c>
      <c r="M28" s="49">
        <v>0</v>
      </c>
      <c r="N28" s="49">
        <v>6</v>
      </c>
      <c r="O28" s="49">
        <v>0</v>
      </c>
      <c r="P28" s="49">
        <v>0</v>
      </c>
      <c r="Q28" s="49">
        <v>0</v>
      </c>
      <c r="R28" s="49">
        <v>0</v>
      </c>
      <c r="S28" s="49">
        <v>20</v>
      </c>
      <c r="T28" s="49">
        <v>6</v>
      </c>
      <c r="U28" s="49">
        <v>1</v>
      </c>
      <c r="V28" s="49">
        <v>0</v>
      </c>
      <c r="W28" s="49">
        <v>7</v>
      </c>
      <c r="X28" s="49">
        <v>3</v>
      </c>
      <c r="Y28" s="49">
        <v>0</v>
      </c>
      <c r="Z28" s="49">
        <v>0</v>
      </c>
      <c r="AA28" s="49">
        <v>3</v>
      </c>
      <c r="AB28" s="49">
        <v>1</v>
      </c>
      <c r="AC28" s="49">
        <v>0</v>
      </c>
      <c r="AD28" s="49">
        <v>0</v>
      </c>
      <c r="AE28" s="49">
        <v>1</v>
      </c>
      <c r="AF28" s="49">
        <v>11</v>
      </c>
      <c r="AG28" s="49">
        <v>14</v>
      </c>
      <c r="AH28" s="49">
        <v>0</v>
      </c>
      <c r="AI28" s="49">
        <v>0</v>
      </c>
      <c r="AJ28" s="49">
        <v>14</v>
      </c>
      <c r="AK28" s="49">
        <v>20</v>
      </c>
      <c r="AL28" s="49">
        <v>0</v>
      </c>
      <c r="AM28" s="49">
        <v>0</v>
      </c>
      <c r="AN28" s="49">
        <v>20</v>
      </c>
      <c r="AO28" s="49">
        <v>6</v>
      </c>
      <c r="AP28" s="49">
        <v>1</v>
      </c>
      <c r="AQ28" s="49">
        <v>2</v>
      </c>
      <c r="AR28" s="49">
        <v>9</v>
      </c>
      <c r="AS28" s="49">
        <v>43</v>
      </c>
      <c r="AT28" s="49">
        <v>6</v>
      </c>
      <c r="AU28" s="49">
        <v>0</v>
      </c>
      <c r="AV28" s="49">
        <v>0</v>
      </c>
      <c r="AW28" s="49">
        <v>6</v>
      </c>
      <c r="AX28" s="49">
        <v>2</v>
      </c>
      <c r="AY28" s="49">
        <v>0</v>
      </c>
      <c r="AZ28" s="49">
        <v>0</v>
      </c>
      <c r="BA28" s="49">
        <v>2</v>
      </c>
      <c r="BB28" s="49">
        <v>4</v>
      </c>
      <c r="BC28" s="49">
        <v>0</v>
      </c>
      <c r="BD28" s="49">
        <v>0</v>
      </c>
      <c r="BE28" s="49">
        <v>4</v>
      </c>
      <c r="BF28" s="49">
        <v>12</v>
      </c>
      <c r="BG28" s="49">
        <v>86</v>
      </c>
    </row>
    <row r="29" spans="2:59" x14ac:dyDescent="0.25">
      <c r="B29" s="11">
        <v>0.71875</v>
      </c>
      <c r="C29" s="49">
        <v>2</v>
      </c>
      <c r="D29" s="49">
        <v>0</v>
      </c>
      <c r="E29" s="49">
        <v>0</v>
      </c>
      <c r="F29" s="49">
        <v>2</v>
      </c>
      <c r="G29" s="49">
        <v>10</v>
      </c>
      <c r="H29" s="49">
        <v>1</v>
      </c>
      <c r="I29" s="49">
        <v>0</v>
      </c>
      <c r="J29" s="49">
        <v>11</v>
      </c>
      <c r="K29" s="49">
        <v>7</v>
      </c>
      <c r="L29" s="49">
        <v>0</v>
      </c>
      <c r="M29" s="49">
        <v>0</v>
      </c>
      <c r="N29" s="49">
        <v>7</v>
      </c>
      <c r="O29" s="49">
        <v>0</v>
      </c>
      <c r="P29" s="49">
        <v>0</v>
      </c>
      <c r="Q29" s="49">
        <v>0</v>
      </c>
      <c r="R29" s="49">
        <v>0</v>
      </c>
      <c r="S29" s="49">
        <v>20</v>
      </c>
      <c r="T29" s="49">
        <v>8</v>
      </c>
      <c r="U29" s="49">
        <v>0</v>
      </c>
      <c r="V29" s="49">
        <v>0</v>
      </c>
      <c r="W29" s="49">
        <v>8</v>
      </c>
      <c r="X29" s="49">
        <v>5</v>
      </c>
      <c r="Y29" s="49">
        <v>0</v>
      </c>
      <c r="Z29" s="49">
        <v>0</v>
      </c>
      <c r="AA29" s="49">
        <v>5</v>
      </c>
      <c r="AB29" s="49">
        <v>2</v>
      </c>
      <c r="AC29" s="49">
        <v>0</v>
      </c>
      <c r="AD29" s="49">
        <v>0</v>
      </c>
      <c r="AE29" s="49">
        <v>2</v>
      </c>
      <c r="AF29" s="49">
        <v>15</v>
      </c>
      <c r="AG29" s="49">
        <v>9</v>
      </c>
      <c r="AH29" s="49">
        <v>0</v>
      </c>
      <c r="AI29" s="49">
        <v>0</v>
      </c>
      <c r="AJ29" s="49">
        <v>9</v>
      </c>
      <c r="AK29" s="49">
        <v>18</v>
      </c>
      <c r="AL29" s="49">
        <v>0</v>
      </c>
      <c r="AM29" s="49">
        <v>0</v>
      </c>
      <c r="AN29" s="49">
        <v>18</v>
      </c>
      <c r="AO29" s="49">
        <v>6</v>
      </c>
      <c r="AP29" s="49">
        <v>0</v>
      </c>
      <c r="AQ29" s="49">
        <v>0</v>
      </c>
      <c r="AR29" s="49">
        <v>6</v>
      </c>
      <c r="AS29" s="49">
        <v>33</v>
      </c>
      <c r="AT29" s="49">
        <v>7</v>
      </c>
      <c r="AU29" s="49">
        <v>0</v>
      </c>
      <c r="AV29" s="49">
        <v>0</v>
      </c>
      <c r="AW29" s="49">
        <v>7</v>
      </c>
      <c r="AX29" s="49">
        <v>1</v>
      </c>
      <c r="AY29" s="49">
        <v>0</v>
      </c>
      <c r="AZ29" s="49">
        <v>0</v>
      </c>
      <c r="BA29" s="49">
        <v>1</v>
      </c>
      <c r="BB29" s="49">
        <v>7</v>
      </c>
      <c r="BC29" s="49">
        <v>0</v>
      </c>
      <c r="BD29" s="49">
        <v>0</v>
      </c>
      <c r="BE29" s="49">
        <v>7</v>
      </c>
      <c r="BF29" s="49">
        <v>15</v>
      </c>
      <c r="BG29" s="49">
        <v>83</v>
      </c>
    </row>
    <row r="30" spans="2:59" x14ac:dyDescent="0.25">
      <c r="B30" s="11">
        <v>0.72916666666666663</v>
      </c>
      <c r="C30" s="49">
        <v>1</v>
      </c>
      <c r="D30" s="49">
        <v>0</v>
      </c>
      <c r="E30" s="49">
        <v>0</v>
      </c>
      <c r="F30" s="49">
        <v>1</v>
      </c>
      <c r="G30" s="49">
        <v>6</v>
      </c>
      <c r="H30" s="49">
        <v>2</v>
      </c>
      <c r="I30" s="49">
        <v>0</v>
      </c>
      <c r="J30" s="49">
        <v>8</v>
      </c>
      <c r="K30" s="49">
        <v>5</v>
      </c>
      <c r="L30" s="49">
        <v>0</v>
      </c>
      <c r="M30" s="49">
        <v>0</v>
      </c>
      <c r="N30" s="49">
        <v>5</v>
      </c>
      <c r="O30" s="49">
        <v>0</v>
      </c>
      <c r="P30" s="49">
        <v>0</v>
      </c>
      <c r="Q30" s="49">
        <v>0</v>
      </c>
      <c r="R30" s="49">
        <v>0</v>
      </c>
      <c r="S30" s="49">
        <v>14</v>
      </c>
      <c r="T30" s="49">
        <v>6</v>
      </c>
      <c r="U30" s="49">
        <v>0</v>
      </c>
      <c r="V30" s="49">
        <v>0</v>
      </c>
      <c r="W30" s="49">
        <v>6</v>
      </c>
      <c r="X30" s="49">
        <v>3</v>
      </c>
      <c r="Y30" s="49">
        <v>0</v>
      </c>
      <c r="Z30" s="49">
        <v>0</v>
      </c>
      <c r="AA30" s="49">
        <v>3</v>
      </c>
      <c r="AB30" s="49">
        <v>1</v>
      </c>
      <c r="AC30" s="49">
        <v>0</v>
      </c>
      <c r="AD30" s="49">
        <v>0</v>
      </c>
      <c r="AE30" s="49">
        <v>1</v>
      </c>
      <c r="AF30" s="49">
        <v>10</v>
      </c>
      <c r="AG30" s="49">
        <v>4</v>
      </c>
      <c r="AH30" s="49">
        <v>0</v>
      </c>
      <c r="AI30" s="49">
        <v>0</v>
      </c>
      <c r="AJ30" s="49">
        <v>4</v>
      </c>
      <c r="AK30" s="49">
        <v>16</v>
      </c>
      <c r="AL30" s="49">
        <v>0</v>
      </c>
      <c r="AM30" s="49">
        <v>0</v>
      </c>
      <c r="AN30" s="49">
        <v>16</v>
      </c>
      <c r="AO30" s="49">
        <v>8</v>
      </c>
      <c r="AP30" s="49">
        <v>1</v>
      </c>
      <c r="AQ30" s="49">
        <v>0</v>
      </c>
      <c r="AR30" s="49">
        <v>9</v>
      </c>
      <c r="AS30" s="49">
        <v>29</v>
      </c>
      <c r="AT30" s="49">
        <v>8</v>
      </c>
      <c r="AU30" s="49">
        <v>0</v>
      </c>
      <c r="AV30" s="49">
        <v>0</v>
      </c>
      <c r="AW30" s="49">
        <v>8</v>
      </c>
      <c r="AX30" s="49">
        <v>2</v>
      </c>
      <c r="AY30" s="49">
        <v>0</v>
      </c>
      <c r="AZ30" s="49">
        <v>0</v>
      </c>
      <c r="BA30" s="49">
        <v>2</v>
      </c>
      <c r="BB30" s="49">
        <v>4</v>
      </c>
      <c r="BC30" s="49">
        <v>0</v>
      </c>
      <c r="BD30" s="49">
        <v>0</v>
      </c>
      <c r="BE30" s="49">
        <v>4</v>
      </c>
      <c r="BF30" s="49">
        <v>14</v>
      </c>
      <c r="BG30" s="49">
        <v>67</v>
      </c>
    </row>
    <row r="31" spans="2:59" x14ac:dyDescent="0.25">
      <c r="B31" s="11">
        <v>0.73958333333333337</v>
      </c>
      <c r="C31" s="49">
        <v>1</v>
      </c>
      <c r="D31" s="49">
        <v>0</v>
      </c>
      <c r="E31" s="49">
        <v>0</v>
      </c>
      <c r="F31" s="49">
        <v>1</v>
      </c>
      <c r="G31" s="49">
        <v>7</v>
      </c>
      <c r="H31" s="49">
        <v>1</v>
      </c>
      <c r="I31" s="49">
        <v>0</v>
      </c>
      <c r="J31" s="49">
        <v>8</v>
      </c>
      <c r="K31" s="49">
        <v>0</v>
      </c>
      <c r="L31" s="49">
        <v>0</v>
      </c>
      <c r="M31" s="49">
        <v>0</v>
      </c>
      <c r="N31" s="49">
        <v>0</v>
      </c>
      <c r="O31" s="49">
        <v>0</v>
      </c>
      <c r="P31" s="49">
        <v>0</v>
      </c>
      <c r="Q31" s="49">
        <v>0</v>
      </c>
      <c r="R31" s="49">
        <v>0</v>
      </c>
      <c r="S31" s="49">
        <v>9</v>
      </c>
      <c r="T31" s="49">
        <v>3</v>
      </c>
      <c r="U31" s="49">
        <v>0</v>
      </c>
      <c r="V31" s="49">
        <v>1</v>
      </c>
      <c r="W31" s="49">
        <v>4</v>
      </c>
      <c r="X31" s="49">
        <v>3</v>
      </c>
      <c r="Y31" s="49">
        <v>0</v>
      </c>
      <c r="Z31" s="49">
        <v>1</v>
      </c>
      <c r="AA31" s="49">
        <v>4</v>
      </c>
      <c r="AB31" s="49">
        <v>1</v>
      </c>
      <c r="AC31" s="49">
        <v>0</v>
      </c>
      <c r="AD31" s="49">
        <v>0</v>
      </c>
      <c r="AE31" s="49">
        <v>1</v>
      </c>
      <c r="AF31" s="49">
        <v>9</v>
      </c>
      <c r="AG31" s="49">
        <v>5</v>
      </c>
      <c r="AH31" s="49">
        <v>0</v>
      </c>
      <c r="AI31" s="49">
        <v>0</v>
      </c>
      <c r="AJ31" s="49">
        <v>5</v>
      </c>
      <c r="AK31" s="49">
        <v>13</v>
      </c>
      <c r="AL31" s="49">
        <v>0</v>
      </c>
      <c r="AM31" s="49">
        <v>0</v>
      </c>
      <c r="AN31" s="49">
        <v>13</v>
      </c>
      <c r="AO31" s="49">
        <v>10</v>
      </c>
      <c r="AP31" s="49">
        <v>1</v>
      </c>
      <c r="AQ31" s="49">
        <v>1</v>
      </c>
      <c r="AR31" s="49">
        <v>12</v>
      </c>
      <c r="AS31" s="49">
        <v>30</v>
      </c>
      <c r="AT31" s="49">
        <v>2</v>
      </c>
      <c r="AU31" s="49">
        <v>0</v>
      </c>
      <c r="AV31" s="49">
        <v>0</v>
      </c>
      <c r="AW31" s="49">
        <v>2</v>
      </c>
      <c r="AX31" s="49">
        <v>3</v>
      </c>
      <c r="AY31" s="49">
        <v>0</v>
      </c>
      <c r="AZ31" s="49">
        <v>0</v>
      </c>
      <c r="BA31" s="49">
        <v>3</v>
      </c>
      <c r="BB31" s="49">
        <v>3</v>
      </c>
      <c r="BC31" s="49">
        <v>0</v>
      </c>
      <c r="BD31" s="49">
        <v>0</v>
      </c>
      <c r="BE31" s="49">
        <v>3</v>
      </c>
      <c r="BF31" s="49">
        <v>8</v>
      </c>
      <c r="BG31" s="49">
        <v>56</v>
      </c>
    </row>
    <row r="32" spans="2:59" x14ac:dyDescent="0.25">
      <c r="B32" s="10" t="s">
        <v>91</v>
      </c>
      <c r="C32" s="49">
        <v>10</v>
      </c>
      <c r="D32" s="49">
        <v>0</v>
      </c>
      <c r="E32" s="49">
        <v>0</v>
      </c>
      <c r="F32" s="49">
        <v>10</v>
      </c>
      <c r="G32" s="49">
        <v>96</v>
      </c>
      <c r="H32" s="49">
        <v>5</v>
      </c>
      <c r="I32" s="49">
        <v>0</v>
      </c>
      <c r="J32" s="49">
        <v>101</v>
      </c>
      <c r="K32" s="49">
        <v>37</v>
      </c>
      <c r="L32" s="49">
        <v>0</v>
      </c>
      <c r="M32" s="49">
        <v>0</v>
      </c>
      <c r="N32" s="49">
        <v>37</v>
      </c>
      <c r="O32" s="49">
        <v>0</v>
      </c>
      <c r="P32" s="49">
        <v>0</v>
      </c>
      <c r="Q32" s="49">
        <v>0</v>
      </c>
      <c r="R32" s="49">
        <v>0</v>
      </c>
      <c r="S32" s="49">
        <v>148</v>
      </c>
      <c r="T32" s="49">
        <v>45</v>
      </c>
      <c r="U32" s="49">
        <v>4</v>
      </c>
      <c r="V32" s="49">
        <v>0</v>
      </c>
      <c r="W32" s="49">
        <v>49</v>
      </c>
      <c r="X32" s="49">
        <v>25</v>
      </c>
      <c r="Y32" s="49">
        <v>0</v>
      </c>
      <c r="Z32" s="49">
        <v>0</v>
      </c>
      <c r="AA32" s="49">
        <v>25</v>
      </c>
      <c r="AB32" s="49">
        <v>8</v>
      </c>
      <c r="AC32" s="49">
        <v>0</v>
      </c>
      <c r="AD32" s="49">
        <v>0</v>
      </c>
      <c r="AE32" s="49">
        <v>8</v>
      </c>
      <c r="AF32" s="49">
        <v>82</v>
      </c>
      <c r="AG32" s="49">
        <v>63</v>
      </c>
      <c r="AH32" s="49">
        <v>0</v>
      </c>
      <c r="AI32" s="49">
        <v>0</v>
      </c>
      <c r="AJ32" s="49">
        <v>63</v>
      </c>
      <c r="AK32" s="49">
        <v>94</v>
      </c>
      <c r="AL32" s="49">
        <v>0</v>
      </c>
      <c r="AM32" s="49">
        <v>0</v>
      </c>
      <c r="AN32" s="49">
        <v>94</v>
      </c>
      <c r="AO32" s="49">
        <v>56</v>
      </c>
      <c r="AP32" s="49">
        <v>3</v>
      </c>
      <c r="AQ32" s="49">
        <v>1</v>
      </c>
      <c r="AR32" s="49">
        <v>60</v>
      </c>
      <c r="AS32" s="49">
        <v>217</v>
      </c>
      <c r="AT32" s="49">
        <v>31</v>
      </c>
      <c r="AU32" s="49">
        <v>0</v>
      </c>
      <c r="AV32" s="49">
        <v>0</v>
      </c>
      <c r="AW32" s="49">
        <v>31</v>
      </c>
      <c r="AX32" s="49">
        <v>28</v>
      </c>
      <c r="AY32" s="49">
        <v>1</v>
      </c>
      <c r="AZ32" s="49">
        <v>0</v>
      </c>
      <c r="BA32" s="49">
        <v>29</v>
      </c>
      <c r="BB32" s="49">
        <v>53</v>
      </c>
      <c r="BC32" s="49">
        <v>1</v>
      </c>
      <c r="BD32" s="49">
        <v>0</v>
      </c>
      <c r="BE32" s="49">
        <v>54</v>
      </c>
      <c r="BF32" s="49">
        <v>114</v>
      </c>
      <c r="BG32" s="49">
        <v>561</v>
      </c>
    </row>
    <row r="33" spans="2:59" x14ac:dyDescent="0.25">
      <c r="B33" s="11">
        <v>0.5625</v>
      </c>
      <c r="C33" s="49">
        <v>2</v>
      </c>
      <c r="D33" s="49">
        <v>0</v>
      </c>
      <c r="E33" s="49">
        <v>0</v>
      </c>
      <c r="F33" s="49">
        <v>2</v>
      </c>
      <c r="G33" s="49">
        <v>10</v>
      </c>
      <c r="H33" s="49">
        <v>0</v>
      </c>
      <c r="I33" s="49">
        <v>0</v>
      </c>
      <c r="J33" s="49">
        <v>10</v>
      </c>
      <c r="K33" s="49">
        <v>4</v>
      </c>
      <c r="L33" s="49">
        <v>0</v>
      </c>
      <c r="M33" s="49">
        <v>0</v>
      </c>
      <c r="N33" s="49">
        <v>4</v>
      </c>
      <c r="O33" s="49">
        <v>0</v>
      </c>
      <c r="P33" s="49">
        <v>0</v>
      </c>
      <c r="Q33" s="49">
        <v>0</v>
      </c>
      <c r="R33" s="49">
        <v>0</v>
      </c>
      <c r="S33" s="49">
        <v>16</v>
      </c>
      <c r="T33" s="49">
        <v>3</v>
      </c>
      <c r="U33" s="49">
        <v>0</v>
      </c>
      <c r="V33" s="49">
        <v>0</v>
      </c>
      <c r="W33" s="49">
        <v>3</v>
      </c>
      <c r="X33" s="49">
        <v>2</v>
      </c>
      <c r="Y33" s="49">
        <v>0</v>
      </c>
      <c r="Z33" s="49">
        <v>0</v>
      </c>
      <c r="AA33" s="49">
        <v>2</v>
      </c>
      <c r="AB33" s="49">
        <v>1</v>
      </c>
      <c r="AC33" s="49">
        <v>0</v>
      </c>
      <c r="AD33" s="49">
        <v>0</v>
      </c>
      <c r="AE33" s="49">
        <v>1</v>
      </c>
      <c r="AF33" s="49">
        <v>6</v>
      </c>
      <c r="AG33" s="49">
        <v>5</v>
      </c>
      <c r="AH33" s="49">
        <v>0</v>
      </c>
      <c r="AI33" s="49">
        <v>0</v>
      </c>
      <c r="AJ33" s="49">
        <v>5</v>
      </c>
      <c r="AK33" s="49">
        <v>8</v>
      </c>
      <c r="AL33" s="49">
        <v>0</v>
      </c>
      <c r="AM33" s="49">
        <v>0</v>
      </c>
      <c r="AN33" s="49">
        <v>8</v>
      </c>
      <c r="AO33" s="49">
        <v>12</v>
      </c>
      <c r="AP33" s="49">
        <v>0</v>
      </c>
      <c r="AQ33" s="49">
        <v>0</v>
      </c>
      <c r="AR33" s="49">
        <v>12</v>
      </c>
      <c r="AS33" s="49">
        <v>25</v>
      </c>
      <c r="AT33" s="49">
        <v>2</v>
      </c>
      <c r="AU33" s="49">
        <v>0</v>
      </c>
      <c r="AV33" s="49">
        <v>0</v>
      </c>
      <c r="AW33" s="49">
        <v>2</v>
      </c>
      <c r="AX33" s="49">
        <v>6</v>
      </c>
      <c r="AY33" s="49">
        <v>0</v>
      </c>
      <c r="AZ33" s="49">
        <v>0</v>
      </c>
      <c r="BA33" s="49">
        <v>6</v>
      </c>
      <c r="BB33" s="49">
        <v>6</v>
      </c>
      <c r="BC33" s="49">
        <v>0</v>
      </c>
      <c r="BD33" s="49">
        <v>0</v>
      </c>
      <c r="BE33" s="49">
        <v>6</v>
      </c>
      <c r="BF33" s="49">
        <v>14</v>
      </c>
      <c r="BG33" s="49">
        <v>61</v>
      </c>
    </row>
    <row r="34" spans="2:59" x14ac:dyDescent="0.25">
      <c r="B34" s="11">
        <v>0.57291666666666663</v>
      </c>
      <c r="C34" s="49">
        <v>4</v>
      </c>
      <c r="D34" s="49">
        <v>0</v>
      </c>
      <c r="E34" s="49">
        <v>0</v>
      </c>
      <c r="F34" s="49">
        <v>4</v>
      </c>
      <c r="G34" s="49">
        <v>16</v>
      </c>
      <c r="H34" s="49">
        <v>0</v>
      </c>
      <c r="I34" s="49">
        <v>0</v>
      </c>
      <c r="J34" s="49">
        <v>16</v>
      </c>
      <c r="K34" s="49">
        <v>3</v>
      </c>
      <c r="L34" s="49">
        <v>0</v>
      </c>
      <c r="M34" s="49">
        <v>0</v>
      </c>
      <c r="N34" s="49">
        <v>3</v>
      </c>
      <c r="O34" s="49">
        <v>0</v>
      </c>
      <c r="P34" s="49">
        <v>0</v>
      </c>
      <c r="Q34" s="49">
        <v>0</v>
      </c>
      <c r="R34" s="49">
        <v>0</v>
      </c>
      <c r="S34" s="49">
        <v>23</v>
      </c>
      <c r="T34" s="49">
        <v>7</v>
      </c>
      <c r="U34" s="49">
        <v>2</v>
      </c>
      <c r="V34" s="49">
        <v>0</v>
      </c>
      <c r="W34" s="49">
        <v>9</v>
      </c>
      <c r="X34" s="49">
        <v>4</v>
      </c>
      <c r="Y34" s="49">
        <v>0</v>
      </c>
      <c r="Z34" s="49">
        <v>0</v>
      </c>
      <c r="AA34" s="49">
        <v>4</v>
      </c>
      <c r="AB34" s="49">
        <v>3</v>
      </c>
      <c r="AC34" s="49">
        <v>0</v>
      </c>
      <c r="AD34" s="49">
        <v>0</v>
      </c>
      <c r="AE34" s="49">
        <v>3</v>
      </c>
      <c r="AF34" s="49">
        <v>16</v>
      </c>
      <c r="AG34" s="49">
        <v>10</v>
      </c>
      <c r="AH34" s="49">
        <v>0</v>
      </c>
      <c r="AI34" s="49">
        <v>0</v>
      </c>
      <c r="AJ34" s="49">
        <v>10</v>
      </c>
      <c r="AK34" s="49">
        <v>13</v>
      </c>
      <c r="AL34" s="49">
        <v>0</v>
      </c>
      <c r="AM34" s="49">
        <v>0</v>
      </c>
      <c r="AN34" s="49">
        <v>13</v>
      </c>
      <c r="AO34" s="49">
        <v>5</v>
      </c>
      <c r="AP34" s="49">
        <v>0</v>
      </c>
      <c r="AQ34" s="49">
        <v>0</v>
      </c>
      <c r="AR34" s="49">
        <v>5</v>
      </c>
      <c r="AS34" s="49">
        <v>28</v>
      </c>
      <c r="AT34" s="49">
        <v>7</v>
      </c>
      <c r="AU34" s="49">
        <v>0</v>
      </c>
      <c r="AV34" s="49">
        <v>0</v>
      </c>
      <c r="AW34" s="49">
        <v>7</v>
      </c>
      <c r="AX34" s="49">
        <v>1</v>
      </c>
      <c r="AY34" s="49">
        <v>0</v>
      </c>
      <c r="AZ34" s="49">
        <v>0</v>
      </c>
      <c r="BA34" s="49">
        <v>1</v>
      </c>
      <c r="BB34" s="49">
        <v>4</v>
      </c>
      <c r="BC34" s="49">
        <v>1</v>
      </c>
      <c r="BD34" s="49">
        <v>0</v>
      </c>
      <c r="BE34" s="49">
        <v>5</v>
      </c>
      <c r="BF34" s="49">
        <v>13</v>
      </c>
      <c r="BG34" s="49">
        <v>80</v>
      </c>
    </row>
    <row r="35" spans="2:59" x14ac:dyDescent="0.25">
      <c r="B35" s="11">
        <v>0.58333333333333337</v>
      </c>
      <c r="C35" s="49">
        <v>0</v>
      </c>
      <c r="D35" s="49">
        <v>0</v>
      </c>
      <c r="E35" s="49">
        <v>0</v>
      </c>
      <c r="F35" s="49">
        <v>0</v>
      </c>
      <c r="G35" s="49">
        <v>12</v>
      </c>
      <c r="H35" s="49">
        <v>0</v>
      </c>
      <c r="I35" s="49">
        <v>0</v>
      </c>
      <c r="J35" s="49">
        <v>12</v>
      </c>
      <c r="K35" s="49">
        <v>4</v>
      </c>
      <c r="L35" s="49">
        <v>0</v>
      </c>
      <c r="M35" s="49">
        <v>0</v>
      </c>
      <c r="N35" s="49">
        <v>4</v>
      </c>
      <c r="O35" s="49">
        <v>0</v>
      </c>
      <c r="P35" s="49">
        <v>0</v>
      </c>
      <c r="Q35" s="49">
        <v>0</v>
      </c>
      <c r="R35" s="49">
        <v>0</v>
      </c>
      <c r="S35" s="49">
        <v>16</v>
      </c>
      <c r="T35" s="49">
        <v>5</v>
      </c>
      <c r="U35" s="49">
        <v>0</v>
      </c>
      <c r="V35" s="49">
        <v>0</v>
      </c>
      <c r="W35" s="49">
        <v>5</v>
      </c>
      <c r="X35" s="49">
        <v>1</v>
      </c>
      <c r="Y35" s="49">
        <v>0</v>
      </c>
      <c r="Z35" s="49">
        <v>0</v>
      </c>
      <c r="AA35" s="49">
        <v>1</v>
      </c>
      <c r="AB35" s="49">
        <v>1</v>
      </c>
      <c r="AC35" s="49">
        <v>0</v>
      </c>
      <c r="AD35" s="49">
        <v>0</v>
      </c>
      <c r="AE35" s="49">
        <v>1</v>
      </c>
      <c r="AF35" s="49">
        <v>7</v>
      </c>
      <c r="AG35" s="49">
        <v>11</v>
      </c>
      <c r="AH35" s="49">
        <v>0</v>
      </c>
      <c r="AI35" s="49">
        <v>0</v>
      </c>
      <c r="AJ35" s="49">
        <v>11</v>
      </c>
      <c r="AK35" s="49">
        <v>11</v>
      </c>
      <c r="AL35" s="49">
        <v>0</v>
      </c>
      <c r="AM35" s="49">
        <v>0</v>
      </c>
      <c r="AN35" s="49">
        <v>11</v>
      </c>
      <c r="AO35" s="49">
        <v>9</v>
      </c>
      <c r="AP35" s="49">
        <v>0</v>
      </c>
      <c r="AQ35" s="49">
        <v>0</v>
      </c>
      <c r="AR35" s="49">
        <v>9</v>
      </c>
      <c r="AS35" s="49">
        <v>31</v>
      </c>
      <c r="AT35" s="49">
        <v>6</v>
      </c>
      <c r="AU35" s="49">
        <v>0</v>
      </c>
      <c r="AV35" s="49">
        <v>0</v>
      </c>
      <c r="AW35" s="49">
        <v>6</v>
      </c>
      <c r="AX35" s="49">
        <v>0</v>
      </c>
      <c r="AY35" s="49">
        <v>0</v>
      </c>
      <c r="AZ35" s="49">
        <v>0</v>
      </c>
      <c r="BA35" s="49">
        <v>0</v>
      </c>
      <c r="BB35" s="49">
        <v>5</v>
      </c>
      <c r="BC35" s="49">
        <v>0</v>
      </c>
      <c r="BD35" s="49">
        <v>0</v>
      </c>
      <c r="BE35" s="49">
        <v>5</v>
      </c>
      <c r="BF35" s="49">
        <v>11</v>
      </c>
      <c r="BG35" s="49">
        <v>65</v>
      </c>
    </row>
    <row r="36" spans="2:59" x14ac:dyDescent="0.25">
      <c r="B36" s="11">
        <v>0.59375</v>
      </c>
      <c r="C36" s="49">
        <v>2</v>
      </c>
      <c r="D36" s="49">
        <v>0</v>
      </c>
      <c r="E36" s="49">
        <v>0</v>
      </c>
      <c r="F36" s="49">
        <v>2</v>
      </c>
      <c r="G36" s="49">
        <v>10</v>
      </c>
      <c r="H36" s="49">
        <v>0</v>
      </c>
      <c r="I36" s="49">
        <v>0</v>
      </c>
      <c r="J36" s="49">
        <v>10</v>
      </c>
      <c r="K36" s="49">
        <v>4</v>
      </c>
      <c r="L36" s="49">
        <v>0</v>
      </c>
      <c r="M36" s="49">
        <v>0</v>
      </c>
      <c r="N36" s="49">
        <v>4</v>
      </c>
      <c r="O36" s="49">
        <v>0</v>
      </c>
      <c r="P36" s="49">
        <v>0</v>
      </c>
      <c r="Q36" s="49">
        <v>0</v>
      </c>
      <c r="R36" s="49">
        <v>0</v>
      </c>
      <c r="S36" s="49">
        <v>16</v>
      </c>
      <c r="T36" s="49">
        <v>6</v>
      </c>
      <c r="U36" s="49">
        <v>0</v>
      </c>
      <c r="V36" s="49">
        <v>0</v>
      </c>
      <c r="W36" s="49">
        <v>6</v>
      </c>
      <c r="X36" s="49">
        <v>6</v>
      </c>
      <c r="Y36" s="49">
        <v>0</v>
      </c>
      <c r="Z36" s="49">
        <v>0</v>
      </c>
      <c r="AA36" s="49">
        <v>6</v>
      </c>
      <c r="AB36" s="49">
        <v>1</v>
      </c>
      <c r="AC36" s="49">
        <v>0</v>
      </c>
      <c r="AD36" s="49">
        <v>0</v>
      </c>
      <c r="AE36" s="49">
        <v>1</v>
      </c>
      <c r="AF36" s="49">
        <v>13</v>
      </c>
      <c r="AG36" s="49">
        <v>9</v>
      </c>
      <c r="AH36" s="49">
        <v>0</v>
      </c>
      <c r="AI36" s="49">
        <v>0</v>
      </c>
      <c r="AJ36" s="49">
        <v>9</v>
      </c>
      <c r="AK36" s="49">
        <v>5</v>
      </c>
      <c r="AL36" s="49">
        <v>0</v>
      </c>
      <c r="AM36" s="49">
        <v>0</v>
      </c>
      <c r="AN36" s="49">
        <v>5</v>
      </c>
      <c r="AO36" s="49">
        <v>9</v>
      </c>
      <c r="AP36" s="49">
        <v>0</v>
      </c>
      <c r="AQ36" s="49">
        <v>0</v>
      </c>
      <c r="AR36" s="49">
        <v>9</v>
      </c>
      <c r="AS36" s="49">
        <v>23</v>
      </c>
      <c r="AT36" s="49">
        <v>1</v>
      </c>
      <c r="AU36" s="49">
        <v>0</v>
      </c>
      <c r="AV36" s="49">
        <v>0</v>
      </c>
      <c r="AW36" s="49">
        <v>1</v>
      </c>
      <c r="AX36" s="49">
        <v>5</v>
      </c>
      <c r="AY36" s="49">
        <v>0</v>
      </c>
      <c r="AZ36" s="49">
        <v>0</v>
      </c>
      <c r="BA36" s="49">
        <v>5</v>
      </c>
      <c r="BB36" s="49">
        <v>8</v>
      </c>
      <c r="BC36" s="49">
        <v>0</v>
      </c>
      <c r="BD36" s="49">
        <v>0</v>
      </c>
      <c r="BE36" s="49">
        <v>8</v>
      </c>
      <c r="BF36" s="49">
        <v>14</v>
      </c>
      <c r="BG36" s="49">
        <v>66</v>
      </c>
    </row>
    <row r="37" spans="2:59" x14ac:dyDescent="0.25">
      <c r="B37" s="11">
        <v>0.60416666666666663</v>
      </c>
      <c r="C37" s="49">
        <v>0</v>
      </c>
      <c r="D37" s="49">
        <v>0</v>
      </c>
      <c r="E37" s="49">
        <v>0</v>
      </c>
      <c r="F37" s="49">
        <v>0</v>
      </c>
      <c r="G37" s="49">
        <v>13</v>
      </c>
      <c r="H37" s="49">
        <v>1</v>
      </c>
      <c r="I37" s="49">
        <v>0</v>
      </c>
      <c r="J37" s="49">
        <v>14</v>
      </c>
      <c r="K37" s="49">
        <v>3</v>
      </c>
      <c r="L37" s="49">
        <v>0</v>
      </c>
      <c r="M37" s="49">
        <v>0</v>
      </c>
      <c r="N37" s="49">
        <v>3</v>
      </c>
      <c r="O37" s="49">
        <v>0</v>
      </c>
      <c r="P37" s="49">
        <v>0</v>
      </c>
      <c r="Q37" s="49">
        <v>0</v>
      </c>
      <c r="R37" s="49">
        <v>0</v>
      </c>
      <c r="S37" s="49">
        <v>17</v>
      </c>
      <c r="T37" s="49">
        <v>6</v>
      </c>
      <c r="U37" s="49">
        <v>0</v>
      </c>
      <c r="V37" s="49">
        <v>0</v>
      </c>
      <c r="W37" s="49">
        <v>6</v>
      </c>
      <c r="X37" s="49">
        <v>0</v>
      </c>
      <c r="Y37" s="49">
        <v>0</v>
      </c>
      <c r="Z37" s="49">
        <v>0</v>
      </c>
      <c r="AA37" s="49">
        <v>0</v>
      </c>
      <c r="AB37" s="49">
        <v>0</v>
      </c>
      <c r="AC37" s="49">
        <v>0</v>
      </c>
      <c r="AD37" s="49">
        <v>0</v>
      </c>
      <c r="AE37" s="49">
        <v>0</v>
      </c>
      <c r="AF37" s="49">
        <v>6</v>
      </c>
      <c r="AG37" s="49">
        <v>7</v>
      </c>
      <c r="AH37" s="49">
        <v>0</v>
      </c>
      <c r="AI37" s="49">
        <v>0</v>
      </c>
      <c r="AJ37" s="49">
        <v>7</v>
      </c>
      <c r="AK37" s="49">
        <v>15</v>
      </c>
      <c r="AL37" s="49">
        <v>0</v>
      </c>
      <c r="AM37" s="49">
        <v>0</v>
      </c>
      <c r="AN37" s="49">
        <v>15</v>
      </c>
      <c r="AO37" s="49">
        <v>3</v>
      </c>
      <c r="AP37" s="49">
        <v>2</v>
      </c>
      <c r="AQ37" s="49">
        <v>0</v>
      </c>
      <c r="AR37" s="49">
        <v>5</v>
      </c>
      <c r="AS37" s="49">
        <v>27</v>
      </c>
      <c r="AT37" s="49">
        <v>2</v>
      </c>
      <c r="AU37" s="49">
        <v>0</v>
      </c>
      <c r="AV37" s="49">
        <v>0</v>
      </c>
      <c r="AW37" s="49">
        <v>2</v>
      </c>
      <c r="AX37" s="49">
        <v>5</v>
      </c>
      <c r="AY37" s="49">
        <v>0</v>
      </c>
      <c r="AZ37" s="49">
        <v>0</v>
      </c>
      <c r="BA37" s="49">
        <v>5</v>
      </c>
      <c r="BB37" s="49">
        <v>7</v>
      </c>
      <c r="BC37" s="49">
        <v>0</v>
      </c>
      <c r="BD37" s="49">
        <v>0</v>
      </c>
      <c r="BE37" s="49">
        <v>7</v>
      </c>
      <c r="BF37" s="49">
        <v>14</v>
      </c>
      <c r="BG37" s="49">
        <v>64</v>
      </c>
    </row>
    <row r="38" spans="2:59" x14ac:dyDescent="0.25">
      <c r="B38" s="11">
        <v>0.61458333333333337</v>
      </c>
      <c r="C38" s="49">
        <v>0</v>
      </c>
      <c r="D38" s="49">
        <v>0</v>
      </c>
      <c r="E38" s="49">
        <v>0</v>
      </c>
      <c r="F38" s="49">
        <v>0</v>
      </c>
      <c r="G38" s="49">
        <v>10</v>
      </c>
      <c r="H38" s="49">
        <v>0</v>
      </c>
      <c r="I38" s="49">
        <v>0</v>
      </c>
      <c r="J38" s="49">
        <v>10</v>
      </c>
      <c r="K38" s="49">
        <v>4</v>
      </c>
      <c r="L38" s="49">
        <v>0</v>
      </c>
      <c r="M38" s="49">
        <v>0</v>
      </c>
      <c r="N38" s="49">
        <v>4</v>
      </c>
      <c r="O38" s="49">
        <v>0</v>
      </c>
      <c r="P38" s="49">
        <v>0</v>
      </c>
      <c r="Q38" s="49">
        <v>0</v>
      </c>
      <c r="R38" s="49">
        <v>0</v>
      </c>
      <c r="S38" s="49">
        <v>14</v>
      </c>
      <c r="T38" s="49">
        <v>7</v>
      </c>
      <c r="U38" s="49">
        <v>1</v>
      </c>
      <c r="V38" s="49">
        <v>0</v>
      </c>
      <c r="W38" s="49">
        <v>8</v>
      </c>
      <c r="X38" s="49">
        <v>6</v>
      </c>
      <c r="Y38" s="49">
        <v>0</v>
      </c>
      <c r="Z38" s="49">
        <v>0</v>
      </c>
      <c r="AA38" s="49">
        <v>6</v>
      </c>
      <c r="AB38" s="49">
        <v>1</v>
      </c>
      <c r="AC38" s="49">
        <v>0</v>
      </c>
      <c r="AD38" s="49">
        <v>0</v>
      </c>
      <c r="AE38" s="49">
        <v>1</v>
      </c>
      <c r="AF38" s="49">
        <v>15</v>
      </c>
      <c r="AG38" s="49">
        <v>6</v>
      </c>
      <c r="AH38" s="49">
        <v>0</v>
      </c>
      <c r="AI38" s="49">
        <v>0</v>
      </c>
      <c r="AJ38" s="49">
        <v>6</v>
      </c>
      <c r="AK38" s="49">
        <v>14</v>
      </c>
      <c r="AL38" s="49">
        <v>0</v>
      </c>
      <c r="AM38" s="49">
        <v>0</v>
      </c>
      <c r="AN38" s="49">
        <v>14</v>
      </c>
      <c r="AO38" s="49">
        <v>7</v>
      </c>
      <c r="AP38" s="49">
        <v>0</v>
      </c>
      <c r="AQ38" s="49">
        <v>0</v>
      </c>
      <c r="AR38" s="49">
        <v>7</v>
      </c>
      <c r="AS38" s="49">
        <v>27</v>
      </c>
      <c r="AT38" s="49">
        <v>5</v>
      </c>
      <c r="AU38" s="49">
        <v>0</v>
      </c>
      <c r="AV38" s="49">
        <v>0</v>
      </c>
      <c r="AW38" s="49">
        <v>5</v>
      </c>
      <c r="AX38" s="49">
        <v>2</v>
      </c>
      <c r="AY38" s="49">
        <v>0</v>
      </c>
      <c r="AZ38" s="49">
        <v>0</v>
      </c>
      <c r="BA38" s="49">
        <v>2</v>
      </c>
      <c r="BB38" s="49">
        <v>10</v>
      </c>
      <c r="BC38" s="49">
        <v>0</v>
      </c>
      <c r="BD38" s="49">
        <v>0</v>
      </c>
      <c r="BE38" s="49">
        <v>10</v>
      </c>
      <c r="BF38" s="49">
        <v>17</v>
      </c>
      <c r="BG38" s="49">
        <v>73</v>
      </c>
    </row>
    <row r="39" spans="2:59" x14ac:dyDescent="0.25">
      <c r="B39" s="11">
        <v>0.625</v>
      </c>
      <c r="C39" s="49">
        <v>1</v>
      </c>
      <c r="D39" s="49">
        <v>0</v>
      </c>
      <c r="E39" s="49">
        <v>0</v>
      </c>
      <c r="F39" s="49">
        <v>1</v>
      </c>
      <c r="G39" s="49">
        <v>12</v>
      </c>
      <c r="H39" s="49">
        <v>2</v>
      </c>
      <c r="I39" s="49">
        <v>0</v>
      </c>
      <c r="J39" s="49">
        <v>14</v>
      </c>
      <c r="K39" s="49">
        <v>10</v>
      </c>
      <c r="L39" s="49">
        <v>0</v>
      </c>
      <c r="M39" s="49">
        <v>0</v>
      </c>
      <c r="N39" s="49">
        <v>10</v>
      </c>
      <c r="O39" s="49">
        <v>0</v>
      </c>
      <c r="P39" s="49">
        <v>0</v>
      </c>
      <c r="Q39" s="49">
        <v>0</v>
      </c>
      <c r="R39" s="49">
        <v>0</v>
      </c>
      <c r="S39" s="49">
        <v>25</v>
      </c>
      <c r="T39" s="49">
        <v>5</v>
      </c>
      <c r="U39" s="49">
        <v>1</v>
      </c>
      <c r="V39" s="49">
        <v>0</v>
      </c>
      <c r="W39" s="49">
        <v>6</v>
      </c>
      <c r="X39" s="49">
        <v>5</v>
      </c>
      <c r="Y39" s="49">
        <v>0</v>
      </c>
      <c r="Z39" s="49">
        <v>0</v>
      </c>
      <c r="AA39" s="49">
        <v>5</v>
      </c>
      <c r="AB39" s="49">
        <v>0</v>
      </c>
      <c r="AC39" s="49">
        <v>0</v>
      </c>
      <c r="AD39" s="49">
        <v>0</v>
      </c>
      <c r="AE39" s="49">
        <v>0</v>
      </c>
      <c r="AF39" s="49">
        <v>11</v>
      </c>
      <c r="AG39" s="49">
        <v>6</v>
      </c>
      <c r="AH39" s="49">
        <v>0</v>
      </c>
      <c r="AI39" s="49">
        <v>0</v>
      </c>
      <c r="AJ39" s="49">
        <v>6</v>
      </c>
      <c r="AK39" s="49">
        <v>12</v>
      </c>
      <c r="AL39" s="49">
        <v>0</v>
      </c>
      <c r="AM39" s="49">
        <v>0</v>
      </c>
      <c r="AN39" s="49">
        <v>12</v>
      </c>
      <c r="AO39" s="49">
        <v>8</v>
      </c>
      <c r="AP39" s="49">
        <v>1</v>
      </c>
      <c r="AQ39" s="49">
        <v>1</v>
      </c>
      <c r="AR39" s="49">
        <v>10</v>
      </c>
      <c r="AS39" s="49">
        <v>28</v>
      </c>
      <c r="AT39" s="49">
        <v>6</v>
      </c>
      <c r="AU39" s="49">
        <v>0</v>
      </c>
      <c r="AV39" s="49">
        <v>0</v>
      </c>
      <c r="AW39" s="49">
        <v>6</v>
      </c>
      <c r="AX39" s="49">
        <v>5</v>
      </c>
      <c r="AY39" s="49">
        <v>0</v>
      </c>
      <c r="AZ39" s="49">
        <v>0</v>
      </c>
      <c r="BA39" s="49">
        <v>5</v>
      </c>
      <c r="BB39" s="49">
        <v>7</v>
      </c>
      <c r="BC39" s="49">
        <v>0</v>
      </c>
      <c r="BD39" s="49">
        <v>0</v>
      </c>
      <c r="BE39" s="49">
        <v>7</v>
      </c>
      <c r="BF39" s="49">
        <v>18</v>
      </c>
      <c r="BG39" s="49">
        <v>82</v>
      </c>
    </row>
    <row r="40" spans="2:59" x14ac:dyDescent="0.25">
      <c r="B40" s="11">
        <v>0.63541666666666663</v>
      </c>
      <c r="C40" s="49">
        <v>1</v>
      </c>
      <c r="D40" s="49">
        <v>0</v>
      </c>
      <c r="E40" s="49">
        <v>0</v>
      </c>
      <c r="F40" s="49">
        <v>1</v>
      </c>
      <c r="G40" s="49">
        <v>13</v>
      </c>
      <c r="H40" s="49">
        <v>2</v>
      </c>
      <c r="I40" s="49">
        <v>0</v>
      </c>
      <c r="J40" s="49">
        <v>15</v>
      </c>
      <c r="K40" s="49">
        <v>5</v>
      </c>
      <c r="L40" s="49">
        <v>0</v>
      </c>
      <c r="M40" s="49">
        <v>0</v>
      </c>
      <c r="N40" s="49">
        <v>5</v>
      </c>
      <c r="O40" s="49">
        <v>0</v>
      </c>
      <c r="P40" s="49">
        <v>0</v>
      </c>
      <c r="Q40" s="49">
        <v>0</v>
      </c>
      <c r="R40" s="49">
        <v>0</v>
      </c>
      <c r="S40" s="49">
        <v>21</v>
      </c>
      <c r="T40" s="49">
        <v>6</v>
      </c>
      <c r="U40" s="49">
        <v>0</v>
      </c>
      <c r="V40" s="49">
        <v>0</v>
      </c>
      <c r="W40" s="49">
        <v>6</v>
      </c>
      <c r="X40" s="49">
        <v>1</v>
      </c>
      <c r="Y40" s="49">
        <v>0</v>
      </c>
      <c r="Z40" s="49">
        <v>0</v>
      </c>
      <c r="AA40" s="49">
        <v>1</v>
      </c>
      <c r="AB40" s="49">
        <v>1</v>
      </c>
      <c r="AC40" s="49">
        <v>0</v>
      </c>
      <c r="AD40" s="49">
        <v>0</v>
      </c>
      <c r="AE40" s="49">
        <v>1</v>
      </c>
      <c r="AF40" s="49">
        <v>8</v>
      </c>
      <c r="AG40" s="49">
        <v>9</v>
      </c>
      <c r="AH40" s="49">
        <v>0</v>
      </c>
      <c r="AI40" s="49">
        <v>0</v>
      </c>
      <c r="AJ40" s="49">
        <v>9</v>
      </c>
      <c r="AK40" s="49">
        <v>16</v>
      </c>
      <c r="AL40" s="49">
        <v>0</v>
      </c>
      <c r="AM40" s="49">
        <v>0</v>
      </c>
      <c r="AN40" s="49">
        <v>16</v>
      </c>
      <c r="AO40" s="49">
        <v>3</v>
      </c>
      <c r="AP40" s="49">
        <v>0</v>
      </c>
      <c r="AQ40" s="49">
        <v>0</v>
      </c>
      <c r="AR40" s="49">
        <v>3</v>
      </c>
      <c r="AS40" s="49">
        <v>28</v>
      </c>
      <c r="AT40" s="49">
        <v>2</v>
      </c>
      <c r="AU40" s="49">
        <v>0</v>
      </c>
      <c r="AV40" s="49">
        <v>0</v>
      </c>
      <c r="AW40" s="49">
        <v>2</v>
      </c>
      <c r="AX40" s="49">
        <v>4</v>
      </c>
      <c r="AY40" s="49">
        <v>1</v>
      </c>
      <c r="AZ40" s="49">
        <v>0</v>
      </c>
      <c r="BA40" s="49">
        <v>5</v>
      </c>
      <c r="BB40" s="49">
        <v>6</v>
      </c>
      <c r="BC40" s="49">
        <v>0</v>
      </c>
      <c r="BD40" s="49">
        <v>0</v>
      </c>
      <c r="BE40" s="49">
        <v>6</v>
      </c>
      <c r="BF40" s="49">
        <v>13</v>
      </c>
      <c r="BG40" s="49">
        <v>70</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40">
    <cfRule type="expression" dxfId="2" priority="2">
      <formula>C$12&lt;&gt;""</formula>
    </cfRule>
  </conditionalFormatting>
  <conditionalFormatting pivot="1" sqref="C14:BG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284</v>
      </c>
      <c r="I5">
        <f>MAX(I11:I303)</f>
        <v>289</v>
      </c>
      <c r="J5">
        <f>MAX(J11:J303)</f>
        <v>295</v>
      </c>
      <c r="K5">
        <f>MAX(K11:K303)</f>
        <v>0</v>
      </c>
      <c r="N5" t="s">
        <v>53</v>
      </c>
      <c r="O5">
        <f>INDEX($H5:$K5,1,MATCH($O$4,$H$10:$K$10,0))</f>
        <v>0</v>
      </c>
    </row>
    <row r="6" spans="1:21" x14ac:dyDescent="0.25">
      <c r="G6" t="s">
        <v>55</v>
      </c>
      <c r="H6" s="6">
        <f>IF(H5=0,0,H7-1/24)</f>
        <v>0.33333333333333326</v>
      </c>
      <c r="I6" s="6">
        <f t="shared" ref="I6:K6" si="0">IF(I5=0,0,I7-1/24)</f>
        <v>0.60416666666666663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0.64583333333333326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284 vehicles between 08:00 and 09:00</v>
      </c>
      <c r="I8" s="6" t="str">
        <f>IF(I5=0,"","The peak hour for " &amp;I10&amp;" is "&amp;I5&amp;" vehicles between " &amp; TEXT(I6, "hh:mm")&amp; " and " &amp;TEXT(I7,"hh:mm"))</f>
        <v>The peak hour for INT is 289 vehicles between 14:30 and 15:30</v>
      </c>
      <c r="J8" s="6" t="str">
        <f>IF(J5=0,"","The peak hour for " &amp;J10&amp;" is "&amp;J5&amp;" vehicles between " &amp; TEXT(J6, "hh:mm")&amp; " and " &amp;TEXT(J7,"hh:mm"))</f>
        <v>The peak hour for PM is 295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v>
      </c>
      <c r="C11" s="49"/>
      <c r="D11" s="49"/>
      <c r="G11" s="7">
        <f>A11</f>
        <v>0.29166666666666669</v>
      </c>
      <c r="H11">
        <f>IF(B11&lt;&gt;0,SUMIF($G$11:$G11,"&gt;"&amp;$G11-1/24,B$11:B11),0)</f>
        <v>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v>
      </c>
      <c r="Q11">
        <f>P11*L11</f>
        <v>0</v>
      </c>
      <c r="S11" s="9">
        <v>0.29166666666666669</v>
      </c>
      <c r="T11" s="49">
        <v>40</v>
      </c>
      <c r="U11" s="49">
        <v>0</v>
      </c>
    </row>
    <row r="12" spans="1:21" x14ac:dyDescent="0.25">
      <c r="A12" s="9">
        <v>0.30208333333333331</v>
      </c>
      <c r="B12" s="49">
        <v>39</v>
      </c>
      <c r="C12" s="49"/>
      <c r="D12" s="49"/>
      <c r="G12" s="7">
        <f t="shared" ref="G12:G26" si="3">A12</f>
        <v>0.30208333333333331</v>
      </c>
      <c r="H12">
        <f>IF(B12&lt;&gt;0,SUMIF($G$11:$G12,"&gt;"&amp;$G12-1/24,B$11:B12),0)</f>
        <v>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v>
      </c>
      <c r="Q12">
        <f t="shared" ref="Q12:Q75" si="7">P12*L12</f>
        <v>0</v>
      </c>
      <c r="S12" s="9">
        <v>0.30208333333333331</v>
      </c>
      <c r="T12" s="49">
        <v>39</v>
      </c>
      <c r="U12" s="49">
        <v>0</v>
      </c>
    </row>
    <row r="13" spans="1:21" x14ac:dyDescent="0.25">
      <c r="A13" s="9">
        <v>0.3125</v>
      </c>
      <c r="B13" s="49">
        <v>60</v>
      </c>
      <c r="C13" s="49"/>
      <c r="D13" s="49"/>
      <c r="G13" s="7">
        <f t="shared" si="3"/>
        <v>0.3125</v>
      </c>
      <c r="H13">
        <f>IF(B13&lt;&gt;0,SUMIF($G$11:$G13,"&gt;"&amp;$G13-1/24,B$11:B13),0)</f>
        <v>139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60</v>
      </c>
      <c r="Q13">
        <f t="shared" si="7"/>
        <v>0</v>
      </c>
      <c r="S13" s="9">
        <v>0.3125</v>
      </c>
      <c r="T13" s="49">
        <v>60</v>
      </c>
      <c r="U13" s="49">
        <v>0</v>
      </c>
    </row>
    <row r="14" spans="1:21" x14ac:dyDescent="0.25">
      <c r="A14" s="9">
        <v>0.32291666666666669</v>
      </c>
      <c r="B14" s="49">
        <v>52</v>
      </c>
      <c r="C14" s="49"/>
      <c r="D14" s="49"/>
      <c r="G14" s="7">
        <f t="shared" si="3"/>
        <v>0.32291666666666669</v>
      </c>
      <c r="H14">
        <f>IF(B14&lt;&gt;0,SUMIF($G$11:$G14,"&gt;"&amp;$G14-1/24,B$11:B14),0)</f>
        <v>191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52</v>
      </c>
      <c r="Q14">
        <f t="shared" si="7"/>
        <v>0</v>
      </c>
      <c r="S14" s="9">
        <v>0.32291666666666669</v>
      </c>
      <c r="T14" s="49">
        <v>52</v>
      </c>
      <c r="U14" s="49">
        <v>0</v>
      </c>
    </row>
    <row r="15" spans="1:21" x14ac:dyDescent="0.25">
      <c r="A15" s="9">
        <v>0.33333333333333331</v>
      </c>
      <c r="B15" s="49">
        <v>63</v>
      </c>
      <c r="C15" s="49"/>
      <c r="D15" s="49"/>
      <c r="G15" s="7">
        <f t="shared" si="3"/>
        <v>0.33333333333333331</v>
      </c>
      <c r="H15">
        <f>IF(B15&lt;&gt;0,SUMIF($G$11:$G15,"&gt;"&amp;$G15-1/24,B$11:B15),0)</f>
        <v>214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v>
      </c>
      <c r="Q15">
        <f t="shared" si="7"/>
        <v>63</v>
      </c>
      <c r="S15" s="9">
        <v>0.33333333333333331</v>
      </c>
      <c r="T15" s="49">
        <v>63</v>
      </c>
      <c r="U15" s="49">
        <v>63</v>
      </c>
    </row>
    <row r="16" spans="1:21" x14ac:dyDescent="0.25">
      <c r="A16" s="9">
        <v>0.34375</v>
      </c>
      <c r="B16" s="49">
        <v>62</v>
      </c>
      <c r="C16" s="49"/>
      <c r="D16" s="49"/>
      <c r="G16" s="7">
        <f t="shared" si="3"/>
        <v>0.34375</v>
      </c>
      <c r="H16">
        <f>IF(B16&lt;&gt;0,SUMIF($G$11:$G16,"&gt;"&amp;$G16-1/24,B$11:B16),0)</f>
        <v>237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v>
      </c>
      <c r="Q16">
        <f t="shared" si="7"/>
        <v>62</v>
      </c>
      <c r="S16" s="9">
        <v>0.34375</v>
      </c>
      <c r="T16" s="49">
        <v>62</v>
      </c>
      <c r="U16" s="49">
        <v>62</v>
      </c>
    </row>
    <row r="17" spans="1:21" x14ac:dyDescent="0.25">
      <c r="A17" s="9">
        <v>0.35416666666666669</v>
      </c>
      <c r="B17" s="49">
        <v>72</v>
      </c>
      <c r="C17" s="49"/>
      <c r="D17" s="49"/>
      <c r="G17" s="7">
        <f t="shared" si="3"/>
        <v>0.35416666666666669</v>
      </c>
      <c r="H17">
        <f>IF(B17&lt;&gt;0,SUMIF($G$11:$G17,"&gt;"&amp;$G17-1/24,B$11:B17),0)</f>
        <v>249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72</v>
      </c>
      <c r="Q17">
        <f t="shared" si="7"/>
        <v>72</v>
      </c>
      <c r="S17" s="9">
        <v>0.35416666666666669</v>
      </c>
      <c r="T17" s="49">
        <v>72</v>
      </c>
      <c r="U17" s="49">
        <v>72</v>
      </c>
    </row>
    <row r="18" spans="1:21" x14ac:dyDescent="0.25">
      <c r="A18" s="9">
        <v>0.36458333333333331</v>
      </c>
      <c r="B18" s="49">
        <v>87</v>
      </c>
      <c r="C18" s="49"/>
      <c r="D18" s="49"/>
      <c r="G18" s="7">
        <f t="shared" si="3"/>
        <v>0.36458333333333331</v>
      </c>
      <c r="H18">
        <f>IF(B18&lt;&gt;0,SUMIF($G$11:$G18,"&gt;"&amp;$G18-1/24,B$11:B18),0)</f>
        <v>284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87</v>
      </c>
      <c r="Q18">
        <f t="shared" si="7"/>
        <v>87</v>
      </c>
      <c r="S18" s="9">
        <v>0.36458333333333331</v>
      </c>
      <c r="T18" s="49">
        <v>87</v>
      </c>
      <c r="U18" s="49">
        <v>87</v>
      </c>
    </row>
    <row r="19" spans="1:21" x14ac:dyDescent="0.25">
      <c r="A19" s="9">
        <v>0.5625</v>
      </c>
      <c r="B19" s="49"/>
      <c r="C19" s="49">
        <v>61</v>
      </c>
      <c r="D19" s="49"/>
      <c r="G19" s="7">
        <f t="shared" si="3"/>
        <v>0.5625</v>
      </c>
      <c r="H19">
        <f>IF(B19&lt;&gt;0,SUMIF($G$11:$G19,"&gt;"&amp;$G19-1/24,B$11:B19),0)</f>
        <v>0</v>
      </c>
      <c r="I19">
        <f>IF(C19&lt;&gt;0,SUMIF($G$11:$G19,"&gt;"&amp;$G19-1/24,C$11:C19),0)</f>
        <v>61</v>
      </c>
      <c r="J19">
        <f>IF(D19&lt;&gt;0,SUMIF($G$11:$G19,"&gt;"&amp;$G19-1/24,D$11:D19),0)</f>
        <v>0</v>
      </c>
      <c r="K19">
        <f>IF(E19&lt;&gt;0,SUMIF($G$11:$G19,"&gt;"&amp;$G19-1/24,E$11:E19),0)</f>
        <v>0</v>
      </c>
      <c r="L19">
        <f t="shared" si="4"/>
        <v>0</v>
      </c>
      <c r="N19" t="str">
        <f t="shared" si="5"/>
        <v>INT</v>
      </c>
      <c r="O19" s="7">
        <f t="shared" si="2"/>
        <v>0.5625</v>
      </c>
      <c r="P19">
        <f t="shared" si="6"/>
        <v>61</v>
      </c>
      <c r="Q19">
        <f t="shared" si="7"/>
        <v>0</v>
      </c>
      <c r="S19" s="9" t="s">
        <v>49</v>
      </c>
      <c r="T19" s="49">
        <v>475</v>
      </c>
      <c r="U19" s="49">
        <v>284</v>
      </c>
    </row>
    <row r="20" spans="1:21" x14ac:dyDescent="0.25">
      <c r="A20" s="9">
        <v>0.57291666666666663</v>
      </c>
      <c r="B20" s="49"/>
      <c r="C20" s="49">
        <v>80</v>
      </c>
      <c r="D20" s="49"/>
      <c r="G20" s="7">
        <f t="shared" si="3"/>
        <v>0.57291666666666663</v>
      </c>
      <c r="H20">
        <f>IF(B20&lt;&gt;0,SUMIF($G$11:$G20,"&gt;"&amp;$G20-1/24,B$11:B20),0)</f>
        <v>0</v>
      </c>
      <c r="I20">
        <f>IF(C20&lt;&gt;0,SUMIF($G$11:$G20,"&gt;"&amp;$G20-1/24,C$11:C20),0)</f>
        <v>141</v>
      </c>
      <c r="J20">
        <f>IF(D20&lt;&gt;0,SUMIF($G$11:$G20,"&gt;"&amp;$G20-1/24,D$11:D20),0)</f>
        <v>0</v>
      </c>
      <c r="K20">
        <f>IF(E20&lt;&gt;0,SUMIF($G$11:$G20,"&gt;"&amp;$G20-1/24,E$11:E20),0)</f>
        <v>0</v>
      </c>
      <c r="L20">
        <f t="shared" si="4"/>
        <v>0</v>
      </c>
      <c r="N20" t="str">
        <f t="shared" si="5"/>
        <v>INT</v>
      </c>
      <c r="O20" s="7">
        <f t="shared" si="2"/>
        <v>0.57291666666666663</v>
      </c>
      <c r="P20">
        <f t="shared" si="6"/>
        <v>80</v>
      </c>
      <c r="Q20">
        <f t="shared" si="7"/>
        <v>0</v>
      </c>
    </row>
    <row r="21" spans="1:21" x14ac:dyDescent="0.25">
      <c r="A21" s="9">
        <v>0.58333333333333337</v>
      </c>
      <c r="B21" s="49"/>
      <c r="C21" s="49">
        <v>65</v>
      </c>
      <c r="D21" s="49"/>
      <c r="G21" s="7">
        <f t="shared" si="3"/>
        <v>0.58333333333333337</v>
      </c>
      <c r="H21">
        <f>IF(B21&lt;&gt;0,SUMIF($G$11:$G21,"&gt;"&amp;$G21-1/24,B$11:B21),0)</f>
        <v>0</v>
      </c>
      <c r="I21">
        <f>IF(C21&lt;&gt;0,SUMIF($G$11:$G21,"&gt;"&amp;$G21-1/24,C$11:C21),0)</f>
        <v>206</v>
      </c>
      <c r="J21">
        <f>IF(D21&lt;&gt;0,SUMIF($G$11:$G21,"&gt;"&amp;$G21-1/24,D$11:D21),0)</f>
        <v>0</v>
      </c>
      <c r="K21">
        <f>IF(E21&lt;&gt;0,SUMIF($G$11:$G21,"&gt;"&amp;$G21-1/24,E$11:E21),0)</f>
        <v>0</v>
      </c>
      <c r="L21">
        <f t="shared" si="4"/>
        <v>0</v>
      </c>
      <c r="N21" t="str">
        <f t="shared" si="5"/>
        <v>INT</v>
      </c>
      <c r="O21" s="7">
        <f t="shared" si="2"/>
        <v>0.58333333333333337</v>
      </c>
      <c r="P21">
        <f t="shared" si="6"/>
        <v>65</v>
      </c>
      <c r="Q21">
        <f t="shared" si="7"/>
        <v>0</v>
      </c>
    </row>
    <row r="22" spans="1:21" x14ac:dyDescent="0.25">
      <c r="A22" s="9">
        <v>0.59375</v>
      </c>
      <c r="B22" s="49"/>
      <c r="C22" s="49">
        <v>66</v>
      </c>
      <c r="D22" s="49"/>
      <c r="G22" s="7">
        <f t="shared" si="3"/>
        <v>0.59375</v>
      </c>
      <c r="H22">
        <f>IF(B22&lt;&gt;0,SUMIF($G$11:$G22,"&gt;"&amp;$G22-1/24,B$11:B22),0)</f>
        <v>0</v>
      </c>
      <c r="I22">
        <f>IF(C22&lt;&gt;0,SUMIF($G$11:$G22,"&gt;"&amp;$G22-1/24,C$11:C22),0)</f>
        <v>272</v>
      </c>
      <c r="J22">
        <f>IF(D22&lt;&gt;0,SUMIF($G$11:$G22,"&gt;"&amp;$G22-1/24,D$11:D22),0)</f>
        <v>0</v>
      </c>
      <c r="K22">
        <f>IF(E22&lt;&gt;0,SUMIF($G$11:$G22,"&gt;"&amp;$G22-1/24,E$11:E22),0)</f>
        <v>0</v>
      </c>
      <c r="L22">
        <f t="shared" si="4"/>
        <v>0</v>
      </c>
      <c r="N22" t="str">
        <f t="shared" si="5"/>
        <v>INT</v>
      </c>
      <c r="O22" s="7">
        <f t="shared" si="2"/>
        <v>0.59375</v>
      </c>
      <c r="P22">
        <f t="shared" si="6"/>
        <v>66</v>
      </c>
      <c r="Q22">
        <f t="shared" si="7"/>
        <v>0</v>
      </c>
    </row>
    <row r="23" spans="1:21" x14ac:dyDescent="0.25">
      <c r="A23" s="9">
        <v>0.60416666666666663</v>
      </c>
      <c r="B23" s="49"/>
      <c r="C23" s="49">
        <v>64</v>
      </c>
      <c r="D23" s="49"/>
      <c r="G23" s="7">
        <f t="shared" si="3"/>
        <v>0.60416666666666663</v>
      </c>
      <c r="H23">
        <f>IF(B23&lt;&gt;0,SUMIF($G$11:$G23,"&gt;"&amp;$G23-1/24,B$11:B23),0)</f>
        <v>0</v>
      </c>
      <c r="I23">
        <f>IF(C23&lt;&gt;0,SUMIF($G$11:$G23,"&gt;"&amp;$G23-1/24,C$11:C23),0)</f>
        <v>275</v>
      </c>
      <c r="J23">
        <f>IF(D23&lt;&gt;0,SUMIF($G$11:$G23,"&gt;"&amp;$G23-1/24,D$11:D23),0)</f>
        <v>0</v>
      </c>
      <c r="K23">
        <f>IF(E23&lt;&gt;0,SUMIF($G$11:$G23,"&gt;"&amp;$G23-1/24,E$11:E23),0)</f>
        <v>0</v>
      </c>
      <c r="L23">
        <f t="shared" si="4"/>
        <v>1</v>
      </c>
      <c r="N23" t="str">
        <f t="shared" si="5"/>
        <v>INT</v>
      </c>
      <c r="O23" s="7">
        <f t="shared" si="2"/>
        <v>0.60416666666666663</v>
      </c>
      <c r="P23">
        <f t="shared" si="6"/>
        <v>64</v>
      </c>
      <c r="Q23">
        <f t="shared" si="7"/>
        <v>64</v>
      </c>
    </row>
    <row r="24" spans="1:21" x14ac:dyDescent="0.25">
      <c r="A24" s="9">
        <v>0.61458333333333337</v>
      </c>
      <c r="B24" s="49"/>
      <c r="C24" s="49">
        <v>73</v>
      </c>
      <c r="D24" s="49"/>
      <c r="G24" s="7">
        <f t="shared" si="3"/>
        <v>0.61458333333333337</v>
      </c>
      <c r="H24">
        <f>IF(B24&lt;&gt;0,SUMIF($G$11:$G24,"&gt;"&amp;$G24-1/24,B$11:B24),0)</f>
        <v>0</v>
      </c>
      <c r="I24">
        <f>IF(C24&lt;&gt;0,SUMIF($G$11:$G24,"&gt;"&amp;$G24-1/24,C$11:C24),0)</f>
        <v>268</v>
      </c>
      <c r="J24">
        <f>IF(D24&lt;&gt;0,SUMIF($G$11:$G24,"&gt;"&amp;$G24-1/24,D$11:D24),0)</f>
        <v>0</v>
      </c>
      <c r="K24">
        <f>IF(E24&lt;&gt;0,SUMIF($G$11:$G24,"&gt;"&amp;$G24-1/24,E$11:E24),0)</f>
        <v>0</v>
      </c>
      <c r="L24">
        <f t="shared" si="4"/>
        <v>1</v>
      </c>
      <c r="N24" t="str">
        <f t="shared" si="5"/>
        <v>INT</v>
      </c>
      <c r="O24" s="7">
        <f t="shared" si="2"/>
        <v>0.61458333333333337</v>
      </c>
      <c r="P24">
        <f t="shared" si="6"/>
        <v>73</v>
      </c>
      <c r="Q24">
        <f t="shared" si="7"/>
        <v>73</v>
      </c>
    </row>
    <row r="25" spans="1:21" x14ac:dyDescent="0.25">
      <c r="A25" s="9">
        <v>0.625</v>
      </c>
      <c r="B25" s="49"/>
      <c r="C25" s="49">
        <v>82</v>
      </c>
      <c r="D25" s="49"/>
      <c r="G25" s="7">
        <f t="shared" si="3"/>
        <v>0.625</v>
      </c>
      <c r="H25">
        <f>IF(B25&lt;&gt;0,SUMIF($G$11:$G25,"&gt;"&amp;$G25-1/24,B$11:B25),0)</f>
        <v>0</v>
      </c>
      <c r="I25">
        <f>IF(C25&lt;&gt;0,SUMIF($G$11:$G25,"&gt;"&amp;$G25-1/24,C$11:C25),0)</f>
        <v>285</v>
      </c>
      <c r="J25">
        <f>IF(D25&lt;&gt;0,SUMIF($G$11:$G25,"&gt;"&amp;$G25-1/24,D$11:D25),0)</f>
        <v>0</v>
      </c>
      <c r="K25">
        <f>IF(E25&lt;&gt;0,SUMIF($G$11:$G25,"&gt;"&amp;$G25-1/24,E$11:E25),0)</f>
        <v>0</v>
      </c>
      <c r="L25">
        <f t="shared" si="4"/>
        <v>1</v>
      </c>
      <c r="N25" t="str">
        <f t="shared" si="5"/>
        <v>INT</v>
      </c>
      <c r="O25" s="7">
        <f t="shared" si="2"/>
        <v>0.625</v>
      </c>
      <c r="P25">
        <f t="shared" si="6"/>
        <v>82</v>
      </c>
      <c r="Q25">
        <f t="shared" si="7"/>
        <v>82</v>
      </c>
    </row>
    <row r="26" spans="1:21" x14ac:dyDescent="0.25">
      <c r="A26" s="9">
        <v>0.63541666666666663</v>
      </c>
      <c r="B26" s="49"/>
      <c r="C26" s="49">
        <v>70</v>
      </c>
      <c r="D26" s="49"/>
      <c r="G26" s="7">
        <f t="shared" si="3"/>
        <v>0.63541666666666663</v>
      </c>
      <c r="H26">
        <f>IF(B26&lt;&gt;0,SUMIF($G$11:$G26,"&gt;"&amp;$G26-1/24,B$11:B26),0)</f>
        <v>0</v>
      </c>
      <c r="I26">
        <f>IF(C26&lt;&gt;0,SUMIF($G$11:$G26,"&gt;"&amp;$G26-1/24,C$11:C26),0)</f>
        <v>289</v>
      </c>
      <c r="J26">
        <f>IF(D26&lt;&gt;0,SUMIF($G$11:$G26,"&gt;"&amp;$G26-1/24,D$11:D26),0)</f>
        <v>0</v>
      </c>
      <c r="K26">
        <f>IF(E26&lt;&gt;0,SUMIF($G$11:$G26,"&gt;"&amp;$G26-1/24,E$11:E26),0)</f>
        <v>0</v>
      </c>
      <c r="L26">
        <f t="shared" si="4"/>
        <v>1</v>
      </c>
      <c r="N26" t="str">
        <f t="shared" si="5"/>
        <v>INT</v>
      </c>
      <c r="O26" s="7">
        <f t="shared" si="2"/>
        <v>0.63541666666666663</v>
      </c>
      <c r="P26">
        <f t="shared" si="6"/>
        <v>70</v>
      </c>
      <c r="Q26">
        <f t="shared" si="7"/>
        <v>70</v>
      </c>
    </row>
    <row r="27" spans="1:21" x14ac:dyDescent="0.25">
      <c r="A27" s="9">
        <v>0.66666666666666663</v>
      </c>
      <c r="B27" s="49"/>
      <c r="C27" s="49"/>
      <c r="D27" s="49">
        <v>78</v>
      </c>
      <c r="G27" s="7">
        <f t="shared" ref="G27:G90" si="8">A27</f>
        <v>0.66666666666666663</v>
      </c>
      <c r="H27">
        <f>IF(B27&lt;&gt;0,SUMIF($G$11:$G27,"&gt;"&amp;$G27-1/24,B$11:B27),0)</f>
        <v>0</v>
      </c>
      <c r="I27">
        <f>IF(C27&lt;&gt;0,SUMIF($G$11:$G27,"&gt;"&amp;$G27-1/24,C$11:C27),0)</f>
        <v>0</v>
      </c>
      <c r="J27">
        <f>IF(D27&lt;&gt;0,SUMIF($G$11:$G27,"&gt;"&amp;$G27-1/24,D$11:D27),0)</f>
        <v>78</v>
      </c>
      <c r="K27">
        <f>IF(E27&lt;&gt;0,SUMIF($G$11:$G27,"&gt;"&amp;$G27-1/24,E$11:E27),0)</f>
        <v>0</v>
      </c>
      <c r="L27">
        <f t="shared" si="4"/>
        <v>0</v>
      </c>
      <c r="N27" t="str">
        <f t="shared" si="5"/>
        <v>PM</v>
      </c>
      <c r="O27" s="7">
        <f t="shared" si="2"/>
        <v>0.66666666666666663</v>
      </c>
      <c r="P27">
        <f t="shared" si="6"/>
        <v>78</v>
      </c>
      <c r="Q27">
        <f t="shared" si="7"/>
        <v>0</v>
      </c>
    </row>
    <row r="28" spans="1:21" x14ac:dyDescent="0.25">
      <c r="A28" s="9">
        <v>0.67708333333333337</v>
      </c>
      <c r="B28" s="49"/>
      <c r="C28" s="49"/>
      <c r="D28" s="49">
        <v>75</v>
      </c>
      <c r="G28" s="7">
        <f t="shared" si="8"/>
        <v>0.67708333333333337</v>
      </c>
      <c r="H28">
        <f>IF(B28&lt;&gt;0,SUMIF($G$11:$G28,"&gt;"&amp;$G28-1/24,B$11:B28),0)</f>
        <v>0</v>
      </c>
      <c r="I28">
        <f>IF(C28&lt;&gt;0,SUMIF($G$11:$G28,"&gt;"&amp;$G28-1/24,C$11:C28),0)</f>
        <v>0</v>
      </c>
      <c r="J28">
        <f>IF(D28&lt;&gt;0,SUMIF($G$11:$G28,"&gt;"&amp;$G28-1/24,D$11:D28),0)</f>
        <v>153</v>
      </c>
      <c r="K28">
        <f>IF(E28&lt;&gt;0,SUMIF($G$11:$G28,"&gt;"&amp;$G28-1/24,E$11:E28),0)</f>
        <v>0</v>
      </c>
      <c r="L28">
        <f t="shared" si="4"/>
        <v>0</v>
      </c>
      <c r="N28" t="str">
        <f t="shared" si="5"/>
        <v>PM</v>
      </c>
      <c r="O28" s="7">
        <f t="shared" si="2"/>
        <v>0.67708333333333337</v>
      </c>
      <c r="P28">
        <f t="shared" si="6"/>
        <v>75</v>
      </c>
      <c r="Q28">
        <f t="shared" si="7"/>
        <v>0</v>
      </c>
    </row>
    <row r="29" spans="1:21" x14ac:dyDescent="0.25">
      <c r="A29" s="9">
        <v>0.6875</v>
      </c>
      <c r="B29" s="49"/>
      <c r="C29" s="49"/>
      <c r="D29" s="49">
        <v>68</v>
      </c>
      <c r="G29" s="7">
        <f t="shared" si="8"/>
        <v>0.6875</v>
      </c>
      <c r="H29">
        <f>IF(B29&lt;&gt;0,SUMIF($G$11:$G29,"&gt;"&amp;$G29-1/24,B$11:B29),0)</f>
        <v>0</v>
      </c>
      <c r="I29">
        <f>IF(C29&lt;&gt;0,SUMIF($G$11:$G29,"&gt;"&amp;$G29-1/24,C$11:C29),0)</f>
        <v>0</v>
      </c>
      <c r="J29">
        <f>IF(D29&lt;&gt;0,SUMIF($G$11:$G29,"&gt;"&amp;$G29-1/24,D$11:D29),0)</f>
        <v>221</v>
      </c>
      <c r="K29">
        <f>IF(E29&lt;&gt;0,SUMIF($G$11:$G29,"&gt;"&amp;$G29-1/24,E$11:E29),0)</f>
        <v>0</v>
      </c>
      <c r="L29">
        <f t="shared" si="4"/>
        <v>1</v>
      </c>
      <c r="N29" t="str">
        <f t="shared" si="5"/>
        <v>PM</v>
      </c>
      <c r="O29" s="7">
        <f t="shared" si="2"/>
        <v>0.6875</v>
      </c>
      <c r="P29">
        <f t="shared" si="6"/>
        <v>68</v>
      </c>
      <c r="Q29">
        <f t="shared" si="7"/>
        <v>68</v>
      </c>
    </row>
    <row r="30" spans="1:21" x14ac:dyDescent="0.25">
      <c r="A30" s="9">
        <v>0.69791666666666663</v>
      </c>
      <c r="B30" s="49"/>
      <c r="C30" s="49"/>
      <c r="D30" s="49">
        <v>58</v>
      </c>
      <c r="G30" s="7">
        <f t="shared" si="8"/>
        <v>0.69791666666666663</v>
      </c>
      <c r="H30">
        <f>IF(B30&lt;&gt;0,SUMIF($G$11:$G30,"&gt;"&amp;$G30-1/24,B$11:B30),0)</f>
        <v>0</v>
      </c>
      <c r="I30">
        <f>IF(C30&lt;&gt;0,SUMIF($G$11:$G30,"&gt;"&amp;$G30-1/24,C$11:C30),0)</f>
        <v>0</v>
      </c>
      <c r="J30">
        <f>IF(D30&lt;&gt;0,SUMIF($G$11:$G30,"&gt;"&amp;$G30-1/24,D$11:D30),0)</f>
        <v>279</v>
      </c>
      <c r="K30">
        <f>IF(E30&lt;&gt;0,SUMIF($G$11:$G30,"&gt;"&amp;$G30-1/24,E$11:E30),0)</f>
        <v>0</v>
      </c>
      <c r="L30">
        <f t="shared" si="4"/>
        <v>1</v>
      </c>
      <c r="N30" t="str">
        <f t="shared" si="5"/>
        <v>PM</v>
      </c>
      <c r="O30" s="7">
        <f t="shared" si="2"/>
        <v>0.69791666666666663</v>
      </c>
      <c r="P30">
        <f t="shared" si="6"/>
        <v>58</v>
      </c>
      <c r="Q30">
        <f t="shared" si="7"/>
        <v>58</v>
      </c>
    </row>
    <row r="31" spans="1:21" x14ac:dyDescent="0.25">
      <c r="A31" s="9">
        <v>0.70833333333333337</v>
      </c>
      <c r="B31" s="49"/>
      <c r="C31" s="49"/>
      <c r="D31" s="49">
        <v>86</v>
      </c>
      <c r="G31" s="7">
        <f t="shared" si="8"/>
        <v>0.70833333333333337</v>
      </c>
      <c r="H31">
        <f>IF(B31&lt;&gt;0,SUMIF($G$11:$G31,"&gt;"&amp;$G31-1/24,B$11:B31),0)</f>
        <v>0</v>
      </c>
      <c r="I31">
        <f>IF(C31&lt;&gt;0,SUMIF($G$11:$G31,"&gt;"&amp;$G31-1/24,C$11:C31),0)</f>
        <v>0</v>
      </c>
      <c r="J31">
        <f>IF(D31&lt;&gt;0,SUMIF($G$11:$G31,"&gt;"&amp;$G31-1/24,D$11:D31),0)</f>
        <v>287</v>
      </c>
      <c r="K31">
        <f>IF(E31&lt;&gt;0,SUMIF($G$11:$G31,"&gt;"&amp;$G31-1/24,E$11:E31),0)</f>
        <v>0</v>
      </c>
      <c r="L31">
        <f t="shared" si="4"/>
        <v>1</v>
      </c>
      <c r="N31" t="str">
        <f t="shared" si="5"/>
        <v>PM</v>
      </c>
      <c r="O31" s="7">
        <f t="shared" si="2"/>
        <v>0.70833333333333337</v>
      </c>
      <c r="P31">
        <f t="shared" si="6"/>
        <v>86</v>
      </c>
      <c r="Q31">
        <f t="shared" si="7"/>
        <v>86</v>
      </c>
    </row>
    <row r="32" spans="1:21" x14ac:dyDescent="0.25">
      <c r="A32" s="9">
        <v>0.71875</v>
      </c>
      <c r="B32" s="49"/>
      <c r="C32" s="49"/>
      <c r="D32" s="49">
        <v>83</v>
      </c>
      <c r="G32" s="7">
        <f t="shared" si="8"/>
        <v>0.71875</v>
      </c>
      <c r="H32">
        <f>IF(B32&lt;&gt;0,SUMIF($G$11:$G32,"&gt;"&amp;$G32-1/24,B$11:B32),0)</f>
        <v>0</v>
      </c>
      <c r="I32">
        <f>IF(C32&lt;&gt;0,SUMIF($G$11:$G32,"&gt;"&amp;$G32-1/24,C$11:C32),0)</f>
        <v>0</v>
      </c>
      <c r="J32">
        <f>IF(D32&lt;&gt;0,SUMIF($G$11:$G32,"&gt;"&amp;$G32-1/24,D$11:D32),0)</f>
        <v>295</v>
      </c>
      <c r="K32">
        <f>IF(E32&lt;&gt;0,SUMIF($G$11:$G32,"&gt;"&amp;$G32-1/24,E$11:E32),0)</f>
        <v>0</v>
      </c>
      <c r="L32">
        <f t="shared" si="4"/>
        <v>1</v>
      </c>
      <c r="N32" t="str">
        <f t="shared" si="5"/>
        <v>PM</v>
      </c>
      <c r="O32" s="7">
        <f t="shared" si="2"/>
        <v>0.71875</v>
      </c>
      <c r="P32">
        <f t="shared" si="6"/>
        <v>83</v>
      </c>
      <c r="Q32">
        <f t="shared" si="7"/>
        <v>83</v>
      </c>
    </row>
    <row r="33" spans="1:17" x14ac:dyDescent="0.25">
      <c r="A33" s="9">
        <v>0.72916666666666663</v>
      </c>
      <c r="B33" s="49"/>
      <c r="C33" s="49"/>
      <c r="D33" s="49">
        <v>67</v>
      </c>
      <c r="G33" s="7">
        <f t="shared" si="8"/>
        <v>0.72916666666666663</v>
      </c>
      <c r="H33">
        <f>IF(B33&lt;&gt;0,SUMIF($G$11:$G33,"&gt;"&amp;$G33-1/24,B$11:B33),0)</f>
        <v>0</v>
      </c>
      <c r="I33">
        <f>IF(C33&lt;&gt;0,SUMIF($G$11:$G33,"&gt;"&amp;$G33-1/24,C$11:C33),0)</f>
        <v>0</v>
      </c>
      <c r="J33">
        <f>IF(D33&lt;&gt;0,SUMIF($G$11:$G33,"&gt;"&amp;$G33-1/24,D$11:D33),0)</f>
        <v>294</v>
      </c>
      <c r="K33">
        <f>IF(E33&lt;&gt;0,SUMIF($G$11:$G33,"&gt;"&amp;$G33-1/24,E$11:E33),0)</f>
        <v>0</v>
      </c>
      <c r="L33">
        <f t="shared" si="4"/>
        <v>0</v>
      </c>
      <c r="N33" t="str">
        <f t="shared" si="5"/>
        <v>PM</v>
      </c>
      <c r="O33" s="7">
        <f t="shared" si="2"/>
        <v>0.72916666666666663</v>
      </c>
      <c r="P33">
        <f t="shared" si="6"/>
        <v>67</v>
      </c>
      <c r="Q33">
        <f t="shared" si="7"/>
        <v>0</v>
      </c>
    </row>
    <row r="34" spans="1:17" x14ac:dyDescent="0.25">
      <c r="A34" s="9">
        <v>0.73958333333333337</v>
      </c>
      <c r="B34" s="49"/>
      <c r="C34" s="49"/>
      <c r="D34" s="49">
        <v>56</v>
      </c>
      <c r="G34" s="7">
        <f t="shared" si="8"/>
        <v>0.73958333333333337</v>
      </c>
      <c r="H34">
        <f>IF(B34&lt;&gt;0,SUMIF($G$11:$G34,"&gt;"&amp;$G34-1/24,B$11:B34),0)</f>
        <v>0</v>
      </c>
      <c r="I34">
        <f>IF(C34&lt;&gt;0,SUMIF($G$11:$G34,"&gt;"&amp;$G34-1/24,C$11:C34),0)</f>
        <v>0</v>
      </c>
      <c r="J34">
        <f>IF(D34&lt;&gt;0,SUMIF($G$11:$G34,"&gt;"&amp;$G34-1/24,D$11:D34),0)</f>
        <v>292</v>
      </c>
      <c r="K34">
        <f>IF(E34&lt;&gt;0,SUMIF($G$11:$G34,"&gt;"&amp;$G34-1/24,E$11:E34),0)</f>
        <v>0</v>
      </c>
      <c r="L34">
        <f t="shared" si="4"/>
        <v>0</v>
      </c>
      <c r="N34" t="str">
        <f t="shared" si="5"/>
        <v>PM</v>
      </c>
      <c r="O34" s="7">
        <f t="shared" si="2"/>
        <v>0.73958333333333337</v>
      </c>
      <c r="P34">
        <f t="shared" si="6"/>
        <v>56</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v>
      </c>
      <c r="E5" t="str">
        <f>"Vehicle Count by Exit Leg for "&amp;C2&amp;" Period"</f>
        <v>Vehicle Count by Exit Leg for AM Period</v>
      </c>
    </row>
    <row r="6" spans="2:5" x14ac:dyDescent="0.25">
      <c r="B6" s="9">
        <v>0.30208333333333331</v>
      </c>
      <c r="C6" s="49">
        <v>39</v>
      </c>
    </row>
    <row r="7" spans="2:5" x14ac:dyDescent="0.25">
      <c r="B7" s="9">
        <v>0.3125</v>
      </c>
      <c r="C7" s="49">
        <v>60</v>
      </c>
    </row>
    <row r="8" spans="2:5" x14ac:dyDescent="0.25">
      <c r="B8" s="9">
        <v>0.32291666666666669</v>
      </c>
      <c r="C8" s="49">
        <v>52</v>
      </c>
    </row>
    <row r="9" spans="2:5" x14ac:dyDescent="0.25">
      <c r="B9" s="9">
        <v>0.33333333333333331</v>
      </c>
      <c r="C9" s="49">
        <v>63</v>
      </c>
    </row>
    <row r="10" spans="2:5" x14ac:dyDescent="0.25">
      <c r="B10" s="9">
        <v>0.34375</v>
      </c>
      <c r="C10" s="49">
        <v>62</v>
      </c>
    </row>
    <row r="11" spans="2:5" x14ac:dyDescent="0.25">
      <c r="B11" s="9">
        <v>0.35416666666666669</v>
      </c>
      <c r="C11" s="49">
        <v>72</v>
      </c>
    </row>
    <row r="12" spans="2:5" x14ac:dyDescent="0.25">
      <c r="B12" s="9">
        <v>0.36458333333333331</v>
      </c>
      <c r="C12" s="49">
        <v>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3" width="18.85546875" bestFit="1" customWidth="1"/>
    <col min="14" max="14" width="16.85546875" bestFit="1" customWidth="1"/>
    <col min="15" max="15" width="5.5703125" customWidth="1"/>
    <col min="16" max="18" width="3.28515625" customWidth="1"/>
    <col min="19" max="19" width="11.28515625" bestFit="1" customWidth="1"/>
    <col min="20" max="22" width="18.85546875" bestFit="1" customWidth="1"/>
    <col min="23" max="23" width="16.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93</v>
      </c>
      <c r="M25" s="25" t="s">
        <v>95</v>
      </c>
      <c r="N25" s="25" t="s">
        <v>94</v>
      </c>
      <c r="T25" s="25" t="s">
        <v>96</v>
      </c>
      <c r="U25" s="25" t="s">
        <v>93</v>
      </c>
      <c r="V25" s="25" t="s">
        <v>95</v>
      </c>
      <c r="W25" s="25" t="s">
        <v>94</v>
      </c>
      <c r="X25" s="13"/>
    </row>
    <row r="26" spans="2:24" x14ac:dyDescent="0.25">
      <c r="B26" s="9">
        <v>0.29166666666666669</v>
      </c>
      <c r="C26" s="50">
        <v>40</v>
      </c>
      <c r="J26" s="9">
        <v>0.29166666666666669</v>
      </c>
      <c r="K26" s="50">
        <v>3</v>
      </c>
      <c r="L26" s="50">
        <v>16</v>
      </c>
      <c r="M26" s="50">
        <v>13</v>
      </c>
      <c r="N26" s="50">
        <v>8</v>
      </c>
      <c r="S26" s="9">
        <v>0.29166666666666669</v>
      </c>
      <c r="T26" s="50">
        <v>6</v>
      </c>
      <c r="U26" s="50">
        <v>8</v>
      </c>
      <c r="V26" s="50">
        <v>21</v>
      </c>
      <c r="W26" s="50">
        <v>5</v>
      </c>
    </row>
    <row r="27" spans="2:24" x14ac:dyDescent="0.25">
      <c r="B27" s="9">
        <v>0.30208333333333331</v>
      </c>
      <c r="C27" s="50">
        <v>39</v>
      </c>
      <c r="J27" s="9">
        <v>0.30208333333333331</v>
      </c>
      <c r="K27" s="50">
        <v>3</v>
      </c>
      <c r="L27" s="50">
        <v>19</v>
      </c>
      <c r="M27" s="50">
        <v>10</v>
      </c>
      <c r="N27" s="50">
        <v>7</v>
      </c>
      <c r="S27" s="9">
        <v>0.30208333333333331</v>
      </c>
      <c r="T27" s="50">
        <v>4</v>
      </c>
      <c r="U27" s="50">
        <v>3</v>
      </c>
      <c r="V27" s="50">
        <v>26</v>
      </c>
      <c r="W27" s="50">
        <v>6</v>
      </c>
    </row>
    <row r="28" spans="2:24" x14ac:dyDescent="0.25">
      <c r="B28" s="9">
        <v>0.3125</v>
      </c>
      <c r="C28" s="50">
        <v>60</v>
      </c>
      <c r="J28" s="9">
        <v>0.3125</v>
      </c>
      <c r="K28" s="50">
        <v>11</v>
      </c>
      <c r="L28" s="50">
        <v>28</v>
      </c>
      <c r="M28" s="50">
        <v>12</v>
      </c>
      <c r="N28" s="50">
        <v>9</v>
      </c>
      <c r="S28" s="9">
        <v>0.3125</v>
      </c>
      <c r="T28" s="50">
        <v>10</v>
      </c>
      <c r="U28" s="50">
        <v>8</v>
      </c>
      <c r="V28" s="50">
        <v>31</v>
      </c>
      <c r="W28" s="50">
        <v>11</v>
      </c>
    </row>
    <row r="29" spans="2:24" x14ac:dyDescent="0.25">
      <c r="B29" s="9">
        <v>0.32291666666666669</v>
      </c>
      <c r="C29" s="50">
        <v>52</v>
      </c>
      <c r="J29" s="9">
        <v>0.32291666666666669</v>
      </c>
      <c r="K29" s="50">
        <v>7</v>
      </c>
      <c r="L29" s="50">
        <v>22</v>
      </c>
      <c r="M29" s="50">
        <v>12</v>
      </c>
      <c r="N29" s="50">
        <v>11</v>
      </c>
      <c r="S29" s="9">
        <v>0.32291666666666669</v>
      </c>
      <c r="T29" s="50">
        <v>10</v>
      </c>
      <c r="U29" s="50">
        <v>6</v>
      </c>
      <c r="V29" s="50">
        <v>30</v>
      </c>
      <c r="W29" s="50">
        <v>6</v>
      </c>
    </row>
    <row r="30" spans="2:24" x14ac:dyDescent="0.25">
      <c r="B30" s="9">
        <v>0.33333333333333331</v>
      </c>
      <c r="C30" s="50">
        <v>63</v>
      </c>
      <c r="J30" s="9">
        <v>0.33333333333333331</v>
      </c>
      <c r="K30" s="50">
        <v>7</v>
      </c>
      <c r="L30" s="50">
        <v>23</v>
      </c>
      <c r="M30" s="50">
        <v>19</v>
      </c>
      <c r="N30" s="50">
        <v>14</v>
      </c>
      <c r="S30" s="9">
        <v>0.33333333333333331</v>
      </c>
      <c r="T30" s="50">
        <v>11</v>
      </c>
      <c r="U30" s="50">
        <v>16</v>
      </c>
      <c r="V30" s="50">
        <v>32</v>
      </c>
      <c r="W30" s="50">
        <v>4</v>
      </c>
    </row>
    <row r="31" spans="2:24" x14ac:dyDescent="0.25">
      <c r="B31" s="9">
        <v>0.34375</v>
      </c>
      <c r="C31" s="50">
        <v>62</v>
      </c>
      <c r="J31" s="9">
        <v>0.34375</v>
      </c>
      <c r="K31" s="50">
        <v>7</v>
      </c>
      <c r="L31" s="50">
        <v>24</v>
      </c>
      <c r="M31" s="50">
        <v>21</v>
      </c>
      <c r="N31" s="50">
        <v>10</v>
      </c>
      <c r="S31" s="9">
        <v>0.34375</v>
      </c>
      <c r="T31" s="50">
        <v>11</v>
      </c>
      <c r="U31" s="50">
        <v>12</v>
      </c>
      <c r="V31" s="50">
        <v>35</v>
      </c>
      <c r="W31" s="50">
        <v>4</v>
      </c>
    </row>
    <row r="32" spans="2:24" x14ac:dyDescent="0.25">
      <c r="B32" s="9">
        <v>0.35416666666666669</v>
      </c>
      <c r="C32" s="50">
        <v>72</v>
      </c>
      <c r="J32" s="9">
        <v>0.35416666666666669</v>
      </c>
      <c r="K32" s="50">
        <v>7</v>
      </c>
      <c r="L32" s="50">
        <v>31</v>
      </c>
      <c r="M32" s="50">
        <v>17</v>
      </c>
      <c r="N32" s="50">
        <v>17</v>
      </c>
      <c r="S32" s="9">
        <v>0.35416666666666669</v>
      </c>
      <c r="T32" s="50">
        <v>14</v>
      </c>
      <c r="U32" s="50">
        <v>11</v>
      </c>
      <c r="V32" s="50">
        <v>39</v>
      </c>
      <c r="W32" s="50">
        <v>8</v>
      </c>
    </row>
    <row r="33" spans="2:23" x14ac:dyDescent="0.25">
      <c r="B33" s="9">
        <v>0.36458333333333331</v>
      </c>
      <c r="C33" s="50">
        <v>87</v>
      </c>
      <c r="J33" s="9">
        <v>0.36458333333333331</v>
      </c>
      <c r="K33" s="50">
        <v>12</v>
      </c>
      <c r="L33" s="50">
        <v>42</v>
      </c>
      <c r="M33" s="50">
        <v>21</v>
      </c>
      <c r="N33" s="50">
        <v>12</v>
      </c>
      <c r="S33" s="9">
        <v>0.36458333333333331</v>
      </c>
      <c r="T33" s="50">
        <v>12</v>
      </c>
      <c r="U33" s="50">
        <v>16</v>
      </c>
      <c r="V33" s="50">
        <v>47</v>
      </c>
      <c r="W33" s="50">
        <v>12</v>
      </c>
    </row>
    <row r="34" spans="2:23" x14ac:dyDescent="0.25">
      <c r="B34" s="9" t="s">
        <v>49</v>
      </c>
      <c r="C34" s="50">
        <v>475</v>
      </c>
      <c r="J34" s="9" t="s">
        <v>49</v>
      </c>
      <c r="K34" s="50">
        <v>57</v>
      </c>
      <c r="L34" s="50">
        <v>205</v>
      </c>
      <c r="M34" s="50">
        <v>125</v>
      </c>
      <c r="N34" s="50">
        <v>88</v>
      </c>
      <c r="S34" s="9" t="s">
        <v>49</v>
      </c>
      <c r="T34" s="50">
        <v>78</v>
      </c>
      <c r="U34" s="50">
        <v>80</v>
      </c>
      <c r="V34" s="50">
        <v>261</v>
      </c>
      <c r="W34" s="50">
        <v>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29.42578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284 vehicles between 08:00 and 09:00</v>
      </c>
    </row>
    <row r="5" spans="2:2" x14ac:dyDescent="0.25">
      <c r="B5" s="6" t="str">
        <f>PeakCalc!I8</f>
        <v>The peak hour for INT is 289 vehicles between 14:30 and 15:30</v>
      </c>
    </row>
    <row r="6" spans="2:2" x14ac:dyDescent="0.25">
      <c r="B6" s="6" t="str">
        <f>PeakCalc!J8</f>
        <v>The peak hour for PM is 295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115</v>
      </c>
      <c r="D32" s="49">
        <v>5</v>
      </c>
      <c r="E32" s="49">
        <v>0</v>
      </c>
      <c r="F32" s="49">
        <v>120</v>
      </c>
      <c r="G32" s="49">
        <v>63</v>
      </c>
      <c r="H32" s="49">
        <v>5</v>
      </c>
      <c r="I32" s="49">
        <v>0</v>
      </c>
      <c r="J32" s="49">
        <v>68</v>
      </c>
      <c r="K32" s="49">
        <v>72</v>
      </c>
      <c r="L32" s="49">
        <v>5</v>
      </c>
      <c r="M32" s="49">
        <v>0</v>
      </c>
      <c r="N32" s="49">
        <v>77</v>
      </c>
    </row>
    <row r="33" spans="2:14" x14ac:dyDescent="0.25">
      <c r="B33" s="14" t="s">
        <v>97</v>
      </c>
      <c r="C33" s="49">
        <v>1</v>
      </c>
      <c r="D33" s="49">
        <v>0</v>
      </c>
      <c r="E33" s="49">
        <v>0</v>
      </c>
      <c r="F33" s="49">
        <v>1</v>
      </c>
      <c r="G33" s="49">
        <v>3</v>
      </c>
      <c r="H33" s="49">
        <v>0</v>
      </c>
      <c r="I33" s="49">
        <v>0</v>
      </c>
      <c r="J33" s="49">
        <v>3</v>
      </c>
      <c r="K33" s="49">
        <v>2</v>
      </c>
      <c r="L33" s="49">
        <v>0</v>
      </c>
      <c r="M33" s="49">
        <v>0</v>
      </c>
      <c r="N33" s="49">
        <v>2</v>
      </c>
    </row>
    <row r="34" spans="2:14" x14ac:dyDescent="0.25">
      <c r="B34" s="14" t="s">
        <v>98</v>
      </c>
      <c r="C34" s="49">
        <v>95</v>
      </c>
      <c r="D34" s="49">
        <v>5</v>
      </c>
      <c r="E34" s="49">
        <v>0</v>
      </c>
      <c r="F34" s="49">
        <v>100</v>
      </c>
      <c r="G34" s="49">
        <v>40</v>
      </c>
      <c r="H34" s="49">
        <v>5</v>
      </c>
      <c r="I34" s="49">
        <v>0</v>
      </c>
      <c r="J34" s="49">
        <v>45</v>
      </c>
      <c r="K34" s="49">
        <v>48</v>
      </c>
      <c r="L34" s="49">
        <v>5</v>
      </c>
      <c r="M34" s="49">
        <v>0</v>
      </c>
      <c r="N34" s="49">
        <v>53</v>
      </c>
    </row>
    <row r="35" spans="2:14" x14ac:dyDescent="0.25">
      <c r="B35" s="14" t="s">
        <v>99</v>
      </c>
      <c r="C35" s="49">
        <v>18</v>
      </c>
      <c r="D35" s="49">
        <v>0</v>
      </c>
      <c r="E35" s="49">
        <v>0</v>
      </c>
      <c r="F35" s="49">
        <v>18</v>
      </c>
      <c r="G35" s="49">
        <v>20</v>
      </c>
      <c r="H35" s="49">
        <v>0</v>
      </c>
      <c r="I35" s="49">
        <v>0</v>
      </c>
      <c r="J35" s="49">
        <v>20</v>
      </c>
      <c r="K35" s="49">
        <v>22</v>
      </c>
      <c r="L35" s="49">
        <v>0</v>
      </c>
      <c r="M35" s="49">
        <v>0</v>
      </c>
      <c r="N35" s="49">
        <v>22</v>
      </c>
    </row>
    <row r="36" spans="2:14" x14ac:dyDescent="0.25">
      <c r="B36" s="14" t="s">
        <v>100</v>
      </c>
      <c r="C36" s="49">
        <v>1</v>
      </c>
      <c r="D36" s="49">
        <v>0</v>
      </c>
      <c r="E36" s="49">
        <v>0</v>
      </c>
      <c r="F36" s="49">
        <v>1</v>
      </c>
      <c r="G36" s="49">
        <v>0</v>
      </c>
      <c r="H36" s="49">
        <v>0</v>
      </c>
      <c r="I36" s="49">
        <v>0</v>
      </c>
      <c r="J36" s="49">
        <v>0</v>
      </c>
      <c r="K36" s="49">
        <v>0</v>
      </c>
      <c r="L36" s="49">
        <v>0</v>
      </c>
      <c r="M36" s="49">
        <v>0</v>
      </c>
      <c r="N36" s="49">
        <v>0</v>
      </c>
    </row>
    <row r="37" spans="2:14" x14ac:dyDescent="0.25">
      <c r="B37" s="10" t="s">
        <v>94</v>
      </c>
      <c r="C37" s="49">
        <v>48</v>
      </c>
      <c r="D37" s="49">
        <v>3</v>
      </c>
      <c r="E37" s="49">
        <v>2</v>
      </c>
      <c r="F37" s="49">
        <v>53</v>
      </c>
      <c r="G37" s="49">
        <v>37</v>
      </c>
      <c r="H37" s="49">
        <v>1</v>
      </c>
      <c r="I37" s="49">
        <v>0</v>
      </c>
      <c r="J37" s="49">
        <v>38</v>
      </c>
      <c r="K37" s="49">
        <v>38</v>
      </c>
      <c r="L37" s="49">
        <v>2</v>
      </c>
      <c r="M37" s="49">
        <v>0</v>
      </c>
      <c r="N37" s="49">
        <v>40</v>
      </c>
    </row>
    <row r="38" spans="2:14" x14ac:dyDescent="0.25">
      <c r="B38" s="14" t="s">
        <v>101</v>
      </c>
      <c r="C38" s="49">
        <v>36</v>
      </c>
      <c r="D38" s="49">
        <v>2</v>
      </c>
      <c r="E38" s="49">
        <v>0</v>
      </c>
      <c r="F38" s="49">
        <v>38</v>
      </c>
      <c r="G38" s="49">
        <v>22</v>
      </c>
      <c r="H38" s="49">
        <v>1</v>
      </c>
      <c r="I38" s="49">
        <v>0</v>
      </c>
      <c r="J38" s="49">
        <v>23</v>
      </c>
      <c r="K38" s="49">
        <v>24</v>
      </c>
      <c r="L38" s="49">
        <v>2</v>
      </c>
      <c r="M38" s="49">
        <v>0</v>
      </c>
      <c r="N38" s="49">
        <v>26</v>
      </c>
    </row>
    <row r="39" spans="2:14" x14ac:dyDescent="0.25">
      <c r="B39" s="14" t="s">
        <v>102</v>
      </c>
      <c r="C39" s="49">
        <v>11</v>
      </c>
      <c r="D39" s="49">
        <v>1</v>
      </c>
      <c r="E39" s="49">
        <v>2</v>
      </c>
      <c r="F39" s="49">
        <v>14</v>
      </c>
      <c r="G39" s="49">
        <v>12</v>
      </c>
      <c r="H39" s="49">
        <v>0</v>
      </c>
      <c r="I39" s="49">
        <v>0</v>
      </c>
      <c r="J39" s="49">
        <v>12</v>
      </c>
      <c r="K39" s="49">
        <v>12</v>
      </c>
      <c r="L39" s="49">
        <v>0</v>
      </c>
      <c r="M39" s="49">
        <v>0</v>
      </c>
      <c r="N39" s="49">
        <v>12</v>
      </c>
    </row>
    <row r="40" spans="2:14" x14ac:dyDescent="0.25">
      <c r="B40" s="14" t="s">
        <v>103</v>
      </c>
      <c r="C40" s="49">
        <v>1</v>
      </c>
      <c r="D40" s="49">
        <v>0</v>
      </c>
      <c r="E40" s="49">
        <v>0</v>
      </c>
      <c r="F40" s="49">
        <v>1</v>
      </c>
      <c r="G40" s="49">
        <v>3</v>
      </c>
      <c r="H40" s="49">
        <v>0</v>
      </c>
      <c r="I40" s="49">
        <v>0</v>
      </c>
      <c r="J40" s="49">
        <v>3</v>
      </c>
      <c r="K40" s="49">
        <v>2</v>
      </c>
      <c r="L40" s="49">
        <v>0</v>
      </c>
      <c r="M40" s="49">
        <v>0</v>
      </c>
      <c r="N40" s="49">
        <v>2</v>
      </c>
    </row>
    <row r="41" spans="2:14" x14ac:dyDescent="0.25">
      <c r="B41" s="10" t="s">
        <v>95</v>
      </c>
      <c r="C41" s="49">
        <v>77</v>
      </c>
      <c r="D41" s="49">
        <v>0</v>
      </c>
      <c r="E41" s="49">
        <v>1</v>
      </c>
      <c r="F41" s="49">
        <v>78</v>
      </c>
      <c r="G41" s="49">
        <v>130</v>
      </c>
      <c r="H41" s="49">
        <v>2</v>
      </c>
      <c r="I41" s="49">
        <v>4</v>
      </c>
      <c r="J41" s="49">
        <v>136</v>
      </c>
      <c r="K41" s="49">
        <v>106</v>
      </c>
      <c r="L41" s="49">
        <v>3</v>
      </c>
      <c r="M41" s="49">
        <v>1</v>
      </c>
      <c r="N41" s="49">
        <v>110</v>
      </c>
    </row>
    <row r="42" spans="2:14" x14ac:dyDescent="0.25">
      <c r="B42" s="14" t="s">
        <v>104</v>
      </c>
      <c r="C42" s="49">
        <v>16</v>
      </c>
      <c r="D42" s="49">
        <v>0</v>
      </c>
      <c r="E42" s="49">
        <v>0</v>
      </c>
      <c r="F42" s="49">
        <v>16</v>
      </c>
      <c r="G42" s="49">
        <v>37</v>
      </c>
      <c r="H42" s="49">
        <v>0</v>
      </c>
      <c r="I42" s="49">
        <v>0</v>
      </c>
      <c r="J42" s="49">
        <v>37</v>
      </c>
      <c r="K42" s="49">
        <v>28</v>
      </c>
      <c r="L42" s="49">
        <v>0</v>
      </c>
      <c r="M42" s="49">
        <v>0</v>
      </c>
      <c r="N42" s="49">
        <v>28</v>
      </c>
    </row>
    <row r="43" spans="2:14" x14ac:dyDescent="0.25">
      <c r="B43" s="14" t="s">
        <v>105</v>
      </c>
      <c r="C43" s="49">
        <v>43</v>
      </c>
      <c r="D43" s="49">
        <v>0</v>
      </c>
      <c r="E43" s="49">
        <v>1</v>
      </c>
      <c r="F43" s="49">
        <v>44</v>
      </c>
      <c r="G43" s="49">
        <v>66</v>
      </c>
      <c r="H43" s="49">
        <v>0</v>
      </c>
      <c r="I43" s="49">
        <v>0</v>
      </c>
      <c r="J43" s="49">
        <v>66</v>
      </c>
      <c r="K43" s="49">
        <v>57</v>
      </c>
      <c r="L43" s="49">
        <v>0</v>
      </c>
      <c r="M43" s="49">
        <v>0</v>
      </c>
      <c r="N43" s="49">
        <v>57</v>
      </c>
    </row>
    <row r="44" spans="2:14" x14ac:dyDescent="0.25">
      <c r="B44" s="14" t="s">
        <v>106</v>
      </c>
      <c r="C44" s="49">
        <v>18</v>
      </c>
      <c r="D44" s="49">
        <v>0</v>
      </c>
      <c r="E44" s="49">
        <v>0</v>
      </c>
      <c r="F44" s="49">
        <v>18</v>
      </c>
      <c r="G44" s="49">
        <v>27</v>
      </c>
      <c r="H44" s="49">
        <v>2</v>
      </c>
      <c r="I44" s="49">
        <v>4</v>
      </c>
      <c r="J44" s="49">
        <v>33</v>
      </c>
      <c r="K44" s="49">
        <v>21</v>
      </c>
      <c r="L44" s="49">
        <v>3</v>
      </c>
      <c r="M44" s="49">
        <v>1</v>
      </c>
      <c r="N44" s="49">
        <v>25</v>
      </c>
    </row>
    <row r="45" spans="2:14" x14ac:dyDescent="0.25">
      <c r="B45" s="10" t="s">
        <v>96</v>
      </c>
      <c r="C45" s="49">
        <v>30</v>
      </c>
      <c r="D45" s="49">
        <v>0</v>
      </c>
      <c r="E45" s="49">
        <v>3</v>
      </c>
      <c r="F45" s="49">
        <v>33</v>
      </c>
      <c r="G45" s="49">
        <v>53</v>
      </c>
      <c r="H45" s="49">
        <v>0</v>
      </c>
      <c r="I45" s="49">
        <v>0</v>
      </c>
      <c r="J45" s="49">
        <v>53</v>
      </c>
      <c r="K45" s="49">
        <v>61</v>
      </c>
      <c r="L45" s="49">
        <v>1</v>
      </c>
      <c r="M45" s="49">
        <v>0</v>
      </c>
      <c r="N45" s="49">
        <v>62</v>
      </c>
    </row>
    <row r="46" spans="2:14" x14ac:dyDescent="0.25">
      <c r="B46" s="14" t="s">
        <v>107</v>
      </c>
      <c r="C46" s="49">
        <v>8</v>
      </c>
      <c r="D46" s="49">
        <v>0</v>
      </c>
      <c r="E46" s="49">
        <v>1</v>
      </c>
      <c r="F46" s="49">
        <v>9</v>
      </c>
      <c r="G46" s="49">
        <v>18</v>
      </c>
      <c r="H46" s="49">
        <v>0</v>
      </c>
      <c r="I46" s="49">
        <v>0</v>
      </c>
      <c r="J46" s="49">
        <v>18</v>
      </c>
      <c r="K46" s="49">
        <v>15</v>
      </c>
      <c r="L46" s="49">
        <v>0</v>
      </c>
      <c r="M46" s="49">
        <v>0</v>
      </c>
      <c r="N46" s="49">
        <v>15</v>
      </c>
    </row>
    <row r="47" spans="2:14" x14ac:dyDescent="0.25">
      <c r="B47" s="14" t="s">
        <v>108</v>
      </c>
      <c r="C47" s="49">
        <v>7</v>
      </c>
      <c r="D47" s="49">
        <v>0</v>
      </c>
      <c r="E47" s="49">
        <v>2</v>
      </c>
      <c r="F47" s="49">
        <v>9</v>
      </c>
      <c r="G47" s="49">
        <v>7</v>
      </c>
      <c r="H47" s="49">
        <v>0</v>
      </c>
      <c r="I47" s="49">
        <v>0</v>
      </c>
      <c r="J47" s="49">
        <v>7</v>
      </c>
      <c r="K47" s="49">
        <v>16</v>
      </c>
      <c r="L47" s="49">
        <v>1</v>
      </c>
      <c r="M47" s="49">
        <v>0</v>
      </c>
      <c r="N47" s="49">
        <v>17</v>
      </c>
    </row>
    <row r="48" spans="2:14" x14ac:dyDescent="0.25">
      <c r="B48" s="14" t="s">
        <v>109</v>
      </c>
      <c r="C48" s="49">
        <v>15</v>
      </c>
      <c r="D48" s="49">
        <v>0</v>
      </c>
      <c r="E48" s="49">
        <v>0</v>
      </c>
      <c r="F48" s="49">
        <v>15</v>
      </c>
      <c r="G48" s="49">
        <v>28</v>
      </c>
      <c r="H48" s="49">
        <v>0</v>
      </c>
      <c r="I48" s="49">
        <v>0</v>
      </c>
      <c r="J48" s="49">
        <v>28</v>
      </c>
      <c r="K48" s="49">
        <v>30</v>
      </c>
      <c r="L48" s="49">
        <v>0</v>
      </c>
      <c r="M48" s="49">
        <v>0</v>
      </c>
      <c r="N48" s="49">
        <v>30</v>
      </c>
    </row>
    <row r="49" spans="2:14" x14ac:dyDescent="0.25">
      <c r="B49" s="10" t="s">
        <v>49</v>
      </c>
      <c r="C49" s="49">
        <v>270</v>
      </c>
      <c r="D49" s="49">
        <v>8</v>
      </c>
      <c r="E49" s="49">
        <v>6</v>
      </c>
      <c r="F49" s="49">
        <v>284</v>
      </c>
      <c r="G49" s="49">
        <v>283</v>
      </c>
      <c r="H49" s="49">
        <v>8</v>
      </c>
      <c r="I49" s="49">
        <v>4</v>
      </c>
      <c r="J49" s="49">
        <v>295</v>
      </c>
      <c r="K49" s="49">
        <v>277</v>
      </c>
      <c r="L49" s="49">
        <v>11</v>
      </c>
      <c r="M49" s="49">
        <v>1</v>
      </c>
      <c r="N49" s="49">
        <v>289</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F1C8-0A2B-443B-B8F7-299E7FE01E12}">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175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129</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100</v>
      </c>
      <c r="J14" s="56" t="s">
        <v>161</v>
      </c>
      <c r="K14" s="56" t="s">
        <v>160</v>
      </c>
      <c r="L14" s="56" t="s">
        <v>159</v>
      </c>
      <c r="M14" s="56" t="s">
        <v>158</v>
      </c>
      <c r="N14" s="56" t="s">
        <v>157</v>
      </c>
      <c r="O14" s="56" t="s">
        <v>156</v>
      </c>
      <c r="P14" s="56" t="s">
        <v>155</v>
      </c>
      <c r="Q14" s="56" t="s">
        <v>100</v>
      </c>
      <c r="R14" s="56" t="s">
        <v>161</v>
      </c>
      <c r="S14" s="56" t="s">
        <v>160</v>
      </c>
      <c r="T14" s="56" t="s">
        <v>159</v>
      </c>
      <c r="U14" s="56" t="s">
        <v>158</v>
      </c>
      <c r="V14" s="56" t="s">
        <v>157</v>
      </c>
      <c r="W14" s="56" t="s">
        <v>156</v>
      </c>
      <c r="X14" s="56" t="s">
        <v>155</v>
      </c>
      <c r="Y14" s="56" t="s">
        <v>100</v>
      </c>
      <c r="Z14" s="56" t="s">
        <v>161</v>
      </c>
      <c r="AA14" s="56" t="s">
        <v>160</v>
      </c>
      <c r="AB14" s="56" t="s">
        <v>159</v>
      </c>
      <c r="AC14" s="56" t="s">
        <v>158</v>
      </c>
      <c r="AD14" s="56" t="s">
        <v>157</v>
      </c>
      <c r="AE14" s="56" t="s">
        <v>156</v>
      </c>
      <c r="AF14" s="56" t="s">
        <v>155</v>
      </c>
      <c r="AG14" s="56" t="s">
        <v>100</v>
      </c>
      <c r="AH14" s="56" t="s">
        <v>161</v>
      </c>
      <c r="AI14" s="56" t="s">
        <v>160</v>
      </c>
      <c r="AJ14" s="56" t="s">
        <v>159</v>
      </c>
      <c r="AK14" s="56" t="s">
        <v>158</v>
      </c>
      <c r="AL14" s="56" t="s">
        <v>157</v>
      </c>
      <c r="AM14" s="56" t="s">
        <v>156</v>
      </c>
      <c r="AN14" s="56" t="s">
        <v>155</v>
      </c>
      <c r="AO14" s="56" t="s">
        <v>100</v>
      </c>
      <c r="AP14" s="56" t="s">
        <v>161</v>
      </c>
      <c r="AQ14" s="56" t="s">
        <v>160</v>
      </c>
      <c r="AR14" s="56" t="s">
        <v>159</v>
      </c>
      <c r="AS14" s="56" t="s">
        <v>158</v>
      </c>
      <c r="AT14" s="56" t="s">
        <v>157</v>
      </c>
      <c r="AU14" s="56" t="s">
        <v>156</v>
      </c>
      <c r="AV14" s="56" t="s">
        <v>155</v>
      </c>
      <c r="AW14" s="56" t="s">
        <v>100</v>
      </c>
      <c r="AX14" s="56" t="s">
        <v>161</v>
      </c>
      <c r="AY14" s="56" t="s">
        <v>160</v>
      </c>
      <c r="AZ14" s="56" t="s">
        <v>159</v>
      </c>
      <c r="BA14" s="56" t="s">
        <v>158</v>
      </c>
      <c r="BB14" s="56" t="s">
        <v>157</v>
      </c>
      <c r="BC14" s="56" t="s">
        <v>156</v>
      </c>
      <c r="BD14" s="56" t="s">
        <v>155</v>
      </c>
      <c r="BE14" s="56" t="s">
        <v>100</v>
      </c>
      <c r="BF14" s="56" t="s">
        <v>161</v>
      </c>
      <c r="BG14" s="56" t="s">
        <v>160</v>
      </c>
      <c r="BH14" s="56" t="s">
        <v>159</v>
      </c>
      <c r="BI14" s="56" t="s">
        <v>158</v>
      </c>
      <c r="BJ14" s="56" t="s">
        <v>157</v>
      </c>
      <c r="BK14" s="56" t="s">
        <v>156</v>
      </c>
      <c r="BL14" s="56" t="s">
        <v>155</v>
      </c>
      <c r="BM14" s="56" t="s">
        <v>100</v>
      </c>
    </row>
    <row r="15" spans="1:65" ht="15" customHeight="1" x14ac:dyDescent="0.2">
      <c r="A15" s="55" t="s">
        <v>154</v>
      </c>
      <c r="B15" s="55" t="s">
        <v>129</v>
      </c>
      <c r="C15" s="55">
        <v>1</v>
      </c>
      <c r="D15" s="55" t="s">
        <v>129</v>
      </c>
      <c r="E15" s="55">
        <v>12</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5</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7</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153</v>
      </c>
      <c r="B16" s="55" t="s">
        <v>129</v>
      </c>
      <c r="C16" s="55">
        <v>0</v>
      </c>
      <c r="D16" s="55" t="s">
        <v>129</v>
      </c>
      <c r="E16" s="55">
        <v>16</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7</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2</v>
      </c>
      <c r="AJ16" s="55" t="s">
        <v>129</v>
      </c>
      <c r="AK16" s="55">
        <v>3</v>
      </c>
      <c r="AL16" s="55" t="s">
        <v>129</v>
      </c>
      <c r="AM16" s="55">
        <v>5</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152</v>
      </c>
      <c r="B17" s="55" t="s">
        <v>129</v>
      </c>
      <c r="C17" s="55">
        <v>1</v>
      </c>
      <c r="D17" s="55" t="s">
        <v>129</v>
      </c>
      <c r="E17" s="55">
        <v>18</v>
      </c>
      <c r="F17" s="55" t="s">
        <v>129</v>
      </c>
      <c r="G17" s="55">
        <v>5</v>
      </c>
      <c r="H17" s="55" t="s">
        <v>129</v>
      </c>
      <c r="I17" s="55">
        <v>1</v>
      </c>
      <c r="J17" s="55" t="s">
        <v>129</v>
      </c>
      <c r="K17" s="55" t="s">
        <v>129</v>
      </c>
      <c r="L17" s="55" t="s">
        <v>129</v>
      </c>
      <c r="M17" s="55" t="s">
        <v>129</v>
      </c>
      <c r="N17" s="55" t="s">
        <v>129</v>
      </c>
      <c r="O17" s="55" t="s">
        <v>129</v>
      </c>
      <c r="P17" s="55" t="s">
        <v>129</v>
      </c>
      <c r="Q17" s="55" t="s">
        <v>129</v>
      </c>
      <c r="R17" s="55" t="s">
        <v>129</v>
      </c>
      <c r="S17" s="55">
        <v>5</v>
      </c>
      <c r="T17" s="55" t="s">
        <v>129</v>
      </c>
      <c r="U17" s="55">
        <v>2</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2</v>
      </c>
      <c r="AJ17" s="55" t="s">
        <v>129</v>
      </c>
      <c r="AK17" s="55">
        <v>5</v>
      </c>
      <c r="AL17" s="55" t="s">
        <v>129</v>
      </c>
      <c r="AM17" s="55">
        <v>5</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4</v>
      </c>
      <c r="BB17" s="55" t="s">
        <v>129</v>
      </c>
      <c r="BC17" s="55">
        <v>4</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151</v>
      </c>
      <c r="B18" s="55" t="s">
        <v>129</v>
      </c>
      <c r="C18" s="55">
        <v>0</v>
      </c>
      <c r="D18" s="55" t="s">
        <v>129</v>
      </c>
      <c r="E18" s="55">
        <v>16</v>
      </c>
      <c r="F18" s="55" t="s">
        <v>129</v>
      </c>
      <c r="G18" s="55">
        <v>4</v>
      </c>
      <c r="H18" s="55" t="s">
        <v>129</v>
      </c>
      <c r="I18" s="55">
        <v>0</v>
      </c>
      <c r="J18" s="55" t="s">
        <v>129</v>
      </c>
      <c r="K18" s="55" t="s">
        <v>129</v>
      </c>
      <c r="L18" s="55" t="s">
        <v>129</v>
      </c>
      <c r="M18" s="55" t="s">
        <v>129</v>
      </c>
      <c r="N18" s="55" t="s">
        <v>129</v>
      </c>
      <c r="O18" s="55" t="s">
        <v>129</v>
      </c>
      <c r="P18" s="55" t="s">
        <v>129</v>
      </c>
      <c r="Q18" s="55" t="s">
        <v>129</v>
      </c>
      <c r="R18" s="55" t="s">
        <v>129</v>
      </c>
      <c r="S18" s="55">
        <v>6</v>
      </c>
      <c r="T18" s="55" t="s">
        <v>129</v>
      </c>
      <c r="U18" s="55">
        <v>2</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3</v>
      </c>
      <c r="AJ18" s="55" t="s">
        <v>129</v>
      </c>
      <c r="AK18" s="55">
        <v>5</v>
      </c>
      <c r="AL18" s="55" t="s">
        <v>129</v>
      </c>
      <c r="AM18" s="55">
        <v>4</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2</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150</v>
      </c>
      <c r="B19" s="55" t="s">
        <v>129</v>
      </c>
      <c r="C19" s="55">
        <v>0</v>
      </c>
      <c r="D19" s="55" t="s">
        <v>129</v>
      </c>
      <c r="E19" s="55">
        <v>19</v>
      </c>
      <c r="F19" s="55" t="s">
        <v>129</v>
      </c>
      <c r="G19" s="55">
        <v>3</v>
      </c>
      <c r="H19" s="55" t="s">
        <v>129</v>
      </c>
      <c r="I19" s="55">
        <v>0</v>
      </c>
      <c r="J19" s="55" t="s">
        <v>129</v>
      </c>
      <c r="K19" s="55" t="s">
        <v>129</v>
      </c>
      <c r="L19" s="55" t="s">
        <v>129</v>
      </c>
      <c r="M19" s="55" t="s">
        <v>129</v>
      </c>
      <c r="N19" s="55" t="s">
        <v>129</v>
      </c>
      <c r="O19" s="55" t="s">
        <v>129</v>
      </c>
      <c r="P19" s="55" t="s">
        <v>129</v>
      </c>
      <c r="Q19" s="55" t="s">
        <v>129</v>
      </c>
      <c r="R19" s="55" t="s">
        <v>129</v>
      </c>
      <c r="S19" s="55">
        <v>10</v>
      </c>
      <c r="T19" s="55" t="s">
        <v>129</v>
      </c>
      <c r="U19" s="55">
        <v>2</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4</v>
      </c>
      <c r="AJ19" s="55" t="s">
        <v>129</v>
      </c>
      <c r="AK19" s="55">
        <v>13</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3</v>
      </c>
      <c r="AZ19" s="55" t="s">
        <v>129</v>
      </c>
      <c r="BA19" s="55">
        <v>2</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149</v>
      </c>
      <c r="B20" s="55" t="s">
        <v>129</v>
      </c>
      <c r="C20" s="55">
        <v>0</v>
      </c>
      <c r="D20" s="55" t="s">
        <v>129</v>
      </c>
      <c r="E20" s="55">
        <v>22</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7</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v>9</v>
      </c>
      <c r="AL20" s="55" t="s">
        <v>129</v>
      </c>
      <c r="AM20" s="55">
        <v>3</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v>
      </c>
      <c r="BB20" s="55" t="s">
        <v>129</v>
      </c>
      <c r="BC20" s="55">
        <v>4</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148</v>
      </c>
      <c r="B21" s="55" t="s">
        <v>129</v>
      </c>
      <c r="C21" s="55">
        <v>0</v>
      </c>
      <c r="D21" s="55" t="s">
        <v>129</v>
      </c>
      <c r="E21" s="55">
        <v>21</v>
      </c>
      <c r="F21" s="55" t="s">
        <v>129</v>
      </c>
      <c r="G21" s="55">
        <v>8</v>
      </c>
      <c r="H21" s="55" t="s">
        <v>129</v>
      </c>
      <c r="I21" s="55">
        <v>0</v>
      </c>
      <c r="J21" s="55" t="s">
        <v>129</v>
      </c>
      <c r="K21" s="55" t="s">
        <v>129</v>
      </c>
      <c r="L21" s="55" t="s">
        <v>129</v>
      </c>
      <c r="M21" s="55" t="s">
        <v>129</v>
      </c>
      <c r="N21" s="55" t="s">
        <v>129</v>
      </c>
      <c r="O21" s="55" t="s">
        <v>129</v>
      </c>
      <c r="P21" s="55" t="s">
        <v>129</v>
      </c>
      <c r="Q21" s="55" t="s">
        <v>129</v>
      </c>
      <c r="R21" s="55" t="s">
        <v>129</v>
      </c>
      <c r="S21" s="55">
        <v>10</v>
      </c>
      <c r="T21" s="55" t="s">
        <v>129</v>
      </c>
      <c r="U21" s="55">
        <v>5</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10</v>
      </c>
      <c r="AL21" s="55" t="s">
        <v>129</v>
      </c>
      <c r="AM21" s="55">
        <v>7</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v>
      </c>
      <c r="BB21" s="55" t="s">
        <v>129</v>
      </c>
      <c r="BC21" s="55">
        <v>5</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147</v>
      </c>
      <c r="B22" s="55" t="s">
        <v>129</v>
      </c>
      <c r="C22" s="55">
        <v>1</v>
      </c>
      <c r="D22" s="55" t="s">
        <v>129</v>
      </c>
      <c r="E22" s="55">
        <v>33</v>
      </c>
      <c r="F22" s="55" t="s">
        <v>129</v>
      </c>
      <c r="G22" s="55">
        <v>6</v>
      </c>
      <c r="H22" s="55" t="s">
        <v>129</v>
      </c>
      <c r="I22" s="55">
        <v>1</v>
      </c>
      <c r="J22" s="55" t="s">
        <v>129</v>
      </c>
      <c r="K22" s="55" t="s">
        <v>129</v>
      </c>
      <c r="L22" s="55" t="s">
        <v>129</v>
      </c>
      <c r="M22" s="55" t="s">
        <v>129</v>
      </c>
      <c r="N22" s="55" t="s">
        <v>129</v>
      </c>
      <c r="O22" s="55" t="s">
        <v>129</v>
      </c>
      <c r="P22" s="55" t="s">
        <v>129</v>
      </c>
      <c r="Q22" s="55" t="s">
        <v>129</v>
      </c>
      <c r="R22" s="55" t="s">
        <v>129</v>
      </c>
      <c r="S22" s="55">
        <v>9</v>
      </c>
      <c r="T22" s="55" t="s">
        <v>129</v>
      </c>
      <c r="U22" s="55">
        <v>2</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4</v>
      </c>
      <c r="AJ22" s="55" t="s">
        <v>129</v>
      </c>
      <c r="AK22" s="55">
        <v>11</v>
      </c>
      <c r="AL22" s="55" t="s">
        <v>129</v>
      </c>
      <c r="AM22" s="55">
        <v>6</v>
      </c>
      <c r="AN22" s="55" t="s">
        <v>129</v>
      </c>
      <c r="AO22" s="55">
        <v>0</v>
      </c>
      <c r="AP22" s="55" t="s">
        <v>129</v>
      </c>
      <c r="AQ22" s="55" t="s">
        <v>129</v>
      </c>
      <c r="AR22" s="55" t="s">
        <v>129</v>
      </c>
      <c r="AS22" s="55" t="s">
        <v>129</v>
      </c>
      <c r="AT22" s="55" t="s">
        <v>129</v>
      </c>
      <c r="AU22" s="55" t="s">
        <v>129</v>
      </c>
      <c r="AV22" s="55" t="s">
        <v>129</v>
      </c>
      <c r="AW22" s="55" t="s">
        <v>129</v>
      </c>
      <c r="AX22" s="55" t="s">
        <v>129</v>
      </c>
      <c r="AY22" s="55">
        <v>3</v>
      </c>
      <c r="AZ22" s="55" t="s">
        <v>129</v>
      </c>
      <c r="BA22" s="55">
        <v>3</v>
      </c>
      <c r="BB22" s="55" t="s">
        <v>129</v>
      </c>
      <c r="BC22" s="55">
        <v>4</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146</v>
      </c>
      <c r="B23" s="55" t="s">
        <v>129</v>
      </c>
      <c r="C23" s="55">
        <v>2</v>
      </c>
      <c r="D23" s="55" t="s">
        <v>129</v>
      </c>
      <c r="E23" s="55">
        <v>10</v>
      </c>
      <c r="F23" s="55" t="s">
        <v>129</v>
      </c>
      <c r="G23" s="55">
        <v>4</v>
      </c>
      <c r="H23" s="55" t="s">
        <v>129</v>
      </c>
      <c r="I23" s="55">
        <v>0</v>
      </c>
      <c r="J23" s="55" t="s">
        <v>129</v>
      </c>
      <c r="K23" s="55" t="s">
        <v>129</v>
      </c>
      <c r="L23" s="55" t="s">
        <v>129</v>
      </c>
      <c r="M23" s="55" t="s">
        <v>129</v>
      </c>
      <c r="N23" s="55" t="s">
        <v>129</v>
      </c>
      <c r="O23" s="55" t="s">
        <v>129</v>
      </c>
      <c r="P23" s="55" t="s">
        <v>129</v>
      </c>
      <c r="Q23" s="55" t="s">
        <v>129</v>
      </c>
      <c r="R23" s="55" t="s">
        <v>129</v>
      </c>
      <c r="S23" s="55">
        <v>3</v>
      </c>
      <c r="T23" s="55" t="s">
        <v>129</v>
      </c>
      <c r="U23" s="55">
        <v>2</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5</v>
      </c>
      <c r="AJ23" s="55" t="s">
        <v>129</v>
      </c>
      <c r="AK23" s="55">
        <v>8</v>
      </c>
      <c r="AL23" s="55" t="s">
        <v>129</v>
      </c>
      <c r="AM23" s="55">
        <v>12</v>
      </c>
      <c r="AN23" s="55" t="s">
        <v>129</v>
      </c>
      <c r="AO23" s="55">
        <v>0</v>
      </c>
      <c r="AP23" s="55" t="s">
        <v>129</v>
      </c>
      <c r="AQ23" s="55" t="s">
        <v>129</v>
      </c>
      <c r="AR23" s="55" t="s">
        <v>129</v>
      </c>
      <c r="AS23" s="55" t="s">
        <v>129</v>
      </c>
      <c r="AT23" s="55" t="s">
        <v>129</v>
      </c>
      <c r="AU23" s="55" t="s">
        <v>129</v>
      </c>
      <c r="AV23" s="55" t="s">
        <v>129</v>
      </c>
      <c r="AW23" s="55" t="s">
        <v>129</v>
      </c>
      <c r="AX23" s="55" t="s">
        <v>129</v>
      </c>
      <c r="AY23" s="55">
        <v>2</v>
      </c>
      <c r="AZ23" s="55" t="s">
        <v>129</v>
      </c>
      <c r="BA23" s="55">
        <v>6</v>
      </c>
      <c r="BB23" s="55" t="s">
        <v>129</v>
      </c>
      <c r="BC23" s="55">
        <v>6</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145</v>
      </c>
      <c r="B24" s="55" t="s">
        <v>129</v>
      </c>
      <c r="C24" s="55">
        <v>4</v>
      </c>
      <c r="D24" s="55" t="s">
        <v>129</v>
      </c>
      <c r="E24" s="55">
        <v>16</v>
      </c>
      <c r="F24" s="55" t="s">
        <v>129</v>
      </c>
      <c r="G24" s="55">
        <v>3</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4</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13</v>
      </c>
      <c r="AL24" s="55" t="s">
        <v>129</v>
      </c>
      <c r="AM24" s="55">
        <v>5</v>
      </c>
      <c r="AN24" s="55" t="s">
        <v>129</v>
      </c>
      <c r="AO24" s="55">
        <v>0</v>
      </c>
      <c r="AP24" s="55" t="s">
        <v>129</v>
      </c>
      <c r="AQ24" s="55" t="s">
        <v>129</v>
      </c>
      <c r="AR24" s="55" t="s">
        <v>129</v>
      </c>
      <c r="AS24" s="55" t="s">
        <v>129</v>
      </c>
      <c r="AT24" s="55" t="s">
        <v>129</v>
      </c>
      <c r="AU24" s="55" t="s">
        <v>129</v>
      </c>
      <c r="AV24" s="55" t="s">
        <v>129</v>
      </c>
      <c r="AW24" s="55" t="s">
        <v>129</v>
      </c>
      <c r="AX24" s="55" t="s">
        <v>129</v>
      </c>
      <c r="AY24" s="55">
        <v>7</v>
      </c>
      <c r="AZ24" s="55" t="s">
        <v>129</v>
      </c>
      <c r="BA24" s="55">
        <v>1</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144</v>
      </c>
      <c r="B25" s="55" t="s">
        <v>129</v>
      </c>
      <c r="C25" s="55">
        <v>0</v>
      </c>
      <c r="D25" s="55" t="s">
        <v>129</v>
      </c>
      <c r="E25" s="55">
        <v>12</v>
      </c>
      <c r="F25" s="55" t="s">
        <v>129</v>
      </c>
      <c r="G25" s="55">
        <v>4</v>
      </c>
      <c r="H25" s="55" t="s">
        <v>129</v>
      </c>
      <c r="I25" s="55">
        <v>0</v>
      </c>
      <c r="J25" s="55" t="s">
        <v>129</v>
      </c>
      <c r="K25" s="55" t="s">
        <v>129</v>
      </c>
      <c r="L25" s="55" t="s">
        <v>129</v>
      </c>
      <c r="M25" s="55" t="s">
        <v>129</v>
      </c>
      <c r="N25" s="55" t="s">
        <v>129</v>
      </c>
      <c r="O25" s="55" t="s">
        <v>129</v>
      </c>
      <c r="P25" s="55" t="s">
        <v>129</v>
      </c>
      <c r="Q25" s="55" t="s">
        <v>129</v>
      </c>
      <c r="R25" s="55" t="s">
        <v>129</v>
      </c>
      <c r="S25" s="55">
        <v>5</v>
      </c>
      <c r="T25" s="55" t="s">
        <v>129</v>
      </c>
      <c r="U25" s="55">
        <v>1</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11</v>
      </c>
      <c r="AJ25" s="55" t="s">
        <v>129</v>
      </c>
      <c r="AK25" s="55">
        <v>11</v>
      </c>
      <c r="AL25" s="55" t="s">
        <v>129</v>
      </c>
      <c r="AM25" s="55">
        <v>9</v>
      </c>
      <c r="AN25" s="55" t="s">
        <v>129</v>
      </c>
      <c r="AO25" s="55">
        <v>0</v>
      </c>
      <c r="AP25" s="55" t="s">
        <v>129</v>
      </c>
      <c r="AQ25" s="55" t="s">
        <v>129</v>
      </c>
      <c r="AR25" s="55" t="s">
        <v>129</v>
      </c>
      <c r="AS25" s="55" t="s">
        <v>129</v>
      </c>
      <c r="AT25" s="55" t="s">
        <v>129</v>
      </c>
      <c r="AU25" s="55" t="s">
        <v>129</v>
      </c>
      <c r="AV25" s="55" t="s">
        <v>129</v>
      </c>
      <c r="AW25" s="55" t="s">
        <v>129</v>
      </c>
      <c r="AX25" s="55" t="s">
        <v>129</v>
      </c>
      <c r="AY25" s="55">
        <v>6</v>
      </c>
      <c r="AZ25" s="55" t="s">
        <v>129</v>
      </c>
      <c r="BA25" s="55">
        <v>0</v>
      </c>
      <c r="BB25" s="55" t="s">
        <v>129</v>
      </c>
      <c r="BC25" s="55">
        <v>5</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143</v>
      </c>
      <c r="B26" s="55" t="s">
        <v>129</v>
      </c>
      <c r="C26" s="55">
        <v>2</v>
      </c>
      <c r="D26" s="55" t="s">
        <v>129</v>
      </c>
      <c r="E26" s="55">
        <v>10</v>
      </c>
      <c r="F26" s="55" t="s">
        <v>129</v>
      </c>
      <c r="G26" s="55">
        <v>4</v>
      </c>
      <c r="H26" s="55" t="s">
        <v>129</v>
      </c>
      <c r="I26" s="55">
        <v>0</v>
      </c>
      <c r="J26" s="55" t="s">
        <v>129</v>
      </c>
      <c r="K26" s="55" t="s">
        <v>129</v>
      </c>
      <c r="L26" s="55" t="s">
        <v>129</v>
      </c>
      <c r="M26" s="55" t="s">
        <v>129</v>
      </c>
      <c r="N26" s="55" t="s">
        <v>129</v>
      </c>
      <c r="O26" s="55" t="s">
        <v>129</v>
      </c>
      <c r="P26" s="55" t="s">
        <v>129</v>
      </c>
      <c r="Q26" s="55" t="s">
        <v>129</v>
      </c>
      <c r="R26" s="55" t="s">
        <v>129</v>
      </c>
      <c r="S26" s="55">
        <v>6</v>
      </c>
      <c r="T26" s="55" t="s">
        <v>129</v>
      </c>
      <c r="U26" s="55">
        <v>6</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5</v>
      </c>
      <c r="AL26" s="55" t="s">
        <v>129</v>
      </c>
      <c r="AM26" s="55">
        <v>9</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5</v>
      </c>
      <c r="BB26" s="55" t="s">
        <v>129</v>
      </c>
      <c r="BC26" s="55">
        <v>8</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142</v>
      </c>
      <c r="B27" s="55" t="s">
        <v>129</v>
      </c>
      <c r="C27" s="55">
        <v>0</v>
      </c>
      <c r="D27" s="55" t="s">
        <v>129</v>
      </c>
      <c r="E27" s="55">
        <v>13</v>
      </c>
      <c r="F27" s="55" t="s">
        <v>129</v>
      </c>
      <c r="G27" s="55">
        <v>3</v>
      </c>
      <c r="H27" s="55" t="s">
        <v>129</v>
      </c>
      <c r="I27" s="55">
        <v>0</v>
      </c>
      <c r="J27" s="55" t="s">
        <v>129</v>
      </c>
      <c r="K27" s="55" t="s">
        <v>129</v>
      </c>
      <c r="L27" s="55" t="s">
        <v>129</v>
      </c>
      <c r="M27" s="55" t="s">
        <v>129</v>
      </c>
      <c r="N27" s="55" t="s">
        <v>129</v>
      </c>
      <c r="O27" s="55" t="s">
        <v>129</v>
      </c>
      <c r="P27" s="55" t="s">
        <v>129</v>
      </c>
      <c r="Q27" s="55" t="s">
        <v>129</v>
      </c>
      <c r="R27" s="55" t="s">
        <v>129</v>
      </c>
      <c r="S27" s="55">
        <v>6</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7</v>
      </c>
      <c r="AJ27" s="55" t="s">
        <v>129</v>
      </c>
      <c r="AK27" s="55">
        <v>15</v>
      </c>
      <c r="AL27" s="55" t="s">
        <v>129</v>
      </c>
      <c r="AM27" s="55">
        <v>3</v>
      </c>
      <c r="AN27" s="55" t="s">
        <v>129</v>
      </c>
      <c r="AO27" s="55">
        <v>0</v>
      </c>
      <c r="AP27" s="55" t="s">
        <v>129</v>
      </c>
      <c r="AQ27" s="55" t="s">
        <v>129</v>
      </c>
      <c r="AR27" s="55" t="s">
        <v>129</v>
      </c>
      <c r="AS27" s="55" t="s">
        <v>129</v>
      </c>
      <c r="AT27" s="55" t="s">
        <v>129</v>
      </c>
      <c r="AU27" s="55" t="s">
        <v>129</v>
      </c>
      <c r="AV27" s="55" t="s">
        <v>129</v>
      </c>
      <c r="AW27" s="55" t="s">
        <v>129</v>
      </c>
      <c r="AX27" s="55" t="s">
        <v>129</v>
      </c>
      <c r="AY27" s="55">
        <v>2</v>
      </c>
      <c r="AZ27" s="55" t="s">
        <v>129</v>
      </c>
      <c r="BA27" s="55">
        <v>5</v>
      </c>
      <c r="BB27" s="55" t="s">
        <v>129</v>
      </c>
      <c r="BC27" s="55">
        <v>7</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141</v>
      </c>
      <c r="B28" s="55" t="s">
        <v>129</v>
      </c>
      <c r="C28" s="55">
        <v>0</v>
      </c>
      <c r="D28" s="55" t="s">
        <v>129</v>
      </c>
      <c r="E28" s="55">
        <v>10</v>
      </c>
      <c r="F28" s="55" t="s">
        <v>129</v>
      </c>
      <c r="G28" s="55">
        <v>4</v>
      </c>
      <c r="H28" s="55" t="s">
        <v>129</v>
      </c>
      <c r="I28" s="55">
        <v>0</v>
      </c>
      <c r="J28" s="55" t="s">
        <v>129</v>
      </c>
      <c r="K28" s="55" t="s">
        <v>129</v>
      </c>
      <c r="L28" s="55" t="s">
        <v>129</v>
      </c>
      <c r="M28" s="55" t="s">
        <v>129</v>
      </c>
      <c r="N28" s="55" t="s">
        <v>129</v>
      </c>
      <c r="O28" s="55" t="s">
        <v>129</v>
      </c>
      <c r="P28" s="55" t="s">
        <v>129</v>
      </c>
      <c r="Q28" s="55" t="s">
        <v>129</v>
      </c>
      <c r="R28" s="55" t="s">
        <v>129</v>
      </c>
      <c r="S28" s="55">
        <v>7</v>
      </c>
      <c r="T28" s="55" t="s">
        <v>129</v>
      </c>
      <c r="U28" s="55">
        <v>6</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6</v>
      </c>
      <c r="AJ28" s="55" t="s">
        <v>129</v>
      </c>
      <c r="AK28" s="55">
        <v>14</v>
      </c>
      <c r="AL28" s="55" t="s">
        <v>129</v>
      </c>
      <c r="AM28" s="55">
        <v>7</v>
      </c>
      <c r="AN28" s="55" t="s">
        <v>129</v>
      </c>
      <c r="AO28" s="55">
        <v>0</v>
      </c>
      <c r="AP28" s="55" t="s">
        <v>129</v>
      </c>
      <c r="AQ28" s="55" t="s">
        <v>129</v>
      </c>
      <c r="AR28" s="55" t="s">
        <v>129</v>
      </c>
      <c r="AS28" s="55" t="s">
        <v>129</v>
      </c>
      <c r="AT28" s="55" t="s">
        <v>129</v>
      </c>
      <c r="AU28" s="55" t="s">
        <v>129</v>
      </c>
      <c r="AV28" s="55" t="s">
        <v>129</v>
      </c>
      <c r="AW28" s="55" t="s">
        <v>129</v>
      </c>
      <c r="AX28" s="55" t="s">
        <v>129</v>
      </c>
      <c r="AY28" s="55">
        <v>5</v>
      </c>
      <c r="AZ28" s="55" t="s">
        <v>129</v>
      </c>
      <c r="BA28" s="55">
        <v>2</v>
      </c>
      <c r="BB28" s="55" t="s">
        <v>129</v>
      </c>
      <c r="BC28" s="55">
        <v>10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140</v>
      </c>
      <c r="B29" s="55" t="s">
        <v>129</v>
      </c>
      <c r="C29" s="55">
        <v>1</v>
      </c>
      <c r="D29" s="55" t="s">
        <v>129</v>
      </c>
      <c r="E29" s="55">
        <v>12</v>
      </c>
      <c r="F29" s="55" t="s">
        <v>129</v>
      </c>
      <c r="G29" s="55">
        <v>10</v>
      </c>
      <c r="H29" s="55" t="s">
        <v>129</v>
      </c>
      <c r="I29" s="55">
        <v>0</v>
      </c>
      <c r="J29" s="55" t="s">
        <v>129</v>
      </c>
      <c r="K29" s="55" t="s">
        <v>129</v>
      </c>
      <c r="L29" s="55" t="s">
        <v>129</v>
      </c>
      <c r="M29" s="55" t="s">
        <v>129</v>
      </c>
      <c r="N29" s="55" t="s">
        <v>129</v>
      </c>
      <c r="O29" s="55" t="s">
        <v>129</v>
      </c>
      <c r="P29" s="55" t="s">
        <v>129</v>
      </c>
      <c r="Q29" s="55" t="s">
        <v>129</v>
      </c>
      <c r="R29" s="55" t="s">
        <v>129</v>
      </c>
      <c r="S29" s="55">
        <v>5</v>
      </c>
      <c r="T29" s="55" t="s">
        <v>129</v>
      </c>
      <c r="U29" s="55">
        <v>5</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6</v>
      </c>
      <c r="AJ29" s="55" t="s">
        <v>129</v>
      </c>
      <c r="AK29" s="55">
        <v>12</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6</v>
      </c>
      <c r="AZ29" s="55" t="s">
        <v>129</v>
      </c>
      <c r="BA29" s="55">
        <v>5</v>
      </c>
      <c r="BB29" s="55" t="s">
        <v>129</v>
      </c>
      <c r="BC29" s="55">
        <v>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139</v>
      </c>
      <c r="B30" s="55" t="s">
        <v>129</v>
      </c>
      <c r="C30" s="55">
        <v>1</v>
      </c>
      <c r="D30" s="55" t="s">
        <v>129</v>
      </c>
      <c r="E30" s="55">
        <v>13</v>
      </c>
      <c r="F30" s="55" t="s">
        <v>129</v>
      </c>
      <c r="G30" s="55">
        <v>5</v>
      </c>
      <c r="H30" s="55" t="s">
        <v>129</v>
      </c>
      <c r="I30" s="55">
        <v>0</v>
      </c>
      <c r="J30" s="55" t="s">
        <v>129</v>
      </c>
      <c r="K30" s="55" t="s">
        <v>129</v>
      </c>
      <c r="L30" s="55" t="s">
        <v>129</v>
      </c>
      <c r="M30" s="55" t="s">
        <v>129</v>
      </c>
      <c r="N30" s="55" t="s">
        <v>129</v>
      </c>
      <c r="O30" s="55" t="s">
        <v>129</v>
      </c>
      <c r="P30" s="55" t="s">
        <v>129</v>
      </c>
      <c r="Q30" s="55" t="s">
        <v>129</v>
      </c>
      <c r="R30" s="55" t="s">
        <v>129</v>
      </c>
      <c r="S30" s="55">
        <v>6</v>
      </c>
      <c r="T30" s="55" t="s">
        <v>129</v>
      </c>
      <c r="U30" s="55">
        <v>1</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9</v>
      </c>
      <c r="AJ30" s="55" t="s">
        <v>129</v>
      </c>
      <c r="AK30" s="55">
        <v>16</v>
      </c>
      <c r="AL30" s="55" t="s">
        <v>129</v>
      </c>
      <c r="AM30" s="55">
        <v>3</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4</v>
      </c>
      <c r="BB30" s="55" t="s">
        <v>129</v>
      </c>
      <c r="BC30" s="55">
        <v>6</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138</v>
      </c>
      <c r="B31" s="55" t="s">
        <v>129</v>
      </c>
      <c r="C31" s="55">
        <v>0</v>
      </c>
      <c r="D31" s="55" t="s">
        <v>129</v>
      </c>
      <c r="E31" s="55">
        <v>18</v>
      </c>
      <c r="F31" s="55" t="s">
        <v>129</v>
      </c>
      <c r="G31" s="55">
        <v>8</v>
      </c>
      <c r="H31" s="55" t="s">
        <v>129</v>
      </c>
      <c r="I31" s="55">
        <v>0</v>
      </c>
      <c r="J31" s="55" t="s">
        <v>129</v>
      </c>
      <c r="K31" s="55" t="s">
        <v>129</v>
      </c>
      <c r="L31" s="55" t="s">
        <v>129</v>
      </c>
      <c r="M31" s="55" t="s">
        <v>129</v>
      </c>
      <c r="N31" s="55" t="s">
        <v>129</v>
      </c>
      <c r="O31" s="55" t="s">
        <v>129</v>
      </c>
      <c r="P31" s="55" t="s">
        <v>129</v>
      </c>
      <c r="Q31" s="55" t="s">
        <v>129</v>
      </c>
      <c r="R31" s="55" t="s">
        <v>129</v>
      </c>
      <c r="S31" s="55">
        <v>5</v>
      </c>
      <c r="T31" s="55" t="s">
        <v>129</v>
      </c>
      <c r="U31" s="55">
        <v>5</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12</v>
      </c>
      <c r="AJ31" s="55" t="s">
        <v>129</v>
      </c>
      <c r="AK31" s="55">
        <v>10</v>
      </c>
      <c r="AL31" s="55" t="s">
        <v>129</v>
      </c>
      <c r="AM31" s="55">
        <v>9</v>
      </c>
      <c r="AN31" s="55" t="s">
        <v>129</v>
      </c>
      <c r="AO31" s="55">
        <v>0</v>
      </c>
      <c r="AP31" s="55" t="s">
        <v>129</v>
      </c>
      <c r="AQ31" s="55" t="s">
        <v>129</v>
      </c>
      <c r="AR31" s="55" t="s">
        <v>129</v>
      </c>
      <c r="AS31" s="55" t="s">
        <v>129</v>
      </c>
      <c r="AT31" s="55" t="s">
        <v>129</v>
      </c>
      <c r="AU31" s="55" t="s">
        <v>129</v>
      </c>
      <c r="AV31" s="55" t="s">
        <v>129</v>
      </c>
      <c r="AW31" s="55" t="s">
        <v>129</v>
      </c>
      <c r="AX31" s="55" t="s">
        <v>129</v>
      </c>
      <c r="AY31" s="55">
        <v>3</v>
      </c>
      <c r="AZ31" s="55" t="s">
        <v>129</v>
      </c>
      <c r="BA31" s="55">
        <v>1</v>
      </c>
      <c r="BB31" s="55" t="s">
        <v>129</v>
      </c>
      <c r="BC31" s="55">
        <v>5</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137</v>
      </c>
      <c r="B32" s="55" t="s">
        <v>129</v>
      </c>
      <c r="C32" s="55">
        <v>2</v>
      </c>
      <c r="D32" s="55" t="s">
        <v>129</v>
      </c>
      <c r="E32" s="55">
        <v>10</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7</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12</v>
      </c>
      <c r="AJ32" s="55" t="s">
        <v>129</v>
      </c>
      <c r="AK32" s="55">
        <v>12</v>
      </c>
      <c r="AL32" s="55" t="s">
        <v>129</v>
      </c>
      <c r="AM32" s="55">
        <v>10</v>
      </c>
      <c r="AN32" s="55" t="s">
        <v>129</v>
      </c>
      <c r="AO32" s="55">
        <v>0</v>
      </c>
      <c r="AP32" s="55" t="s">
        <v>129</v>
      </c>
      <c r="AQ32" s="55" t="s">
        <v>129</v>
      </c>
      <c r="AR32" s="55" t="s">
        <v>129</v>
      </c>
      <c r="AS32" s="55" t="s">
        <v>129</v>
      </c>
      <c r="AT32" s="55" t="s">
        <v>129</v>
      </c>
      <c r="AU32" s="55" t="s">
        <v>129</v>
      </c>
      <c r="AV32" s="55" t="s">
        <v>129</v>
      </c>
      <c r="AW32" s="55" t="s">
        <v>129</v>
      </c>
      <c r="AX32" s="55" t="s">
        <v>129</v>
      </c>
      <c r="AY32" s="55">
        <v>7</v>
      </c>
      <c r="AZ32" s="55" t="s">
        <v>129</v>
      </c>
      <c r="BA32" s="55">
        <v>2</v>
      </c>
      <c r="BB32" s="55" t="s">
        <v>129</v>
      </c>
      <c r="BC32" s="55">
        <v>6</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136</v>
      </c>
      <c r="B33" s="55" t="s">
        <v>129</v>
      </c>
      <c r="C33" s="55">
        <v>1</v>
      </c>
      <c r="D33" s="55" t="s">
        <v>129</v>
      </c>
      <c r="E33" s="55">
        <v>12</v>
      </c>
      <c r="F33" s="55" t="s">
        <v>129</v>
      </c>
      <c r="G33" s="55">
        <v>3</v>
      </c>
      <c r="H33" s="55" t="s">
        <v>129</v>
      </c>
      <c r="I33" s="55">
        <v>0</v>
      </c>
      <c r="J33" s="55" t="s">
        <v>129</v>
      </c>
      <c r="K33" s="55" t="s">
        <v>129</v>
      </c>
      <c r="L33" s="55" t="s">
        <v>129</v>
      </c>
      <c r="M33" s="55" t="s">
        <v>129</v>
      </c>
      <c r="N33" s="55" t="s">
        <v>129</v>
      </c>
      <c r="O33" s="55" t="s">
        <v>129</v>
      </c>
      <c r="P33" s="55" t="s">
        <v>129</v>
      </c>
      <c r="Q33" s="55" t="s">
        <v>129</v>
      </c>
      <c r="R33" s="55" t="s">
        <v>129</v>
      </c>
      <c r="S33" s="55">
        <v>5</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6</v>
      </c>
      <c r="AJ33" s="55" t="s">
        <v>129</v>
      </c>
      <c r="AK33" s="55">
        <v>14</v>
      </c>
      <c r="AL33" s="55" t="s">
        <v>129</v>
      </c>
      <c r="AM33" s="55">
        <v>6</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3</v>
      </c>
      <c r="BB33" s="55" t="s">
        <v>129</v>
      </c>
      <c r="BC33" s="55">
        <v>11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135</v>
      </c>
      <c r="B34" s="55" t="s">
        <v>129</v>
      </c>
      <c r="C34" s="55">
        <v>0</v>
      </c>
      <c r="D34" s="55" t="s">
        <v>129</v>
      </c>
      <c r="E34" s="55">
        <v>5</v>
      </c>
      <c r="F34" s="55" t="s">
        <v>129</v>
      </c>
      <c r="G34" s="55">
        <v>4</v>
      </c>
      <c r="H34" s="55" t="s">
        <v>129</v>
      </c>
      <c r="I34" s="55">
        <v>0</v>
      </c>
      <c r="J34" s="55" t="s">
        <v>129</v>
      </c>
      <c r="K34" s="55" t="s">
        <v>129</v>
      </c>
      <c r="L34" s="55" t="s">
        <v>129</v>
      </c>
      <c r="M34" s="55" t="s">
        <v>129</v>
      </c>
      <c r="N34" s="55" t="s">
        <v>129</v>
      </c>
      <c r="O34" s="55" t="s">
        <v>129</v>
      </c>
      <c r="P34" s="55" t="s">
        <v>129</v>
      </c>
      <c r="Q34" s="55" t="s">
        <v>129</v>
      </c>
      <c r="R34" s="55" t="s">
        <v>129</v>
      </c>
      <c r="S34" s="55">
        <v>3</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8</v>
      </c>
      <c r="AJ34" s="55" t="s">
        <v>129</v>
      </c>
      <c r="AK34" s="55">
        <v>14</v>
      </c>
      <c r="AL34" s="55" t="s">
        <v>129</v>
      </c>
      <c r="AM34" s="55">
        <v>9</v>
      </c>
      <c r="AN34" s="55" t="s">
        <v>129</v>
      </c>
      <c r="AO34" s="55">
        <v>0</v>
      </c>
      <c r="AP34" s="55" t="s">
        <v>129</v>
      </c>
      <c r="AQ34" s="55" t="s">
        <v>129</v>
      </c>
      <c r="AR34" s="55" t="s">
        <v>129</v>
      </c>
      <c r="AS34" s="55" t="s">
        <v>129</v>
      </c>
      <c r="AT34" s="55" t="s">
        <v>129</v>
      </c>
      <c r="AU34" s="55" t="s">
        <v>129</v>
      </c>
      <c r="AV34" s="55" t="s">
        <v>129</v>
      </c>
      <c r="AW34" s="55" t="s">
        <v>129</v>
      </c>
      <c r="AX34" s="55" t="s">
        <v>129</v>
      </c>
      <c r="AY34" s="55">
        <v>3</v>
      </c>
      <c r="AZ34" s="55" t="s">
        <v>129</v>
      </c>
      <c r="BA34" s="55">
        <v>1</v>
      </c>
      <c r="BB34" s="55" t="s">
        <v>129</v>
      </c>
      <c r="BC34" s="55">
        <v>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134</v>
      </c>
      <c r="B35" s="55" t="s">
        <v>129</v>
      </c>
      <c r="C35" s="55">
        <v>0</v>
      </c>
      <c r="D35" s="55" t="s">
        <v>129</v>
      </c>
      <c r="E35" s="55">
        <v>13</v>
      </c>
      <c r="F35" s="55" t="s">
        <v>129</v>
      </c>
      <c r="G35" s="55">
        <v>6</v>
      </c>
      <c r="H35" s="55" t="s">
        <v>129</v>
      </c>
      <c r="I35" s="55">
        <v>0</v>
      </c>
      <c r="J35" s="55" t="s">
        <v>129</v>
      </c>
      <c r="K35" s="55" t="s">
        <v>129</v>
      </c>
      <c r="L35" s="55" t="s">
        <v>129</v>
      </c>
      <c r="M35" s="55" t="s">
        <v>129</v>
      </c>
      <c r="N35" s="55" t="s">
        <v>129</v>
      </c>
      <c r="O35" s="55" t="s">
        <v>129</v>
      </c>
      <c r="P35" s="55" t="s">
        <v>129</v>
      </c>
      <c r="Q35" s="55" t="s">
        <v>129</v>
      </c>
      <c r="R35" s="55" t="s">
        <v>129</v>
      </c>
      <c r="S35" s="55">
        <v>6</v>
      </c>
      <c r="T35" s="55" t="s">
        <v>129</v>
      </c>
      <c r="U35" s="55">
        <v>3</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14</v>
      </c>
      <c r="AJ35" s="55" t="s">
        <v>129</v>
      </c>
      <c r="AK35" s="55">
        <v>20</v>
      </c>
      <c r="AL35" s="55" t="s">
        <v>129</v>
      </c>
      <c r="AM35" s="55">
        <v>6</v>
      </c>
      <c r="AN35" s="55" t="s">
        <v>129</v>
      </c>
      <c r="AO35" s="55">
        <v>0</v>
      </c>
      <c r="AP35" s="55" t="s">
        <v>129</v>
      </c>
      <c r="AQ35" s="55" t="s">
        <v>129</v>
      </c>
      <c r="AR35" s="55" t="s">
        <v>129</v>
      </c>
      <c r="AS35" s="55" t="s">
        <v>129</v>
      </c>
      <c r="AT35" s="55" t="s">
        <v>129</v>
      </c>
      <c r="AU35" s="55" t="s">
        <v>129</v>
      </c>
      <c r="AV35" s="55" t="s">
        <v>129</v>
      </c>
      <c r="AW35" s="55" t="s">
        <v>129</v>
      </c>
      <c r="AX35" s="55" t="s">
        <v>129</v>
      </c>
      <c r="AY35" s="55">
        <v>6</v>
      </c>
      <c r="AZ35" s="55" t="s">
        <v>129</v>
      </c>
      <c r="BA35" s="55">
        <v>2</v>
      </c>
      <c r="BB35" s="55" t="s">
        <v>129</v>
      </c>
      <c r="BC35" s="55">
        <v>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133</v>
      </c>
      <c r="B36" s="55" t="s">
        <v>129</v>
      </c>
      <c r="C36" s="55">
        <v>2</v>
      </c>
      <c r="D36" s="55" t="s">
        <v>129</v>
      </c>
      <c r="E36" s="55">
        <v>10</v>
      </c>
      <c r="F36" s="55" t="s">
        <v>129</v>
      </c>
      <c r="G36" s="55">
        <v>7</v>
      </c>
      <c r="H36" s="55" t="s">
        <v>129</v>
      </c>
      <c r="I36" s="55">
        <v>0</v>
      </c>
      <c r="J36" s="55" t="s">
        <v>129</v>
      </c>
      <c r="K36" s="55" t="s">
        <v>129</v>
      </c>
      <c r="L36" s="55" t="s">
        <v>129</v>
      </c>
      <c r="M36" s="55" t="s">
        <v>129</v>
      </c>
      <c r="N36" s="55" t="s">
        <v>129</v>
      </c>
      <c r="O36" s="55" t="s">
        <v>129</v>
      </c>
      <c r="P36" s="55" t="s">
        <v>129</v>
      </c>
      <c r="Q36" s="55" t="s">
        <v>129</v>
      </c>
      <c r="R36" s="55" t="s">
        <v>129</v>
      </c>
      <c r="S36" s="55">
        <v>8</v>
      </c>
      <c r="T36" s="55" t="s">
        <v>129</v>
      </c>
      <c r="U36" s="55">
        <v>5</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9</v>
      </c>
      <c r="AJ36" s="55" t="s">
        <v>129</v>
      </c>
      <c r="AK36" s="55">
        <v>18</v>
      </c>
      <c r="AL36" s="55" t="s">
        <v>129</v>
      </c>
      <c r="AM36" s="55">
        <v>6</v>
      </c>
      <c r="AN36" s="55" t="s">
        <v>129</v>
      </c>
      <c r="AO36" s="55">
        <v>0</v>
      </c>
      <c r="AP36" s="55" t="s">
        <v>129</v>
      </c>
      <c r="AQ36" s="55" t="s">
        <v>129</v>
      </c>
      <c r="AR36" s="55" t="s">
        <v>129</v>
      </c>
      <c r="AS36" s="55" t="s">
        <v>129</v>
      </c>
      <c r="AT36" s="55" t="s">
        <v>129</v>
      </c>
      <c r="AU36" s="55" t="s">
        <v>129</v>
      </c>
      <c r="AV36" s="55" t="s">
        <v>129</v>
      </c>
      <c r="AW36" s="55" t="s">
        <v>129</v>
      </c>
      <c r="AX36" s="55" t="s">
        <v>129</v>
      </c>
      <c r="AY36" s="55">
        <v>7</v>
      </c>
      <c r="AZ36" s="55" t="s">
        <v>129</v>
      </c>
      <c r="BA36" s="55">
        <v>1</v>
      </c>
      <c r="BB36" s="55" t="s">
        <v>129</v>
      </c>
      <c r="BC36" s="55">
        <v>7</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132</v>
      </c>
      <c r="B37" s="55" t="s">
        <v>129</v>
      </c>
      <c r="C37" s="55">
        <v>1</v>
      </c>
      <c r="D37" s="55" t="s">
        <v>129</v>
      </c>
      <c r="E37" s="55">
        <v>6</v>
      </c>
      <c r="F37" s="55" t="s">
        <v>129</v>
      </c>
      <c r="G37" s="55">
        <v>5</v>
      </c>
      <c r="H37" s="55" t="s">
        <v>129</v>
      </c>
      <c r="I37" s="55">
        <v>0</v>
      </c>
      <c r="J37" s="55" t="s">
        <v>129</v>
      </c>
      <c r="K37" s="55" t="s">
        <v>129</v>
      </c>
      <c r="L37" s="55" t="s">
        <v>129</v>
      </c>
      <c r="M37" s="55" t="s">
        <v>129</v>
      </c>
      <c r="N37" s="55" t="s">
        <v>129</v>
      </c>
      <c r="O37" s="55" t="s">
        <v>129</v>
      </c>
      <c r="P37" s="55" t="s">
        <v>129</v>
      </c>
      <c r="Q37" s="55" t="s">
        <v>129</v>
      </c>
      <c r="R37" s="55" t="s">
        <v>129</v>
      </c>
      <c r="S37" s="55">
        <v>6</v>
      </c>
      <c r="T37" s="55" t="s">
        <v>129</v>
      </c>
      <c r="U37" s="55">
        <v>3</v>
      </c>
      <c r="V37" s="55" t="s">
        <v>129</v>
      </c>
      <c r="W37" s="55">
        <v>1</v>
      </c>
      <c r="X37" s="55" t="s">
        <v>129</v>
      </c>
      <c r="Y37" s="55">
        <v>0</v>
      </c>
      <c r="Z37" s="55" t="s">
        <v>129</v>
      </c>
      <c r="AA37" s="55" t="s">
        <v>129</v>
      </c>
      <c r="AB37" s="55" t="s">
        <v>129</v>
      </c>
      <c r="AC37" s="55" t="s">
        <v>129</v>
      </c>
      <c r="AD37" s="55" t="s">
        <v>129</v>
      </c>
      <c r="AE37" s="55" t="s">
        <v>129</v>
      </c>
      <c r="AF37" s="55" t="s">
        <v>129</v>
      </c>
      <c r="AG37" s="55" t="s">
        <v>129</v>
      </c>
      <c r="AH37" s="55" t="s">
        <v>129</v>
      </c>
      <c r="AI37" s="55">
        <v>4</v>
      </c>
      <c r="AJ37" s="55" t="s">
        <v>129</v>
      </c>
      <c r="AK37" s="55">
        <v>16</v>
      </c>
      <c r="AL37" s="55" t="s">
        <v>129</v>
      </c>
      <c r="AM37" s="55">
        <v>8</v>
      </c>
      <c r="AN37" s="55" t="s">
        <v>129</v>
      </c>
      <c r="AO37" s="55">
        <v>0</v>
      </c>
      <c r="AP37" s="55" t="s">
        <v>129</v>
      </c>
      <c r="AQ37" s="55" t="s">
        <v>129</v>
      </c>
      <c r="AR37" s="55" t="s">
        <v>129</v>
      </c>
      <c r="AS37" s="55" t="s">
        <v>129</v>
      </c>
      <c r="AT37" s="55" t="s">
        <v>129</v>
      </c>
      <c r="AU37" s="55" t="s">
        <v>129</v>
      </c>
      <c r="AV37" s="55" t="s">
        <v>129</v>
      </c>
      <c r="AW37" s="55" t="s">
        <v>129</v>
      </c>
      <c r="AX37" s="55" t="s">
        <v>129</v>
      </c>
      <c r="AY37" s="55">
        <v>8</v>
      </c>
      <c r="AZ37" s="55" t="s">
        <v>129</v>
      </c>
      <c r="BA37" s="55">
        <v>2</v>
      </c>
      <c r="BB37" s="55" t="s">
        <v>129</v>
      </c>
      <c r="BC37" s="55">
        <v>4</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131</v>
      </c>
      <c r="B38" s="55" t="s">
        <v>129</v>
      </c>
      <c r="C38" s="55">
        <v>1</v>
      </c>
      <c r="D38" s="55" t="s">
        <v>129</v>
      </c>
      <c r="E38" s="55">
        <v>7</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3</v>
      </c>
      <c r="T38" s="55" t="s">
        <v>129</v>
      </c>
      <c r="U38" s="55">
        <v>3</v>
      </c>
      <c r="V38" s="55" t="s">
        <v>129</v>
      </c>
      <c r="W38" s="55">
        <v>1</v>
      </c>
      <c r="X38" s="55" t="s">
        <v>129</v>
      </c>
      <c r="Y38" s="55">
        <v>0</v>
      </c>
      <c r="Z38" s="55" t="s">
        <v>129</v>
      </c>
      <c r="AA38" s="55" t="s">
        <v>129</v>
      </c>
      <c r="AB38" s="55" t="s">
        <v>129</v>
      </c>
      <c r="AC38" s="55" t="s">
        <v>129</v>
      </c>
      <c r="AD38" s="55" t="s">
        <v>129</v>
      </c>
      <c r="AE38" s="55" t="s">
        <v>129</v>
      </c>
      <c r="AF38" s="55" t="s">
        <v>129</v>
      </c>
      <c r="AG38" s="55" t="s">
        <v>129</v>
      </c>
      <c r="AH38" s="55" t="s">
        <v>129</v>
      </c>
      <c r="AI38" s="55">
        <v>5</v>
      </c>
      <c r="AJ38" s="55" t="s">
        <v>129</v>
      </c>
      <c r="AK38" s="55">
        <v>13</v>
      </c>
      <c r="AL38" s="55" t="s">
        <v>129</v>
      </c>
      <c r="AM38" s="55">
        <v>10</v>
      </c>
      <c r="AN38" s="55" t="s">
        <v>129</v>
      </c>
      <c r="AO38" s="55">
        <v>0</v>
      </c>
      <c r="AP38" s="55" t="s">
        <v>129</v>
      </c>
      <c r="AQ38" s="55" t="s">
        <v>129</v>
      </c>
      <c r="AR38" s="55" t="s">
        <v>129</v>
      </c>
      <c r="AS38" s="55" t="s">
        <v>129</v>
      </c>
      <c r="AT38" s="55" t="s">
        <v>129</v>
      </c>
      <c r="AU38" s="55" t="s">
        <v>129</v>
      </c>
      <c r="AV38" s="55" t="s">
        <v>129</v>
      </c>
      <c r="AW38" s="55" t="s">
        <v>129</v>
      </c>
      <c r="AX38" s="55" t="s">
        <v>129</v>
      </c>
      <c r="AY38" s="55">
        <v>2</v>
      </c>
      <c r="AZ38" s="55" t="s">
        <v>129</v>
      </c>
      <c r="BA38" s="55">
        <v>3</v>
      </c>
      <c r="BB38" s="55" t="s">
        <v>129</v>
      </c>
      <c r="BC38" s="55">
        <v>3</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130</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A7AE-5108-4083-B7DD-25862C3E236B}">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129</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100</v>
      </c>
      <c r="J14" s="56" t="s">
        <v>161</v>
      </c>
      <c r="K14" s="56" t="s">
        <v>160</v>
      </c>
      <c r="L14" s="56" t="s">
        <v>159</v>
      </c>
      <c r="M14" s="56" t="s">
        <v>158</v>
      </c>
      <c r="N14" s="56" t="s">
        <v>157</v>
      </c>
      <c r="O14" s="56" t="s">
        <v>156</v>
      </c>
      <c r="P14" s="56" t="s">
        <v>155</v>
      </c>
      <c r="Q14" s="56" t="s">
        <v>100</v>
      </c>
      <c r="R14" s="56" t="s">
        <v>161</v>
      </c>
      <c r="S14" s="56" t="s">
        <v>160</v>
      </c>
      <c r="T14" s="56" t="s">
        <v>159</v>
      </c>
      <c r="U14" s="56" t="s">
        <v>158</v>
      </c>
      <c r="V14" s="56" t="s">
        <v>157</v>
      </c>
      <c r="W14" s="56" t="s">
        <v>156</v>
      </c>
      <c r="X14" s="56" t="s">
        <v>155</v>
      </c>
      <c r="Y14" s="56" t="s">
        <v>100</v>
      </c>
      <c r="Z14" s="56" t="s">
        <v>161</v>
      </c>
      <c r="AA14" s="56" t="s">
        <v>160</v>
      </c>
      <c r="AB14" s="56" t="s">
        <v>159</v>
      </c>
      <c r="AC14" s="56" t="s">
        <v>158</v>
      </c>
      <c r="AD14" s="56" t="s">
        <v>157</v>
      </c>
      <c r="AE14" s="56" t="s">
        <v>156</v>
      </c>
      <c r="AF14" s="56" t="s">
        <v>155</v>
      </c>
      <c r="AG14" s="56" t="s">
        <v>100</v>
      </c>
      <c r="AH14" s="56" t="s">
        <v>161</v>
      </c>
      <c r="AI14" s="56" t="s">
        <v>160</v>
      </c>
      <c r="AJ14" s="56" t="s">
        <v>159</v>
      </c>
      <c r="AK14" s="56" t="s">
        <v>158</v>
      </c>
      <c r="AL14" s="56" t="s">
        <v>157</v>
      </c>
      <c r="AM14" s="56" t="s">
        <v>156</v>
      </c>
      <c r="AN14" s="56" t="s">
        <v>155</v>
      </c>
      <c r="AO14" s="56" t="s">
        <v>100</v>
      </c>
      <c r="AP14" s="56" t="s">
        <v>161</v>
      </c>
      <c r="AQ14" s="56" t="s">
        <v>160</v>
      </c>
      <c r="AR14" s="56" t="s">
        <v>159</v>
      </c>
      <c r="AS14" s="56" t="s">
        <v>158</v>
      </c>
      <c r="AT14" s="56" t="s">
        <v>157</v>
      </c>
      <c r="AU14" s="56" t="s">
        <v>156</v>
      </c>
      <c r="AV14" s="56" t="s">
        <v>155</v>
      </c>
      <c r="AW14" s="56" t="s">
        <v>100</v>
      </c>
      <c r="AX14" s="56" t="s">
        <v>161</v>
      </c>
      <c r="AY14" s="56" t="s">
        <v>160</v>
      </c>
      <c r="AZ14" s="56" t="s">
        <v>159</v>
      </c>
      <c r="BA14" s="56" t="s">
        <v>158</v>
      </c>
      <c r="BB14" s="56" t="s">
        <v>157</v>
      </c>
      <c r="BC14" s="56" t="s">
        <v>156</v>
      </c>
      <c r="BD14" s="56" t="s">
        <v>155</v>
      </c>
      <c r="BE14" s="56" t="s">
        <v>100</v>
      </c>
      <c r="BF14" s="56" t="s">
        <v>161</v>
      </c>
      <c r="BG14" s="56" t="s">
        <v>160</v>
      </c>
      <c r="BH14" s="56" t="s">
        <v>159</v>
      </c>
      <c r="BI14" s="56" t="s">
        <v>158</v>
      </c>
      <c r="BJ14" s="56" t="s">
        <v>157</v>
      </c>
      <c r="BK14" s="56" t="s">
        <v>156</v>
      </c>
      <c r="BL14" s="56" t="s">
        <v>155</v>
      </c>
      <c r="BM14" s="56" t="s">
        <v>100</v>
      </c>
    </row>
    <row r="15" spans="1:65" ht="15" customHeight="1" x14ac:dyDescent="0.2">
      <c r="A15" s="55" t="s">
        <v>154</v>
      </c>
      <c r="B15" s="55" t="s">
        <v>129</v>
      </c>
      <c r="C15" s="55">
        <v>0</v>
      </c>
      <c r="D15" s="55" t="s">
        <v>129</v>
      </c>
      <c r="E15" s="55">
        <v>2</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153</v>
      </c>
      <c r="B16" s="55" t="s">
        <v>129</v>
      </c>
      <c r="C16" s="55">
        <v>0</v>
      </c>
      <c r="D16" s="55" t="s">
        <v>129</v>
      </c>
      <c r="E16" s="55">
        <v>1</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152</v>
      </c>
      <c r="B17" s="55" t="s">
        <v>129</v>
      </c>
      <c r="C17" s="55">
        <v>0</v>
      </c>
      <c r="D17" s="55" t="s">
        <v>129</v>
      </c>
      <c r="E17" s="55">
        <v>3</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151</v>
      </c>
      <c r="B18" s="55" t="s">
        <v>129</v>
      </c>
      <c r="C18" s="55">
        <v>0</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1</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150</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149</v>
      </c>
      <c r="B20" s="55" t="s">
        <v>129</v>
      </c>
      <c r="C20" s="55">
        <v>0</v>
      </c>
      <c r="D20" s="55" t="s">
        <v>129</v>
      </c>
      <c r="E20" s="55">
        <v>1</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148</v>
      </c>
      <c r="B21" s="55" t="s">
        <v>129</v>
      </c>
      <c r="C21" s="55">
        <v>0</v>
      </c>
      <c r="D21" s="55" t="s">
        <v>129</v>
      </c>
      <c r="E21" s="55">
        <v>2</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147</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146</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145</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2</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144</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143</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142</v>
      </c>
      <c r="B27" s="55" t="s">
        <v>129</v>
      </c>
      <c r="C27" s="55">
        <v>0</v>
      </c>
      <c r="D27" s="55" t="s">
        <v>129</v>
      </c>
      <c r="E27" s="55">
        <v>1</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2</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141</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1</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140</v>
      </c>
      <c r="B29" s="55" t="s">
        <v>129</v>
      </c>
      <c r="C29" s="55">
        <v>0</v>
      </c>
      <c r="D29" s="55" t="s">
        <v>129</v>
      </c>
      <c r="E29" s="55">
        <v>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139</v>
      </c>
      <c r="B30" s="55" t="s">
        <v>129</v>
      </c>
      <c r="C30" s="55">
        <v>0</v>
      </c>
      <c r="D30" s="55" t="s">
        <v>129</v>
      </c>
      <c r="E30" s="55">
        <v>2</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138</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137</v>
      </c>
      <c r="B32" s="55" t="s">
        <v>129</v>
      </c>
      <c r="C32" s="55">
        <v>0</v>
      </c>
      <c r="D32" s="55" t="s">
        <v>129</v>
      </c>
      <c r="E32" s="55">
        <v>2</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136</v>
      </c>
      <c r="B33" s="55" t="s">
        <v>129</v>
      </c>
      <c r="C33" s="55">
        <v>0</v>
      </c>
      <c r="D33" s="55" t="s">
        <v>129</v>
      </c>
      <c r="E33" s="55">
        <v>2</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135</v>
      </c>
      <c r="B34" s="55" t="s">
        <v>129</v>
      </c>
      <c r="C34" s="55">
        <v>0</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134</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133</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132</v>
      </c>
      <c r="B37" s="55" t="s">
        <v>129</v>
      </c>
      <c r="C37" s="55">
        <v>0</v>
      </c>
      <c r="D37" s="55" t="s">
        <v>129</v>
      </c>
      <c r="E37" s="55">
        <v>2</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1</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131</v>
      </c>
      <c r="B38" s="55" t="s">
        <v>129</v>
      </c>
      <c r="C38" s="55">
        <v>0</v>
      </c>
      <c r="D38" s="55" t="s">
        <v>129</v>
      </c>
      <c r="E38" s="55">
        <v>1</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0</v>
      </c>
      <c r="T38" s="55" t="s">
        <v>129</v>
      </c>
      <c r="U38" s="55">
        <v>0</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1</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130</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ADBE-AFC7-4FEA-A2E1-B22996650DC5}">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185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129</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100</v>
      </c>
      <c r="J14" s="56" t="s">
        <v>161</v>
      </c>
      <c r="K14" s="56" t="s">
        <v>160</v>
      </c>
      <c r="L14" s="56" t="s">
        <v>159</v>
      </c>
      <c r="M14" s="56" t="s">
        <v>158</v>
      </c>
      <c r="N14" s="56" t="s">
        <v>157</v>
      </c>
      <c r="O14" s="56" t="s">
        <v>156</v>
      </c>
      <c r="P14" s="56" t="s">
        <v>155</v>
      </c>
      <c r="Q14" s="56" t="s">
        <v>100</v>
      </c>
      <c r="R14" s="56" t="s">
        <v>161</v>
      </c>
      <c r="S14" s="56" t="s">
        <v>160</v>
      </c>
      <c r="T14" s="56" t="s">
        <v>159</v>
      </c>
      <c r="U14" s="56" t="s">
        <v>158</v>
      </c>
      <c r="V14" s="56" t="s">
        <v>157</v>
      </c>
      <c r="W14" s="56" t="s">
        <v>156</v>
      </c>
      <c r="X14" s="56" t="s">
        <v>155</v>
      </c>
      <c r="Y14" s="56" t="s">
        <v>100</v>
      </c>
      <c r="Z14" s="56" t="s">
        <v>161</v>
      </c>
      <c r="AA14" s="56" t="s">
        <v>160</v>
      </c>
      <c r="AB14" s="56" t="s">
        <v>159</v>
      </c>
      <c r="AC14" s="56" t="s">
        <v>158</v>
      </c>
      <c r="AD14" s="56" t="s">
        <v>157</v>
      </c>
      <c r="AE14" s="56" t="s">
        <v>156</v>
      </c>
      <c r="AF14" s="56" t="s">
        <v>155</v>
      </c>
      <c r="AG14" s="56" t="s">
        <v>100</v>
      </c>
      <c r="AH14" s="56" t="s">
        <v>161</v>
      </c>
      <c r="AI14" s="56" t="s">
        <v>160</v>
      </c>
      <c r="AJ14" s="56" t="s">
        <v>159</v>
      </c>
      <c r="AK14" s="56" t="s">
        <v>158</v>
      </c>
      <c r="AL14" s="56" t="s">
        <v>157</v>
      </c>
      <c r="AM14" s="56" t="s">
        <v>156</v>
      </c>
      <c r="AN14" s="56" t="s">
        <v>155</v>
      </c>
      <c r="AO14" s="56" t="s">
        <v>100</v>
      </c>
      <c r="AP14" s="56" t="s">
        <v>161</v>
      </c>
      <c r="AQ14" s="56" t="s">
        <v>160</v>
      </c>
      <c r="AR14" s="56" t="s">
        <v>159</v>
      </c>
      <c r="AS14" s="56" t="s">
        <v>158</v>
      </c>
      <c r="AT14" s="56" t="s">
        <v>157</v>
      </c>
      <c r="AU14" s="56" t="s">
        <v>156</v>
      </c>
      <c r="AV14" s="56" t="s">
        <v>155</v>
      </c>
      <c r="AW14" s="56" t="s">
        <v>100</v>
      </c>
      <c r="AX14" s="56" t="s">
        <v>161</v>
      </c>
      <c r="AY14" s="56" t="s">
        <v>160</v>
      </c>
      <c r="AZ14" s="56" t="s">
        <v>159</v>
      </c>
      <c r="BA14" s="56" t="s">
        <v>158</v>
      </c>
      <c r="BB14" s="56" t="s">
        <v>157</v>
      </c>
      <c r="BC14" s="56" t="s">
        <v>156</v>
      </c>
      <c r="BD14" s="56" t="s">
        <v>155</v>
      </c>
      <c r="BE14" s="56" t="s">
        <v>100</v>
      </c>
      <c r="BF14" s="56" t="s">
        <v>161</v>
      </c>
      <c r="BG14" s="56" t="s">
        <v>160</v>
      </c>
      <c r="BH14" s="56" t="s">
        <v>159</v>
      </c>
      <c r="BI14" s="56" t="s">
        <v>158</v>
      </c>
      <c r="BJ14" s="56" t="s">
        <v>157</v>
      </c>
      <c r="BK14" s="56" t="s">
        <v>156</v>
      </c>
      <c r="BL14" s="56" t="s">
        <v>155</v>
      </c>
      <c r="BM14" s="56" t="s">
        <v>100</v>
      </c>
    </row>
    <row r="15" spans="1:65" ht="15" customHeight="1" x14ac:dyDescent="0.2">
      <c r="A15" s="55" t="s">
        <v>154</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153</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152</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151</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150</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149</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148</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147</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146</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145</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144</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143</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142</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141</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140</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139</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138</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137</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136</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135</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2</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134</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2</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133</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132</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131</v>
      </c>
      <c r="B38" s="55" t="s">
        <v>129</v>
      </c>
      <c r="C38" s="55">
        <v>0</v>
      </c>
      <c r="D38" s="55" t="s">
        <v>129</v>
      </c>
      <c r="E38" s="55">
        <v>0</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1</v>
      </c>
      <c r="T38" s="55" t="s">
        <v>129</v>
      </c>
      <c r="U38" s="55">
        <v>1</v>
      </c>
      <c r="V38" s="55" t="s">
        <v>129</v>
      </c>
      <c r="W38" s="55">
        <v>0</v>
      </c>
      <c r="X38" s="55" t="s">
        <v>129</v>
      </c>
      <c r="Y38" s="55">
        <v>0</v>
      </c>
      <c r="Z38" s="55" t="s">
        <v>129</v>
      </c>
      <c r="AA38" s="55" t="s">
        <v>129</v>
      </c>
      <c r="AB38" s="55" t="s">
        <v>129</v>
      </c>
      <c r="AC38" s="55" t="s">
        <v>129</v>
      </c>
      <c r="AD38" s="55" t="s">
        <v>129</v>
      </c>
      <c r="AE38" s="55" t="s">
        <v>129</v>
      </c>
      <c r="AF38" s="55" t="s">
        <v>129</v>
      </c>
      <c r="AG38" s="55" t="s">
        <v>129</v>
      </c>
      <c r="AH38" s="55" t="s">
        <v>129</v>
      </c>
      <c r="AI38" s="55">
        <v>0</v>
      </c>
      <c r="AJ38" s="55" t="s">
        <v>129</v>
      </c>
      <c r="AK38" s="55">
        <v>0</v>
      </c>
      <c r="AL38" s="55" t="s">
        <v>129</v>
      </c>
      <c r="AM38" s="55">
        <v>1</v>
      </c>
      <c r="AN38" s="55" t="s">
        <v>129</v>
      </c>
      <c r="AO38" s="55">
        <v>0</v>
      </c>
      <c r="AP38" s="55" t="s">
        <v>129</v>
      </c>
      <c r="AQ38" s="55" t="s">
        <v>129</v>
      </c>
      <c r="AR38" s="55" t="s">
        <v>129</v>
      </c>
      <c r="AS38" s="55" t="s">
        <v>129</v>
      </c>
      <c r="AT38" s="55" t="s">
        <v>129</v>
      </c>
      <c r="AU38" s="55" t="s">
        <v>129</v>
      </c>
      <c r="AV38" s="55" t="s">
        <v>129</v>
      </c>
      <c r="AW38" s="55" t="s">
        <v>129</v>
      </c>
      <c r="AX38" s="55" t="s">
        <v>129</v>
      </c>
      <c r="AY38" s="55">
        <v>0</v>
      </c>
      <c r="AZ38" s="55" t="s">
        <v>129</v>
      </c>
      <c r="BA38" s="55">
        <v>0</v>
      </c>
      <c r="BB38" s="55" t="s">
        <v>129</v>
      </c>
      <c r="BC38" s="55">
        <v>0</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130</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0F9E-53C0-43CD-AB52-4F007A3CB45E}">
  <dimension ref="A1:BM39"/>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184</v>
      </c>
      <c r="B1" s="64"/>
      <c r="C1" s="63" t="s">
        <v>183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182</v>
      </c>
      <c r="B2" s="64"/>
      <c r="C2" s="63" t="s">
        <v>181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180</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179</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178</v>
      </c>
      <c r="B10" s="64"/>
      <c r="C10" s="63" t="s">
        <v>177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176</v>
      </c>
      <c r="B11" s="64"/>
      <c r="C11" s="63" t="s">
        <v>186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174</v>
      </c>
      <c r="C12" s="61"/>
      <c r="D12" s="61"/>
      <c r="E12" s="61"/>
      <c r="F12" s="61"/>
      <c r="G12" s="61"/>
      <c r="H12" s="61"/>
      <c r="I12" s="60"/>
      <c r="J12" s="62" t="s">
        <v>170</v>
      </c>
      <c r="K12" s="61"/>
      <c r="L12" s="61"/>
      <c r="M12" s="61"/>
      <c r="N12" s="61"/>
      <c r="O12" s="61"/>
      <c r="P12" s="61"/>
      <c r="Q12" s="60"/>
      <c r="R12" s="62" t="s">
        <v>173</v>
      </c>
      <c r="S12" s="61"/>
      <c r="T12" s="61"/>
      <c r="U12" s="61"/>
      <c r="V12" s="61"/>
      <c r="W12" s="61"/>
      <c r="X12" s="61"/>
      <c r="Y12" s="60"/>
      <c r="Z12" s="62" t="s">
        <v>170</v>
      </c>
      <c r="AA12" s="61"/>
      <c r="AB12" s="61"/>
      <c r="AC12" s="61"/>
      <c r="AD12" s="61"/>
      <c r="AE12" s="61"/>
      <c r="AF12" s="61"/>
      <c r="AG12" s="60"/>
      <c r="AH12" s="62" t="s">
        <v>172</v>
      </c>
      <c r="AI12" s="61"/>
      <c r="AJ12" s="61"/>
      <c r="AK12" s="61"/>
      <c r="AL12" s="61"/>
      <c r="AM12" s="61"/>
      <c r="AN12" s="61"/>
      <c r="AO12" s="60"/>
      <c r="AP12" s="62" t="s">
        <v>170</v>
      </c>
      <c r="AQ12" s="61"/>
      <c r="AR12" s="61"/>
      <c r="AS12" s="61"/>
      <c r="AT12" s="61"/>
      <c r="AU12" s="61"/>
      <c r="AV12" s="61"/>
      <c r="AW12" s="60"/>
      <c r="AX12" s="62" t="s">
        <v>171</v>
      </c>
      <c r="AY12" s="61"/>
      <c r="AZ12" s="61"/>
      <c r="BA12" s="61"/>
      <c r="BB12" s="61"/>
      <c r="BC12" s="61"/>
      <c r="BD12" s="61"/>
      <c r="BE12" s="60"/>
      <c r="BF12" s="62" t="s">
        <v>170</v>
      </c>
      <c r="BG12" s="61"/>
      <c r="BH12" s="61"/>
      <c r="BI12" s="61"/>
      <c r="BJ12" s="61"/>
      <c r="BK12" s="61"/>
      <c r="BL12" s="61"/>
      <c r="BM12" s="60"/>
    </row>
    <row r="13" spans="1:65" ht="15" customHeight="1" x14ac:dyDescent="0.2">
      <c r="A13" s="55" t="s">
        <v>129</v>
      </c>
      <c r="B13" s="59" t="s">
        <v>169</v>
      </c>
      <c r="C13" s="58"/>
      <c r="D13" s="58"/>
      <c r="E13" s="58"/>
      <c r="F13" s="58"/>
      <c r="G13" s="58"/>
      <c r="H13" s="58"/>
      <c r="I13" s="57"/>
      <c r="J13" s="59" t="s">
        <v>168</v>
      </c>
      <c r="K13" s="58"/>
      <c r="L13" s="58"/>
      <c r="M13" s="58"/>
      <c r="N13" s="58"/>
      <c r="O13" s="58"/>
      <c r="P13" s="58"/>
      <c r="Q13" s="57"/>
      <c r="R13" s="59" t="s">
        <v>167</v>
      </c>
      <c r="S13" s="58"/>
      <c r="T13" s="58"/>
      <c r="U13" s="58"/>
      <c r="V13" s="58"/>
      <c r="W13" s="58"/>
      <c r="X13" s="58"/>
      <c r="Y13" s="57"/>
      <c r="Z13" s="59" t="s">
        <v>166</v>
      </c>
      <c r="AA13" s="58"/>
      <c r="AB13" s="58"/>
      <c r="AC13" s="58"/>
      <c r="AD13" s="58"/>
      <c r="AE13" s="58"/>
      <c r="AF13" s="58"/>
      <c r="AG13" s="57"/>
      <c r="AH13" s="59" t="s">
        <v>165</v>
      </c>
      <c r="AI13" s="58"/>
      <c r="AJ13" s="58"/>
      <c r="AK13" s="58"/>
      <c r="AL13" s="58"/>
      <c r="AM13" s="58"/>
      <c r="AN13" s="58"/>
      <c r="AO13" s="57"/>
      <c r="AP13" s="59" t="s">
        <v>164</v>
      </c>
      <c r="AQ13" s="58"/>
      <c r="AR13" s="58"/>
      <c r="AS13" s="58"/>
      <c r="AT13" s="58"/>
      <c r="AU13" s="58"/>
      <c r="AV13" s="58"/>
      <c r="AW13" s="57"/>
      <c r="AX13" s="59" t="s">
        <v>163</v>
      </c>
      <c r="AY13" s="58"/>
      <c r="AZ13" s="58"/>
      <c r="BA13" s="58"/>
      <c r="BB13" s="58"/>
      <c r="BC13" s="58"/>
      <c r="BD13" s="58"/>
      <c r="BE13" s="57"/>
      <c r="BF13" s="59" t="s">
        <v>162</v>
      </c>
      <c r="BG13" s="58"/>
      <c r="BH13" s="58"/>
      <c r="BI13" s="58"/>
      <c r="BJ13" s="58"/>
      <c r="BK13" s="58"/>
      <c r="BL13" s="58"/>
      <c r="BM13" s="57"/>
    </row>
    <row r="14" spans="1:65" ht="15" customHeight="1" x14ac:dyDescent="0.2">
      <c r="A14" s="56" t="s">
        <v>9</v>
      </c>
      <c r="B14" s="56" t="s">
        <v>161</v>
      </c>
      <c r="C14" s="56" t="s">
        <v>160</v>
      </c>
      <c r="D14" s="56" t="s">
        <v>159</v>
      </c>
      <c r="E14" s="56" t="s">
        <v>158</v>
      </c>
      <c r="F14" s="56" t="s">
        <v>157</v>
      </c>
      <c r="G14" s="56" t="s">
        <v>156</v>
      </c>
      <c r="H14" s="56" t="s">
        <v>155</v>
      </c>
      <c r="I14" s="56" t="s">
        <v>100</v>
      </c>
      <c r="J14" s="56" t="s">
        <v>161</v>
      </c>
      <c r="K14" s="56" t="s">
        <v>160</v>
      </c>
      <c r="L14" s="56" t="s">
        <v>159</v>
      </c>
      <c r="M14" s="56" t="s">
        <v>158</v>
      </c>
      <c r="N14" s="56" t="s">
        <v>157</v>
      </c>
      <c r="O14" s="56" t="s">
        <v>156</v>
      </c>
      <c r="P14" s="56" t="s">
        <v>155</v>
      </c>
      <c r="Q14" s="56" t="s">
        <v>100</v>
      </c>
      <c r="R14" s="56" t="s">
        <v>161</v>
      </c>
      <c r="S14" s="56" t="s">
        <v>160</v>
      </c>
      <c r="T14" s="56" t="s">
        <v>159</v>
      </c>
      <c r="U14" s="56" t="s">
        <v>158</v>
      </c>
      <c r="V14" s="56" t="s">
        <v>157</v>
      </c>
      <c r="W14" s="56" t="s">
        <v>156</v>
      </c>
      <c r="X14" s="56" t="s">
        <v>155</v>
      </c>
      <c r="Y14" s="56" t="s">
        <v>100</v>
      </c>
      <c r="Z14" s="56" t="s">
        <v>161</v>
      </c>
      <c r="AA14" s="56" t="s">
        <v>160</v>
      </c>
      <c r="AB14" s="56" t="s">
        <v>159</v>
      </c>
      <c r="AC14" s="56" t="s">
        <v>158</v>
      </c>
      <c r="AD14" s="56" t="s">
        <v>157</v>
      </c>
      <c r="AE14" s="56" t="s">
        <v>156</v>
      </c>
      <c r="AF14" s="56" t="s">
        <v>155</v>
      </c>
      <c r="AG14" s="56" t="s">
        <v>100</v>
      </c>
      <c r="AH14" s="56" t="s">
        <v>161</v>
      </c>
      <c r="AI14" s="56" t="s">
        <v>160</v>
      </c>
      <c r="AJ14" s="56" t="s">
        <v>159</v>
      </c>
      <c r="AK14" s="56" t="s">
        <v>158</v>
      </c>
      <c r="AL14" s="56" t="s">
        <v>157</v>
      </c>
      <c r="AM14" s="56" t="s">
        <v>156</v>
      </c>
      <c r="AN14" s="56" t="s">
        <v>155</v>
      </c>
      <c r="AO14" s="56" t="s">
        <v>100</v>
      </c>
      <c r="AP14" s="56" t="s">
        <v>161</v>
      </c>
      <c r="AQ14" s="56" t="s">
        <v>160</v>
      </c>
      <c r="AR14" s="56" t="s">
        <v>159</v>
      </c>
      <c r="AS14" s="56" t="s">
        <v>158</v>
      </c>
      <c r="AT14" s="56" t="s">
        <v>157</v>
      </c>
      <c r="AU14" s="56" t="s">
        <v>156</v>
      </c>
      <c r="AV14" s="56" t="s">
        <v>155</v>
      </c>
      <c r="AW14" s="56" t="s">
        <v>100</v>
      </c>
      <c r="AX14" s="56" t="s">
        <v>161</v>
      </c>
      <c r="AY14" s="56" t="s">
        <v>160</v>
      </c>
      <c r="AZ14" s="56" t="s">
        <v>159</v>
      </c>
      <c r="BA14" s="56" t="s">
        <v>158</v>
      </c>
      <c r="BB14" s="56" t="s">
        <v>157</v>
      </c>
      <c r="BC14" s="56" t="s">
        <v>156</v>
      </c>
      <c r="BD14" s="56" t="s">
        <v>155</v>
      </c>
      <c r="BE14" s="56" t="s">
        <v>100</v>
      </c>
      <c r="BF14" s="56" t="s">
        <v>161</v>
      </c>
      <c r="BG14" s="56" t="s">
        <v>160</v>
      </c>
      <c r="BH14" s="56" t="s">
        <v>159</v>
      </c>
      <c r="BI14" s="56" t="s">
        <v>158</v>
      </c>
      <c r="BJ14" s="56" t="s">
        <v>157</v>
      </c>
      <c r="BK14" s="56" t="s">
        <v>156</v>
      </c>
      <c r="BL14" s="56" t="s">
        <v>155</v>
      </c>
      <c r="BM14" s="56" t="s">
        <v>100</v>
      </c>
    </row>
    <row r="15" spans="1:65" ht="15" customHeight="1" x14ac:dyDescent="0.2">
      <c r="A15" s="55" t="s">
        <v>154</v>
      </c>
      <c r="B15" s="55" t="s">
        <v>129</v>
      </c>
      <c r="C15" s="55">
        <v>1</v>
      </c>
      <c r="D15" s="55" t="s">
        <v>129</v>
      </c>
      <c r="E15" s="55">
        <v>14</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6</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7</v>
      </c>
      <c r="AL15" s="55" t="s">
        <v>129</v>
      </c>
      <c r="AM15" s="55">
        <v>3</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153</v>
      </c>
      <c r="B16" s="55" t="s">
        <v>129</v>
      </c>
      <c r="C16" s="55">
        <v>0</v>
      </c>
      <c r="D16" s="55" t="s">
        <v>129</v>
      </c>
      <c r="E16" s="55">
        <v>17</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7</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2</v>
      </c>
      <c r="AJ16" s="55" t="s">
        <v>129</v>
      </c>
      <c r="AK16" s="55">
        <v>3</v>
      </c>
      <c r="AL16" s="55" t="s">
        <v>129</v>
      </c>
      <c r="AM16" s="55">
        <v>5</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152</v>
      </c>
      <c r="B17" s="55" t="s">
        <v>129</v>
      </c>
      <c r="C17" s="55">
        <v>1</v>
      </c>
      <c r="D17" s="55" t="s">
        <v>129</v>
      </c>
      <c r="E17" s="55">
        <v>21</v>
      </c>
      <c r="F17" s="55" t="s">
        <v>129</v>
      </c>
      <c r="G17" s="55">
        <v>5</v>
      </c>
      <c r="H17" s="55" t="s">
        <v>129</v>
      </c>
      <c r="I17" s="55">
        <v>1</v>
      </c>
      <c r="J17" s="55" t="s">
        <v>129</v>
      </c>
      <c r="K17" s="55" t="s">
        <v>129</v>
      </c>
      <c r="L17" s="55" t="s">
        <v>129</v>
      </c>
      <c r="M17" s="55" t="s">
        <v>129</v>
      </c>
      <c r="N17" s="55" t="s">
        <v>129</v>
      </c>
      <c r="O17" s="55" t="s">
        <v>129</v>
      </c>
      <c r="P17" s="55" t="s">
        <v>129</v>
      </c>
      <c r="Q17" s="55" t="s">
        <v>129</v>
      </c>
      <c r="R17" s="55" t="s">
        <v>129</v>
      </c>
      <c r="S17" s="55">
        <v>5</v>
      </c>
      <c r="T17" s="55" t="s">
        <v>129</v>
      </c>
      <c r="U17" s="55">
        <v>3</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2</v>
      </c>
      <c r="AJ17" s="55" t="s">
        <v>129</v>
      </c>
      <c r="AK17" s="55">
        <v>5</v>
      </c>
      <c r="AL17" s="55" t="s">
        <v>129</v>
      </c>
      <c r="AM17" s="55">
        <v>5</v>
      </c>
      <c r="AN17" s="55" t="s">
        <v>129</v>
      </c>
      <c r="AO17" s="55">
        <v>0</v>
      </c>
      <c r="AP17" s="55" t="s">
        <v>129</v>
      </c>
      <c r="AQ17" s="55" t="s">
        <v>129</v>
      </c>
      <c r="AR17" s="55" t="s">
        <v>129</v>
      </c>
      <c r="AS17" s="55" t="s">
        <v>129</v>
      </c>
      <c r="AT17" s="55" t="s">
        <v>129</v>
      </c>
      <c r="AU17" s="55" t="s">
        <v>129</v>
      </c>
      <c r="AV17" s="55" t="s">
        <v>129</v>
      </c>
      <c r="AW17" s="55" t="s">
        <v>129</v>
      </c>
      <c r="AX17" s="55" t="s">
        <v>129</v>
      </c>
      <c r="AY17" s="55">
        <v>1</v>
      </c>
      <c r="AZ17" s="55" t="s">
        <v>129</v>
      </c>
      <c r="BA17" s="55">
        <v>5</v>
      </c>
      <c r="BB17" s="55" t="s">
        <v>129</v>
      </c>
      <c r="BC17" s="55">
        <v>5</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151</v>
      </c>
      <c r="B18" s="55" t="s">
        <v>129</v>
      </c>
      <c r="C18" s="55">
        <v>0</v>
      </c>
      <c r="D18" s="55" t="s">
        <v>129</v>
      </c>
      <c r="E18" s="55">
        <v>18</v>
      </c>
      <c r="F18" s="55" t="s">
        <v>129</v>
      </c>
      <c r="G18" s="55">
        <v>4</v>
      </c>
      <c r="H18" s="55" t="s">
        <v>129</v>
      </c>
      <c r="I18" s="55">
        <v>0</v>
      </c>
      <c r="J18" s="55" t="s">
        <v>129</v>
      </c>
      <c r="K18" s="55" t="s">
        <v>129</v>
      </c>
      <c r="L18" s="55" t="s">
        <v>129</v>
      </c>
      <c r="M18" s="55" t="s">
        <v>129</v>
      </c>
      <c r="N18" s="55" t="s">
        <v>129</v>
      </c>
      <c r="O18" s="55" t="s">
        <v>129</v>
      </c>
      <c r="P18" s="55" t="s">
        <v>129</v>
      </c>
      <c r="Q18" s="55" t="s">
        <v>129</v>
      </c>
      <c r="R18" s="55" t="s">
        <v>129</v>
      </c>
      <c r="S18" s="55">
        <v>8</v>
      </c>
      <c r="T18" s="55" t="s">
        <v>129</v>
      </c>
      <c r="U18" s="55">
        <v>3</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3</v>
      </c>
      <c r="AJ18" s="55" t="s">
        <v>129</v>
      </c>
      <c r="AK18" s="55">
        <v>5</v>
      </c>
      <c r="AL18" s="55" t="s">
        <v>129</v>
      </c>
      <c r="AM18" s="55">
        <v>4</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2</v>
      </c>
      <c r="BB18" s="55" t="s">
        <v>129</v>
      </c>
      <c r="BC18" s="55">
        <v>4</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150</v>
      </c>
      <c r="B19" s="55" t="s">
        <v>129</v>
      </c>
      <c r="C19" s="55">
        <v>0</v>
      </c>
      <c r="D19" s="55" t="s">
        <v>129</v>
      </c>
      <c r="E19" s="55">
        <v>20</v>
      </c>
      <c r="F19" s="55" t="s">
        <v>129</v>
      </c>
      <c r="G19" s="55">
        <v>3</v>
      </c>
      <c r="H19" s="55" t="s">
        <v>129</v>
      </c>
      <c r="I19" s="55">
        <v>0</v>
      </c>
      <c r="J19" s="55" t="s">
        <v>129</v>
      </c>
      <c r="K19" s="55" t="s">
        <v>129</v>
      </c>
      <c r="L19" s="55" t="s">
        <v>129</v>
      </c>
      <c r="M19" s="55" t="s">
        <v>129</v>
      </c>
      <c r="N19" s="55" t="s">
        <v>129</v>
      </c>
      <c r="O19" s="55" t="s">
        <v>129</v>
      </c>
      <c r="P19" s="55" t="s">
        <v>129</v>
      </c>
      <c r="Q19" s="55" t="s">
        <v>129</v>
      </c>
      <c r="R19" s="55" t="s">
        <v>129</v>
      </c>
      <c r="S19" s="55">
        <v>10</v>
      </c>
      <c r="T19" s="55" t="s">
        <v>129</v>
      </c>
      <c r="U19" s="55">
        <v>4</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4</v>
      </c>
      <c r="AJ19" s="55" t="s">
        <v>129</v>
      </c>
      <c r="AK19" s="55">
        <v>13</v>
      </c>
      <c r="AL19" s="55" t="s">
        <v>129</v>
      </c>
      <c r="AM19" s="55">
        <v>2</v>
      </c>
      <c r="AN19" s="55" t="s">
        <v>129</v>
      </c>
      <c r="AO19" s="55">
        <v>0</v>
      </c>
      <c r="AP19" s="55" t="s">
        <v>129</v>
      </c>
      <c r="AQ19" s="55" t="s">
        <v>129</v>
      </c>
      <c r="AR19" s="55" t="s">
        <v>129</v>
      </c>
      <c r="AS19" s="55" t="s">
        <v>129</v>
      </c>
      <c r="AT19" s="55" t="s">
        <v>129</v>
      </c>
      <c r="AU19" s="55" t="s">
        <v>129</v>
      </c>
      <c r="AV19" s="55" t="s">
        <v>129</v>
      </c>
      <c r="AW19" s="55" t="s">
        <v>129</v>
      </c>
      <c r="AX19" s="55" t="s">
        <v>129</v>
      </c>
      <c r="AY19" s="55">
        <v>3</v>
      </c>
      <c r="AZ19" s="55" t="s">
        <v>129</v>
      </c>
      <c r="BA19" s="55">
        <v>2</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149</v>
      </c>
      <c r="B20" s="55" t="s">
        <v>129</v>
      </c>
      <c r="C20" s="55">
        <v>0</v>
      </c>
      <c r="D20" s="55" t="s">
        <v>129</v>
      </c>
      <c r="E20" s="55">
        <v>23</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8</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v>
      </c>
      <c r="AJ20" s="55" t="s">
        <v>129</v>
      </c>
      <c r="AK20" s="55">
        <v>10</v>
      </c>
      <c r="AL20" s="55" t="s">
        <v>129</v>
      </c>
      <c r="AM20" s="55">
        <v>3</v>
      </c>
      <c r="AN20" s="55" t="s">
        <v>129</v>
      </c>
      <c r="AO20" s="55">
        <v>0</v>
      </c>
      <c r="AP20" s="55" t="s">
        <v>129</v>
      </c>
      <c r="AQ20" s="55" t="s">
        <v>129</v>
      </c>
      <c r="AR20" s="55" t="s">
        <v>129</v>
      </c>
      <c r="AS20" s="55" t="s">
        <v>129</v>
      </c>
      <c r="AT20" s="55" t="s">
        <v>129</v>
      </c>
      <c r="AU20" s="55" t="s">
        <v>129</v>
      </c>
      <c r="AV20" s="55" t="s">
        <v>129</v>
      </c>
      <c r="AW20" s="55" t="s">
        <v>129</v>
      </c>
      <c r="AX20" s="55" t="s">
        <v>129</v>
      </c>
      <c r="AY20" s="55">
        <v>2</v>
      </c>
      <c r="AZ20" s="55" t="s">
        <v>129</v>
      </c>
      <c r="BA20" s="55">
        <v>1</v>
      </c>
      <c r="BB20" s="55" t="s">
        <v>129</v>
      </c>
      <c r="BC20" s="55">
        <v>4</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148</v>
      </c>
      <c r="B21" s="55" t="s">
        <v>129</v>
      </c>
      <c r="C21" s="55">
        <v>0</v>
      </c>
      <c r="D21" s="55" t="s">
        <v>129</v>
      </c>
      <c r="E21" s="55">
        <v>23</v>
      </c>
      <c r="F21" s="55" t="s">
        <v>129</v>
      </c>
      <c r="G21" s="55">
        <v>8</v>
      </c>
      <c r="H21" s="55" t="s">
        <v>129</v>
      </c>
      <c r="I21" s="55">
        <v>0</v>
      </c>
      <c r="J21" s="55" t="s">
        <v>129</v>
      </c>
      <c r="K21" s="55" t="s">
        <v>129</v>
      </c>
      <c r="L21" s="55" t="s">
        <v>129</v>
      </c>
      <c r="M21" s="55" t="s">
        <v>129</v>
      </c>
      <c r="N21" s="55" t="s">
        <v>129</v>
      </c>
      <c r="O21" s="55" t="s">
        <v>129</v>
      </c>
      <c r="P21" s="55" t="s">
        <v>129</v>
      </c>
      <c r="Q21" s="55" t="s">
        <v>129</v>
      </c>
      <c r="R21" s="55" t="s">
        <v>129</v>
      </c>
      <c r="S21" s="55">
        <v>11</v>
      </c>
      <c r="T21" s="55" t="s">
        <v>129</v>
      </c>
      <c r="U21" s="55">
        <v>6</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10</v>
      </c>
      <c r="AL21" s="55" t="s">
        <v>129</v>
      </c>
      <c r="AM21" s="55">
        <v>7</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v>
      </c>
      <c r="BB21" s="55" t="s">
        <v>129</v>
      </c>
      <c r="BC21" s="55">
        <v>5</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147</v>
      </c>
      <c r="B22" s="55" t="s">
        <v>129</v>
      </c>
      <c r="C22" s="55">
        <v>1</v>
      </c>
      <c r="D22" s="55" t="s">
        <v>129</v>
      </c>
      <c r="E22" s="55">
        <v>34</v>
      </c>
      <c r="F22" s="55" t="s">
        <v>129</v>
      </c>
      <c r="G22" s="55">
        <v>6</v>
      </c>
      <c r="H22" s="55" t="s">
        <v>129</v>
      </c>
      <c r="I22" s="55">
        <v>1</v>
      </c>
      <c r="J22" s="55" t="s">
        <v>129</v>
      </c>
      <c r="K22" s="55" t="s">
        <v>129</v>
      </c>
      <c r="L22" s="55" t="s">
        <v>129</v>
      </c>
      <c r="M22" s="55" t="s">
        <v>129</v>
      </c>
      <c r="N22" s="55" t="s">
        <v>129</v>
      </c>
      <c r="O22" s="55" t="s">
        <v>129</v>
      </c>
      <c r="P22" s="55" t="s">
        <v>129</v>
      </c>
      <c r="Q22" s="55" t="s">
        <v>129</v>
      </c>
      <c r="R22" s="55" t="s">
        <v>129</v>
      </c>
      <c r="S22" s="55">
        <v>9</v>
      </c>
      <c r="T22" s="55" t="s">
        <v>129</v>
      </c>
      <c r="U22" s="55">
        <v>2</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4</v>
      </c>
      <c r="AJ22" s="55" t="s">
        <v>129</v>
      </c>
      <c r="AK22" s="55">
        <v>11</v>
      </c>
      <c r="AL22" s="55" t="s">
        <v>129</v>
      </c>
      <c r="AM22" s="55">
        <v>6</v>
      </c>
      <c r="AN22" s="55" t="s">
        <v>129</v>
      </c>
      <c r="AO22" s="55">
        <v>0</v>
      </c>
      <c r="AP22" s="55" t="s">
        <v>129</v>
      </c>
      <c r="AQ22" s="55" t="s">
        <v>129</v>
      </c>
      <c r="AR22" s="55" t="s">
        <v>129</v>
      </c>
      <c r="AS22" s="55" t="s">
        <v>129</v>
      </c>
      <c r="AT22" s="55" t="s">
        <v>129</v>
      </c>
      <c r="AU22" s="55" t="s">
        <v>129</v>
      </c>
      <c r="AV22" s="55" t="s">
        <v>129</v>
      </c>
      <c r="AW22" s="55" t="s">
        <v>129</v>
      </c>
      <c r="AX22" s="55" t="s">
        <v>129</v>
      </c>
      <c r="AY22" s="55">
        <v>3</v>
      </c>
      <c r="AZ22" s="55" t="s">
        <v>129</v>
      </c>
      <c r="BA22" s="55">
        <v>5</v>
      </c>
      <c r="BB22" s="55" t="s">
        <v>129</v>
      </c>
      <c r="BC22" s="55">
        <v>4</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146</v>
      </c>
      <c r="B23" s="55" t="s">
        <v>129</v>
      </c>
      <c r="C23" s="55">
        <v>2</v>
      </c>
      <c r="D23" s="55" t="s">
        <v>129</v>
      </c>
      <c r="E23" s="55">
        <v>10</v>
      </c>
      <c r="F23" s="55" t="s">
        <v>129</v>
      </c>
      <c r="G23" s="55">
        <v>4</v>
      </c>
      <c r="H23" s="55" t="s">
        <v>129</v>
      </c>
      <c r="I23" s="55">
        <v>0</v>
      </c>
      <c r="J23" s="55" t="s">
        <v>129</v>
      </c>
      <c r="K23" s="55" t="s">
        <v>129</v>
      </c>
      <c r="L23" s="55" t="s">
        <v>129</v>
      </c>
      <c r="M23" s="55" t="s">
        <v>129</v>
      </c>
      <c r="N23" s="55" t="s">
        <v>129</v>
      </c>
      <c r="O23" s="55" t="s">
        <v>129</v>
      </c>
      <c r="P23" s="55" t="s">
        <v>129</v>
      </c>
      <c r="Q23" s="55" t="s">
        <v>129</v>
      </c>
      <c r="R23" s="55" t="s">
        <v>129</v>
      </c>
      <c r="S23" s="55">
        <v>3</v>
      </c>
      <c r="T23" s="55" t="s">
        <v>129</v>
      </c>
      <c r="U23" s="55">
        <v>2</v>
      </c>
      <c r="V23" s="55" t="s">
        <v>129</v>
      </c>
      <c r="W23" s="55">
        <v>1</v>
      </c>
      <c r="X23" s="55" t="s">
        <v>129</v>
      </c>
      <c r="Y23" s="55">
        <v>0</v>
      </c>
      <c r="Z23" s="55" t="s">
        <v>129</v>
      </c>
      <c r="AA23" s="55" t="s">
        <v>129</v>
      </c>
      <c r="AB23" s="55" t="s">
        <v>129</v>
      </c>
      <c r="AC23" s="55" t="s">
        <v>129</v>
      </c>
      <c r="AD23" s="55" t="s">
        <v>129</v>
      </c>
      <c r="AE23" s="55" t="s">
        <v>129</v>
      </c>
      <c r="AF23" s="55" t="s">
        <v>129</v>
      </c>
      <c r="AG23" s="55" t="s">
        <v>129</v>
      </c>
      <c r="AH23" s="55" t="s">
        <v>129</v>
      </c>
      <c r="AI23" s="55">
        <v>5</v>
      </c>
      <c r="AJ23" s="55" t="s">
        <v>129</v>
      </c>
      <c r="AK23" s="55">
        <v>8</v>
      </c>
      <c r="AL23" s="55" t="s">
        <v>129</v>
      </c>
      <c r="AM23" s="55">
        <v>12</v>
      </c>
      <c r="AN23" s="55" t="s">
        <v>129</v>
      </c>
      <c r="AO23" s="55">
        <v>0</v>
      </c>
      <c r="AP23" s="55" t="s">
        <v>129</v>
      </c>
      <c r="AQ23" s="55" t="s">
        <v>129</v>
      </c>
      <c r="AR23" s="55" t="s">
        <v>129</v>
      </c>
      <c r="AS23" s="55" t="s">
        <v>129</v>
      </c>
      <c r="AT23" s="55" t="s">
        <v>129</v>
      </c>
      <c r="AU23" s="55" t="s">
        <v>129</v>
      </c>
      <c r="AV23" s="55" t="s">
        <v>129</v>
      </c>
      <c r="AW23" s="55" t="s">
        <v>129</v>
      </c>
      <c r="AX23" s="55" t="s">
        <v>129</v>
      </c>
      <c r="AY23" s="55">
        <v>2</v>
      </c>
      <c r="AZ23" s="55" t="s">
        <v>129</v>
      </c>
      <c r="BA23" s="55">
        <v>6</v>
      </c>
      <c r="BB23" s="55" t="s">
        <v>129</v>
      </c>
      <c r="BC23" s="55">
        <v>6</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145</v>
      </c>
      <c r="B24" s="55" t="s">
        <v>129</v>
      </c>
      <c r="C24" s="55">
        <v>4</v>
      </c>
      <c r="D24" s="55" t="s">
        <v>129</v>
      </c>
      <c r="E24" s="55">
        <v>16</v>
      </c>
      <c r="F24" s="55" t="s">
        <v>129</v>
      </c>
      <c r="G24" s="55">
        <v>3</v>
      </c>
      <c r="H24" s="55" t="s">
        <v>129</v>
      </c>
      <c r="I24" s="55">
        <v>0</v>
      </c>
      <c r="J24" s="55" t="s">
        <v>129</v>
      </c>
      <c r="K24" s="55" t="s">
        <v>129</v>
      </c>
      <c r="L24" s="55" t="s">
        <v>129</v>
      </c>
      <c r="M24" s="55" t="s">
        <v>129</v>
      </c>
      <c r="N24" s="55" t="s">
        <v>129</v>
      </c>
      <c r="O24" s="55" t="s">
        <v>129</v>
      </c>
      <c r="P24" s="55" t="s">
        <v>129</v>
      </c>
      <c r="Q24" s="55" t="s">
        <v>129</v>
      </c>
      <c r="R24" s="55" t="s">
        <v>129</v>
      </c>
      <c r="S24" s="55">
        <v>9</v>
      </c>
      <c r="T24" s="55" t="s">
        <v>129</v>
      </c>
      <c r="U24" s="55">
        <v>4</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13</v>
      </c>
      <c r="AL24" s="55" t="s">
        <v>129</v>
      </c>
      <c r="AM24" s="55">
        <v>5</v>
      </c>
      <c r="AN24" s="55" t="s">
        <v>129</v>
      </c>
      <c r="AO24" s="55">
        <v>0</v>
      </c>
      <c r="AP24" s="55" t="s">
        <v>129</v>
      </c>
      <c r="AQ24" s="55" t="s">
        <v>129</v>
      </c>
      <c r="AR24" s="55" t="s">
        <v>129</v>
      </c>
      <c r="AS24" s="55" t="s">
        <v>129</v>
      </c>
      <c r="AT24" s="55" t="s">
        <v>129</v>
      </c>
      <c r="AU24" s="55" t="s">
        <v>129</v>
      </c>
      <c r="AV24" s="55" t="s">
        <v>129</v>
      </c>
      <c r="AW24" s="55" t="s">
        <v>129</v>
      </c>
      <c r="AX24" s="55" t="s">
        <v>129</v>
      </c>
      <c r="AY24" s="55">
        <v>7</v>
      </c>
      <c r="AZ24" s="55" t="s">
        <v>129</v>
      </c>
      <c r="BA24" s="55">
        <v>1</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144</v>
      </c>
      <c r="B25" s="55" t="s">
        <v>129</v>
      </c>
      <c r="C25" s="55">
        <v>0</v>
      </c>
      <c r="D25" s="55" t="s">
        <v>129</v>
      </c>
      <c r="E25" s="55">
        <v>12</v>
      </c>
      <c r="F25" s="55" t="s">
        <v>129</v>
      </c>
      <c r="G25" s="55">
        <v>4</v>
      </c>
      <c r="H25" s="55" t="s">
        <v>129</v>
      </c>
      <c r="I25" s="55">
        <v>0</v>
      </c>
      <c r="J25" s="55" t="s">
        <v>129</v>
      </c>
      <c r="K25" s="55" t="s">
        <v>129</v>
      </c>
      <c r="L25" s="55" t="s">
        <v>129</v>
      </c>
      <c r="M25" s="55" t="s">
        <v>129</v>
      </c>
      <c r="N25" s="55" t="s">
        <v>129</v>
      </c>
      <c r="O25" s="55" t="s">
        <v>129</v>
      </c>
      <c r="P25" s="55" t="s">
        <v>129</v>
      </c>
      <c r="Q25" s="55" t="s">
        <v>129</v>
      </c>
      <c r="R25" s="55" t="s">
        <v>129</v>
      </c>
      <c r="S25" s="55">
        <v>5</v>
      </c>
      <c r="T25" s="55" t="s">
        <v>129</v>
      </c>
      <c r="U25" s="55">
        <v>1</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11</v>
      </c>
      <c r="AJ25" s="55" t="s">
        <v>129</v>
      </c>
      <c r="AK25" s="55">
        <v>11</v>
      </c>
      <c r="AL25" s="55" t="s">
        <v>129</v>
      </c>
      <c r="AM25" s="55">
        <v>9</v>
      </c>
      <c r="AN25" s="55" t="s">
        <v>129</v>
      </c>
      <c r="AO25" s="55">
        <v>0</v>
      </c>
      <c r="AP25" s="55" t="s">
        <v>129</v>
      </c>
      <c r="AQ25" s="55" t="s">
        <v>129</v>
      </c>
      <c r="AR25" s="55" t="s">
        <v>129</v>
      </c>
      <c r="AS25" s="55" t="s">
        <v>129</v>
      </c>
      <c r="AT25" s="55" t="s">
        <v>129</v>
      </c>
      <c r="AU25" s="55" t="s">
        <v>129</v>
      </c>
      <c r="AV25" s="55" t="s">
        <v>129</v>
      </c>
      <c r="AW25" s="55" t="s">
        <v>129</v>
      </c>
      <c r="AX25" s="55" t="s">
        <v>129</v>
      </c>
      <c r="AY25" s="55">
        <v>6</v>
      </c>
      <c r="AZ25" s="55" t="s">
        <v>129</v>
      </c>
      <c r="BA25" s="55">
        <v>0</v>
      </c>
      <c r="BB25" s="55" t="s">
        <v>129</v>
      </c>
      <c r="BC25" s="55">
        <v>5</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143</v>
      </c>
      <c r="B26" s="55" t="s">
        <v>129</v>
      </c>
      <c r="C26" s="55">
        <v>2</v>
      </c>
      <c r="D26" s="55" t="s">
        <v>129</v>
      </c>
      <c r="E26" s="55">
        <v>10</v>
      </c>
      <c r="F26" s="55" t="s">
        <v>129</v>
      </c>
      <c r="G26" s="55">
        <v>4</v>
      </c>
      <c r="H26" s="55" t="s">
        <v>129</v>
      </c>
      <c r="I26" s="55">
        <v>0</v>
      </c>
      <c r="J26" s="55" t="s">
        <v>129</v>
      </c>
      <c r="K26" s="55" t="s">
        <v>129</v>
      </c>
      <c r="L26" s="55" t="s">
        <v>129</v>
      </c>
      <c r="M26" s="55" t="s">
        <v>129</v>
      </c>
      <c r="N26" s="55" t="s">
        <v>129</v>
      </c>
      <c r="O26" s="55" t="s">
        <v>129</v>
      </c>
      <c r="P26" s="55" t="s">
        <v>129</v>
      </c>
      <c r="Q26" s="55" t="s">
        <v>129</v>
      </c>
      <c r="R26" s="55" t="s">
        <v>129</v>
      </c>
      <c r="S26" s="55">
        <v>6</v>
      </c>
      <c r="T26" s="55" t="s">
        <v>129</v>
      </c>
      <c r="U26" s="55">
        <v>6</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9</v>
      </c>
      <c r="AJ26" s="55" t="s">
        <v>129</v>
      </c>
      <c r="AK26" s="55">
        <v>5</v>
      </c>
      <c r="AL26" s="55" t="s">
        <v>129</v>
      </c>
      <c r="AM26" s="55">
        <v>9</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5</v>
      </c>
      <c r="BB26" s="55" t="s">
        <v>129</v>
      </c>
      <c r="BC26" s="55">
        <v>8</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142</v>
      </c>
      <c r="B27" s="55" t="s">
        <v>129</v>
      </c>
      <c r="C27" s="55">
        <v>0</v>
      </c>
      <c r="D27" s="55" t="s">
        <v>129</v>
      </c>
      <c r="E27" s="55">
        <v>14</v>
      </c>
      <c r="F27" s="55" t="s">
        <v>129</v>
      </c>
      <c r="G27" s="55">
        <v>3</v>
      </c>
      <c r="H27" s="55" t="s">
        <v>129</v>
      </c>
      <c r="I27" s="55">
        <v>0</v>
      </c>
      <c r="J27" s="55" t="s">
        <v>129</v>
      </c>
      <c r="K27" s="55" t="s">
        <v>129</v>
      </c>
      <c r="L27" s="55" t="s">
        <v>129</v>
      </c>
      <c r="M27" s="55" t="s">
        <v>129</v>
      </c>
      <c r="N27" s="55" t="s">
        <v>129</v>
      </c>
      <c r="O27" s="55" t="s">
        <v>129</v>
      </c>
      <c r="P27" s="55" t="s">
        <v>129</v>
      </c>
      <c r="Q27" s="55" t="s">
        <v>129</v>
      </c>
      <c r="R27" s="55" t="s">
        <v>129</v>
      </c>
      <c r="S27" s="55">
        <v>6</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7</v>
      </c>
      <c r="AJ27" s="55" t="s">
        <v>129</v>
      </c>
      <c r="AK27" s="55">
        <v>15</v>
      </c>
      <c r="AL27" s="55" t="s">
        <v>129</v>
      </c>
      <c r="AM27" s="55">
        <v>5</v>
      </c>
      <c r="AN27" s="55" t="s">
        <v>129</v>
      </c>
      <c r="AO27" s="55">
        <v>0</v>
      </c>
      <c r="AP27" s="55" t="s">
        <v>129</v>
      </c>
      <c r="AQ27" s="55" t="s">
        <v>129</v>
      </c>
      <c r="AR27" s="55" t="s">
        <v>129</v>
      </c>
      <c r="AS27" s="55" t="s">
        <v>129</v>
      </c>
      <c r="AT27" s="55" t="s">
        <v>129</v>
      </c>
      <c r="AU27" s="55" t="s">
        <v>129</v>
      </c>
      <c r="AV27" s="55" t="s">
        <v>129</v>
      </c>
      <c r="AW27" s="55" t="s">
        <v>129</v>
      </c>
      <c r="AX27" s="55" t="s">
        <v>129</v>
      </c>
      <c r="AY27" s="55">
        <v>2</v>
      </c>
      <c r="AZ27" s="55" t="s">
        <v>129</v>
      </c>
      <c r="BA27" s="55">
        <v>5</v>
      </c>
      <c r="BB27" s="55" t="s">
        <v>129</v>
      </c>
      <c r="BC27" s="55">
        <v>7</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141</v>
      </c>
      <c r="B28" s="55" t="s">
        <v>129</v>
      </c>
      <c r="C28" s="55">
        <v>0</v>
      </c>
      <c r="D28" s="55" t="s">
        <v>129</v>
      </c>
      <c r="E28" s="55">
        <v>10</v>
      </c>
      <c r="F28" s="55" t="s">
        <v>129</v>
      </c>
      <c r="G28" s="55">
        <v>4</v>
      </c>
      <c r="H28" s="55" t="s">
        <v>129</v>
      </c>
      <c r="I28" s="55">
        <v>0</v>
      </c>
      <c r="J28" s="55" t="s">
        <v>129</v>
      </c>
      <c r="K28" s="55" t="s">
        <v>129</v>
      </c>
      <c r="L28" s="55" t="s">
        <v>129</v>
      </c>
      <c r="M28" s="55" t="s">
        <v>129</v>
      </c>
      <c r="N28" s="55" t="s">
        <v>129</v>
      </c>
      <c r="O28" s="55" t="s">
        <v>129</v>
      </c>
      <c r="P28" s="55" t="s">
        <v>129</v>
      </c>
      <c r="Q28" s="55" t="s">
        <v>129</v>
      </c>
      <c r="R28" s="55" t="s">
        <v>129</v>
      </c>
      <c r="S28" s="55">
        <v>8</v>
      </c>
      <c r="T28" s="55" t="s">
        <v>129</v>
      </c>
      <c r="U28" s="55">
        <v>6</v>
      </c>
      <c r="V28" s="55" t="s">
        <v>129</v>
      </c>
      <c r="W28" s="55">
        <v>1</v>
      </c>
      <c r="X28" s="55" t="s">
        <v>129</v>
      </c>
      <c r="Y28" s="55">
        <v>0</v>
      </c>
      <c r="Z28" s="55" t="s">
        <v>129</v>
      </c>
      <c r="AA28" s="55" t="s">
        <v>129</v>
      </c>
      <c r="AB28" s="55" t="s">
        <v>129</v>
      </c>
      <c r="AC28" s="55" t="s">
        <v>129</v>
      </c>
      <c r="AD28" s="55" t="s">
        <v>129</v>
      </c>
      <c r="AE28" s="55" t="s">
        <v>129</v>
      </c>
      <c r="AF28" s="55" t="s">
        <v>129</v>
      </c>
      <c r="AG28" s="55" t="s">
        <v>129</v>
      </c>
      <c r="AH28" s="55" t="s">
        <v>129</v>
      </c>
      <c r="AI28" s="55">
        <v>6</v>
      </c>
      <c r="AJ28" s="55" t="s">
        <v>129</v>
      </c>
      <c r="AK28" s="55">
        <v>14</v>
      </c>
      <c r="AL28" s="55" t="s">
        <v>129</v>
      </c>
      <c r="AM28" s="55">
        <v>7</v>
      </c>
      <c r="AN28" s="55" t="s">
        <v>129</v>
      </c>
      <c r="AO28" s="55">
        <v>0</v>
      </c>
      <c r="AP28" s="55" t="s">
        <v>129</v>
      </c>
      <c r="AQ28" s="55" t="s">
        <v>129</v>
      </c>
      <c r="AR28" s="55" t="s">
        <v>129</v>
      </c>
      <c r="AS28" s="55" t="s">
        <v>129</v>
      </c>
      <c r="AT28" s="55" t="s">
        <v>129</v>
      </c>
      <c r="AU28" s="55" t="s">
        <v>129</v>
      </c>
      <c r="AV28" s="55" t="s">
        <v>129</v>
      </c>
      <c r="AW28" s="55" t="s">
        <v>129</v>
      </c>
      <c r="AX28" s="55" t="s">
        <v>129</v>
      </c>
      <c r="AY28" s="55">
        <v>5</v>
      </c>
      <c r="AZ28" s="55" t="s">
        <v>129</v>
      </c>
      <c r="BA28" s="55">
        <v>2</v>
      </c>
      <c r="BB28" s="55" t="s">
        <v>129</v>
      </c>
      <c r="BC28" s="55">
        <v>10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140</v>
      </c>
      <c r="B29" s="55" t="s">
        <v>129</v>
      </c>
      <c r="C29" s="55">
        <v>1</v>
      </c>
      <c r="D29" s="55" t="s">
        <v>129</v>
      </c>
      <c r="E29" s="55">
        <v>14</v>
      </c>
      <c r="F29" s="55" t="s">
        <v>129</v>
      </c>
      <c r="G29" s="55">
        <v>10</v>
      </c>
      <c r="H29" s="55" t="s">
        <v>129</v>
      </c>
      <c r="I29" s="55">
        <v>0</v>
      </c>
      <c r="J29" s="55" t="s">
        <v>129</v>
      </c>
      <c r="K29" s="55" t="s">
        <v>129</v>
      </c>
      <c r="L29" s="55" t="s">
        <v>129</v>
      </c>
      <c r="M29" s="55" t="s">
        <v>129</v>
      </c>
      <c r="N29" s="55" t="s">
        <v>129</v>
      </c>
      <c r="O29" s="55" t="s">
        <v>129</v>
      </c>
      <c r="P29" s="55" t="s">
        <v>129</v>
      </c>
      <c r="Q29" s="55" t="s">
        <v>129</v>
      </c>
      <c r="R29" s="55" t="s">
        <v>129</v>
      </c>
      <c r="S29" s="55">
        <v>6</v>
      </c>
      <c r="T29" s="55" t="s">
        <v>129</v>
      </c>
      <c r="U29" s="55">
        <v>5</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6</v>
      </c>
      <c r="AJ29" s="55" t="s">
        <v>129</v>
      </c>
      <c r="AK29" s="55">
        <v>12</v>
      </c>
      <c r="AL29" s="55" t="s">
        <v>129</v>
      </c>
      <c r="AM29" s="55">
        <v>10</v>
      </c>
      <c r="AN29" s="55" t="s">
        <v>129</v>
      </c>
      <c r="AO29" s="55">
        <v>0</v>
      </c>
      <c r="AP29" s="55" t="s">
        <v>129</v>
      </c>
      <c r="AQ29" s="55" t="s">
        <v>129</v>
      </c>
      <c r="AR29" s="55" t="s">
        <v>129</v>
      </c>
      <c r="AS29" s="55" t="s">
        <v>129</v>
      </c>
      <c r="AT29" s="55" t="s">
        <v>129</v>
      </c>
      <c r="AU29" s="55" t="s">
        <v>129</v>
      </c>
      <c r="AV29" s="55" t="s">
        <v>129</v>
      </c>
      <c r="AW29" s="55" t="s">
        <v>129</v>
      </c>
      <c r="AX29" s="55" t="s">
        <v>129</v>
      </c>
      <c r="AY29" s="55">
        <v>6</v>
      </c>
      <c r="AZ29" s="55" t="s">
        <v>129</v>
      </c>
      <c r="BA29" s="55">
        <v>5</v>
      </c>
      <c r="BB29" s="55" t="s">
        <v>129</v>
      </c>
      <c r="BC29" s="55">
        <v>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139</v>
      </c>
      <c r="B30" s="55" t="s">
        <v>129</v>
      </c>
      <c r="C30" s="55">
        <v>1</v>
      </c>
      <c r="D30" s="55" t="s">
        <v>129</v>
      </c>
      <c r="E30" s="55">
        <v>15</v>
      </c>
      <c r="F30" s="55" t="s">
        <v>129</v>
      </c>
      <c r="G30" s="55">
        <v>5</v>
      </c>
      <c r="H30" s="55" t="s">
        <v>129</v>
      </c>
      <c r="I30" s="55">
        <v>0</v>
      </c>
      <c r="J30" s="55" t="s">
        <v>129</v>
      </c>
      <c r="K30" s="55" t="s">
        <v>129</v>
      </c>
      <c r="L30" s="55" t="s">
        <v>129</v>
      </c>
      <c r="M30" s="55" t="s">
        <v>129</v>
      </c>
      <c r="N30" s="55" t="s">
        <v>129</v>
      </c>
      <c r="O30" s="55" t="s">
        <v>129</v>
      </c>
      <c r="P30" s="55" t="s">
        <v>129</v>
      </c>
      <c r="Q30" s="55" t="s">
        <v>129</v>
      </c>
      <c r="R30" s="55" t="s">
        <v>129</v>
      </c>
      <c r="S30" s="55">
        <v>6</v>
      </c>
      <c r="T30" s="55" t="s">
        <v>129</v>
      </c>
      <c r="U30" s="55">
        <v>1</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9</v>
      </c>
      <c r="AJ30" s="55" t="s">
        <v>129</v>
      </c>
      <c r="AK30" s="55">
        <v>16</v>
      </c>
      <c r="AL30" s="55" t="s">
        <v>129</v>
      </c>
      <c r="AM30" s="55">
        <v>3</v>
      </c>
      <c r="AN30" s="55" t="s">
        <v>129</v>
      </c>
      <c r="AO30" s="55">
        <v>0</v>
      </c>
      <c r="AP30" s="55" t="s">
        <v>129</v>
      </c>
      <c r="AQ30" s="55" t="s">
        <v>129</v>
      </c>
      <c r="AR30" s="55" t="s">
        <v>129</v>
      </c>
      <c r="AS30" s="55" t="s">
        <v>129</v>
      </c>
      <c r="AT30" s="55" t="s">
        <v>129</v>
      </c>
      <c r="AU30" s="55" t="s">
        <v>129</v>
      </c>
      <c r="AV30" s="55" t="s">
        <v>129</v>
      </c>
      <c r="AW30" s="55" t="s">
        <v>129</v>
      </c>
      <c r="AX30" s="55" t="s">
        <v>129</v>
      </c>
      <c r="AY30" s="55">
        <v>2</v>
      </c>
      <c r="AZ30" s="55" t="s">
        <v>129</v>
      </c>
      <c r="BA30" s="55">
        <v>5</v>
      </c>
      <c r="BB30" s="55" t="s">
        <v>129</v>
      </c>
      <c r="BC30" s="55">
        <v>6</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138</v>
      </c>
      <c r="B31" s="55" t="s">
        <v>129</v>
      </c>
      <c r="C31" s="55">
        <v>0</v>
      </c>
      <c r="D31" s="55" t="s">
        <v>129</v>
      </c>
      <c r="E31" s="55">
        <v>18</v>
      </c>
      <c r="F31" s="55" t="s">
        <v>129</v>
      </c>
      <c r="G31" s="55">
        <v>8</v>
      </c>
      <c r="H31" s="55" t="s">
        <v>129</v>
      </c>
      <c r="I31" s="55">
        <v>0</v>
      </c>
      <c r="J31" s="55" t="s">
        <v>129</v>
      </c>
      <c r="K31" s="55" t="s">
        <v>129</v>
      </c>
      <c r="L31" s="55" t="s">
        <v>129</v>
      </c>
      <c r="M31" s="55" t="s">
        <v>129</v>
      </c>
      <c r="N31" s="55" t="s">
        <v>129</v>
      </c>
      <c r="O31" s="55" t="s">
        <v>129</v>
      </c>
      <c r="P31" s="55" t="s">
        <v>129</v>
      </c>
      <c r="Q31" s="55" t="s">
        <v>129</v>
      </c>
      <c r="R31" s="55" t="s">
        <v>129</v>
      </c>
      <c r="S31" s="55">
        <v>5</v>
      </c>
      <c r="T31" s="55" t="s">
        <v>129</v>
      </c>
      <c r="U31" s="55">
        <v>5</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12</v>
      </c>
      <c r="AJ31" s="55" t="s">
        <v>129</v>
      </c>
      <c r="AK31" s="55">
        <v>10</v>
      </c>
      <c r="AL31" s="55" t="s">
        <v>129</v>
      </c>
      <c r="AM31" s="55">
        <v>11</v>
      </c>
      <c r="AN31" s="55" t="s">
        <v>129</v>
      </c>
      <c r="AO31" s="55">
        <v>0</v>
      </c>
      <c r="AP31" s="55" t="s">
        <v>129</v>
      </c>
      <c r="AQ31" s="55" t="s">
        <v>129</v>
      </c>
      <c r="AR31" s="55" t="s">
        <v>129</v>
      </c>
      <c r="AS31" s="55" t="s">
        <v>129</v>
      </c>
      <c r="AT31" s="55" t="s">
        <v>129</v>
      </c>
      <c r="AU31" s="55" t="s">
        <v>129</v>
      </c>
      <c r="AV31" s="55" t="s">
        <v>129</v>
      </c>
      <c r="AW31" s="55" t="s">
        <v>129</v>
      </c>
      <c r="AX31" s="55" t="s">
        <v>129</v>
      </c>
      <c r="AY31" s="55">
        <v>3</v>
      </c>
      <c r="AZ31" s="55" t="s">
        <v>129</v>
      </c>
      <c r="BA31" s="55">
        <v>1</v>
      </c>
      <c r="BB31" s="55" t="s">
        <v>129</v>
      </c>
      <c r="BC31" s="55">
        <v>5</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137</v>
      </c>
      <c r="B32" s="55" t="s">
        <v>129</v>
      </c>
      <c r="C32" s="55">
        <v>2</v>
      </c>
      <c r="D32" s="55" t="s">
        <v>129</v>
      </c>
      <c r="E32" s="55">
        <v>12</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8</v>
      </c>
      <c r="T32" s="55" t="s">
        <v>129</v>
      </c>
      <c r="U32" s="55">
        <v>3</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12</v>
      </c>
      <c r="AJ32" s="55" t="s">
        <v>129</v>
      </c>
      <c r="AK32" s="55">
        <v>12</v>
      </c>
      <c r="AL32" s="55" t="s">
        <v>129</v>
      </c>
      <c r="AM32" s="55">
        <v>10</v>
      </c>
      <c r="AN32" s="55" t="s">
        <v>129</v>
      </c>
      <c r="AO32" s="55">
        <v>0</v>
      </c>
      <c r="AP32" s="55" t="s">
        <v>129</v>
      </c>
      <c r="AQ32" s="55" t="s">
        <v>129</v>
      </c>
      <c r="AR32" s="55" t="s">
        <v>129</v>
      </c>
      <c r="AS32" s="55" t="s">
        <v>129</v>
      </c>
      <c r="AT32" s="55" t="s">
        <v>129</v>
      </c>
      <c r="AU32" s="55" t="s">
        <v>129</v>
      </c>
      <c r="AV32" s="55" t="s">
        <v>129</v>
      </c>
      <c r="AW32" s="55" t="s">
        <v>129</v>
      </c>
      <c r="AX32" s="55" t="s">
        <v>129</v>
      </c>
      <c r="AY32" s="55">
        <v>7</v>
      </c>
      <c r="AZ32" s="55" t="s">
        <v>129</v>
      </c>
      <c r="BA32" s="55">
        <v>2</v>
      </c>
      <c r="BB32" s="55" t="s">
        <v>129</v>
      </c>
      <c r="BC32" s="55">
        <v>6</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136</v>
      </c>
      <c r="B33" s="55" t="s">
        <v>129</v>
      </c>
      <c r="C33" s="55">
        <v>1</v>
      </c>
      <c r="D33" s="55" t="s">
        <v>129</v>
      </c>
      <c r="E33" s="55">
        <v>14</v>
      </c>
      <c r="F33" s="55" t="s">
        <v>129</v>
      </c>
      <c r="G33" s="55">
        <v>3</v>
      </c>
      <c r="H33" s="55" t="s">
        <v>129</v>
      </c>
      <c r="I33" s="55">
        <v>0</v>
      </c>
      <c r="J33" s="55" t="s">
        <v>129</v>
      </c>
      <c r="K33" s="55" t="s">
        <v>129</v>
      </c>
      <c r="L33" s="55" t="s">
        <v>129</v>
      </c>
      <c r="M33" s="55" t="s">
        <v>129</v>
      </c>
      <c r="N33" s="55" t="s">
        <v>129</v>
      </c>
      <c r="O33" s="55" t="s">
        <v>129</v>
      </c>
      <c r="P33" s="55" t="s">
        <v>129</v>
      </c>
      <c r="Q33" s="55" t="s">
        <v>129</v>
      </c>
      <c r="R33" s="55" t="s">
        <v>129</v>
      </c>
      <c r="S33" s="55">
        <v>5</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6</v>
      </c>
      <c r="AJ33" s="55" t="s">
        <v>129</v>
      </c>
      <c r="AK33" s="55">
        <v>14</v>
      </c>
      <c r="AL33" s="55" t="s">
        <v>129</v>
      </c>
      <c r="AM33" s="55">
        <v>7</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3</v>
      </c>
      <c r="BB33" s="55" t="s">
        <v>129</v>
      </c>
      <c r="BC33" s="55">
        <v>11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135</v>
      </c>
      <c r="B34" s="55" t="s">
        <v>129</v>
      </c>
      <c r="C34" s="55">
        <v>0</v>
      </c>
      <c r="D34" s="55" t="s">
        <v>129</v>
      </c>
      <c r="E34" s="55">
        <v>6</v>
      </c>
      <c r="F34" s="55" t="s">
        <v>129</v>
      </c>
      <c r="G34" s="55">
        <v>4</v>
      </c>
      <c r="H34" s="55" t="s">
        <v>129</v>
      </c>
      <c r="I34" s="55">
        <v>0</v>
      </c>
      <c r="J34" s="55" t="s">
        <v>129</v>
      </c>
      <c r="K34" s="55" t="s">
        <v>129</v>
      </c>
      <c r="L34" s="55" t="s">
        <v>129</v>
      </c>
      <c r="M34" s="55" t="s">
        <v>129</v>
      </c>
      <c r="N34" s="55" t="s">
        <v>129</v>
      </c>
      <c r="O34" s="55" t="s">
        <v>129</v>
      </c>
      <c r="P34" s="55" t="s">
        <v>129</v>
      </c>
      <c r="Q34" s="55" t="s">
        <v>129</v>
      </c>
      <c r="R34" s="55" t="s">
        <v>129</v>
      </c>
      <c r="S34" s="55">
        <v>3</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8</v>
      </c>
      <c r="AJ34" s="55" t="s">
        <v>129</v>
      </c>
      <c r="AK34" s="55">
        <v>14</v>
      </c>
      <c r="AL34" s="55" t="s">
        <v>129</v>
      </c>
      <c r="AM34" s="55">
        <v>11</v>
      </c>
      <c r="AN34" s="55" t="s">
        <v>129</v>
      </c>
      <c r="AO34" s="55">
        <v>0</v>
      </c>
      <c r="AP34" s="55" t="s">
        <v>129</v>
      </c>
      <c r="AQ34" s="55" t="s">
        <v>129</v>
      </c>
      <c r="AR34" s="55" t="s">
        <v>129</v>
      </c>
      <c r="AS34" s="55" t="s">
        <v>129</v>
      </c>
      <c r="AT34" s="55" t="s">
        <v>129</v>
      </c>
      <c r="AU34" s="55" t="s">
        <v>129</v>
      </c>
      <c r="AV34" s="55" t="s">
        <v>129</v>
      </c>
      <c r="AW34" s="55" t="s">
        <v>129</v>
      </c>
      <c r="AX34" s="55" t="s">
        <v>129</v>
      </c>
      <c r="AY34" s="55">
        <v>3</v>
      </c>
      <c r="AZ34" s="55" t="s">
        <v>129</v>
      </c>
      <c r="BA34" s="55">
        <v>1</v>
      </c>
      <c r="BB34" s="55" t="s">
        <v>129</v>
      </c>
      <c r="BC34" s="55">
        <v>6</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134</v>
      </c>
      <c r="B35" s="55" t="s">
        <v>129</v>
      </c>
      <c r="C35" s="55">
        <v>0</v>
      </c>
      <c r="D35" s="55" t="s">
        <v>129</v>
      </c>
      <c r="E35" s="55">
        <v>14</v>
      </c>
      <c r="F35" s="55" t="s">
        <v>129</v>
      </c>
      <c r="G35" s="55">
        <v>6</v>
      </c>
      <c r="H35" s="55" t="s">
        <v>129</v>
      </c>
      <c r="I35" s="55">
        <v>0</v>
      </c>
      <c r="J35" s="55" t="s">
        <v>129</v>
      </c>
      <c r="K35" s="55" t="s">
        <v>129</v>
      </c>
      <c r="L35" s="55" t="s">
        <v>129</v>
      </c>
      <c r="M35" s="55" t="s">
        <v>129</v>
      </c>
      <c r="N35" s="55" t="s">
        <v>129</v>
      </c>
      <c r="O35" s="55" t="s">
        <v>129</v>
      </c>
      <c r="P35" s="55" t="s">
        <v>129</v>
      </c>
      <c r="Q35" s="55" t="s">
        <v>129</v>
      </c>
      <c r="R35" s="55" t="s">
        <v>129</v>
      </c>
      <c r="S35" s="55">
        <v>7</v>
      </c>
      <c r="T35" s="55" t="s">
        <v>129</v>
      </c>
      <c r="U35" s="55">
        <v>3</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14</v>
      </c>
      <c r="AJ35" s="55" t="s">
        <v>129</v>
      </c>
      <c r="AK35" s="55">
        <v>20</v>
      </c>
      <c r="AL35" s="55" t="s">
        <v>129</v>
      </c>
      <c r="AM35" s="55">
        <v>9</v>
      </c>
      <c r="AN35" s="55" t="s">
        <v>129</v>
      </c>
      <c r="AO35" s="55">
        <v>0</v>
      </c>
      <c r="AP35" s="55" t="s">
        <v>129</v>
      </c>
      <c r="AQ35" s="55" t="s">
        <v>129</v>
      </c>
      <c r="AR35" s="55" t="s">
        <v>129</v>
      </c>
      <c r="AS35" s="55" t="s">
        <v>129</v>
      </c>
      <c r="AT35" s="55" t="s">
        <v>129</v>
      </c>
      <c r="AU35" s="55" t="s">
        <v>129</v>
      </c>
      <c r="AV35" s="55" t="s">
        <v>129</v>
      </c>
      <c r="AW35" s="55" t="s">
        <v>129</v>
      </c>
      <c r="AX35" s="55" t="s">
        <v>129</v>
      </c>
      <c r="AY35" s="55">
        <v>6</v>
      </c>
      <c r="AZ35" s="55" t="s">
        <v>129</v>
      </c>
      <c r="BA35" s="55">
        <v>2</v>
      </c>
      <c r="BB35" s="55" t="s">
        <v>129</v>
      </c>
      <c r="BC35" s="55">
        <v>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133</v>
      </c>
      <c r="B36" s="55" t="s">
        <v>129</v>
      </c>
      <c r="C36" s="55">
        <v>2</v>
      </c>
      <c r="D36" s="55" t="s">
        <v>129</v>
      </c>
      <c r="E36" s="55">
        <v>11</v>
      </c>
      <c r="F36" s="55" t="s">
        <v>129</v>
      </c>
      <c r="G36" s="55">
        <v>7</v>
      </c>
      <c r="H36" s="55" t="s">
        <v>129</v>
      </c>
      <c r="I36" s="55">
        <v>0</v>
      </c>
      <c r="J36" s="55" t="s">
        <v>129</v>
      </c>
      <c r="K36" s="55" t="s">
        <v>129</v>
      </c>
      <c r="L36" s="55" t="s">
        <v>129</v>
      </c>
      <c r="M36" s="55" t="s">
        <v>129</v>
      </c>
      <c r="N36" s="55" t="s">
        <v>129</v>
      </c>
      <c r="O36" s="55" t="s">
        <v>129</v>
      </c>
      <c r="P36" s="55" t="s">
        <v>129</v>
      </c>
      <c r="Q36" s="55" t="s">
        <v>129</v>
      </c>
      <c r="R36" s="55" t="s">
        <v>129</v>
      </c>
      <c r="S36" s="55">
        <v>8</v>
      </c>
      <c r="T36" s="55" t="s">
        <v>129</v>
      </c>
      <c r="U36" s="55">
        <v>5</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9</v>
      </c>
      <c r="AJ36" s="55" t="s">
        <v>129</v>
      </c>
      <c r="AK36" s="55">
        <v>18</v>
      </c>
      <c r="AL36" s="55" t="s">
        <v>129</v>
      </c>
      <c r="AM36" s="55">
        <v>6</v>
      </c>
      <c r="AN36" s="55" t="s">
        <v>129</v>
      </c>
      <c r="AO36" s="55">
        <v>0</v>
      </c>
      <c r="AP36" s="55" t="s">
        <v>129</v>
      </c>
      <c r="AQ36" s="55" t="s">
        <v>129</v>
      </c>
      <c r="AR36" s="55" t="s">
        <v>129</v>
      </c>
      <c r="AS36" s="55" t="s">
        <v>129</v>
      </c>
      <c r="AT36" s="55" t="s">
        <v>129</v>
      </c>
      <c r="AU36" s="55" t="s">
        <v>129</v>
      </c>
      <c r="AV36" s="55" t="s">
        <v>129</v>
      </c>
      <c r="AW36" s="55" t="s">
        <v>129</v>
      </c>
      <c r="AX36" s="55" t="s">
        <v>129</v>
      </c>
      <c r="AY36" s="55">
        <v>7</v>
      </c>
      <c r="AZ36" s="55" t="s">
        <v>129</v>
      </c>
      <c r="BA36" s="55">
        <v>1</v>
      </c>
      <c r="BB36" s="55" t="s">
        <v>129</v>
      </c>
      <c r="BC36" s="55">
        <v>7</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132</v>
      </c>
      <c r="B37" s="55" t="s">
        <v>129</v>
      </c>
      <c r="C37" s="55">
        <v>1</v>
      </c>
      <c r="D37" s="55" t="s">
        <v>129</v>
      </c>
      <c r="E37" s="55">
        <v>8</v>
      </c>
      <c r="F37" s="55" t="s">
        <v>129</v>
      </c>
      <c r="G37" s="55">
        <v>5</v>
      </c>
      <c r="H37" s="55" t="s">
        <v>129</v>
      </c>
      <c r="I37" s="55">
        <v>0</v>
      </c>
      <c r="J37" s="55" t="s">
        <v>129</v>
      </c>
      <c r="K37" s="55" t="s">
        <v>129</v>
      </c>
      <c r="L37" s="55" t="s">
        <v>129</v>
      </c>
      <c r="M37" s="55" t="s">
        <v>129</v>
      </c>
      <c r="N37" s="55" t="s">
        <v>129</v>
      </c>
      <c r="O37" s="55" t="s">
        <v>129</v>
      </c>
      <c r="P37" s="55" t="s">
        <v>129</v>
      </c>
      <c r="Q37" s="55" t="s">
        <v>129</v>
      </c>
      <c r="R37" s="55" t="s">
        <v>129</v>
      </c>
      <c r="S37" s="55">
        <v>6</v>
      </c>
      <c r="T37" s="55" t="s">
        <v>129</v>
      </c>
      <c r="U37" s="55">
        <v>3</v>
      </c>
      <c r="V37" s="55" t="s">
        <v>129</v>
      </c>
      <c r="W37" s="55">
        <v>1</v>
      </c>
      <c r="X37" s="55" t="s">
        <v>129</v>
      </c>
      <c r="Y37" s="55">
        <v>0</v>
      </c>
      <c r="Z37" s="55" t="s">
        <v>129</v>
      </c>
      <c r="AA37" s="55" t="s">
        <v>129</v>
      </c>
      <c r="AB37" s="55" t="s">
        <v>129</v>
      </c>
      <c r="AC37" s="55" t="s">
        <v>129</v>
      </c>
      <c r="AD37" s="55" t="s">
        <v>129</v>
      </c>
      <c r="AE37" s="55" t="s">
        <v>129</v>
      </c>
      <c r="AF37" s="55" t="s">
        <v>129</v>
      </c>
      <c r="AG37" s="55" t="s">
        <v>129</v>
      </c>
      <c r="AH37" s="55" t="s">
        <v>129</v>
      </c>
      <c r="AI37" s="55">
        <v>4</v>
      </c>
      <c r="AJ37" s="55" t="s">
        <v>129</v>
      </c>
      <c r="AK37" s="55">
        <v>16</v>
      </c>
      <c r="AL37" s="55" t="s">
        <v>129</v>
      </c>
      <c r="AM37" s="55">
        <v>9</v>
      </c>
      <c r="AN37" s="55" t="s">
        <v>129</v>
      </c>
      <c r="AO37" s="55">
        <v>0</v>
      </c>
      <c r="AP37" s="55" t="s">
        <v>129</v>
      </c>
      <c r="AQ37" s="55" t="s">
        <v>129</v>
      </c>
      <c r="AR37" s="55" t="s">
        <v>129</v>
      </c>
      <c r="AS37" s="55" t="s">
        <v>129</v>
      </c>
      <c r="AT37" s="55" t="s">
        <v>129</v>
      </c>
      <c r="AU37" s="55" t="s">
        <v>129</v>
      </c>
      <c r="AV37" s="55" t="s">
        <v>129</v>
      </c>
      <c r="AW37" s="55" t="s">
        <v>129</v>
      </c>
      <c r="AX37" s="55" t="s">
        <v>129</v>
      </c>
      <c r="AY37" s="55">
        <v>8</v>
      </c>
      <c r="AZ37" s="55" t="s">
        <v>129</v>
      </c>
      <c r="BA37" s="55">
        <v>2</v>
      </c>
      <c r="BB37" s="55" t="s">
        <v>129</v>
      </c>
      <c r="BC37" s="55">
        <v>4</v>
      </c>
      <c r="BD37" s="55" t="s">
        <v>129</v>
      </c>
      <c r="BE37" s="55">
        <v>0</v>
      </c>
      <c r="BF37" s="55" t="s">
        <v>129</v>
      </c>
      <c r="BG37" s="55" t="s">
        <v>129</v>
      </c>
      <c r="BH37" s="55" t="s">
        <v>129</v>
      </c>
      <c r="BI37" s="55" t="s">
        <v>129</v>
      </c>
      <c r="BJ37" s="55" t="s">
        <v>129</v>
      </c>
      <c r="BK37" s="55" t="s">
        <v>129</v>
      </c>
      <c r="BL37" s="55" t="s">
        <v>129</v>
      </c>
      <c r="BM37" s="55" t="s">
        <v>129</v>
      </c>
    </row>
    <row r="38" spans="1:65" ht="15" customHeight="1" x14ac:dyDescent="0.2">
      <c r="A38" s="55" t="s">
        <v>131</v>
      </c>
      <c r="B38" s="55" t="s">
        <v>129</v>
      </c>
      <c r="C38" s="55">
        <v>1</v>
      </c>
      <c r="D38" s="55" t="s">
        <v>129</v>
      </c>
      <c r="E38" s="55">
        <v>8</v>
      </c>
      <c r="F38" s="55" t="s">
        <v>129</v>
      </c>
      <c r="G38" s="55">
        <v>0</v>
      </c>
      <c r="H38" s="55" t="s">
        <v>129</v>
      </c>
      <c r="I38" s="55">
        <v>0</v>
      </c>
      <c r="J38" s="55" t="s">
        <v>129</v>
      </c>
      <c r="K38" s="55" t="s">
        <v>129</v>
      </c>
      <c r="L38" s="55" t="s">
        <v>129</v>
      </c>
      <c r="M38" s="55" t="s">
        <v>129</v>
      </c>
      <c r="N38" s="55" t="s">
        <v>129</v>
      </c>
      <c r="O38" s="55" t="s">
        <v>129</v>
      </c>
      <c r="P38" s="55" t="s">
        <v>129</v>
      </c>
      <c r="Q38" s="55" t="s">
        <v>129</v>
      </c>
      <c r="R38" s="55" t="s">
        <v>129</v>
      </c>
      <c r="S38" s="55">
        <v>4</v>
      </c>
      <c r="T38" s="55" t="s">
        <v>129</v>
      </c>
      <c r="U38" s="55">
        <v>4</v>
      </c>
      <c r="V38" s="55" t="s">
        <v>129</v>
      </c>
      <c r="W38" s="55">
        <v>1</v>
      </c>
      <c r="X38" s="55" t="s">
        <v>129</v>
      </c>
      <c r="Y38" s="55">
        <v>0</v>
      </c>
      <c r="Z38" s="55" t="s">
        <v>129</v>
      </c>
      <c r="AA38" s="55" t="s">
        <v>129</v>
      </c>
      <c r="AB38" s="55" t="s">
        <v>129</v>
      </c>
      <c r="AC38" s="55" t="s">
        <v>129</v>
      </c>
      <c r="AD38" s="55" t="s">
        <v>129</v>
      </c>
      <c r="AE38" s="55" t="s">
        <v>129</v>
      </c>
      <c r="AF38" s="55" t="s">
        <v>129</v>
      </c>
      <c r="AG38" s="55" t="s">
        <v>129</v>
      </c>
      <c r="AH38" s="55" t="s">
        <v>129</v>
      </c>
      <c r="AI38" s="55">
        <v>5</v>
      </c>
      <c r="AJ38" s="55" t="s">
        <v>129</v>
      </c>
      <c r="AK38" s="55">
        <v>13</v>
      </c>
      <c r="AL38" s="55" t="s">
        <v>129</v>
      </c>
      <c r="AM38" s="55">
        <v>12</v>
      </c>
      <c r="AN38" s="55" t="s">
        <v>129</v>
      </c>
      <c r="AO38" s="55">
        <v>0</v>
      </c>
      <c r="AP38" s="55" t="s">
        <v>129</v>
      </c>
      <c r="AQ38" s="55" t="s">
        <v>129</v>
      </c>
      <c r="AR38" s="55" t="s">
        <v>129</v>
      </c>
      <c r="AS38" s="55" t="s">
        <v>129</v>
      </c>
      <c r="AT38" s="55" t="s">
        <v>129</v>
      </c>
      <c r="AU38" s="55" t="s">
        <v>129</v>
      </c>
      <c r="AV38" s="55" t="s">
        <v>129</v>
      </c>
      <c r="AW38" s="55" t="s">
        <v>129</v>
      </c>
      <c r="AX38" s="55" t="s">
        <v>129</v>
      </c>
      <c r="AY38" s="55">
        <v>2</v>
      </c>
      <c r="AZ38" s="55" t="s">
        <v>129</v>
      </c>
      <c r="BA38" s="55">
        <v>3</v>
      </c>
      <c r="BB38" s="55" t="s">
        <v>129</v>
      </c>
      <c r="BC38" s="55">
        <v>3</v>
      </c>
      <c r="BD38" s="55" t="s">
        <v>129</v>
      </c>
      <c r="BE38" s="55">
        <v>0</v>
      </c>
      <c r="BF38" s="55" t="s">
        <v>129</v>
      </c>
      <c r="BG38" s="55" t="s">
        <v>129</v>
      </c>
      <c r="BH38" s="55" t="s">
        <v>129</v>
      </c>
      <c r="BI38" s="55" t="s">
        <v>129</v>
      </c>
      <c r="BJ38" s="55" t="s">
        <v>129</v>
      </c>
      <c r="BK38" s="55" t="s">
        <v>129</v>
      </c>
      <c r="BL38" s="55" t="s">
        <v>129</v>
      </c>
      <c r="BM38" s="55" t="s">
        <v>129</v>
      </c>
    </row>
    <row r="39" spans="1:65" ht="15" customHeight="1" x14ac:dyDescent="0.2">
      <c r="A39" s="55" t="s">
        <v>130</v>
      </c>
      <c r="B39" s="55" t="s">
        <v>129</v>
      </c>
      <c r="C39" s="55">
        <v>0</v>
      </c>
      <c r="D39" s="55" t="s">
        <v>129</v>
      </c>
      <c r="E39" s="55">
        <v>0</v>
      </c>
      <c r="F39" s="55" t="s">
        <v>129</v>
      </c>
      <c r="G39" s="55">
        <v>0</v>
      </c>
      <c r="H39" s="55" t="s">
        <v>129</v>
      </c>
      <c r="I39" s="55">
        <v>0</v>
      </c>
      <c r="J39" s="55" t="s">
        <v>129</v>
      </c>
      <c r="K39" s="55" t="s">
        <v>129</v>
      </c>
      <c r="L39" s="55" t="s">
        <v>129</v>
      </c>
      <c r="M39" s="55" t="s">
        <v>129</v>
      </c>
      <c r="N39" s="55" t="s">
        <v>129</v>
      </c>
      <c r="O39" s="55" t="s">
        <v>129</v>
      </c>
      <c r="P39" s="55" t="s">
        <v>129</v>
      </c>
      <c r="Q39" s="55" t="s">
        <v>129</v>
      </c>
      <c r="R39" s="55" t="s">
        <v>129</v>
      </c>
      <c r="S39" s="55">
        <v>0</v>
      </c>
      <c r="T39" s="55" t="s">
        <v>129</v>
      </c>
      <c r="U39" s="55">
        <v>0</v>
      </c>
      <c r="V39" s="55" t="s">
        <v>129</v>
      </c>
      <c r="W39" s="55">
        <v>0</v>
      </c>
      <c r="X39" s="55" t="s">
        <v>129</v>
      </c>
      <c r="Y39" s="55">
        <v>0</v>
      </c>
      <c r="Z39" s="55" t="s">
        <v>129</v>
      </c>
      <c r="AA39" s="55" t="s">
        <v>129</v>
      </c>
      <c r="AB39" s="55" t="s">
        <v>129</v>
      </c>
      <c r="AC39" s="55" t="s">
        <v>129</v>
      </c>
      <c r="AD39" s="55" t="s">
        <v>129</v>
      </c>
      <c r="AE39" s="55" t="s">
        <v>129</v>
      </c>
      <c r="AF39" s="55" t="s">
        <v>129</v>
      </c>
      <c r="AG39" s="55" t="s">
        <v>129</v>
      </c>
      <c r="AH39" s="55" t="s">
        <v>129</v>
      </c>
      <c r="AI39" s="55">
        <v>0</v>
      </c>
      <c r="AJ39" s="55" t="s">
        <v>129</v>
      </c>
      <c r="AK39" s="55">
        <v>0</v>
      </c>
      <c r="AL39" s="55" t="s">
        <v>129</v>
      </c>
      <c r="AM39" s="55">
        <v>0</v>
      </c>
      <c r="AN39" s="55" t="s">
        <v>129</v>
      </c>
      <c r="AO39" s="55">
        <v>0</v>
      </c>
      <c r="AP39" s="55" t="s">
        <v>129</v>
      </c>
      <c r="AQ39" s="55" t="s">
        <v>129</v>
      </c>
      <c r="AR39" s="55" t="s">
        <v>129</v>
      </c>
      <c r="AS39" s="55" t="s">
        <v>129</v>
      </c>
      <c r="AT39" s="55" t="s">
        <v>129</v>
      </c>
      <c r="AU39" s="55" t="s">
        <v>129</v>
      </c>
      <c r="AV39" s="55" t="s">
        <v>129</v>
      </c>
      <c r="AW39" s="55" t="s">
        <v>129</v>
      </c>
      <c r="AX39" s="55" t="s">
        <v>129</v>
      </c>
      <c r="AY39" s="55">
        <v>0</v>
      </c>
      <c r="AZ39" s="55" t="s">
        <v>129</v>
      </c>
      <c r="BA39" s="55">
        <v>0</v>
      </c>
      <c r="BB39" s="55" t="s">
        <v>129</v>
      </c>
      <c r="BC39" s="55">
        <v>0</v>
      </c>
      <c r="BD39" s="55" t="s">
        <v>129</v>
      </c>
      <c r="BE39" s="55">
        <v>0</v>
      </c>
      <c r="BF39" s="55" t="s">
        <v>129</v>
      </c>
      <c r="BG39" s="55" t="s">
        <v>129</v>
      </c>
      <c r="BH39" s="55" t="s">
        <v>129</v>
      </c>
      <c r="BI39" s="55" t="s">
        <v>129</v>
      </c>
      <c r="BJ39" s="55" t="s">
        <v>129</v>
      </c>
      <c r="BK39" s="55" t="s">
        <v>129</v>
      </c>
      <c r="BL39" s="55" t="s">
        <v>129</v>
      </c>
      <c r="BM39"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2022-04-27T22:12:27Z</dcterms:modified>
</cp:coreProperties>
</file>